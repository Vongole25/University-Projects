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. 업무\14. 부동산 분야 빅데이터센터 구축 사업\2024년\21. 데이터제공\01. 고려대학교\"/>
    </mc:Choice>
  </mc:AlternateContent>
  <xr:revisionPtr revIDLastSave="0" documentId="13_ncr:1_{203612CD-80AE-42E6-BEA4-F3942C806EFA}" xr6:coauthVersionLast="47" xr6:coauthVersionMax="47" xr10:uidLastSave="{00000000-0000-0000-0000-000000000000}"/>
  <bookViews>
    <workbookView xWindow="-120" yWindow="-120" windowWidth="51840" windowHeight="21120" tabRatio="955" firstSheet="1" activeTab="3" xr2:uid="{00000000-000D-0000-FFFF-FFFF00000000}"/>
  </bookViews>
  <sheets>
    <sheet name="Table List(1차)" sheetId="2" state="hidden" r:id="rId1"/>
    <sheet name="Table List" sheetId="36" r:id="rId2"/>
    <sheet name="코드북" sheetId="43" r:id="rId3"/>
    <sheet name="01_지번별 토지 특성" sheetId="26" r:id="rId4"/>
    <sheet name="(참고)지번_선별기준" sheetId="44" r:id="rId5"/>
    <sheet name="(참고)data추출format" sheetId="52" r:id="rId6"/>
  </sheets>
  <definedNames>
    <definedName name="_xlnm._FilterDatabase" localSheetId="4" hidden="1">'(참고)지번_선별기준'!$A$1:$D$13132</definedName>
    <definedName name="IDX" localSheetId="4">'(참고)지번_선별기준'!#REF!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1" i="52" l="1"/>
  <c r="D160" i="52"/>
  <c r="D159" i="52"/>
  <c r="D158" i="52"/>
  <c r="D157" i="52"/>
  <c r="D156" i="52"/>
  <c r="D155" i="52"/>
  <c r="D154" i="52"/>
  <c r="D153" i="52"/>
  <c r="D152" i="52"/>
  <c r="D151" i="52"/>
  <c r="D150" i="52"/>
  <c r="D149" i="52"/>
  <c r="D148" i="52"/>
  <c r="D147" i="52"/>
  <c r="D146" i="52"/>
  <c r="D145" i="52"/>
  <c r="D144" i="52"/>
  <c r="D143" i="52"/>
  <c r="D142" i="52"/>
  <c r="D141" i="52"/>
  <c r="D140" i="52"/>
  <c r="D139" i="52"/>
  <c r="D138" i="52"/>
  <c r="D137" i="52"/>
  <c r="D136" i="52"/>
  <c r="D135" i="52"/>
  <c r="D134" i="52"/>
  <c r="D133" i="52"/>
  <c r="D132" i="52"/>
  <c r="D131" i="52"/>
  <c r="D130" i="52"/>
  <c r="D129" i="52"/>
  <c r="D128" i="52"/>
  <c r="D127" i="52"/>
  <c r="D126" i="52"/>
  <c r="D125" i="52"/>
  <c r="D124" i="52"/>
  <c r="D123" i="52"/>
  <c r="D122" i="52"/>
  <c r="D121" i="52"/>
  <c r="D120" i="52"/>
  <c r="D119" i="52"/>
  <c r="D118" i="52"/>
  <c r="D117" i="52"/>
  <c r="D116" i="52"/>
  <c r="D115" i="52"/>
  <c r="D114" i="52"/>
  <c r="D113" i="52"/>
  <c r="D112" i="52"/>
  <c r="D111" i="52"/>
  <c r="D110" i="52"/>
  <c r="D109" i="52"/>
  <c r="D108" i="52"/>
  <c r="D107" i="52"/>
  <c r="D106" i="52"/>
  <c r="D105" i="52"/>
  <c r="D104" i="52"/>
  <c r="D103" i="52"/>
  <c r="D102" i="52"/>
  <c r="D101" i="52"/>
  <c r="D100" i="52"/>
  <c r="D99" i="52"/>
  <c r="D98" i="52"/>
  <c r="D97" i="52"/>
  <c r="D96" i="52"/>
  <c r="D95" i="52"/>
  <c r="D94" i="52"/>
  <c r="D93" i="52"/>
  <c r="D92" i="52"/>
  <c r="D91" i="52"/>
  <c r="D90" i="52"/>
  <c r="D89" i="52"/>
  <c r="D88" i="52"/>
  <c r="D87" i="52"/>
  <c r="D86" i="52"/>
  <c r="D85" i="52"/>
  <c r="D84" i="52"/>
  <c r="D83" i="52"/>
  <c r="D82" i="52"/>
  <c r="D81" i="52"/>
  <c r="D80" i="52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7" i="52"/>
  <c r="D6" i="52"/>
  <c r="D5" i="52"/>
  <c r="D4" i="52"/>
  <c r="D3" i="52"/>
  <c r="D2" i="52"/>
  <c r="F3" i="36" l="1"/>
  <c r="E3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7" i="44"/>
  <c r="E248" i="44"/>
  <c r="E249" i="44"/>
  <c r="E250" i="44"/>
  <c r="E251" i="44"/>
  <c r="E252" i="44"/>
  <c r="E253" i="44"/>
  <c r="E254" i="44"/>
  <c r="E255" i="44"/>
  <c r="E256" i="44"/>
  <c r="E257" i="44"/>
  <c r="E258" i="44"/>
  <c r="E259" i="44"/>
  <c r="E260" i="44"/>
  <c r="E261" i="44"/>
  <c r="E262" i="44"/>
  <c r="E263" i="44"/>
  <c r="E264" i="44"/>
  <c r="E265" i="44"/>
  <c r="E266" i="44"/>
  <c r="E267" i="44"/>
  <c r="E268" i="44"/>
  <c r="E269" i="44"/>
  <c r="E270" i="44"/>
  <c r="E271" i="44"/>
  <c r="E272" i="44"/>
  <c r="E273" i="44"/>
  <c r="E274" i="44"/>
  <c r="E275" i="44"/>
  <c r="E276" i="44"/>
  <c r="E277" i="44"/>
  <c r="E278" i="44"/>
  <c r="E279" i="44"/>
  <c r="E280" i="44"/>
  <c r="E281" i="44"/>
  <c r="E282" i="44"/>
  <c r="E283" i="44"/>
  <c r="E284" i="44"/>
  <c r="E285" i="44"/>
  <c r="E286" i="44"/>
  <c r="E287" i="44"/>
  <c r="E288" i="44"/>
  <c r="E289" i="44"/>
  <c r="E290" i="44"/>
  <c r="E291" i="44"/>
  <c r="E292" i="44"/>
  <c r="E293" i="44"/>
  <c r="E294" i="44"/>
  <c r="E295" i="44"/>
  <c r="E296" i="44"/>
  <c r="E297" i="44"/>
  <c r="E298" i="44"/>
  <c r="E299" i="44"/>
  <c r="E300" i="44"/>
  <c r="E301" i="44"/>
  <c r="E302" i="44"/>
  <c r="E303" i="44"/>
  <c r="E304" i="44"/>
  <c r="E305" i="44"/>
  <c r="E306" i="44"/>
  <c r="E307" i="44"/>
  <c r="E308" i="44"/>
  <c r="E309" i="44"/>
  <c r="E310" i="44"/>
  <c r="E311" i="44"/>
  <c r="E312" i="44"/>
  <c r="E313" i="44"/>
  <c r="E314" i="44"/>
  <c r="E315" i="44"/>
  <c r="E316" i="44"/>
  <c r="E317" i="44"/>
  <c r="E318" i="44"/>
  <c r="E319" i="44"/>
  <c r="E320" i="44"/>
  <c r="E321" i="44"/>
  <c r="E322" i="44"/>
  <c r="E323" i="44"/>
  <c r="E324" i="44"/>
  <c r="E325" i="44"/>
  <c r="E326" i="44"/>
  <c r="E327" i="44"/>
  <c r="E328" i="44"/>
  <c r="E329" i="44"/>
  <c r="E330" i="44"/>
  <c r="E331" i="44"/>
  <c r="E332" i="44"/>
  <c r="E333" i="44"/>
  <c r="E334" i="44"/>
  <c r="E335" i="44"/>
  <c r="E336" i="44"/>
  <c r="E337" i="44"/>
  <c r="E338" i="44"/>
  <c r="E339" i="44"/>
  <c r="E340" i="44"/>
  <c r="E341" i="44"/>
  <c r="E342" i="44"/>
  <c r="E343" i="44"/>
  <c r="E344" i="44"/>
  <c r="E345" i="44"/>
  <c r="E346" i="44"/>
  <c r="E347" i="44"/>
  <c r="E348" i="44"/>
  <c r="E349" i="44"/>
  <c r="E350" i="44"/>
  <c r="E351" i="44"/>
  <c r="E352" i="44"/>
  <c r="E353" i="44"/>
  <c r="E354" i="44"/>
  <c r="E355" i="44"/>
  <c r="E356" i="44"/>
  <c r="E357" i="44"/>
  <c r="E358" i="44"/>
  <c r="E359" i="44"/>
  <c r="E360" i="44"/>
  <c r="E361" i="44"/>
  <c r="E362" i="44"/>
  <c r="E363" i="44"/>
  <c r="E364" i="44"/>
  <c r="E365" i="44"/>
  <c r="E366" i="44"/>
  <c r="E367" i="44"/>
  <c r="E368" i="44"/>
  <c r="E369" i="44"/>
  <c r="E370" i="44"/>
  <c r="E371" i="44"/>
  <c r="E372" i="44"/>
  <c r="E373" i="44"/>
  <c r="E374" i="44"/>
  <c r="E375" i="44"/>
  <c r="E376" i="44"/>
  <c r="E377" i="44"/>
  <c r="E378" i="44"/>
  <c r="E379" i="44"/>
  <c r="E380" i="44"/>
  <c r="E381" i="44"/>
  <c r="E382" i="44"/>
  <c r="E383" i="44"/>
  <c r="E384" i="44"/>
  <c r="E385" i="44"/>
  <c r="E386" i="44"/>
  <c r="E387" i="44"/>
  <c r="E388" i="44"/>
  <c r="E389" i="44"/>
  <c r="E390" i="44"/>
  <c r="E391" i="44"/>
  <c r="E392" i="44"/>
  <c r="E393" i="44"/>
  <c r="E394" i="44"/>
  <c r="E395" i="44"/>
  <c r="E396" i="44"/>
  <c r="E397" i="44"/>
  <c r="E398" i="44"/>
  <c r="E399" i="44"/>
  <c r="E400" i="44"/>
  <c r="E401" i="44"/>
  <c r="E402" i="44"/>
  <c r="E403" i="44"/>
  <c r="E404" i="44"/>
  <c r="E405" i="44"/>
  <c r="E406" i="44"/>
  <c r="E407" i="44"/>
  <c r="E408" i="44"/>
  <c r="E409" i="44"/>
  <c r="E410" i="44"/>
  <c r="E411" i="44"/>
  <c r="E412" i="44"/>
  <c r="E413" i="44"/>
  <c r="E414" i="44"/>
  <c r="E415" i="44"/>
  <c r="E416" i="44"/>
  <c r="E417" i="44"/>
  <c r="E418" i="44"/>
  <c r="E419" i="44"/>
  <c r="E420" i="44"/>
  <c r="E421" i="44"/>
  <c r="E422" i="44"/>
  <c r="E423" i="44"/>
  <c r="E424" i="44"/>
  <c r="E425" i="44"/>
  <c r="E426" i="44"/>
  <c r="E427" i="44"/>
  <c r="E428" i="44"/>
  <c r="E429" i="44"/>
  <c r="E430" i="44"/>
  <c r="E431" i="44"/>
  <c r="E432" i="44"/>
  <c r="E433" i="44"/>
  <c r="E434" i="44"/>
  <c r="E435" i="44"/>
  <c r="E436" i="44"/>
  <c r="E437" i="44"/>
  <c r="E438" i="44"/>
  <c r="E439" i="44"/>
  <c r="E440" i="44"/>
  <c r="E441" i="44"/>
  <c r="E442" i="44"/>
  <c r="E443" i="44"/>
  <c r="E444" i="44"/>
  <c r="E445" i="44"/>
  <c r="E446" i="44"/>
  <c r="E447" i="44"/>
  <c r="E448" i="44"/>
  <c r="E449" i="44"/>
  <c r="E450" i="44"/>
  <c r="E451" i="44"/>
  <c r="E452" i="44"/>
  <c r="E453" i="44"/>
  <c r="E454" i="44"/>
  <c r="E455" i="44"/>
  <c r="E456" i="44"/>
  <c r="E457" i="44"/>
  <c r="E458" i="44"/>
  <c r="E459" i="44"/>
  <c r="E460" i="44"/>
  <c r="E461" i="44"/>
  <c r="E462" i="44"/>
  <c r="E463" i="44"/>
  <c r="E464" i="44"/>
  <c r="E465" i="44"/>
  <c r="E466" i="44"/>
  <c r="E467" i="44"/>
  <c r="E468" i="44"/>
  <c r="E469" i="44"/>
  <c r="E470" i="44"/>
  <c r="E471" i="44"/>
  <c r="E472" i="44"/>
  <c r="E473" i="44"/>
  <c r="E474" i="44"/>
  <c r="E475" i="44"/>
  <c r="E476" i="44"/>
  <c r="E477" i="44"/>
  <c r="E478" i="44"/>
  <c r="E479" i="44"/>
  <c r="E480" i="44"/>
  <c r="E481" i="44"/>
  <c r="E482" i="44"/>
  <c r="E483" i="44"/>
  <c r="E484" i="44"/>
  <c r="E485" i="44"/>
  <c r="E486" i="44"/>
  <c r="E487" i="44"/>
  <c r="E488" i="44"/>
  <c r="E489" i="44"/>
  <c r="E490" i="44"/>
  <c r="E491" i="44"/>
  <c r="E492" i="44"/>
  <c r="E493" i="44"/>
  <c r="E494" i="44"/>
  <c r="E495" i="44"/>
  <c r="E496" i="44"/>
  <c r="E497" i="44"/>
  <c r="E498" i="44"/>
  <c r="E499" i="44"/>
  <c r="E500" i="44"/>
  <c r="E501" i="44"/>
  <c r="E502" i="44"/>
  <c r="E503" i="44"/>
  <c r="E504" i="44"/>
  <c r="E505" i="44"/>
  <c r="E506" i="44"/>
  <c r="E507" i="44"/>
  <c r="E508" i="44"/>
  <c r="E509" i="44"/>
  <c r="E510" i="44"/>
  <c r="E511" i="44"/>
  <c r="E512" i="44"/>
  <c r="E513" i="44"/>
  <c r="E514" i="44"/>
  <c r="E515" i="44"/>
  <c r="E516" i="44"/>
  <c r="E517" i="44"/>
  <c r="E518" i="44"/>
  <c r="E519" i="44"/>
  <c r="E520" i="44"/>
  <c r="E521" i="44"/>
  <c r="E522" i="44"/>
  <c r="E523" i="44"/>
  <c r="E524" i="44"/>
  <c r="E525" i="44"/>
  <c r="E526" i="44"/>
  <c r="E527" i="44"/>
  <c r="E528" i="44"/>
  <c r="E529" i="44"/>
  <c r="E530" i="44"/>
  <c r="E531" i="44"/>
  <c r="E532" i="44"/>
  <c r="E533" i="44"/>
  <c r="E534" i="44"/>
  <c r="E535" i="44"/>
  <c r="E536" i="44"/>
  <c r="E537" i="44"/>
  <c r="E538" i="44"/>
  <c r="E539" i="44"/>
  <c r="E540" i="44"/>
  <c r="E541" i="44"/>
  <c r="E542" i="44"/>
  <c r="E543" i="44"/>
  <c r="E544" i="44"/>
  <c r="E545" i="44"/>
  <c r="E546" i="44"/>
  <c r="E547" i="44"/>
  <c r="E548" i="44"/>
  <c r="E549" i="44"/>
  <c r="E550" i="44"/>
  <c r="E551" i="44"/>
  <c r="E552" i="44"/>
  <c r="E553" i="44"/>
  <c r="E554" i="44"/>
  <c r="E555" i="44"/>
  <c r="E556" i="44"/>
  <c r="E557" i="44"/>
  <c r="E558" i="44"/>
  <c r="E559" i="44"/>
  <c r="E560" i="44"/>
  <c r="E561" i="44"/>
  <c r="E562" i="44"/>
  <c r="E563" i="44"/>
  <c r="E564" i="44"/>
  <c r="E565" i="44"/>
  <c r="E566" i="44"/>
  <c r="E567" i="44"/>
  <c r="E568" i="44"/>
  <c r="E569" i="44"/>
  <c r="E570" i="44"/>
  <c r="E571" i="44"/>
  <c r="E572" i="44"/>
  <c r="E573" i="44"/>
  <c r="E574" i="44"/>
  <c r="E575" i="44"/>
  <c r="E576" i="44"/>
  <c r="E577" i="44"/>
  <c r="E578" i="44"/>
  <c r="E579" i="44"/>
  <c r="E580" i="44"/>
  <c r="E581" i="44"/>
  <c r="E582" i="44"/>
  <c r="E583" i="44"/>
  <c r="E584" i="44"/>
  <c r="E585" i="44"/>
  <c r="E586" i="44"/>
  <c r="E587" i="44"/>
  <c r="E588" i="44"/>
  <c r="E589" i="44"/>
  <c r="E590" i="44"/>
  <c r="E591" i="44"/>
  <c r="E592" i="44"/>
  <c r="E593" i="44"/>
  <c r="E594" i="44"/>
  <c r="E595" i="44"/>
  <c r="E596" i="44"/>
  <c r="E597" i="44"/>
  <c r="E598" i="44"/>
  <c r="E599" i="44"/>
  <c r="E600" i="44"/>
  <c r="E601" i="44"/>
  <c r="E602" i="44"/>
  <c r="E603" i="44"/>
  <c r="E604" i="44"/>
  <c r="E605" i="44"/>
  <c r="E606" i="44"/>
  <c r="E607" i="44"/>
  <c r="E608" i="44"/>
  <c r="E609" i="44"/>
  <c r="E610" i="44"/>
  <c r="E611" i="44"/>
  <c r="E612" i="44"/>
  <c r="E613" i="44"/>
  <c r="E614" i="44"/>
  <c r="E615" i="44"/>
  <c r="E616" i="44"/>
  <c r="E617" i="44"/>
  <c r="E618" i="44"/>
  <c r="E619" i="44"/>
  <c r="E620" i="44"/>
  <c r="E621" i="44"/>
  <c r="E622" i="44"/>
  <c r="E623" i="44"/>
  <c r="E624" i="44"/>
  <c r="E625" i="44"/>
  <c r="E626" i="44"/>
  <c r="E627" i="44"/>
  <c r="E628" i="44"/>
  <c r="E629" i="44"/>
  <c r="E630" i="44"/>
  <c r="E631" i="44"/>
  <c r="E632" i="44"/>
  <c r="E633" i="44"/>
  <c r="E634" i="44"/>
  <c r="E635" i="44"/>
  <c r="E636" i="44"/>
  <c r="E637" i="44"/>
  <c r="E638" i="44"/>
  <c r="E639" i="44"/>
  <c r="E640" i="44"/>
  <c r="E641" i="44"/>
  <c r="E642" i="44"/>
  <c r="E643" i="44"/>
  <c r="E644" i="44"/>
  <c r="E645" i="44"/>
  <c r="E646" i="44"/>
  <c r="E647" i="44"/>
  <c r="E648" i="44"/>
  <c r="E649" i="44"/>
  <c r="E650" i="44"/>
  <c r="E651" i="44"/>
  <c r="E652" i="44"/>
  <c r="E653" i="44"/>
  <c r="E654" i="44"/>
  <c r="E655" i="44"/>
  <c r="E656" i="44"/>
  <c r="E657" i="44"/>
  <c r="E658" i="44"/>
  <c r="E659" i="44"/>
  <c r="E660" i="44"/>
  <c r="E661" i="44"/>
  <c r="E662" i="44"/>
  <c r="E663" i="44"/>
  <c r="E664" i="44"/>
  <c r="E665" i="44"/>
  <c r="E666" i="44"/>
  <c r="E667" i="44"/>
  <c r="E668" i="44"/>
  <c r="E669" i="44"/>
  <c r="E670" i="44"/>
  <c r="E671" i="44"/>
  <c r="E672" i="44"/>
  <c r="E673" i="44"/>
  <c r="E674" i="44"/>
  <c r="E675" i="44"/>
  <c r="E676" i="44"/>
  <c r="E677" i="44"/>
  <c r="E678" i="44"/>
  <c r="E679" i="44"/>
  <c r="E680" i="44"/>
  <c r="E681" i="44"/>
  <c r="E682" i="44"/>
  <c r="E683" i="44"/>
  <c r="E684" i="44"/>
  <c r="E685" i="44"/>
  <c r="E686" i="44"/>
  <c r="E687" i="44"/>
  <c r="E688" i="44"/>
  <c r="E689" i="44"/>
  <c r="E690" i="44"/>
  <c r="E691" i="44"/>
  <c r="E692" i="44"/>
  <c r="E693" i="44"/>
  <c r="E694" i="44"/>
  <c r="E695" i="44"/>
  <c r="E696" i="44"/>
  <c r="E697" i="44"/>
  <c r="E698" i="44"/>
  <c r="E699" i="44"/>
  <c r="E700" i="44"/>
  <c r="E701" i="44"/>
  <c r="E702" i="44"/>
  <c r="E703" i="44"/>
  <c r="E704" i="44"/>
  <c r="E705" i="44"/>
  <c r="E706" i="44"/>
  <c r="E707" i="44"/>
  <c r="E708" i="44"/>
  <c r="E709" i="44"/>
  <c r="E710" i="44"/>
  <c r="E711" i="44"/>
  <c r="E712" i="44"/>
  <c r="E713" i="44"/>
  <c r="E714" i="44"/>
  <c r="E715" i="44"/>
  <c r="E716" i="44"/>
  <c r="E717" i="44"/>
  <c r="E718" i="44"/>
  <c r="E719" i="44"/>
  <c r="E720" i="44"/>
  <c r="E721" i="44"/>
  <c r="E722" i="44"/>
  <c r="E723" i="44"/>
  <c r="E724" i="44"/>
  <c r="E725" i="44"/>
  <c r="E726" i="44"/>
  <c r="E727" i="44"/>
  <c r="E728" i="44"/>
  <c r="E729" i="44"/>
  <c r="E730" i="44"/>
  <c r="E731" i="44"/>
  <c r="E732" i="44"/>
  <c r="E733" i="44"/>
  <c r="E734" i="44"/>
  <c r="E735" i="44"/>
  <c r="E736" i="44"/>
  <c r="E737" i="44"/>
  <c r="E738" i="44"/>
  <c r="E739" i="44"/>
  <c r="E740" i="44"/>
  <c r="E741" i="44"/>
  <c r="E742" i="44"/>
  <c r="E743" i="44"/>
  <c r="E744" i="44"/>
  <c r="E745" i="44"/>
  <c r="E746" i="44"/>
  <c r="E747" i="44"/>
  <c r="E748" i="44"/>
  <c r="E749" i="44"/>
  <c r="E750" i="44"/>
  <c r="E751" i="44"/>
  <c r="E752" i="44"/>
  <c r="E753" i="44"/>
  <c r="E754" i="44"/>
  <c r="E755" i="44"/>
  <c r="E756" i="44"/>
  <c r="E757" i="44"/>
  <c r="E758" i="44"/>
  <c r="E759" i="44"/>
  <c r="E760" i="44"/>
  <c r="E761" i="44"/>
  <c r="E762" i="44"/>
  <c r="E763" i="44"/>
  <c r="E764" i="44"/>
  <c r="E765" i="44"/>
  <c r="E766" i="44"/>
  <c r="E767" i="44"/>
  <c r="E768" i="44"/>
  <c r="E769" i="44"/>
  <c r="E770" i="44"/>
  <c r="E771" i="44"/>
  <c r="E772" i="44"/>
  <c r="E773" i="44"/>
  <c r="E774" i="44"/>
  <c r="E775" i="44"/>
  <c r="E776" i="44"/>
  <c r="E777" i="44"/>
  <c r="E778" i="44"/>
  <c r="E779" i="44"/>
  <c r="E780" i="44"/>
  <c r="E781" i="44"/>
  <c r="E782" i="44"/>
  <c r="E783" i="44"/>
  <c r="E784" i="44"/>
  <c r="E785" i="44"/>
  <c r="E786" i="44"/>
  <c r="E787" i="44"/>
  <c r="E788" i="44"/>
  <c r="E789" i="44"/>
  <c r="E790" i="44"/>
  <c r="E791" i="44"/>
  <c r="E792" i="44"/>
  <c r="E793" i="44"/>
  <c r="E794" i="44"/>
  <c r="E795" i="44"/>
  <c r="E796" i="44"/>
  <c r="E797" i="44"/>
  <c r="E798" i="44"/>
  <c r="E799" i="44"/>
  <c r="E800" i="44"/>
  <c r="E801" i="44"/>
  <c r="E802" i="44"/>
  <c r="E803" i="44"/>
  <c r="E804" i="44"/>
  <c r="E805" i="44"/>
  <c r="E806" i="44"/>
  <c r="E807" i="44"/>
  <c r="E808" i="44"/>
  <c r="E809" i="44"/>
  <c r="E810" i="44"/>
  <c r="E811" i="44"/>
  <c r="E812" i="44"/>
  <c r="E813" i="44"/>
  <c r="E814" i="44"/>
  <c r="E815" i="44"/>
  <c r="E816" i="44"/>
  <c r="E817" i="44"/>
  <c r="E818" i="44"/>
  <c r="E819" i="44"/>
  <c r="E820" i="44"/>
  <c r="E821" i="44"/>
  <c r="E822" i="44"/>
  <c r="E823" i="44"/>
  <c r="E824" i="44"/>
  <c r="E825" i="44"/>
  <c r="E826" i="44"/>
  <c r="E827" i="44"/>
  <c r="E828" i="44"/>
  <c r="E829" i="44"/>
  <c r="E830" i="44"/>
  <c r="E831" i="44"/>
  <c r="E832" i="44"/>
  <c r="E833" i="44"/>
  <c r="E834" i="44"/>
  <c r="E835" i="44"/>
  <c r="E836" i="44"/>
  <c r="E837" i="44"/>
  <c r="E838" i="44"/>
  <c r="E839" i="44"/>
  <c r="E840" i="44"/>
  <c r="E841" i="44"/>
  <c r="E842" i="44"/>
  <c r="E843" i="44"/>
  <c r="E844" i="44"/>
  <c r="E845" i="44"/>
  <c r="E846" i="44"/>
  <c r="E847" i="44"/>
  <c r="E848" i="44"/>
  <c r="E849" i="44"/>
  <c r="E850" i="44"/>
  <c r="E851" i="44"/>
  <c r="E852" i="44"/>
  <c r="E853" i="44"/>
  <c r="E854" i="44"/>
  <c r="E855" i="44"/>
  <c r="E856" i="44"/>
  <c r="E857" i="44"/>
  <c r="E858" i="44"/>
  <c r="E859" i="44"/>
  <c r="E860" i="44"/>
  <c r="E861" i="44"/>
  <c r="E862" i="44"/>
  <c r="E863" i="44"/>
  <c r="E864" i="44"/>
  <c r="E865" i="44"/>
  <c r="E866" i="44"/>
  <c r="E867" i="44"/>
  <c r="E868" i="44"/>
  <c r="E869" i="44"/>
  <c r="E870" i="44"/>
  <c r="E871" i="44"/>
  <c r="E872" i="44"/>
  <c r="E873" i="44"/>
  <c r="E874" i="44"/>
  <c r="E875" i="44"/>
  <c r="E876" i="44"/>
  <c r="E877" i="44"/>
  <c r="E878" i="44"/>
  <c r="E879" i="44"/>
  <c r="E880" i="44"/>
  <c r="E881" i="44"/>
  <c r="E882" i="44"/>
  <c r="E883" i="44"/>
  <c r="E884" i="44"/>
  <c r="E885" i="44"/>
  <c r="E886" i="44"/>
  <c r="E887" i="44"/>
  <c r="E888" i="44"/>
  <c r="E889" i="44"/>
  <c r="E890" i="44"/>
  <c r="E891" i="44"/>
  <c r="E892" i="44"/>
  <c r="E893" i="44"/>
  <c r="E894" i="44"/>
  <c r="E895" i="44"/>
  <c r="E896" i="44"/>
  <c r="E897" i="44"/>
  <c r="E898" i="44"/>
  <c r="E899" i="44"/>
  <c r="E900" i="44"/>
  <c r="E901" i="44"/>
  <c r="E902" i="44"/>
  <c r="E903" i="44"/>
  <c r="E904" i="44"/>
  <c r="E905" i="44"/>
  <c r="E906" i="44"/>
  <c r="E907" i="44"/>
  <c r="E908" i="44"/>
  <c r="E909" i="44"/>
  <c r="E910" i="44"/>
  <c r="E911" i="44"/>
  <c r="E912" i="44"/>
  <c r="E913" i="44"/>
  <c r="E914" i="44"/>
  <c r="E915" i="44"/>
  <c r="E916" i="44"/>
  <c r="E917" i="44"/>
  <c r="E918" i="44"/>
  <c r="E919" i="44"/>
  <c r="E920" i="44"/>
  <c r="E921" i="44"/>
  <c r="E922" i="44"/>
  <c r="E923" i="44"/>
  <c r="E924" i="44"/>
  <c r="E925" i="44"/>
  <c r="E926" i="44"/>
  <c r="E927" i="44"/>
  <c r="E928" i="44"/>
  <c r="E929" i="44"/>
  <c r="E930" i="44"/>
  <c r="E931" i="44"/>
  <c r="E932" i="44"/>
  <c r="E933" i="44"/>
  <c r="E934" i="44"/>
  <c r="E935" i="44"/>
  <c r="E936" i="44"/>
  <c r="E937" i="44"/>
  <c r="E938" i="44"/>
  <c r="E939" i="44"/>
  <c r="E940" i="44"/>
  <c r="E941" i="44"/>
  <c r="E942" i="44"/>
  <c r="E943" i="44"/>
  <c r="E944" i="44"/>
  <c r="E945" i="44"/>
  <c r="E946" i="44"/>
  <c r="E947" i="44"/>
  <c r="E948" i="44"/>
  <c r="E949" i="44"/>
  <c r="E950" i="44"/>
  <c r="E951" i="44"/>
  <c r="E952" i="44"/>
  <c r="E953" i="44"/>
  <c r="E954" i="44"/>
  <c r="E955" i="44"/>
  <c r="E956" i="44"/>
  <c r="E957" i="44"/>
  <c r="E958" i="44"/>
  <c r="E959" i="44"/>
  <c r="E960" i="44"/>
  <c r="E961" i="44"/>
  <c r="E962" i="44"/>
  <c r="E963" i="44"/>
  <c r="E964" i="44"/>
  <c r="E965" i="44"/>
  <c r="E966" i="44"/>
  <c r="E967" i="44"/>
  <c r="E968" i="44"/>
  <c r="E969" i="44"/>
  <c r="E970" i="44"/>
  <c r="E971" i="44"/>
  <c r="E972" i="44"/>
  <c r="E973" i="44"/>
  <c r="E974" i="44"/>
  <c r="E975" i="44"/>
  <c r="E976" i="44"/>
  <c r="E977" i="44"/>
  <c r="E978" i="44"/>
  <c r="E979" i="44"/>
  <c r="E980" i="44"/>
  <c r="E981" i="44"/>
  <c r="E982" i="44"/>
  <c r="E983" i="44"/>
  <c r="E984" i="44"/>
  <c r="E985" i="44"/>
  <c r="E986" i="44"/>
  <c r="E987" i="44"/>
  <c r="E988" i="44"/>
  <c r="E989" i="44"/>
  <c r="E990" i="44"/>
  <c r="E991" i="44"/>
  <c r="E992" i="44"/>
  <c r="E993" i="44"/>
  <c r="E994" i="44"/>
  <c r="E995" i="44"/>
  <c r="E996" i="44"/>
  <c r="E997" i="44"/>
  <c r="E998" i="44"/>
  <c r="E999" i="44"/>
  <c r="E1000" i="44"/>
  <c r="E1001" i="44"/>
  <c r="E1002" i="44"/>
  <c r="E1003" i="44"/>
  <c r="E1004" i="44"/>
  <c r="E1005" i="44"/>
  <c r="E1006" i="44"/>
  <c r="E1007" i="44"/>
  <c r="E1008" i="44"/>
  <c r="E1009" i="44"/>
  <c r="E1010" i="44"/>
  <c r="E1011" i="44"/>
  <c r="E1012" i="44"/>
  <c r="E1013" i="44"/>
  <c r="E1014" i="44"/>
  <c r="E1015" i="44"/>
  <c r="E1016" i="44"/>
  <c r="E1017" i="44"/>
  <c r="E1018" i="44"/>
  <c r="E1019" i="44"/>
  <c r="E1020" i="44"/>
  <c r="E1021" i="44"/>
  <c r="E1022" i="44"/>
  <c r="E1023" i="44"/>
  <c r="E1024" i="44"/>
  <c r="E1025" i="44"/>
  <c r="E1026" i="44"/>
  <c r="E1027" i="44"/>
  <c r="E1028" i="44"/>
  <c r="E1029" i="44"/>
  <c r="E1030" i="44"/>
  <c r="E1031" i="44"/>
  <c r="E1032" i="44"/>
  <c r="E1033" i="44"/>
  <c r="E1034" i="44"/>
  <c r="E1035" i="44"/>
  <c r="E1036" i="44"/>
  <c r="E1037" i="44"/>
  <c r="E1038" i="44"/>
  <c r="E1039" i="44"/>
  <c r="E1040" i="44"/>
  <c r="E1041" i="44"/>
  <c r="E1042" i="44"/>
  <c r="E1043" i="44"/>
  <c r="E1044" i="44"/>
  <c r="E1045" i="44"/>
  <c r="E1046" i="44"/>
  <c r="E1047" i="44"/>
  <c r="E1048" i="44"/>
  <c r="E1049" i="44"/>
  <c r="E1050" i="44"/>
  <c r="E1051" i="44"/>
  <c r="E1052" i="44"/>
  <c r="E1053" i="44"/>
  <c r="E1054" i="44"/>
  <c r="E1055" i="44"/>
  <c r="E1056" i="44"/>
  <c r="E1057" i="44"/>
  <c r="E1058" i="44"/>
  <c r="E1059" i="44"/>
  <c r="E1060" i="44"/>
  <c r="E1061" i="44"/>
  <c r="E1062" i="44"/>
  <c r="E1063" i="44"/>
  <c r="E1064" i="44"/>
  <c r="E1065" i="44"/>
  <c r="E1066" i="44"/>
  <c r="E1067" i="44"/>
  <c r="E1068" i="44"/>
  <c r="E1069" i="44"/>
  <c r="E1070" i="44"/>
  <c r="E1071" i="44"/>
  <c r="E1072" i="44"/>
  <c r="E1073" i="44"/>
  <c r="E1074" i="44"/>
  <c r="E1075" i="44"/>
  <c r="E1076" i="44"/>
  <c r="E1077" i="44"/>
  <c r="E1078" i="44"/>
  <c r="E1079" i="44"/>
  <c r="E1080" i="44"/>
  <c r="E1081" i="44"/>
  <c r="E1082" i="44"/>
  <c r="E1083" i="44"/>
  <c r="E1084" i="44"/>
  <c r="E1085" i="44"/>
  <c r="E1086" i="44"/>
  <c r="E1087" i="44"/>
  <c r="E1088" i="44"/>
  <c r="E1089" i="44"/>
  <c r="E1090" i="44"/>
  <c r="E1091" i="44"/>
  <c r="E1092" i="44"/>
  <c r="E1093" i="44"/>
  <c r="E1094" i="44"/>
  <c r="E1095" i="44"/>
  <c r="E1096" i="44"/>
  <c r="E1097" i="44"/>
  <c r="E1098" i="44"/>
  <c r="E1099" i="44"/>
  <c r="E1100" i="44"/>
  <c r="E1101" i="44"/>
  <c r="E1102" i="44"/>
  <c r="E1103" i="44"/>
  <c r="E1104" i="44"/>
  <c r="E1105" i="44"/>
  <c r="E1106" i="44"/>
  <c r="E1107" i="44"/>
  <c r="E1108" i="44"/>
  <c r="E1109" i="44"/>
  <c r="E1110" i="44"/>
  <c r="E1111" i="44"/>
  <c r="E1112" i="44"/>
  <c r="E1113" i="44"/>
  <c r="E1114" i="44"/>
  <c r="E1115" i="44"/>
  <c r="E1116" i="44"/>
  <c r="E1117" i="44"/>
  <c r="E1118" i="44"/>
  <c r="E1119" i="44"/>
  <c r="E1120" i="44"/>
  <c r="E1121" i="44"/>
  <c r="E1122" i="44"/>
  <c r="E1123" i="44"/>
  <c r="E1124" i="44"/>
  <c r="E1125" i="44"/>
  <c r="E1126" i="44"/>
  <c r="E1127" i="44"/>
  <c r="E1128" i="44"/>
  <c r="E1129" i="44"/>
  <c r="E1130" i="44"/>
  <c r="E1131" i="44"/>
  <c r="E1132" i="44"/>
  <c r="E1133" i="44"/>
  <c r="E1134" i="44"/>
  <c r="E1135" i="44"/>
  <c r="E1136" i="44"/>
  <c r="E1137" i="44"/>
  <c r="E1138" i="44"/>
  <c r="E1139" i="44"/>
  <c r="E1140" i="44"/>
  <c r="E1141" i="44"/>
  <c r="E1142" i="44"/>
  <c r="E1143" i="44"/>
  <c r="E1144" i="44"/>
  <c r="E1145" i="44"/>
  <c r="E1146" i="44"/>
  <c r="E1147" i="44"/>
  <c r="E1148" i="44"/>
  <c r="E1149" i="44"/>
  <c r="E1150" i="44"/>
  <c r="E1151" i="44"/>
  <c r="E1152" i="44"/>
  <c r="E1153" i="44"/>
  <c r="E1154" i="44"/>
  <c r="E1155" i="44"/>
  <c r="E1156" i="44"/>
  <c r="E1157" i="44"/>
  <c r="E1158" i="44"/>
  <c r="E1159" i="44"/>
  <c r="E1160" i="44"/>
  <c r="E1161" i="44"/>
  <c r="E1162" i="44"/>
  <c r="E1163" i="44"/>
  <c r="E1164" i="44"/>
  <c r="E1165" i="44"/>
  <c r="E1166" i="44"/>
  <c r="E1167" i="44"/>
  <c r="E1168" i="44"/>
  <c r="E1169" i="44"/>
  <c r="E1170" i="44"/>
  <c r="E1171" i="44"/>
  <c r="E1172" i="44"/>
  <c r="E1173" i="44"/>
  <c r="E1174" i="44"/>
  <c r="E1175" i="44"/>
  <c r="E1176" i="44"/>
  <c r="E1177" i="44"/>
  <c r="E1178" i="44"/>
  <c r="E1179" i="44"/>
  <c r="E1180" i="44"/>
  <c r="E1181" i="44"/>
  <c r="E1182" i="44"/>
  <c r="E1183" i="44"/>
  <c r="E1184" i="44"/>
  <c r="E1185" i="44"/>
  <c r="E1186" i="44"/>
  <c r="E1187" i="44"/>
  <c r="E1188" i="44"/>
  <c r="E1189" i="44"/>
  <c r="E1190" i="44"/>
  <c r="E1191" i="44"/>
  <c r="E1192" i="44"/>
  <c r="E1193" i="44"/>
  <c r="E1194" i="44"/>
  <c r="E1195" i="44"/>
  <c r="E1196" i="44"/>
  <c r="E1197" i="44"/>
  <c r="E1198" i="44"/>
  <c r="E1199" i="44"/>
  <c r="E1200" i="44"/>
  <c r="E1201" i="44"/>
  <c r="E1202" i="44"/>
  <c r="E1203" i="44"/>
  <c r="E1204" i="44"/>
  <c r="E1205" i="44"/>
  <c r="E1206" i="44"/>
  <c r="E1207" i="44"/>
  <c r="E1208" i="44"/>
  <c r="E1209" i="44"/>
  <c r="E1210" i="44"/>
  <c r="E1211" i="44"/>
  <c r="E1212" i="44"/>
  <c r="E1213" i="44"/>
  <c r="E1214" i="44"/>
  <c r="E1215" i="44"/>
  <c r="E1216" i="44"/>
  <c r="E1217" i="44"/>
  <c r="E1218" i="44"/>
  <c r="E1219" i="44"/>
  <c r="E1220" i="44"/>
  <c r="E1221" i="44"/>
  <c r="E1222" i="44"/>
  <c r="E1223" i="44"/>
  <c r="E1224" i="44"/>
  <c r="E1225" i="44"/>
  <c r="E1226" i="44"/>
  <c r="E1227" i="44"/>
  <c r="E1228" i="44"/>
  <c r="E1229" i="44"/>
  <c r="E1230" i="44"/>
  <c r="E1231" i="44"/>
  <c r="E1232" i="44"/>
  <c r="E1233" i="44"/>
  <c r="E1234" i="44"/>
  <c r="E1235" i="44"/>
  <c r="E1236" i="44"/>
  <c r="E1237" i="44"/>
  <c r="E1238" i="44"/>
  <c r="E1239" i="44"/>
  <c r="E1240" i="44"/>
  <c r="E1241" i="44"/>
  <c r="E1242" i="44"/>
  <c r="E1243" i="44"/>
  <c r="E1244" i="44"/>
  <c r="E1245" i="44"/>
  <c r="E1246" i="44"/>
  <c r="E1247" i="44"/>
  <c r="E1248" i="44"/>
  <c r="E1249" i="44"/>
  <c r="E1250" i="44"/>
  <c r="E1251" i="44"/>
  <c r="E1252" i="44"/>
  <c r="E1253" i="44"/>
  <c r="E1254" i="44"/>
  <c r="E1255" i="44"/>
  <c r="E1256" i="44"/>
  <c r="E1257" i="44"/>
  <c r="E1258" i="44"/>
  <c r="E1259" i="44"/>
  <c r="E1260" i="44"/>
  <c r="E1261" i="44"/>
  <c r="E1262" i="44"/>
  <c r="E1263" i="44"/>
  <c r="E1264" i="44"/>
  <c r="E1265" i="44"/>
  <c r="E1266" i="44"/>
  <c r="E1267" i="44"/>
  <c r="E1268" i="44"/>
  <c r="E1269" i="44"/>
  <c r="E1270" i="44"/>
  <c r="E1271" i="44"/>
  <c r="E1272" i="44"/>
  <c r="E1273" i="44"/>
  <c r="E1274" i="44"/>
  <c r="E1275" i="44"/>
  <c r="E1276" i="44"/>
  <c r="E1277" i="44"/>
  <c r="E1278" i="44"/>
  <c r="E1279" i="44"/>
  <c r="E1280" i="44"/>
  <c r="E1281" i="44"/>
  <c r="E1282" i="44"/>
  <c r="E1283" i="44"/>
  <c r="E1284" i="44"/>
  <c r="E1285" i="44"/>
  <c r="E1286" i="44"/>
  <c r="E1287" i="44"/>
  <c r="E1288" i="44"/>
  <c r="E1289" i="44"/>
  <c r="E1290" i="44"/>
  <c r="E1291" i="44"/>
  <c r="E1292" i="44"/>
  <c r="E1293" i="44"/>
  <c r="E1294" i="44"/>
  <c r="E1295" i="44"/>
  <c r="E1296" i="44"/>
  <c r="E1297" i="44"/>
  <c r="E1298" i="44"/>
  <c r="E1299" i="44"/>
  <c r="E1300" i="44"/>
  <c r="E1301" i="44"/>
  <c r="E1302" i="44"/>
  <c r="E1303" i="44"/>
  <c r="E1304" i="44"/>
  <c r="E1305" i="44"/>
  <c r="E1306" i="44"/>
  <c r="E1307" i="44"/>
  <c r="E1308" i="44"/>
  <c r="E1309" i="44"/>
  <c r="E1310" i="44"/>
  <c r="E1311" i="44"/>
  <c r="E1312" i="44"/>
  <c r="E1313" i="44"/>
  <c r="E1314" i="44"/>
  <c r="E1315" i="44"/>
  <c r="E1316" i="44"/>
  <c r="E1317" i="44"/>
  <c r="E1318" i="44"/>
  <c r="E1319" i="44"/>
  <c r="E1320" i="44"/>
  <c r="E1321" i="44"/>
  <c r="E1322" i="44"/>
  <c r="E1323" i="44"/>
  <c r="E1324" i="44"/>
  <c r="E1325" i="44"/>
  <c r="E1326" i="44"/>
  <c r="E1327" i="44"/>
  <c r="E1328" i="44"/>
  <c r="E1329" i="44"/>
  <c r="E1330" i="44"/>
  <c r="E1331" i="44"/>
  <c r="E1332" i="44"/>
  <c r="E1333" i="44"/>
  <c r="E1334" i="44"/>
  <c r="E1335" i="44"/>
  <c r="E1336" i="44"/>
  <c r="E1337" i="44"/>
  <c r="E1338" i="44"/>
  <c r="E1339" i="44"/>
  <c r="E1340" i="44"/>
  <c r="E1341" i="44"/>
  <c r="E1342" i="44"/>
  <c r="E1343" i="44"/>
  <c r="E1344" i="44"/>
  <c r="E1345" i="44"/>
  <c r="E1346" i="44"/>
  <c r="E1347" i="44"/>
  <c r="E1348" i="44"/>
  <c r="E1349" i="44"/>
  <c r="E1350" i="44"/>
  <c r="E1351" i="44"/>
  <c r="E1352" i="44"/>
  <c r="E1353" i="44"/>
  <c r="E1354" i="44"/>
  <c r="E1355" i="44"/>
  <c r="E1356" i="44"/>
  <c r="E1357" i="44"/>
  <c r="E1358" i="44"/>
  <c r="E1359" i="44"/>
  <c r="E1360" i="44"/>
  <c r="E1361" i="44"/>
  <c r="E1362" i="44"/>
  <c r="E1363" i="44"/>
  <c r="E1364" i="44"/>
  <c r="E1365" i="44"/>
  <c r="E1366" i="44"/>
  <c r="E1367" i="44"/>
  <c r="E1368" i="44"/>
  <c r="E1369" i="44"/>
  <c r="E1370" i="44"/>
  <c r="E1371" i="44"/>
  <c r="E1372" i="44"/>
  <c r="E1373" i="44"/>
  <c r="E1374" i="44"/>
  <c r="E1375" i="44"/>
  <c r="E1376" i="44"/>
  <c r="E1377" i="44"/>
  <c r="E1378" i="44"/>
  <c r="E1379" i="44"/>
  <c r="E1380" i="44"/>
  <c r="E1381" i="44"/>
  <c r="E1382" i="44"/>
  <c r="E1383" i="44"/>
  <c r="E1384" i="44"/>
  <c r="E1385" i="44"/>
  <c r="E1386" i="44"/>
  <c r="E1387" i="44"/>
  <c r="E1388" i="44"/>
  <c r="E1389" i="44"/>
  <c r="E1390" i="44"/>
  <c r="E1391" i="44"/>
  <c r="E1392" i="44"/>
  <c r="E1393" i="44"/>
  <c r="E1394" i="44"/>
  <c r="E1395" i="44"/>
  <c r="E1396" i="44"/>
  <c r="E1397" i="44"/>
  <c r="E1398" i="44"/>
  <c r="E1399" i="44"/>
  <c r="E1400" i="44"/>
  <c r="E1401" i="44"/>
  <c r="E1402" i="44"/>
  <c r="E1403" i="44"/>
  <c r="E1404" i="44"/>
  <c r="E1405" i="44"/>
  <c r="E1406" i="44"/>
  <c r="E1407" i="44"/>
  <c r="E1408" i="44"/>
  <c r="E1409" i="44"/>
  <c r="E1410" i="44"/>
  <c r="E1411" i="44"/>
  <c r="E1412" i="44"/>
  <c r="E1413" i="44"/>
  <c r="E1414" i="44"/>
  <c r="E1415" i="44"/>
  <c r="E1416" i="44"/>
  <c r="E1417" i="44"/>
  <c r="E1418" i="44"/>
  <c r="E1419" i="44"/>
  <c r="E1420" i="44"/>
  <c r="E1421" i="44"/>
  <c r="E1422" i="44"/>
  <c r="E1423" i="44"/>
  <c r="E1424" i="44"/>
  <c r="E1425" i="44"/>
  <c r="E1426" i="44"/>
  <c r="E1427" i="44"/>
  <c r="E1428" i="44"/>
  <c r="E1429" i="44"/>
  <c r="E1430" i="44"/>
  <c r="E1431" i="44"/>
  <c r="E1432" i="44"/>
  <c r="E1433" i="44"/>
  <c r="E1434" i="44"/>
  <c r="E1435" i="44"/>
  <c r="E1436" i="44"/>
  <c r="E1437" i="44"/>
  <c r="E1438" i="44"/>
  <c r="E1439" i="44"/>
  <c r="E1440" i="44"/>
  <c r="E1441" i="44"/>
  <c r="E1442" i="44"/>
  <c r="E1443" i="44"/>
  <c r="E1444" i="44"/>
  <c r="E1445" i="44"/>
  <c r="E1446" i="44"/>
  <c r="E1447" i="44"/>
  <c r="E1448" i="44"/>
  <c r="E1449" i="44"/>
  <c r="E1450" i="44"/>
  <c r="E1451" i="44"/>
  <c r="E1452" i="44"/>
  <c r="E1453" i="44"/>
  <c r="E1454" i="44"/>
  <c r="E1455" i="44"/>
  <c r="E1456" i="44"/>
  <c r="E1457" i="44"/>
  <c r="E1458" i="44"/>
  <c r="E1459" i="44"/>
  <c r="E1460" i="44"/>
  <c r="E1461" i="44"/>
  <c r="E1462" i="44"/>
  <c r="E1463" i="44"/>
  <c r="E1464" i="44"/>
  <c r="E1465" i="44"/>
  <c r="E1466" i="44"/>
  <c r="E1467" i="44"/>
  <c r="E1468" i="44"/>
  <c r="E1469" i="44"/>
  <c r="E1470" i="44"/>
  <c r="E1471" i="44"/>
  <c r="E1472" i="44"/>
  <c r="E1473" i="44"/>
  <c r="E1474" i="44"/>
  <c r="E1475" i="44"/>
  <c r="E1476" i="44"/>
  <c r="E1477" i="44"/>
  <c r="E1478" i="44"/>
  <c r="E1479" i="44"/>
  <c r="E1480" i="44"/>
  <c r="E1481" i="44"/>
  <c r="E1482" i="44"/>
  <c r="E1483" i="44"/>
  <c r="E1484" i="44"/>
  <c r="E1485" i="44"/>
  <c r="E1486" i="44"/>
  <c r="E1487" i="44"/>
  <c r="E1488" i="44"/>
  <c r="E1489" i="44"/>
  <c r="E1490" i="44"/>
  <c r="E1491" i="44"/>
  <c r="E1492" i="44"/>
  <c r="E1493" i="44"/>
  <c r="E1494" i="44"/>
  <c r="E1495" i="44"/>
  <c r="E1496" i="44"/>
  <c r="E1497" i="44"/>
  <c r="E1498" i="44"/>
  <c r="E1499" i="44"/>
  <c r="E1500" i="44"/>
  <c r="E1501" i="44"/>
  <c r="E1502" i="44"/>
  <c r="E1503" i="44"/>
  <c r="E1504" i="44"/>
  <c r="E1505" i="44"/>
  <c r="E1506" i="44"/>
  <c r="E1507" i="44"/>
  <c r="E1508" i="44"/>
  <c r="E1509" i="44"/>
  <c r="E1510" i="44"/>
  <c r="E1511" i="44"/>
  <c r="E1512" i="44"/>
  <c r="E1513" i="44"/>
  <c r="E1514" i="44"/>
  <c r="E1515" i="44"/>
  <c r="E1516" i="44"/>
  <c r="E1517" i="44"/>
  <c r="E1518" i="44"/>
  <c r="E1519" i="44"/>
  <c r="E1520" i="44"/>
  <c r="E1521" i="44"/>
  <c r="E1522" i="44"/>
  <c r="E1523" i="44"/>
  <c r="E1524" i="44"/>
  <c r="E1525" i="44"/>
  <c r="E1526" i="44"/>
  <c r="E1527" i="44"/>
  <c r="E1528" i="44"/>
  <c r="E1529" i="44"/>
  <c r="E1530" i="44"/>
  <c r="E1531" i="44"/>
  <c r="E1532" i="44"/>
  <c r="E1533" i="44"/>
  <c r="E1534" i="44"/>
  <c r="E1535" i="44"/>
  <c r="E1536" i="44"/>
  <c r="E1537" i="44"/>
  <c r="E1538" i="44"/>
  <c r="E1539" i="44"/>
  <c r="E1540" i="44"/>
  <c r="E1541" i="44"/>
  <c r="E1542" i="44"/>
  <c r="E1543" i="44"/>
  <c r="E1544" i="44"/>
  <c r="E1545" i="44"/>
  <c r="E1546" i="44"/>
  <c r="E1547" i="44"/>
  <c r="E1548" i="44"/>
  <c r="E1549" i="44"/>
  <c r="E1550" i="44"/>
  <c r="E1551" i="44"/>
  <c r="E1552" i="44"/>
  <c r="E1553" i="44"/>
  <c r="E1554" i="44"/>
  <c r="E1555" i="44"/>
  <c r="E1556" i="44"/>
  <c r="E1557" i="44"/>
  <c r="E1558" i="44"/>
  <c r="E1559" i="44"/>
  <c r="E1560" i="44"/>
  <c r="E1561" i="44"/>
  <c r="E1562" i="44"/>
  <c r="E1563" i="44"/>
  <c r="E1564" i="44"/>
  <c r="E1565" i="44"/>
  <c r="E1566" i="44"/>
  <c r="E1567" i="44"/>
  <c r="E1568" i="44"/>
  <c r="E1569" i="44"/>
  <c r="E1570" i="44"/>
  <c r="E1571" i="44"/>
  <c r="E1572" i="44"/>
  <c r="E1573" i="44"/>
  <c r="E1574" i="44"/>
  <c r="E1575" i="44"/>
  <c r="E1576" i="44"/>
  <c r="E1577" i="44"/>
  <c r="E1578" i="44"/>
  <c r="E1579" i="44"/>
  <c r="E1580" i="44"/>
  <c r="E1581" i="44"/>
  <c r="E1582" i="44"/>
  <c r="E1583" i="44"/>
  <c r="E1584" i="44"/>
  <c r="E1585" i="44"/>
  <c r="E1586" i="44"/>
  <c r="E1587" i="44"/>
  <c r="E1588" i="44"/>
  <c r="E1589" i="44"/>
  <c r="E1590" i="44"/>
  <c r="E1591" i="44"/>
  <c r="E1592" i="44"/>
  <c r="E1593" i="44"/>
  <c r="E1594" i="44"/>
  <c r="E1595" i="44"/>
  <c r="E1596" i="44"/>
  <c r="E1597" i="44"/>
  <c r="E1598" i="44"/>
  <c r="E1599" i="44"/>
  <c r="E1600" i="44"/>
  <c r="E1601" i="44"/>
  <c r="E1602" i="44"/>
  <c r="E1603" i="44"/>
  <c r="E1604" i="44"/>
  <c r="E1605" i="44"/>
  <c r="E1606" i="44"/>
  <c r="E1607" i="44"/>
  <c r="E1608" i="44"/>
  <c r="E1609" i="44"/>
  <c r="E1610" i="44"/>
  <c r="E1611" i="44"/>
  <c r="E1612" i="44"/>
  <c r="E1613" i="44"/>
  <c r="E1614" i="44"/>
  <c r="E1615" i="44"/>
  <c r="E1616" i="44"/>
  <c r="E1617" i="44"/>
  <c r="E1618" i="44"/>
  <c r="E1619" i="44"/>
  <c r="E1620" i="44"/>
  <c r="E1621" i="44"/>
  <c r="E1622" i="44"/>
  <c r="E1623" i="44"/>
  <c r="E1624" i="44"/>
  <c r="E1625" i="44"/>
  <c r="E1626" i="44"/>
  <c r="E1627" i="44"/>
  <c r="E1628" i="44"/>
  <c r="E1629" i="44"/>
  <c r="E1630" i="44"/>
  <c r="E1631" i="44"/>
  <c r="E1632" i="44"/>
  <c r="E1633" i="44"/>
  <c r="E1634" i="44"/>
  <c r="E1635" i="44"/>
  <c r="E1636" i="44"/>
  <c r="E1637" i="44"/>
  <c r="E1638" i="44"/>
  <c r="E1639" i="44"/>
  <c r="E1640" i="44"/>
  <c r="E1641" i="44"/>
  <c r="E1642" i="44"/>
  <c r="E1643" i="44"/>
  <c r="E1644" i="44"/>
  <c r="E1645" i="44"/>
  <c r="E1646" i="44"/>
  <c r="E1647" i="44"/>
  <c r="E1648" i="44"/>
  <c r="E1649" i="44"/>
  <c r="E1650" i="44"/>
  <c r="E1651" i="44"/>
  <c r="E1652" i="44"/>
  <c r="E1653" i="44"/>
  <c r="E1654" i="44"/>
  <c r="E1655" i="44"/>
  <c r="E1656" i="44"/>
  <c r="E1657" i="44"/>
  <c r="E1658" i="44"/>
  <c r="E1659" i="44"/>
  <c r="E1660" i="44"/>
  <c r="E1661" i="44"/>
  <c r="E1662" i="44"/>
  <c r="E1663" i="44"/>
  <c r="E1664" i="44"/>
  <c r="E1665" i="44"/>
  <c r="E1666" i="44"/>
  <c r="E1667" i="44"/>
  <c r="E1668" i="44"/>
  <c r="E1669" i="44"/>
  <c r="E1670" i="44"/>
  <c r="E1671" i="44"/>
  <c r="E1672" i="44"/>
  <c r="E1673" i="44"/>
  <c r="E1674" i="44"/>
  <c r="E1675" i="44"/>
  <c r="E1676" i="44"/>
  <c r="E1677" i="44"/>
  <c r="E1678" i="44"/>
  <c r="E1679" i="44"/>
  <c r="E1680" i="44"/>
  <c r="E1681" i="44"/>
  <c r="E1682" i="44"/>
  <c r="E1683" i="44"/>
  <c r="E1684" i="44"/>
  <c r="E1685" i="44"/>
  <c r="E1686" i="44"/>
  <c r="E1687" i="44"/>
  <c r="E1688" i="44"/>
  <c r="E1689" i="44"/>
  <c r="E1690" i="44"/>
  <c r="E1691" i="44"/>
  <c r="E1692" i="44"/>
  <c r="E1693" i="44"/>
  <c r="E1694" i="44"/>
  <c r="E1695" i="44"/>
  <c r="E1696" i="44"/>
  <c r="E1697" i="44"/>
  <c r="E1698" i="44"/>
  <c r="E1699" i="44"/>
  <c r="E1700" i="44"/>
  <c r="E1701" i="44"/>
  <c r="E1702" i="44"/>
  <c r="E1703" i="44"/>
  <c r="E1704" i="44"/>
  <c r="E1705" i="44"/>
  <c r="E1706" i="44"/>
  <c r="E1707" i="44"/>
  <c r="E1708" i="44"/>
  <c r="E1709" i="44"/>
  <c r="E1710" i="44"/>
  <c r="E1711" i="44"/>
  <c r="E1712" i="44"/>
  <c r="E1713" i="44"/>
  <c r="E1714" i="44"/>
  <c r="E1715" i="44"/>
  <c r="E1716" i="44"/>
  <c r="E1717" i="44"/>
  <c r="E1718" i="44"/>
  <c r="E1719" i="44"/>
  <c r="E1720" i="44"/>
  <c r="E1721" i="44"/>
  <c r="E1722" i="44"/>
  <c r="E1723" i="44"/>
  <c r="E1724" i="44"/>
  <c r="E1725" i="44"/>
  <c r="E1726" i="44"/>
  <c r="E1727" i="44"/>
  <c r="E1728" i="44"/>
  <c r="E1729" i="44"/>
  <c r="E1730" i="44"/>
  <c r="E1731" i="44"/>
  <c r="E1732" i="44"/>
  <c r="E1733" i="44"/>
  <c r="E1734" i="44"/>
  <c r="E1735" i="44"/>
  <c r="E1736" i="44"/>
  <c r="E1737" i="44"/>
  <c r="E1738" i="44"/>
  <c r="E1739" i="44"/>
  <c r="E1740" i="44"/>
  <c r="E1741" i="44"/>
  <c r="E1742" i="44"/>
  <c r="E1743" i="44"/>
  <c r="E1744" i="44"/>
  <c r="E1745" i="44"/>
  <c r="E1746" i="44"/>
  <c r="E1747" i="44"/>
  <c r="E1748" i="44"/>
  <c r="E1749" i="44"/>
  <c r="E1750" i="44"/>
  <c r="E1751" i="44"/>
  <c r="E1752" i="44"/>
  <c r="E1753" i="44"/>
  <c r="E1754" i="44"/>
  <c r="E1755" i="44"/>
  <c r="E1756" i="44"/>
  <c r="E1757" i="44"/>
  <c r="E1758" i="44"/>
  <c r="E1759" i="44"/>
  <c r="E1760" i="44"/>
  <c r="E1761" i="44"/>
  <c r="E1762" i="44"/>
  <c r="E1763" i="44"/>
  <c r="E1764" i="44"/>
  <c r="E1765" i="44"/>
  <c r="E1766" i="44"/>
  <c r="E1767" i="44"/>
  <c r="E1768" i="44"/>
  <c r="E1769" i="44"/>
  <c r="E1770" i="44"/>
  <c r="E1771" i="44"/>
  <c r="E1772" i="44"/>
  <c r="E1773" i="44"/>
  <c r="E1774" i="44"/>
  <c r="E1775" i="44"/>
  <c r="E1776" i="44"/>
  <c r="E1777" i="44"/>
  <c r="E1778" i="44"/>
  <c r="E1779" i="44"/>
  <c r="E1780" i="44"/>
  <c r="E1781" i="44"/>
  <c r="E1782" i="44"/>
  <c r="E1783" i="44"/>
  <c r="E1784" i="44"/>
  <c r="E1785" i="44"/>
  <c r="E1786" i="44"/>
  <c r="E1787" i="44"/>
  <c r="E1788" i="44"/>
  <c r="E1789" i="44"/>
  <c r="E1790" i="44"/>
  <c r="E1791" i="44"/>
  <c r="E1792" i="44"/>
  <c r="E1793" i="44"/>
  <c r="E1794" i="44"/>
  <c r="E1795" i="44"/>
  <c r="E1796" i="44"/>
  <c r="E1797" i="44"/>
  <c r="E1798" i="44"/>
  <c r="E1799" i="44"/>
  <c r="E1800" i="44"/>
  <c r="E1801" i="44"/>
  <c r="E1802" i="44"/>
  <c r="E1803" i="44"/>
  <c r="E1804" i="44"/>
  <c r="E1805" i="44"/>
  <c r="E1806" i="44"/>
  <c r="E1807" i="44"/>
  <c r="E1808" i="44"/>
  <c r="E1809" i="44"/>
  <c r="E1810" i="44"/>
  <c r="E1811" i="44"/>
  <c r="E1812" i="44"/>
  <c r="E1813" i="44"/>
  <c r="E1814" i="44"/>
  <c r="E1815" i="44"/>
  <c r="E1816" i="44"/>
  <c r="E1817" i="44"/>
  <c r="E1818" i="44"/>
  <c r="E1819" i="44"/>
  <c r="E1820" i="44"/>
  <c r="E1821" i="44"/>
  <c r="E1822" i="44"/>
  <c r="E1823" i="44"/>
  <c r="E1824" i="44"/>
  <c r="E1825" i="44"/>
  <c r="E1826" i="44"/>
  <c r="E1827" i="44"/>
  <c r="E1828" i="44"/>
  <c r="E1829" i="44"/>
  <c r="E1830" i="44"/>
  <c r="E1831" i="44"/>
  <c r="E1832" i="44"/>
  <c r="E1833" i="44"/>
  <c r="E1834" i="44"/>
  <c r="E1835" i="44"/>
  <c r="E1836" i="44"/>
  <c r="E1837" i="44"/>
  <c r="E1838" i="44"/>
  <c r="E1839" i="44"/>
  <c r="E1840" i="44"/>
  <c r="E1841" i="44"/>
  <c r="E1842" i="44"/>
  <c r="E1843" i="44"/>
  <c r="E1844" i="44"/>
  <c r="E1845" i="44"/>
  <c r="E1846" i="44"/>
  <c r="E1847" i="44"/>
  <c r="E1848" i="44"/>
  <c r="E1849" i="44"/>
  <c r="E1850" i="44"/>
  <c r="E1851" i="44"/>
  <c r="E1852" i="44"/>
  <c r="E1853" i="44"/>
  <c r="E1854" i="44"/>
  <c r="E1855" i="44"/>
  <c r="E1856" i="44"/>
  <c r="E1857" i="44"/>
  <c r="E1858" i="44"/>
  <c r="E1859" i="44"/>
  <c r="E1860" i="44"/>
  <c r="E1861" i="44"/>
  <c r="E1862" i="44"/>
  <c r="E1863" i="44"/>
  <c r="E1864" i="44"/>
  <c r="E1865" i="44"/>
  <c r="E1866" i="44"/>
  <c r="E1867" i="44"/>
  <c r="E1868" i="44"/>
  <c r="E1869" i="44"/>
  <c r="E1870" i="44"/>
  <c r="E1871" i="44"/>
  <c r="E1872" i="44"/>
  <c r="E1873" i="44"/>
  <c r="E1874" i="44"/>
  <c r="E1875" i="44"/>
  <c r="E1876" i="44"/>
  <c r="E1877" i="44"/>
  <c r="E1878" i="44"/>
  <c r="E1879" i="44"/>
  <c r="E1880" i="44"/>
  <c r="E1881" i="44"/>
  <c r="E1882" i="44"/>
  <c r="E1883" i="44"/>
  <c r="E1884" i="44"/>
  <c r="E1885" i="44"/>
  <c r="E1886" i="44"/>
  <c r="E1887" i="44"/>
  <c r="E1888" i="44"/>
  <c r="E1889" i="44"/>
  <c r="E1890" i="44"/>
  <c r="E1891" i="44"/>
  <c r="E1892" i="44"/>
  <c r="E1893" i="44"/>
  <c r="E1894" i="44"/>
  <c r="E1895" i="44"/>
  <c r="E1896" i="44"/>
  <c r="E1897" i="44"/>
  <c r="E1898" i="44"/>
  <c r="E1899" i="44"/>
  <c r="E1900" i="44"/>
  <c r="E1901" i="44"/>
  <c r="E1902" i="44"/>
  <c r="E1903" i="44"/>
  <c r="E1904" i="44"/>
  <c r="E1905" i="44"/>
  <c r="E1906" i="44"/>
  <c r="E1907" i="44"/>
  <c r="E1908" i="44"/>
  <c r="E1909" i="44"/>
  <c r="E1910" i="44"/>
  <c r="E1911" i="44"/>
  <c r="E1912" i="44"/>
  <c r="E1913" i="44"/>
  <c r="E1914" i="44"/>
  <c r="E1915" i="44"/>
  <c r="E1916" i="44"/>
  <c r="E1917" i="44"/>
  <c r="E1918" i="44"/>
  <c r="E1919" i="44"/>
  <c r="E1920" i="44"/>
  <c r="E1921" i="44"/>
  <c r="E1922" i="44"/>
  <c r="E1923" i="44"/>
  <c r="E1924" i="44"/>
  <c r="E1925" i="44"/>
  <c r="E1926" i="44"/>
  <c r="E1927" i="44"/>
  <c r="E1928" i="44"/>
  <c r="E1929" i="44"/>
  <c r="E1930" i="44"/>
  <c r="E1931" i="44"/>
  <c r="E1932" i="44"/>
  <c r="E1933" i="44"/>
  <c r="E1934" i="44"/>
  <c r="E1935" i="44"/>
  <c r="E1936" i="44"/>
  <c r="E1937" i="44"/>
  <c r="E1938" i="44"/>
  <c r="E1939" i="44"/>
  <c r="E1940" i="44"/>
  <c r="E1941" i="44"/>
  <c r="E1942" i="44"/>
  <c r="E1943" i="44"/>
  <c r="E1944" i="44"/>
  <c r="E1945" i="44"/>
  <c r="E1946" i="44"/>
  <c r="E1947" i="44"/>
  <c r="E1948" i="44"/>
  <c r="E1949" i="44"/>
  <c r="E1950" i="44"/>
  <c r="E1951" i="44"/>
  <c r="E1952" i="44"/>
  <c r="E1953" i="44"/>
  <c r="E1954" i="44"/>
  <c r="E1955" i="44"/>
  <c r="E1956" i="44"/>
  <c r="E1957" i="44"/>
  <c r="E1958" i="44"/>
  <c r="E1959" i="44"/>
  <c r="E1960" i="44"/>
  <c r="E1961" i="44"/>
  <c r="E1962" i="44"/>
  <c r="E1963" i="44"/>
  <c r="E1964" i="44"/>
  <c r="E1965" i="44"/>
  <c r="E1966" i="44"/>
  <c r="E1967" i="44"/>
  <c r="E1968" i="44"/>
  <c r="E1969" i="44"/>
  <c r="E1970" i="44"/>
  <c r="E1971" i="44"/>
  <c r="E1972" i="44"/>
  <c r="E1973" i="44"/>
  <c r="E1974" i="44"/>
  <c r="E1975" i="44"/>
  <c r="E1976" i="44"/>
  <c r="E1977" i="44"/>
  <c r="E1978" i="44"/>
  <c r="E1979" i="44"/>
  <c r="E1980" i="44"/>
  <c r="E1981" i="44"/>
  <c r="E1982" i="44"/>
  <c r="E1983" i="44"/>
  <c r="E1984" i="44"/>
  <c r="E1985" i="44"/>
  <c r="E1986" i="44"/>
  <c r="E1987" i="44"/>
  <c r="E1988" i="44"/>
  <c r="E1989" i="44"/>
  <c r="E1990" i="44"/>
  <c r="E1991" i="44"/>
  <c r="E1992" i="44"/>
  <c r="E1993" i="44"/>
  <c r="E1994" i="44"/>
  <c r="E1995" i="44"/>
  <c r="E1996" i="44"/>
  <c r="E1997" i="44"/>
  <c r="E1998" i="44"/>
  <c r="E1999" i="44"/>
  <c r="E2000" i="44"/>
  <c r="E2001" i="44"/>
  <c r="E2002" i="44"/>
  <c r="E2003" i="44"/>
  <c r="E2004" i="44"/>
  <c r="E2005" i="44"/>
  <c r="E2006" i="44"/>
  <c r="E2007" i="44"/>
  <c r="E2008" i="44"/>
  <c r="E2009" i="44"/>
  <c r="E2010" i="44"/>
  <c r="E2011" i="44"/>
  <c r="E2012" i="44"/>
  <c r="E2013" i="44"/>
  <c r="E2014" i="44"/>
  <c r="E2015" i="44"/>
  <c r="E2016" i="44"/>
  <c r="E2017" i="44"/>
  <c r="E2018" i="44"/>
  <c r="E2019" i="44"/>
  <c r="E2020" i="44"/>
  <c r="E2021" i="44"/>
  <c r="E2022" i="44"/>
  <c r="E2023" i="44"/>
  <c r="E2024" i="44"/>
  <c r="E2025" i="44"/>
  <c r="E2026" i="44"/>
  <c r="E2027" i="44"/>
  <c r="E2028" i="44"/>
  <c r="E2029" i="44"/>
  <c r="E2030" i="44"/>
  <c r="E2031" i="44"/>
  <c r="E2032" i="44"/>
  <c r="E2033" i="44"/>
  <c r="E2034" i="44"/>
  <c r="E2035" i="44"/>
  <c r="E2036" i="44"/>
  <c r="E2037" i="44"/>
  <c r="E2038" i="44"/>
  <c r="E2039" i="44"/>
  <c r="E2040" i="44"/>
  <c r="E2041" i="44"/>
  <c r="E2042" i="44"/>
  <c r="E2043" i="44"/>
  <c r="E2044" i="44"/>
  <c r="E2045" i="44"/>
  <c r="E2046" i="44"/>
  <c r="E2047" i="44"/>
  <c r="E2048" i="44"/>
  <c r="E2049" i="44"/>
  <c r="E2050" i="44"/>
  <c r="E2051" i="44"/>
  <c r="E2052" i="44"/>
  <c r="E2053" i="44"/>
  <c r="E2054" i="44"/>
  <c r="E2055" i="44"/>
  <c r="E2056" i="44"/>
  <c r="E2057" i="44"/>
  <c r="E2058" i="44"/>
  <c r="E2059" i="44"/>
  <c r="E2060" i="44"/>
  <c r="E2061" i="44"/>
  <c r="E2062" i="44"/>
  <c r="E2063" i="44"/>
  <c r="E2064" i="44"/>
  <c r="E2065" i="44"/>
  <c r="E2066" i="44"/>
  <c r="E2067" i="44"/>
  <c r="E2068" i="44"/>
  <c r="E2069" i="44"/>
  <c r="E2070" i="44"/>
  <c r="E2071" i="44"/>
  <c r="E2072" i="44"/>
  <c r="E2073" i="44"/>
  <c r="E2074" i="44"/>
  <c r="E2075" i="44"/>
  <c r="E2076" i="44"/>
  <c r="E2077" i="44"/>
  <c r="E2078" i="44"/>
  <c r="E2079" i="44"/>
  <c r="E2080" i="44"/>
  <c r="E2081" i="44"/>
  <c r="E2082" i="44"/>
  <c r="E2083" i="44"/>
  <c r="E2084" i="44"/>
  <c r="E2085" i="44"/>
  <c r="E2086" i="44"/>
  <c r="E2087" i="44"/>
  <c r="E2088" i="44"/>
  <c r="E2089" i="44"/>
  <c r="E2090" i="44"/>
  <c r="E2091" i="44"/>
  <c r="E2092" i="44"/>
  <c r="E2093" i="44"/>
  <c r="E2094" i="44"/>
  <c r="E2095" i="44"/>
  <c r="E2096" i="44"/>
  <c r="E2097" i="44"/>
  <c r="E2098" i="44"/>
  <c r="E2099" i="44"/>
  <c r="E2100" i="44"/>
  <c r="E2101" i="44"/>
  <c r="E2102" i="44"/>
  <c r="E2103" i="44"/>
  <c r="E2104" i="44"/>
  <c r="E2105" i="44"/>
  <c r="E2106" i="44"/>
  <c r="E2107" i="44"/>
  <c r="E2108" i="44"/>
  <c r="E2109" i="44"/>
  <c r="E2110" i="44"/>
  <c r="E2111" i="44"/>
  <c r="E2112" i="44"/>
  <c r="E2113" i="44"/>
  <c r="E2114" i="44"/>
  <c r="E2115" i="44"/>
  <c r="E2116" i="44"/>
  <c r="E2117" i="44"/>
  <c r="E2118" i="44"/>
  <c r="E2119" i="44"/>
  <c r="E2120" i="44"/>
  <c r="E2121" i="44"/>
  <c r="E2122" i="44"/>
  <c r="E2123" i="44"/>
  <c r="E2124" i="44"/>
  <c r="E2125" i="44"/>
  <c r="E2126" i="44"/>
  <c r="E2127" i="44"/>
  <c r="E2128" i="44"/>
  <c r="E2129" i="44"/>
  <c r="E2130" i="44"/>
  <c r="E2131" i="44"/>
  <c r="E2132" i="44"/>
  <c r="E2133" i="44"/>
  <c r="E2134" i="44"/>
  <c r="E2135" i="44"/>
  <c r="E2136" i="44"/>
  <c r="E2137" i="44"/>
  <c r="E2138" i="44"/>
  <c r="E2139" i="44"/>
  <c r="E2140" i="44"/>
  <c r="E2141" i="44"/>
  <c r="E2142" i="44"/>
  <c r="E2143" i="44"/>
  <c r="E2144" i="44"/>
  <c r="E2145" i="44"/>
  <c r="E2146" i="44"/>
  <c r="E2147" i="44"/>
  <c r="E2148" i="44"/>
  <c r="E2149" i="44"/>
  <c r="E2150" i="44"/>
  <c r="E2151" i="44"/>
  <c r="E2152" i="44"/>
  <c r="E2153" i="44"/>
  <c r="E2154" i="44"/>
  <c r="E2155" i="44"/>
  <c r="E2156" i="44"/>
  <c r="E2157" i="44"/>
  <c r="E2158" i="44"/>
  <c r="E2159" i="44"/>
  <c r="E2160" i="44"/>
  <c r="E2161" i="44"/>
  <c r="E2162" i="44"/>
  <c r="E2163" i="44"/>
  <c r="E2164" i="44"/>
  <c r="E2165" i="44"/>
  <c r="E2166" i="44"/>
  <c r="E2167" i="44"/>
  <c r="E2168" i="44"/>
  <c r="E2169" i="44"/>
  <c r="E2170" i="44"/>
  <c r="E2171" i="44"/>
  <c r="E2172" i="44"/>
  <c r="E2173" i="44"/>
  <c r="E2174" i="44"/>
  <c r="E2175" i="44"/>
  <c r="E2176" i="44"/>
  <c r="E2177" i="44"/>
  <c r="E2178" i="44"/>
  <c r="E2179" i="44"/>
  <c r="E2180" i="44"/>
  <c r="E2181" i="44"/>
  <c r="E2182" i="44"/>
  <c r="E2183" i="44"/>
  <c r="E2184" i="44"/>
  <c r="E2185" i="44"/>
  <c r="E2186" i="44"/>
  <c r="E2187" i="44"/>
  <c r="E2188" i="44"/>
  <c r="E2189" i="44"/>
  <c r="E2190" i="44"/>
  <c r="E2191" i="44"/>
  <c r="E2192" i="44"/>
  <c r="E2193" i="44"/>
  <c r="E2194" i="44"/>
  <c r="E2195" i="44"/>
  <c r="E2196" i="44"/>
  <c r="E2197" i="44"/>
  <c r="E2198" i="44"/>
  <c r="E2199" i="44"/>
  <c r="E2200" i="44"/>
  <c r="E2201" i="44"/>
  <c r="E2202" i="44"/>
  <c r="E2203" i="44"/>
  <c r="E2204" i="44"/>
  <c r="E2205" i="44"/>
  <c r="E2206" i="44"/>
  <c r="E2207" i="44"/>
  <c r="E2208" i="44"/>
  <c r="E2209" i="44"/>
  <c r="E2210" i="44"/>
  <c r="E2211" i="44"/>
  <c r="E2212" i="44"/>
  <c r="E2213" i="44"/>
  <c r="E2214" i="44"/>
  <c r="E2215" i="44"/>
  <c r="E2216" i="44"/>
  <c r="E2217" i="44"/>
  <c r="E2218" i="44"/>
  <c r="E2219" i="44"/>
  <c r="E2220" i="44"/>
  <c r="E2221" i="44"/>
  <c r="E2222" i="44"/>
  <c r="E2223" i="44"/>
  <c r="E2224" i="44"/>
  <c r="E2225" i="44"/>
  <c r="E2226" i="44"/>
  <c r="E2227" i="44"/>
  <c r="E2228" i="44"/>
  <c r="E2229" i="44"/>
  <c r="E2230" i="44"/>
  <c r="E2231" i="44"/>
  <c r="E2232" i="44"/>
  <c r="E2233" i="44"/>
  <c r="E2234" i="44"/>
  <c r="E2235" i="44"/>
  <c r="E2236" i="44"/>
  <c r="E2237" i="44"/>
  <c r="E2238" i="44"/>
  <c r="E2239" i="44"/>
  <c r="E2240" i="44"/>
  <c r="E2241" i="44"/>
  <c r="E2242" i="44"/>
  <c r="E2243" i="44"/>
  <c r="E2244" i="44"/>
  <c r="E2245" i="44"/>
  <c r="E2246" i="44"/>
  <c r="E2247" i="44"/>
  <c r="E2248" i="44"/>
  <c r="E2249" i="44"/>
  <c r="E2250" i="44"/>
  <c r="E2251" i="44"/>
  <c r="E2252" i="44"/>
  <c r="E2253" i="44"/>
  <c r="E2254" i="44"/>
  <c r="E2255" i="44"/>
  <c r="E2256" i="44"/>
  <c r="E2257" i="44"/>
  <c r="E2258" i="44"/>
  <c r="E2259" i="44"/>
  <c r="E2260" i="44"/>
  <c r="E2261" i="44"/>
  <c r="E2262" i="44"/>
  <c r="E2263" i="44"/>
  <c r="E2264" i="44"/>
  <c r="E2265" i="44"/>
  <c r="E2266" i="44"/>
  <c r="E2267" i="44"/>
  <c r="E2268" i="44"/>
  <c r="E2269" i="44"/>
  <c r="E2270" i="44"/>
  <c r="E2271" i="44"/>
  <c r="E2272" i="44"/>
  <c r="E2273" i="44"/>
  <c r="E2274" i="44"/>
  <c r="E2275" i="44"/>
  <c r="E2276" i="44"/>
  <c r="E2277" i="44"/>
  <c r="E2278" i="44"/>
  <c r="E2279" i="44"/>
  <c r="E2280" i="44"/>
  <c r="E2281" i="44"/>
  <c r="E2282" i="44"/>
  <c r="E2283" i="44"/>
  <c r="E2284" i="44"/>
  <c r="E2285" i="44"/>
  <c r="E2286" i="44"/>
  <c r="E2287" i="44"/>
  <c r="E2288" i="44"/>
  <c r="E2289" i="44"/>
  <c r="E2290" i="44"/>
  <c r="E2291" i="44"/>
  <c r="E2292" i="44"/>
  <c r="E2293" i="44"/>
  <c r="E2294" i="44"/>
  <c r="E2295" i="44"/>
  <c r="E2296" i="44"/>
  <c r="E2297" i="44"/>
  <c r="E2298" i="44"/>
  <c r="E2299" i="44"/>
  <c r="E2300" i="44"/>
  <c r="E2301" i="44"/>
  <c r="E2302" i="44"/>
  <c r="E2303" i="44"/>
  <c r="E2304" i="44"/>
  <c r="E2305" i="44"/>
  <c r="E2306" i="44"/>
  <c r="E2307" i="44"/>
  <c r="E2308" i="44"/>
  <c r="E2309" i="44"/>
  <c r="E2310" i="44"/>
  <c r="E2311" i="44"/>
  <c r="E2312" i="44"/>
  <c r="E2313" i="44"/>
  <c r="E2314" i="44"/>
  <c r="E2315" i="44"/>
  <c r="E2316" i="44"/>
  <c r="E2317" i="44"/>
  <c r="E2318" i="44"/>
  <c r="E2319" i="44"/>
  <c r="E2320" i="44"/>
  <c r="E2321" i="44"/>
  <c r="E2322" i="44"/>
  <c r="E2323" i="44"/>
  <c r="E2324" i="44"/>
  <c r="E2325" i="44"/>
  <c r="E2326" i="44"/>
  <c r="E2327" i="44"/>
  <c r="E2328" i="44"/>
  <c r="E2329" i="44"/>
  <c r="E2330" i="44"/>
  <c r="E2331" i="44"/>
  <c r="E2332" i="44"/>
  <c r="E2333" i="44"/>
  <c r="E2334" i="44"/>
  <c r="E2335" i="44"/>
  <c r="E2336" i="44"/>
  <c r="E2337" i="44"/>
  <c r="E2338" i="44"/>
  <c r="E2339" i="44"/>
  <c r="E2340" i="44"/>
  <c r="E2341" i="44"/>
  <c r="E2342" i="44"/>
  <c r="E2343" i="44"/>
  <c r="E2344" i="44"/>
  <c r="E2345" i="44"/>
  <c r="E2346" i="44"/>
  <c r="E2347" i="44"/>
  <c r="E2348" i="44"/>
  <c r="E2349" i="44"/>
  <c r="E2350" i="44"/>
  <c r="E2351" i="44"/>
  <c r="E2352" i="44"/>
  <c r="E2353" i="44"/>
  <c r="E2354" i="44"/>
  <c r="E2355" i="44"/>
  <c r="E2356" i="44"/>
  <c r="E2357" i="44"/>
  <c r="E2358" i="44"/>
  <c r="E2359" i="44"/>
  <c r="E2360" i="44"/>
  <c r="E2361" i="44"/>
  <c r="E2362" i="44"/>
  <c r="E2363" i="44"/>
  <c r="E2364" i="44"/>
  <c r="E2365" i="44"/>
  <c r="E2366" i="44"/>
  <c r="E2367" i="44"/>
  <c r="E2368" i="44"/>
  <c r="E2369" i="44"/>
  <c r="E2370" i="44"/>
  <c r="E2371" i="44"/>
  <c r="E2372" i="44"/>
  <c r="E2373" i="44"/>
  <c r="E2374" i="44"/>
  <c r="E2375" i="44"/>
  <c r="E2376" i="44"/>
  <c r="E2377" i="44"/>
  <c r="E2378" i="44"/>
  <c r="E2379" i="44"/>
  <c r="E2380" i="44"/>
  <c r="E2381" i="44"/>
  <c r="E2382" i="44"/>
  <c r="E2383" i="44"/>
  <c r="E2384" i="44"/>
  <c r="E2385" i="44"/>
  <c r="E2386" i="44"/>
  <c r="E2387" i="44"/>
  <c r="E2388" i="44"/>
  <c r="E2389" i="44"/>
  <c r="E2390" i="44"/>
  <c r="E2391" i="44"/>
  <c r="E2392" i="44"/>
  <c r="E2393" i="44"/>
  <c r="E2394" i="44"/>
  <c r="E2395" i="44"/>
  <c r="E2396" i="44"/>
  <c r="E2397" i="44"/>
  <c r="E2398" i="44"/>
  <c r="E2399" i="44"/>
  <c r="E2400" i="44"/>
  <c r="E2401" i="44"/>
  <c r="E2402" i="44"/>
  <c r="E2403" i="44"/>
  <c r="E2404" i="44"/>
  <c r="E2405" i="44"/>
  <c r="E2406" i="44"/>
  <c r="E2407" i="44"/>
  <c r="E2408" i="44"/>
  <c r="E2409" i="44"/>
  <c r="E2410" i="44"/>
  <c r="E2411" i="44"/>
  <c r="E2412" i="44"/>
  <c r="E2413" i="44"/>
  <c r="E2414" i="44"/>
  <c r="E2415" i="44"/>
  <c r="E2416" i="44"/>
  <c r="E2417" i="44"/>
  <c r="E2418" i="44"/>
  <c r="E2419" i="44"/>
  <c r="E2420" i="44"/>
  <c r="E2421" i="44"/>
  <c r="E2422" i="44"/>
  <c r="E2423" i="44"/>
  <c r="E2424" i="44"/>
  <c r="E2425" i="44"/>
  <c r="E2426" i="44"/>
  <c r="E2427" i="44"/>
  <c r="E2428" i="44"/>
  <c r="E2429" i="44"/>
  <c r="E2430" i="44"/>
  <c r="E2431" i="44"/>
  <c r="E2432" i="44"/>
  <c r="E2433" i="44"/>
  <c r="E2434" i="44"/>
  <c r="E2435" i="44"/>
  <c r="E2436" i="44"/>
  <c r="E2437" i="44"/>
  <c r="E2438" i="44"/>
  <c r="E2439" i="44"/>
  <c r="E2440" i="44"/>
  <c r="E2441" i="44"/>
  <c r="E2442" i="44"/>
  <c r="E2443" i="44"/>
  <c r="E2444" i="44"/>
  <c r="E2445" i="44"/>
  <c r="E2446" i="44"/>
  <c r="E2447" i="44"/>
  <c r="E2448" i="44"/>
  <c r="E2449" i="44"/>
  <c r="E2450" i="44"/>
  <c r="E2451" i="44"/>
  <c r="E2452" i="44"/>
  <c r="E2453" i="44"/>
  <c r="E2454" i="44"/>
  <c r="E2455" i="44"/>
  <c r="E2456" i="44"/>
  <c r="E2457" i="44"/>
  <c r="E2458" i="44"/>
  <c r="E2459" i="44"/>
  <c r="E2460" i="44"/>
  <c r="E2461" i="44"/>
  <c r="E2462" i="44"/>
  <c r="E2463" i="44"/>
  <c r="E2464" i="44"/>
  <c r="E2465" i="44"/>
  <c r="E2466" i="44"/>
  <c r="E2467" i="44"/>
  <c r="E2468" i="44"/>
  <c r="E2469" i="44"/>
  <c r="E2470" i="44"/>
  <c r="E2471" i="44"/>
  <c r="E2472" i="44"/>
  <c r="E2473" i="44"/>
  <c r="E2474" i="44"/>
  <c r="E2475" i="44"/>
  <c r="E2476" i="44"/>
  <c r="E2477" i="44"/>
  <c r="E2478" i="44"/>
  <c r="E2479" i="44"/>
  <c r="E2480" i="44"/>
  <c r="E2481" i="44"/>
  <c r="E2482" i="44"/>
  <c r="E2483" i="44"/>
  <c r="E2484" i="44"/>
  <c r="E2485" i="44"/>
  <c r="E2486" i="44"/>
  <c r="E2487" i="44"/>
  <c r="E2488" i="44"/>
  <c r="E2489" i="44"/>
  <c r="E2490" i="44"/>
  <c r="E2491" i="44"/>
  <c r="E2492" i="44"/>
  <c r="E2493" i="44"/>
  <c r="E2494" i="44"/>
  <c r="E2495" i="44"/>
  <c r="E2496" i="44"/>
  <c r="E2497" i="44"/>
  <c r="E2498" i="44"/>
  <c r="E2499" i="44"/>
  <c r="E2500" i="44"/>
  <c r="E2501" i="44"/>
  <c r="E2502" i="44"/>
  <c r="E2503" i="44"/>
  <c r="E2504" i="44"/>
  <c r="E2505" i="44"/>
  <c r="E2506" i="44"/>
  <c r="E2507" i="44"/>
  <c r="E2508" i="44"/>
  <c r="E2509" i="44"/>
  <c r="E2510" i="44"/>
  <c r="E2511" i="44"/>
  <c r="E2512" i="44"/>
  <c r="E2513" i="44"/>
  <c r="E2514" i="44"/>
  <c r="E2515" i="44"/>
  <c r="E2516" i="44"/>
  <c r="E2517" i="44"/>
  <c r="E2518" i="44"/>
  <c r="E2519" i="44"/>
  <c r="E2520" i="44"/>
  <c r="E2521" i="44"/>
  <c r="E2522" i="44"/>
  <c r="E2523" i="44"/>
  <c r="E2524" i="44"/>
  <c r="E2525" i="44"/>
  <c r="E2526" i="44"/>
  <c r="E2527" i="44"/>
  <c r="E2528" i="44"/>
  <c r="E2529" i="44"/>
  <c r="E2530" i="44"/>
  <c r="E2531" i="44"/>
  <c r="E2532" i="44"/>
  <c r="E2533" i="44"/>
  <c r="E2534" i="44"/>
  <c r="E2535" i="44"/>
  <c r="E2536" i="44"/>
  <c r="E2537" i="44"/>
  <c r="E2538" i="44"/>
  <c r="E2539" i="44"/>
  <c r="E2540" i="44"/>
  <c r="E2541" i="44"/>
  <c r="E2542" i="44"/>
  <c r="E2543" i="44"/>
  <c r="E2544" i="44"/>
  <c r="E2545" i="44"/>
  <c r="E2546" i="44"/>
  <c r="E2547" i="44"/>
  <c r="E2548" i="44"/>
  <c r="E2549" i="44"/>
  <c r="E2550" i="44"/>
  <c r="E2551" i="44"/>
  <c r="E2552" i="44"/>
  <c r="E2553" i="44"/>
  <c r="E2554" i="44"/>
  <c r="E2555" i="44"/>
  <c r="E2556" i="44"/>
  <c r="E2557" i="44"/>
  <c r="E2558" i="44"/>
  <c r="E2559" i="44"/>
  <c r="E2560" i="44"/>
  <c r="E2561" i="44"/>
  <c r="E2562" i="44"/>
  <c r="E2563" i="44"/>
  <c r="E2564" i="44"/>
  <c r="E2565" i="44"/>
  <c r="E2566" i="44"/>
  <c r="E2567" i="44"/>
  <c r="E2568" i="44"/>
  <c r="E2569" i="44"/>
  <c r="E2570" i="44"/>
  <c r="E2571" i="44"/>
  <c r="E2572" i="44"/>
  <c r="E2573" i="44"/>
  <c r="E2574" i="44"/>
  <c r="E2575" i="44"/>
  <c r="E2576" i="44"/>
  <c r="E2577" i="44"/>
  <c r="E2578" i="44"/>
  <c r="E2579" i="44"/>
  <c r="E2580" i="44"/>
  <c r="E2581" i="44"/>
  <c r="E2582" i="44"/>
  <c r="E2583" i="44"/>
  <c r="E2584" i="44"/>
  <c r="E2585" i="44"/>
  <c r="E2586" i="44"/>
  <c r="E2587" i="44"/>
  <c r="E2588" i="44"/>
  <c r="E2589" i="44"/>
  <c r="E2590" i="44"/>
  <c r="E2591" i="44"/>
  <c r="E2592" i="44"/>
  <c r="E2593" i="44"/>
  <c r="E2594" i="44"/>
  <c r="E2595" i="44"/>
  <c r="E2596" i="44"/>
  <c r="E2597" i="44"/>
  <c r="E2598" i="44"/>
  <c r="E2599" i="44"/>
  <c r="E2600" i="44"/>
  <c r="E2601" i="44"/>
  <c r="E2602" i="44"/>
  <c r="E2603" i="44"/>
  <c r="E2604" i="44"/>
  <c r="E2605" i="44"/>
  <c r="E2606" i="44"/>
  <c r="E2607" i="44"/>
  <c r="E2608" i="44"/>
  <c r="E2609" i="44"/>
  <c r="E2610" i="44"/>
  <c r="E2611" i="44"/>
  <c r="E2612" i="44"/>
  <c r="E2613" i="44"/>
  <c r="E2614" i="44"/>
  <c r="E2615" i="44"/>
  <c r="E2616" i="44"/>
  <c r="E2617" i="44"/>
  <c r="E2618" i="44"/>
  <c r="E2619" i="44"/>
  <c r="E2620" i="44"/>
  <c r="E2621" i="44"/>
  <c r="E2622" i="44"/>
  <c r="E2623" i="44"/>
  <c r="E2624" i="44"/>
  <c r="E2625" i="44"/>
  <c r="E2626" i="44"/>
  <c r="E2627" i="44"/>
  <c r="E2628" i="44"/>
  <c r="E2629" i="44"/>
  <c r="E2630" i="44"/>
  <c r="E2631" i="44"/>
  <c r="E2632" i="44"/>
  <c r="E2633" i="44"/>
  <c r="E2634" i="44"/>
  <c r="E2635" i="44"/>
  <c r="E2636" i="44"/>
  <c r="E2637" i="44"/>
  <c r="E2638" i="44"/>
  <c r="E2639" i="44"/>
  <c r="E2640" i="44"/>
  <c r="E2641" i="44"/>
  <c r="E2642" i="44"/>
  <c r="E2643" i="44"/>
  <c r="E2644" i="44"/>
  <c r="E2645" i="44"/>
  <c r="E2646" i="44"/>
  <c r="E2647" i="44"/>
  <c r="E2648" i="44"/>
  <c r="E2649" i="44"/>
  <c r="E2650" i="44"/>
  <c r="E2651" i="44"/>
  <c r="E2652" i="44"/>
  <c r="E2653" i="44"/>
  <c r="E2654" i="44"/>
  <c r="E2655" i="44"/>
  <c r="E2656" i="44"/>
  <c r="E2657" i="44"/>
  <c r="E2658" i="44"/>
  <c r="E2659" i="44"/>
  <c r="E2660" i="44"/>
  <c r="E2661" i="44"/>
  <c r="E2662" i="44"/>
  <c r="E2663" i="44"/>
  <c r="E2664" i="44"/>
  <c r="E2665" i="44"/>
  <c r="E2666" i="44"/>
  <c r="E2667" i="44"/>
  <c r="E2668" i="44"/>
  <c r="E2669" i="44"/>
  <c r="E2670" i="44"/>
  <c r="E2671" i="44"/>
  <c r="E2672" i="44"/>
  <c r="E2673" i="44"/>
  <c r="E2674" i="44"/>
  <c r="E2675" i="44"/>
  <c r="E2676" i="44"/>
  <c r="E2677" i="44"/>
  <c r="E2678" i="44"/>
  <c r="E2679" i="44"/>
  <c r="E2680" i="44"/>
  <c r="E2681" i="44"/>
  <c r="E2682" i="44"/>
  <c r="E2683" i="44"/>
  <c r="E2684" i="44"/>
  <c r="E2685" i="44"/>
  <c r="E2686" i="44"/>
  <c r="E2687" i="44"/>
  <c r="E2688" i="44"/>
  <c r="E2689" i="44"/>
  <c r="E2690" i="44"/>
  <c r="E2691" i="44"/>
  <c r="E2692" i="44"/>
  <c r="E2693" i="44"/>
  <c r="E2694" i="44"/>
  <c r="E2695" i="44"/>
  <c r="E2696" i="44"/>
  <c r="E2697" i="44"/>
  <c r="E2698" i="44"/>
  <c r="E2699" i="44"/>
  <c r="E2700" i="44"/>
  <c r="E2701" i="44"/>
  <c r="E2702" i="44"/>
  <c r="E2703" i="44"/>
  <c r="E2704" i="44"/>
  <c r="E2705" i="44"/>
  <c r="E2706" i="44"/>
  <c r="E2707" i="44"/>
  <c r="E2708" i="44"/>
  <c r="E2709" i="44"/>
  <c r="E2710" i="44"/>
  <c r="E2711" i="44"/>
  <c r="E2712" i="44"/>
  <c r="E2713" i="44"/>
  <c r="E2714" i="44"/>
  <c r="E2715" i="44"/>
  <c r="E2716" i="44"/>
  <c r="E2717" i="44"/>
  <c r="E2718" i="44"/>
  <c r="E2719" i="44"/>
  <c r="E2720" i="44"/>
  <c r="E2721" i="44"/>
  <c r="E2722" i="44"/>
  <c r="E2723" i="44"/>
  <c r="E2724" i="44"/>
  <c r="E2725" i="44"/>
  <c r="E2726" i="44"/>
  <c r="E2727" i="44"/>
  <c r="E2728" i="44"/>
  <c r="E2729" i="44"/>
  <c r="E2730" i="44"/>
  <c r="E2731" i="44"/>
  <c r="E2732" i="44"/>
  <c r="E2733" i="44"/>
  <c r="E2734" i="44"/>
  <c r="E2735" i="44"/>
  <c r="E2736" i="44"/>
  <c r="E2737" i="44"/>
  <c r="E2738" i="44"/>
  <c r="E2739" i="44"/>
  <c r="E2740" i="44"/>
  <c r="E2741" i="44"/>
  <c r="E2742" i="44"/>
  <c r="E2743" i="44"/>
  <c r="E2744" i="44"/>
  <c r="E2745" i="44"/>
  <c r="E2746" i="44"/>
  <c r="E2747" i="44"/>
  <c r="E2748" i="44"/>
  <c r="E2749" i="44"/>
  <c r="E2750" i="44"/>
  <c r="E2751" i="44"/>
  <c r="E2752" i="44"/>
  <c r="E2753" i="44"/>
  <c r="E2754" i="44"/>
  <c r="E2755" i="44"/>
  <c r="E2756" i="44"/>
  <c r="E2757" i="44"/>
  <c r="E2758" i="44"/>
  <c r="E2759" i="44"/>
  <c r="E2760" i="44"/>
  <c r="E2761" i="44"/>
  <c r="E2762" i="44"/>
  <c r="E2763" i="44"/>
  <c r="E2764" i="44"/>
  <c r="E2765" i="44"/>
  <c r="E2766" i="44"/>
  <c r="E2767" i="44"/>
  <c r="E2768" i="44"/>
  <c r="E2769" i="44"/>
  <c r="E2770" i="44"/>
  <c r="E2771" i="44"/>
  <c r="E2772" i="44"/>
  <c r="E2773" i="44"/>
  <c r="E2774" i="44"/>
  <c r="E2775" i="44"/>
  <c r="E2776" i="44"/>
  <c r="E2777" i="44"/>
  <c r="E2778" i="44"/>
  <c r="E2779" i="44"/>
  <c r="E2780" i="44"/>
  <c r="E2781" i="44"/>
  <c r="E2782" i="44"/>
  <c r="E2783" i="44"/>
  <c r="E2784" i="44"/>
  <c r="E2785" i="44"/>
  <c r="E2786" i="44"/>
  <c r="E2787" i="44"/>
  <c r="E2788" i="44"/>
  <c r="E2789" i="44"/>
  <c r="E2790" i="44"/>
  <c r="E2791" i="44"/>
  <c r="E2792" i="44"/>
  <c r="E2793" i="44"/>
  <c r="E2794" i="44"/>
  <c r="E2795" i="44"/>
  <c r="E2796" i="44"/>
  <c r="E2797" i="44"/>
  <c r="E2798" i="44"/>
  <c r="E2799" i="44"/>
  <c r="E2800" i="44"/>
  <c r="E2801" i="44"/>
  <c r="E2802" i="44"/>
  <c r="E2803" i="44"/>
  <c r="E2804" i="44"/>
  <c r="E2805" i="44"/>
  <c r="E2806" i="44"/>
  <c r="E2807" i="44"/>
  <c r="E2808" i="44"/>
  <c r="E2809" i="44"/>
  <c r="E2810" i="44"/>
  <c r="E2811" i="44"/>
  <c r="E2812" i="44"/>
  <c r="E2813" i="44"/>
  <c r="E2814" i="44"/>
  <c r="E2815" i="44"/>
  <c r="E2816" i="44"/>
  <c r="E2817" i="44"/>
  <c r="E2818" i="44"/>
  <c r="E2819" i="44"/>
  <c r="E2820" i="44"/>
  <c r="E2821" i="44"/>
  <c r="E2822" i="44"/>
  <c r="E2823" i="44"/>
  <c r="E2824" i="44"/>
  <c r="E2825" i="44"/>
  <c r="E2826" i="44"/>
  <c r="E2827" i="44"/>
  <c r="E2828" i="44"/>
  <c r="E2829" i="44"/>
  <c r="E2830" i="44"/>
  <c r="E2831" i="44"/>
  <c r="E2832" i="44"/>
  <c r="E2833" i="44"/>
  <c r="E2834" i="44"/>
  <c r="E2835" i="44"/>
  <c r="E2836" i="44"/>
  <c r="E2837" i="44"/>
  <c r="E2838" i="44"/>
  <c r="E2839" i="44"/>
  <c r="E2840" i="44"/>
  <c r="E2841" i="44"/>
  <c r="E2842" i="44"/>
  <c r="E2843" i="44"/>
  <c r="E2844" i="44"/>
  <c r="E2845" i="44"/>
  <c r="E2846" i="44"/>
  <c r="E2847" i="44"/>
  <c r="E2848" i="44"/>
  <c r="E2849" i="44"/>
  <c r="E2850" i="44"/>
  <c r="E2851" i="44"/>
  <c r="E2852" i="44"/>
  <c r="E2853" i="44"/>
  <c r="E2854" i="44"/>
  <c r="E2855" i="44"/>
  <c r="E2856" i="44"/>
  <c r="E2857" i="44"/>
  <c r="E2858" i="44"/>
  <c r="E2859" i="44"/>
  <c r="E2860" i="44"/>
  <c r="E2861" i="44"/>
  <c r="E2862" i="44"/>
  <c r="E2863" i="44"/>
  <c r="E2864" i="44"/>
  <c r="E2865" i="44"/>
  <c r="E2866" i="44"/>
  <c r="E2867" i="44"/>
  <c r="E2868" i="44"/>
  <c r="E2869" i="44"/>
  <c r="E2870" i="44"/>
  <c r="E2871" i="44"/>
  <c r="E2872" i="44"/>
  <c r="E2873" i="44"/>
  <c r="E2874" i="44"/>
  <c r="E2875" i="44"/>
  <c r="E2876" i="44"/>
  <c r="E2877" i="44"/>
  <c r="E2878" i="44"/>
  <c r="E2879" i="44"/>
  <c r="E2880" i="44"/>
  <c r="E2881" i="44"/>
  <c r="E2882" i="44"/>
  <c r="E2883" i="44"/>
  <c r="E2884" i="44"/>
  <c r="E2885" i="44"/>
  <c r="E2886" i="44"/>
  <c r="E2887" i="44"/>
  <c r="E2888" i="44"/>
  <c r="E2889" i="44"/>
  <c r="E2890" i="44"/>
  <c r="E2891" i="44"/>
  <c r="E2892" i="44"/>
  <c r="E2893" i="44"/>
  <c r="E2894" i="44"/>
  <c r="E2895" i="44"/>
  <c r="E2896" i="44"/>
  <c r="E2897" i="44"/>
  <c r="E2898" i="44"/>
  <c r="E2899" i="44"/>
  <c r="E2900" i="44"/>
  <c r="E2901" i="44"/>
  <c r="E2902" i="44"/>
  <c r="E2903" i="44"/>
  <c r="E2904" i="44"/>
  <c r="E2905" i="44"/>
  <c r="E2906" i="44"/>
  <c r="E2907" i="44"/>
  <c r="E2908" i="44"/>
  <c r="E2909" i="44"/>
  <c r="E2910" i="44"/>
  <c r="E2911" i="44"/>
  <c r="E2912" i="44"/>
  <c r="E2913" i="44"/>
  <c r="E2914" i="44"/>
  <c r="E2915" i="44"/>
  <c r="E2916" i="44"/>
  <c r="E2917" i="44"/>
  <c r="E2918" i="44"/>
  <c r="E2919" i="44"/>
  <c r="E2920" i="44"/>
  <c r="E2921" i="44"/>
  <c r="E2922" i="44"/>
  <c r="E2923" i="44"/>
  <c r="E2924" i="44"/>
  <c r="E2925" i="44"/>
  <c r="E2926" i="44"/>
  <c r="E2927" i="44"/>
  <c r="E2928" i="44"/>
  <c r="E2929" i="44"/>
  <c r="E2930" i="44"/>
  <c r="E2931" i="44"/>
  <c r="E2932" i="44"/>
  <c r="E2933" i="44"/>
  <c r="E2934" i="44"/>
  <c r="E2935" i="44"/>
  <c r="E2936" i="44"/>
  <c r="E2937" i="44"/>
  <c r="E2938" i="44"/>
  <c r="E2939" i="44"/>
  <c r="E2940" i="44"/>
  <c r="E2941" i="44"/>
  <c r="E2942" i="44"/>
  <c r="E2943" i="44"/>
  <c r="E2944" i="44"/>
  <c r="E2945" i="44"/>
  <c r="E2946" i="44"/>
  <c r="E2947" i="44"/>
  <c r="E2948" i="44"/>
  <c r="E2949" i="44"/>
  <c r="E2950" i="44"/>
  <c r="E2951" i="44"/>
  <c r="E2952" i="44"/>
  <c r="E2953" i="44"/>
  <c r="E2954" i="44"/>
  <c r="E2955" i="44"/>
  <c r="E2956" i="44"/>
  <c r="E2957" i="44"/>
  <c r="E2958" i="44"/>
  <c r="E2959" i="44"/>
  <c r="E2960" i="44"/>
  <c r="E2961" i="44"/>
  <c r="E2962" i="44"/>
  <c r="E2963" i="44"/>
  <c r="E2964" i="44"/>
  <c r="E2965" i="44"/>
  <c r="E2966" i="44"/>
  <c r="E2967" i="44"/>
  <c r="E2968" i="44"/>
  <c r="E2969" i="44"/>
  <c r="E2970" i="44"/>
  <c r="E2971" i="44"/>
  <c r="E2972" i="44"/>
  <c r="E2973" i="44"/>
  <c r="E2974" i="44"/>
  <c r="E2975" i="44"/>
  <c r="E2976" i="44"/>
  <c r="E2977" i="44"/>
  <c r="E2978" i="44"/>
  <c r="E2979" i="44"/>
  <c r="E2980" i="44"/>
  <c r="E2981" i="44"/>
  <c r="E2982" i="44"/>
  <c r="E2983" i="44"/>
  <c r="E2984" i="44"/>
  <c r="E2985" i="44"/>
  <c r="E2986" i="44"/>
  <c r="E2987" i="44"/>
  <c r="E2988" i="44"/>
  <c r="E2989" i="44"/>
  <c r="E2990" i="44"/>
  <c r="E2991" i="44"/>
  <c r="E2992" i="44"/>
  <c r="E2993" i="44"/>
  <c r="E2994" i="44"/>
  <c r="E2995" i="44"/>
  <c r="E2996" i="44"/>
  <c r="E2997" i="44"/>
  <c r="E2998" i="44"/>
  <c r="E2999" i="44"/>
  <c r="E3000" i="44"/>
  <c r="E3001" i="44"/>
  <c r="E3002" i="44"/>
  <c r="E3003" i="44"/>
  <c r="E3004" i="44"/>
  <c r="E3005" i="44"/>
  <c r="E3006" i="44"/>
  <c r="E3007" i="44"/>
  <c r="E3008" i="44"/>
  <c r="E3009" i="44"/>
  <c r="E3010" i="44"/>
  <c r="E3011" i="44"/>
  <c r="E3012" i="44"/>
  <c r="E3013" i="44"/>
  <c r="E3014" i="44"/>
  <c r="E3015" i="44"/>
  <c r="E3016" i="44"/>
  <c r="E3017" i="44"/>
  <c r="E3018" i="44"/>
  <c r="E3019" i="44"/>
  <c r="E3020" i="44"/>
  <c r="E3021" i="44"/>
  <c r="E3022" i="44"/>
  <c r="E3023" i="44"/>
  <c r="E3024" i="44"/>
  <c r="E3025" i="44"/>
  <c r="E3026" i="44"/>
  <c r="E3027" i="44"/>
  <c r="E3028" i="44"/>
  <c r="E3029" i="44"/>
  <c r="E3030" i="44"/>
  <c r="E3031" i="44"/>
  <c r="E3032" i="44"/>
  <c r="E3033" i="44"/>
  <c r="E3034" i="44"/>
  <c r="E3035" i="44"/>
  <c r="E3036" i="44"/>
  <c r="E3037" i="44"/>
  <c r="E3038" i="44"/>
  <c r="E3039" i="44"/>
  <c r="E3040" i="44"/>
  <c r="E3041" i="44"/>
  <c r="E3042" i="44"/>
  <c r="E3043" i="44"/>
  <c r="E3044" i="44"/>
  <c r="E3045" i="44"/>
  <c r="E3046" i="44"/>
  <c r="E3047" i="44"/>
  <c r="E3048" i="44"/>
  <c r="E3049" i="44"/>
  <c r="E3050" i="44"/>
  <c r="E3051" i="44"/>
  <c r="E3052" i="44"/>
  <c r="E3053" i="44"/>
  <c r="E3054" i="44"/>
  <c r="E3055" i="44"/>
  <c r="E3056" i="44"/>
  <c r="E3057" i="44"/>
  <c r="E3058" i="44"/>
  <c r="E3059" i="44"/>
  <c r="E3060" i="44"/>
  <c r="E3061" i="44"/>
  <c r="E3062" i="44"/>
  <c r="E3063" i="44"/>
  <c r="E3064" i="44"/>
  <c r="E3065" i="44"/>
  <c r="E3066" i="44"/>
  <c r="E3067" i="44"/>
  <c r="E3068" i="44"/>
  <c r="E3069" i="44"/>
  <c r="E3070" i="44"/>
  <c r="E3071" i="44"/>
  <c r="E3072" i="44"/>
  <c r="E3073" i="44"/>
  <c r="E3074" i="44"/>
  <c r="E3075" i="44"/>
  <c r="E3076" i="44"/>
  <c r="E3077" i="44"/>
  <c r="E3078" i="44"/>
  <c r="E3079" i="44"/>
  <c r="E3080" i="44"/>
  <c r="E3081" i="44"/>
  <c r="E3082" i="44"/>
  <c r="E3083" i="44"/>
  <c r="E3084" i="44"/>
  <c r="E3085" i="44"/>
  <c r="E3086" i="44"/>
  <c r="E3087" i="44"/>
  <c r="E3088" i="44"/>
  <c r="E3089" i="44"/>
  <c r="E3090" i="44"/>
  <c r="E3091" i="44"/>
  <c r="E3092" i="44"/>
  <c r="E3093" i="44"/>
  <c r="E3094" i="44"/>
  <c r="E3095" i="44"/>
  <c r="E3096" i="44"/>
  <c r="E3097" i="44"/>
  <c r="E3098" i="44"/>
  <c r="E3099" i="44"/>
  <c r="E3100" i="44"/>
  <c r="E3101" i="44"/>
  <c r="E3102" i="44"/>
  <c r="E3103" i="44"/>
  <c r="E3104" i="44"/>
  <c r="E3105" i="44"/>
  <c r="E3106" i="44"/>
  <c r="E3107" i="44"/>
  <c r="E3108" i="44"/>
  <c r="E3109" i="44"/>
  <c r="E3110" i="44"/>
  <c r="E3111" i="44"/>
  <c r="E3112" i="44"/>
  <c r="E3113" i="44"/>
  <c r="E3114" i="44"/>
  <c r="E3115" i="44"/>
  <c r="E3116" i="44"/>
  <c r="E3117" i="44"/>
  <c r="E3118" i="44"/>
  <c r="E3119" i="44"/>
  <c r="E3120" i="44"/>
  <c r="E3121" i="44"/>
  <c r="E3122" i="44"/>
  <c r="E3123" i="44"/>
  <c r="E3124" i="44"/>
  <c r="E3125" i="44"/>
  <c r="E3126" i="44"/>
  <c r="E3127" i="44"/>
  <c r="E3128" i="44"/>
  <c r="E3129" i="44"/>
  <c r="E3130" i="44"/>
  <c r="E3131" i="44"/>
  <c r="E3132" i="44"/>
  <c r="E3133" i="44"/>
  <c r="E3134" i="44"/>
  <c r="E3135" i="44"/>
  <c r="E3136" i="44"/>
  <c r="E3137" i="44"/>
  <c r="E3138" i="44"/>
  <c r="E3139" i="44"/>
  <c r="E3140" i="44"/>
  <c r="E3141" i="44"/>
  <c r="E3142" i="44"/>
  <c r="E3143" i="44"/>
  <c r="E3144" i="44"/>
  <c r="E3145" i="44"/>
  <c r="E3146" i="44"/>
  <c r="E3147" i="44"/>
  <c r="E3148" i="44"/>
  <c r="E3149" i="44"/>
  <c r="E3150" i="44"/>
  <c r="E3151" i="44"/>
  <c r="E3152" i="44"/>
  <c r="E3153" i="44"/>
  <c r="E3154" i="44"/>
  <c r="E3155" i="44"/>
  <c r="E3156" i="44"/>
  <c r="E3157" i="44"/>
  <c r="E3158" i="44"/>
  <c r="E3159" i="44"/>
  <c r="E3160" i="44"/>
  <c r="E3161" i="44"/>
  <c r="E3162" i="44"/>
  <c r="E3163" i="44"/>
  <c r="E3164" i="44"/>
  <c r="E3165" i="44"/>
  <c r="E3166" i="44"/>
  <c r="E3167" i="44"/>
  <c r="E3168" i="44"/>
  <c r="E3169" i="44"/>
  <c r="E3170" i="44"/>
  <c r="E3171" i="44"/>
  <c r="E3172" i="44"/>
  <c r="E3173" i="44"/>
  <c r="E3174" i="44"/>
  <c r="E3175" i="44"/>
  <c r="E3176" i="44"/>
  <c r="E3177" i="44"/>
  <c r="E3178" i="44"/>
  <c r="E3179" i="44"/>
  <c r="E3180" i="44"/>
  <c r="E3181" i="44"/>
  <c r="E3182" i="44"/>
  <c r="E3183" i="44"/>
  <c r="E3184" i="44"/>
  <c r="E3185" i="44"/>
  <c r="E3186" i="44"/>
  <c r="E3187" i="44"/>
  <c r="E3188" i="44"/>
  <c r="E3189" i="44"/>
  <c r="E3190" i="44"/>
  <c r="E3191" i="44"/>
  <c r="E3192" i="44"/>
  <c r="E3193" i="44"/>
  <c r="E3194" i="44"/>
  <c r="E3195" i="44"/>
  <c r="E3196" i="44"/>
  <c r="E3197" i="44"/>
  <c r="E3198" i="44"/>
  <c r="E3199" i="44"/>
  <c r="E3200" i="44"/>
  <c r="E3201" i="44"/>
  <c r="E3202" i="44"/>
  <c r="E3203" i="44"/>
  <c r="E3204" i="44"/>
  <c r="E3205" i="44"/>
  <c r="E3206" i="44"/>
  <c r="E3207" i="44"/>
  <c r="E3208" i="44"/>
  <c r="E3209" i="44"/>
  <c r="E3210" i="44"/>
  <c r="E3211" i="44"/>
  <c r="E3212" i="44"/>
  <c r="E3213" i="44"/>
  <c r="E3214" i="44"/>
  <c r="E3215" i="44"/>
  <c r="E3216" i="44"/>
  <c r="E3217" i="44"/>
  <c r="E3218" i="44"/>
  <c r="E3219" i="44"/>
  <c r="E3220" i="44"/>
  <c r="E3221" i="44"/>
  <c r="E3222" i="44"/>
  <c r="E3223" i="44"/>
  <c r="E3224" i="44"/>
  <c r="E3225" i="44"/>
  <c r="E3226" i="44"/>
  <c r="E3227" i="44"/>
  <c r="E3228" i="44"/>
  <c r="E3229" i="44"/>
  <c r="E3230" i="44"/>
  <c r="E3231" i="44"/>
  <c r="E3232" i="44"/>
  <c r="E3233" i="44"/>
  <c r="E3234" i="44"/>
  <c r="E3235" i="44"/>
  <c r="E3236" i="44"/>
  <c r="E3237" i="44"/>
  <c r="E3238" i="44"/>
  <c r="E3239" i="44"/>
  <c r="E3240" i="44"/>
  <c r="E3241" i="44"/>
  <c r="E3242" i="44"/>
  <c r="E3243" i="44"/>
  <c r="E3244" i="44"/>
  <c r="E3245" i="44"/>
  <c r="E3246" i="44"/>
  <c r="E3247" i="44"/>
  <c r="E3248" i="44"/>
  <c r="E3249" i="44"/>
  <c r="E3250" i="44"/>
  <c r="E3251" i="44"/>
  <c r="E3252" i="44"/>
  <c r="E3253" i="44"/>
  <c r="E3254" i="44"/>
  <c r="E3255" i="44"/>
  <c r="E3256" i="44"/>
  <c r="E3257" i="44"/>
  <c r="E3258" i="44"/>
  <c r="E3259" i="44"/>
  <c r="E3260" i="44"/>
  <c r="E3261" i="44"/>
  <c r="E3262" i="44"/>
  <c r="E3263" i="44"/>
  <c r="E3264" i="44"/>
  <c r="E3265" i="44"/>
  <c r="E3266" i="44"/>
  <c r="E3267" i="44"/>
  <c r="E3268" i="44"/>
  <c r="E3269" i="44"/>
  <c r="E3270" i="44"/>
  <c r="E3271" i="44"/>
  <c r="E3272" i="44"/>
  <c r="E3273" i="44"/>
  <c r="E3274" i="44"/>
  <c r="E3275" i="44"/>
  <c r="E3276" i="44"/>
  <c r="E3277" i="44"/>
  <c r="E3278" i="44"/>
  <c r="E3279" i="44"/>
  <c r="E3280" i="44"/>
  <c r="E3281" i="44"/>
  <c r="E3282" i="44"/>
  <c r="E3283" i="44"/>
  <c r="E3284" i="44"/>
  <c r="E3285" i="44"/>
  <c r="E3286" i="44"/>
  <c r="E3287" i="44"/>
  <c r="E3288" i="44"/>
  <c r="E3289" i="44"/>
  <c r="E3290" i="44"/>
  <c r="E3291" i="44"/>
  <c r="E3292" i="44"/>
  <c r="E3293" i="44"/>
  <c r="E3294" i="44"/>
  <c r="E3295" i="44"/>
  <c r="E3296" i="44"/>
  <c r="E3297" i="44"/>
  <c r="E3298" i="44"/>
  <c r="E3299" i="44"/>
  <c r="E3300" i="44"/>
  <c r="E3301" i="44"/>
  <c r="E3302" i="44"/>
  <c r="E3303" i="44"/>
  <c r="E3304" i="44"/>
  <c r="E3305" i="44"/>
  <c r="E3306" i="44"/>
  <c r="E3307" i="44"/>
  <c r="E3308" i="44"/>
  <c r="E3309" i="44"/>
  <c r="E3310" i="44"/>
  <c r="E3311" i="44"/>
  <c r="E3312" i="44"/>
  <c r="E3313" i="44"/>
  <c r="E3314" i="44"/>
  <c r="E3315" i="44"/>
  <c r="E3316" i="44"/>
  <c r="E3317" i="44"/>
  <c r="E3318" i="44"/>
  <c r="E3319" i="44"/>
  <c r="E3320" i="44"/>
  <c r="E3321" i="44"/>
  <c r="E3322" i="44"/>
  <c r="E3323" i="44"/>
  <c r="E3324" i="44"/>
  <c r="E3325" i="44"/>
  <c r="E3326" i="44"/>
  <c r="E3327" i="44"/>
  <c r="E3328" i="44"/>
  <c r="E3329" i="44"/>
  <c r="E3330" i="44"/>
  <c r="E3331" i="44"/>
  <c r="E3332" i="44"/>
  <c r="E3333" i="44"/>
  <c r="E3334" i="44"/>
  <c r="E3335" i="44"/>
  <c r="E3336" i="44"/>
  <c r="E3337" i="44"/>
  <c r="E3338" i="44"/>
  <c r="E3339" i="44"/>
  <c r="E3340" i="44"/>
  <c r="E3341" i="44"/>
  <c r="E3342" i="44"/>
  <c r="E3343" i="44"/>
  <c r="E3344" i="44"/>
  <c r="E3345" i="44"/>
  <c r="E3346" i="44"/>
  <c r="E3347" i="44"/>
  <c r="E3348" i="44"/>
  <c r="E3349" i="44"/>
  <c r="E3350" i="44"/>
  <c r="E3351" i="44"/>
  <c r="E3352" i="44"/>
  <c r="E3353" i="44"/>
  <c r="E3354" i="44"/>
  <c r="E3355" i="44"/>
  <c r="E3356" i="44"/>
  <c r="E3357" i="44"/>
  <c r="E3358" i="44"/>
  <c r="E3359" i="44"/>
  <c r="E3360" i="44"/>
  <c r="E3361" i="44"/>
  <c r="E3362" i="44"/>
  <c r="E3363" i="44"/>
  <c r="E3364" i="44"/>
  <c r="E3365" i="44"/>
  <c r="E3366" i="44"/>
  <c r="E3367" i="44"/>
  <c r="E3368" i="44"/>
  <c r="E3369" i="44"/>
  <c r="E3370" i="44"/>
  <c r="E3371" i="44"/>
  <c r="E3372" i="44"/>
  <c r="E3373" i="44"/>
  <c r="E3374" i="44"/>
  <c r="E3375" i="44"/>
  <c r="E3376" i="44"/>
  <c r="E3377" i="44"/>
  <c r="E3378" i="44"/>
  <c r="E3379" i="44"/>
  <c r="E3380" i="44"/>
  <c r="E3381" i="44"/>
  <c r="E3382" i="44"/>
  <c r="E3383" i="44"/>
  <c r="E3384" i="44"/>
  <c r="E3385" i="44"/>
  <c r="E3386" i="44"/>
  <c r="E3387" i="44"/>
  <c r="E3388" i="44"/>
  <c r="E3389" i="44"/>
  <c r="E3390" i="44"/>
  <c r="E3391" i="44"/>
  <c r="E3392" i="44"/>
  <c r="E3393" i="44"/>
  <c r="E3394" i="44"/>
  <c r="E3395" i="44"/>
  <c r="E3396" i="44"/>
  <c r="E3397" i="44"/>
  <c r="E3398" i="44"/>
  <c r="E3399" i="44"/>
  <c r="E3400" i="44"/>
  <c r="E3401" i="44"/>
  <c r="E3402" i="44"/>
  <c r="E3403" i="44"/>
  <c r="E3404" i="44"/>
  <c r="E3405" i="44"/>
  <c r="E3406" i="44"/>
  <c r="E3407" i="44"/>
  <c r="E3408" i="44"/>
  <c r="E3409" i="44"/>
  <c r="E3410" i="44"/>
  <c r="E3411" i="44"/>
  <c r="E3412" i="44"/>
  <c r="E3413" i="44"/>
  <c r="E3414" i="44"/>
  <c r="E3415" i="44"/>
  <c r="E3416" i="44"/>
  <c r="E3417" i="44"/>
  <c r="E3418" i="44"/>
  <c r="E3419" i="44"/>
  <c r="E3420" i="44"/>
  <c r="E3421" i="44"/>
  <c r="E3422" i="44"/>
  <c r="E3423" i="44"/>
  <c r="E3424" i="44"/>
  <c r="E3425" i="44"/>
  <c r="E3426" i="44"/>
  <c r="E3427" i="44"/>
  <c r="E3428" i="44"/>
  <c r="E3429" i="44"/>
  <c r="E3430" i="44"/>
  <c r="E3431" i="44"/>
  <c r="E3432" i="44"/>
  <c r="E3433" i="44"/>
  <c r="E3434" i="44"/>
  <c r="E3435" i="44"/>
  <c r="E3436" i="44"/>
  <c r="E3437" i="44"/>
  <c r="E3438" i="44"/>
  <c r="E3439" i="44"/>
  <c r="E3440" i="44"/>
  <c r="E3441" i="44"/>
  <c r="E3442" i="44"/>
  <c r="E3443" i="44"/>
  <c r="E3444" i="44"/>
  <c r="E3445" i="44"/>
  <c r="E3446" i="44"/>
  <c r="E3447" i="44"/>
  <c r="E3448" i="44"/>
  <c r="E3449" i="44"/>
  <c r="E3450" i="44"/>
  <c r="E3451" i="44"/>
  <c r="E3452" i="44"/>
  <c r="E3453" i="44"/>
  <c r="E3454" i="44"/>
  <c r="E3455" i="44"/>
  <c r="E3456" i="44"/>
  <c r="E3457" i="44"/>
  <c r="E3458" i="44"/>
  <c r="E3459" i="44"/>
  <c r="E3460" i="44"/>
  <c r="E3461" i="44"/>
  <c r="E3462" i="44"/>
  <c r="E3463" i="44"/>
  <c r="E3464" i="44"/>
  <c r="E3465" i="44"/>
  <c r="E3466" i="44"/>
  <c r="E3467" i="44"/>
  <c r="E3468" i="44"/>
  <c r="E3469" i="44"/>
  <c r="E3470" i="44"/>
  <c r="E3471" i="44"/>
  <c r="E3472" i="44"/>
  <c r="E3473" i="44"/>
  <c r="E3474" i="44"/>
  <c r="E3475" i="44"/>
  <c r="E3476" i="44"/>
  <c r="E3477" i="44"/>
  <c r="E3478" i="44"/>
  <c r="E3479" i="44"/>
  <c r="E3480" i="44"/>
  <c r="E3481" i="44"/>
  <c r="E3482" i="44"/>
  <c r="E3483" i="44"/>
  <c r="E3484" i="44"/>
  <c r="E3485" i="44"/>
  <c r="E3486" i="44"/>
  <c r="E3487" i="44"/>
  <c r="E3488" i="44"/>
  <c r="E3489" i="44"/>
  <c r="E3490" i="44"/>
  <c r="E3491" i="44"/>
  <c r="E3492" i="44"/>
  <c r="E3493" i="44"/>
  <c r="E3494" i="44"/>
  <c r="E3495" i="44"/>
  <c r="E3496" i="44"/>
  <c r="E3497" i="44"/>
  <c r="E3498" i="44"/>
  <c r="E3499" i="44"/>
  <c r="E3500" i="44"/>
  <c r="E3501" i="44"/>
  <c r="E3502" i="44"/>
  <c r="E3503" i="44"/>
  <c r="E3504" i="44"/>
  <c r="E3505" i="44"/>
  <c r="E3506" i="44"/>
  <c r="E3507" i="44"/>
  <c r="E3508" i="44"/>
  <c r="E3509" i="44"/>
  <c r="E3510" i="44"/>
  <c r="E3511" i="44"/>
  <c r="E3512" i="44"/>
  <c r="E3513" i="44"/>
  <c r="E3514" i="44"/>
  <c r="E3515" i="44"/>
  <c r="E3516" i="44"/>
  <c r="E3517" i="44"/>
  <c r="E3518" i="44"/>
  <c r="E3519" i="44"/>
  <c r="E3520" i="44"/>
  <c r="E3521" i="44"/>
  <c r="E3522" i="44"/>
  <c r="E3523" i="44"/>
  <c r="E3524" i="44"/>
  <c r="E3525" i="44"/>
  <c r="E3526" i="44"/>
  <c r="E3527" i="44"/>
  <c r="E3528" i="44"/>
  <c r="E3529" i="44"/>
  <c r="E3530" i="44"/>
  <c r="E3531" i="44"/>
  <c r="E3532" i="44"/>
  <c r="E3533" i="44"/>
  <c r="E3534" i="44"/>
  <c r="E3535" i="44"/>
  <c r="E3536" i="44"/>
  <c r="E3537" i="44"/>
  <c r="E3538" i="44"/>
  <c r="E3539" i="44"/>
  <c r="E3540" i="44"/>
  <c r="E3541" i="44"/>
  <c r="E3542" i="44"/>
  <c r="E3543" i="44"/>
  <c r="E3544" i="44"/>
  <c r="E3545" i="44"/>
  <c r="E3546" i="44"/>
  <c r="E3547" i="44"/>
  <c r="E3548" i="44"/>
  <c r="E3549" i="44"/>
  <c r="E3550" i="44"/>
  <c r="E3551" i="44"/>
  <c r="E3552" i="44"/>
  <c r="E3553" i="44"/>
  <c r="E3554" i="44"/>
  <c r="E3555" i="44"/>
  <c r="E3556" i="44"/>
  <c r="E3557" i="44"/>
  <c r="E3558" i="44"/>
  <c r="E3559" i="44"/>
  <c r="E3560" i="44"/>
  <c r="E3561" i="44"/>
  <c r="E3562" i="44"/>
  <c r="E3563" i="44"/>
  <c r="E3564" i="44"/>
  <c r="E3565" i="44"/>
  <c r="E3566" i="44"/>
  <c r="E3567" i="44"/>
  <c r="E3568" i="44"/>
  <c r="E3569" i="44"/>
  <c r="E3570" i="44"/>
  <c r="E3571" i="44"/>
  <c r="E3572" i="44"/>
  <c r="E3573" i="44"/>
  <c r="E3574" i="44"/>
  <c r="E3575" i="44"/>
  <c r="E3576" i="44"/>
  <c r="E3577" i="44"/>
  <c r="E3578" i="44"/>
  <c r="E3579" i="44"/>
  <c r="E3580" i="44"/>
  <c r="E3581" i="44"/>
  <c r="E3582" i="44"/>
  <c r="E3583" i="44"/>
  <c r="E3584" i="44"/>
  <c r="E3585" i="44"/>
  <c r="E3586" i="44"/>
  <c r="E3587" i="44"/>
  <c r="E3588" i="44"/>
  <c r="E3589" i="44"/>
  <c r="E3590" i="44"/>
  <c r="E3591" i="44"/>
  <c r="E3592" i="44"/>
  <c r="E3593" i="44"/>
  <c r="E3594" i="44"/>
  <c r="E3595" i="44"/>
  <c r="E3596" i="44"/>
  <c r="E3597" i="44"/>
  <c r="E3598" i="44"/>
  <c r="E3599" i="44"/>
  <c r="E3600" i="44"/>
  <c r="E3601" i="44"/>
  <c r="E3602" i="44"/>
  <c r="E3603" i="44"/>
  <c r="E3604" i="44"/>
  <c r="E3605" i="44"/>
  <c r="E3606" i="44"/>
  <c r="E3607" i="44"/>
  <c r="E3608" i="44"/>
  <c r="E3609" i="44"/>
  <c r="E3610" i="44"/>
  <c r="E3611" i="44"/>
  <c r="E3612" i="44"/>
  <c r="E3613" i="44"/>
  <c r="E3614" i="44"/>
  <c r="E3615" i="44"/>
  <c r="E3616" i="44"/>
  <c r="E3617" i="44"/>
  <c r="E3618" i="44"/>
  <c r="E3619" i="44"/>
  <c r="E3620" i="44"/>
  <c r="E3621" i="44"/>
  <c r="E3622" i="44"/>
  <c r="E3623" i="44"/>
  <c r="E3624" i="44"/>
  <c r="E3625" i="44"/>
  <c r="E3626" i="44"/>
  <c r="E3627" i="44"/>
  <c r="E3628" i="44"/>
  <c r="E3629" i="44"/>
  <c r="E3630" i="44"/>
  <c r="E3631" i="44"/>
  <c r="E3632" i="44"/>
  <c r="E3633" i="44"/>
  <c r="E3634" i="44"/>
  <c r="E3635" i="44"/>
  <c r="E3636" i="44"/>
  <c r="E3637" i="44"/>
  <c r="E3638" i="44"/>
  <c r="E3639" i="44"/>
  <c r="E3640" i="44"/>
  <c r="E3641" i="44"/>
  <c r="E3642" i="44"/>
  <c r="E3643" i="44"/>
  <c r="E3644" i="44"/>
  <c r="E3645" i="44"/>
  <c r="E3646" i="44"/>
  <c r="E3647" i="44"/>
  <c r="E3648" i="44"/>
  <c r="E3649" i="44"/>
  <c r="E3650" i="44"/>
  <c r="E3651" i="44"/>
  <c r="E3652" i="44"/>
  <c r="E3653" i="44"/>
  <c r="E3654" i="44"/>
  <c r="E3655" i="44"/>
  <c r="E3656" i="44"/>
  <c r="E3657" i="44"/>
  <c r="E3658" i="44"/>
  <c r="E3659" i="44"/>
  <c r="E3660" i="44"/>
  <c r="E3661" i="44"/>
  <c r="E3662" i="44"/>
  <c r="E3663" i="44"/>
  <c r="E3664" i="44"/>
  <c r="E3665" i="44"/>
  <c r="E3666" i="44"/>
  <c r="E3667" i="44"/>
  <c r="E3668" i="44"/>
  <c r="E3669" i="44"/>
  <c r="E3670" i="44"/>
  <c r="E3671" i="44"/>
  <c r="E3672" i="44"/>
  <c r="E3673" i="44"/>
  <c r="E3674" i="44"/>
  <c r="E3675" i="44"/>
  <c r="E3676" i="44"/>
  <c r="E3677" i="44"/>
  <c r="E3678" i="44"/>
  <c r="E3679" i="44"/>
  <c r="E3680" i="44"/>
  <c r="E3681" i="44"/>
  <c r="E3682" i="44"/>
  <c r="E3683" i="44"/>
  <c r="E3684" i="44"/>
  <c r="E3685" i="44"/>
  <c r="E3686" i="44"/>
  <c r="E3687" i="44"/>
  <c r="E3688" i="44"/>
  <c r="E3689" i="44"/>
  <c r="E3690" i="44"/>
  <c r="E3691" i="44"/>
  <c r="E3692" i="44"/>
  <c r="E3693" i="44"/>
  <c r="E3694" i="44"/>
  <c r="E3695" i="44"/>
  <c r="E3696" i="44"/>
  <c r="E3697" i="44"/>
  <c r="E3698" i="44"/>
  <c r="E3699" i="44"/>
  <c r="E3700" i="44"/>
  <c r="E3701" i="44"/>
  <c r="E3702" i="44"/>
  <c r="E3703" i="44"/>
  <c r="E3704" i="44"/>
  <c r="E3705" i="44"/>
  <c r="E3706" i="44"/>
  <c r="E3707" i="44"/>
  <c r="E3708" i="44"/>
  <c r="E3709" i="44"/>
  <c r="E3710" i="44"/>
  <c r="E3711" i="44"/>
  <c r="E3712" i="44"/>
  <c r="E3713" i="44"/>
  <c r="E3714" i="44"/>
  <c r="E3715" i="44"/>
  <c r="E3716" i="44"/>
  <c r="E3717" i="44"/>
  <c r="E3718" i="44"/>
  <c r="E3719" i="44"/>
  <c r="E3720" i="44"/>
  <c r="E3721" i="44"/>
  <c r="E3722" i="44"/>
  <c r="E3723" i="44"/>
  <c r="E3724" i="44"/>
  <c r="E3725" i="44"/>
  <c r="E3726" i="44"/>
  <c r="E3727" i="44"/>
  <c r="E3728" i="44"/>
  <c r="E3729" i="44"/>
  <c r="E3730" i="44"/>
  <c r="E3731" i="44"/>
  <c r="E3732" i="44"/>
  <c r="E3733" i="44"/>
  <c r="E3734" i="44"/>
  <c r="E3735" i="44"/>
  <c r="E3736" i="44"/>
  <c r="E3737" i="44"/>
  <c r="E3738" i="44"/>
  <c r="E3739" i="44"/>
  <c r="E3740" i="44"/>
  <c r="E3741" i="44"/>
  <c r="E3742" i="44"/>
  <c r="E3743" i="44"/>
  <c r="E3744" i="44"/>
  <c r="E3745" i="44"/>
  <c r="E3746" i="44"/>
  <c r="E3747" i="44"/>
  <c r="E3748" i="44"/>
  <c r="E3749" i="44"/>
  <c r="E3750" i="44"/>
  <c r="E3751" i="44"/>
  <c r="E3752" i="44"/>
  <c r="E3753" i="44"/>
  <c r="E3754" i="44"/>
  <c r="E3755" i="44"/>
  <c r="E3756" i="44"/>
  <c r="E3757" i="44"/>
  <c r="E3758" i="44"/>
  <c r="E3759" i="44"/>
  <c r="E3760" i="44"/>
  <c r="E3761" i="44"/>
  <c r="E3762" i="44"/>
  <c r="E3763" i="44"/>
  <c r="E3764" i="44"/>
  <c r="E3765" i="44"/>
  <c r="E3766" i="44"/>
  <c r="E3767" i="44"/>
  <c r="E3768" i="44"/>
  <c r="E3769" i="44"/>
  <c r="E3770" i="44"/>
  <c r="E3771" i="44"/>
  <c r="E3772" i="44"/>
  <c r="E3773" i="44"/>
  <c r="E3774" i="44"/>
  <c r="E3775" i="44"/>
  <c r="E3776" i="44"/>
  <c r="E3777" i="44"/>
  <c r="E3778" i="44"/>
  <c r="E3779" i="44"/>
  <c r="E3780" i="44"/>
  <c r="E3781" i="44"/>
  <c r="E3782" i="44"/>
  <c r="E3783" i="44"/>
  <c r="E3784" i="44"/>
  <c r="E3785" i="44"/>
  <c r="E3786" i="44"/>
  <c r="E3787" i="44"/>
  <c r="E3788" i="44"/>
  <c r="E3789" i="44"/>
  <c r="E3790" i="44"/>
  <c r="E3791" i="44"/>
  <c r="E3792" i="44"/>
  <c r="E3793" i="44"/>
  <c r="E3794" i="44"/>
  <c r="E3795" i="44"/>
  <c r="E3796" i="44"/>
  <c r="E3797" i="44"/>
  <c r="E3798" i="44"/>
  <c r="E3799" i="44"/>
  <c r="E3800" i="44"/>
  <c r="E3801" i="44"/>
  <c r="E3802" i="44"/>
  <c r="E3803" i="44"/>
  <c r="E3804" i="44"/>
  <c r="E3805" i="44"/>
  <c r="E3806" i="44"/>
  <c r="E3807" i="44"/>
  <c r="E3808" i="44"/>
  <c r="E3809" i="44"/>
  <c r="E3810" i="44"/>
  <c r="E3811" i="44"/>
  <c r="E3812" i="44"/>
  <c r="E3813" i="44"/>
  <c r="E3814" i="44"/>
  <c r="E3815" i="44"/>
  <c r="E3816" i="44"/>
  <c r="E3817" i="44"/>
  <c r="E3818" i="44"/>
  <c r="E3819" i="44"/>
  <c r="E3820" i="44"/>
  <c r="E3821" i="44"/>
  <c r="E3822" i="44"/>
  <c r="E3823" i="44"/>
  <c r="E3824" i="44"/>
  <c r="E3825" i="44"/>
  <c r="E3826" i="44"/>
  <c r="E3827" i="44"/>
  <c r="E3828" i="44"/>
  <c r="E3829" i="44"/>
  <c r="E3830" i="44"/>
  <c r="E3831" i="44"/>
  <c r="E3832" i="44"/>
  <c r="E3833" i="44"/>
  <c r="E3834" i="44"/>
  <c r="E3835" i="44"/>
  <c r="E3836" i="44"/>
  <c r="E3837" i="44"/>
  <c r="E3838" i="44"/>
  <c r="E3839" i="44"/>
  <c r="E3840" i="44"/>
  <c r="E3841" i="44"/>
  <c r="E3842" i="44"/>
  <c r="E3843" i="44"/>
  <c r="E3844" i="44"/>
  <c r="E3845" i="44"/>
  <c r="E3846" i="44"/>
  <c r="E3847" i="44"/>
  <c r="E3848" i="44"/>
  <c r="E3849" i="44"/>
  <c r="E3850" i="44"/>
  <c r="E3851" i="44"/>
  <c r="E3852" i="44"/>
  <c r="E3853" i="44"/>
  <c r="E3854" i="44"/>
  <c r="E3855" i="44"/>
  <c r="E3856" i="44"/>
  <c r="E3857" i="44"/>
  <c r="E3858" i="44"/>
  <c r="E3859" i="44"/>
  <c r="E3860" i="44"/>
  <c r="E3861" i="44"/>
  <c r="E3862" i="44"/>
  <c r="E3863" i="44"/>
  <c r="E3864" i="44"/>
  <c r="E3865" i="44"/>
  <c r="E3866" i="44"/>
  <c r="E3867" i="44"/>
  <c r="E3868" i="44"/>
  <c r="E3869" i="44"/>
  <c r="E3870" i="44"/>
  <c r="E3871" i="44"/>
  <c r="E3872" i="44"/>
  <c r="E3873" i="44"/>
  <c r="E3874" i="44"/>
  <c r="E3875" i="44"/>
  <c r="E3876" i="44"/>
  <c r="E3877" i="44"/>
  <c r="E3878" i="44"/>
  <c r="E3879" i="44"/>
  <c r="E3880" i="44"/>
  <c r="E3881" i="44"/>
  <c r="E3882" i="44"/>
  <c r="E3883" i="44"/>
  <c r="E3884" i="44"/>
  <c r="E3885" i="44"/>
  <c r="E3886" i="44"/>
  <c r="E3887" i="44"/>
  <c r="E3888" i="44"/>
  <c r="E3889" i="44"/>
  <c r="E3890" i="44"/>
  <c r="E3891" i="44"/>
  <c r="E3892" i="44"/>
  <c r="E3893" i="44"/>
  <c r="E3894" i="44"/>
  <c r="E3895" i="44"/>
  <c r="E3896" i="44"/>
  <c r="E3897" i="44"/>
  <c r="E3898" i="44"/>
  <c r="E3899" i="44"/>
  <c r="E3900" i="44"/>
  <c r="E3901" i="44"/>
  <c r="E3902" i="44"/>
  <c r="E3903" i="44"/>
  <c r="E3904" i="44"/>
  <c r="E3905" i="44"/>
  <c r="E3906" i="44"/>
  <c r="E3907" i="44"/>
  <c r="E3908" i="44"/>
  <c r="E3909" i="44"/>
  <c r="E3910" i="44"/>
  <c r="E3911" i="44"/>
  <c r="E3912" i="44"/>
  <c r="E3913" i="44"/>
  <c r="E3914" i="44"/>
  <c r="E3915" i="44"/>
  <c r="E3916" i="44"/>
  <c r="E3917" i="44"/>
  <c r="E3918" i="44"/>
  <c r="E3919" i="44"/>
  <c r="E3920" i="44"/>
  <c r="E3921" i="44"/>
  <c r="E3922" i="44"/>
  <c r="E3923" i="44"/>
  <c r="E3924" i="44"/>
  <c r="E3925" i="44"/>
  <c r="E3926" i="44"/>
  <c r="E3927" i="44"/>
  <c r="E3928" i="44"/>
  <c r="E3929" i="44"/>
  <c r="E3930" i="44"/>
  <c r="E3931" i="44"/>
  <c r="E3932" i="44"/>
  <c r="E3933" i="44"/>
  <c r="E3934" i="44"/>
  <c r="E3935" i="44"/>
  <c r="E3936" i="44"/>
  <c r="E3937" i="44"/>
  <c r="E3938" i="44"/>
  <c r="E3939" i="44"/>
  <c r="E3940" i="44"/>
  <c r="E3941" i="44"/>
  <c r="E3942" i="44"/>
  <c r="E3943" i="44"/>
  <c r="E3944" i="44"/>
  <c r="E3945" i="44"/>
  <c r="E3946" i="44"/>
  <c r="E3947" i="44"/>
  <c r="E3948" i="44"/>
  <c r="E3949" i="44"/>
  <c r="E3950" i="44"/>
  <c r="E3951" i="44"/>
  <c r="E3952" i="44"/>
  <c r="E3953" i="44"/>
  <c r="E3954" i="44"/>
  <c r="E3955" i="44"/>
  <c r="E3956" i="44"/>
  <c r="E3957" i="44"/>
  <c r="E3958" i="44"/>
  <c r="E3959" i="44"/>
  <c r="E3960" i="44"/>
  <c r="E3961" i="44"/>
  <c r="E3962" i="44"/>
  <c r="E3963" i="44"/>
  <c r="E3964" i="44"/>
  <c r="E3965" i="44"/>
  <c r="E3966" i="44"/>
  <c r="E3967" i="44"/>
  <c r="E3968" i="44"/>
  <c r="E3969" i="44"/>
  <c r="E3970" i="44"/>
  <c r="E3971" i="44"/>
  <c r="E3972" i="44"/>
  <c r="E3973" i="44"/>
  <c r="E3974" i="44"/>
  <c r="E3975" i="44"/>
  <c r="E3976" i="44"/>
  <c r="E3977" i="44"/>
  <c r="E3978" i="44"/>
  <c r="E3979" i="44"/>
  <c r="E3980" i="44"/>
  <c r="E3981" i="44"/>
  <c r="E3982" i="44"/>
  <c r="E3983" i="44"/>
  <c r="E3984" i="44"/>
  <c r="E3985" i="44"/>
  <c r="E3986" i="44"/>
  <c r="E3987" i="44"/>
  <c r="E3988" i="44"/>
  <c r="E3989" i="44"/>
  <c r="E3990" i="44"/>
  <c r="E3991" i="44"/>
  <c r="E3992" i="44"/>
  <c r="E3993" i="44"/>
  <c r="E3994" i="44"/>
  <c r="E3995" i="44"/>
  <c r="E3996" i="44"/>
  <c r="E3997" i="44"/>
  <c r="E3998" i="44"/>
  <c r="E3999" i="44"/>
  <c r="E4000" i="44"/>
  <c r="E4001" i="44"/>
  <c r="E4002" i="44"/>
  <c r="E4003" i="44"/>
  <c r="E4004" i="44"/>
  <c r="E4005" i="44"/>
  <c r="E4006" i="44"/>
  <c r="E4007" i="44"/>
  <c r="E4008" i="44"/>
  <c r="E4009" i="44"/>
  <c r="E4010" i="44"/>
  <c r="E4011" i="44"/>
  <c r="E4012" i="44"/>
  <c r="E4013" i="44"/>
  <c r="E4014" i="44"/>
  <c r="E4015" i="44"/>
  <c r="E4016" i="44"/>
  <c r="E4017" i="44"/>
  <c r="E4018" i="44"/>
  <c r="E4019" i="44"/>
  <c r="E4020" i="44"/>
  <c r="E4021" i="44"/>
  <c r="E4022" i="44"/>
  <c r="E4023" i="44"/>
  <c r="E4024" i="44"/>
  <c r="E4025" i="44"/>
  <c r="E4026" i="44"/>
  <c r="E4027" i="44"/>
  <c r="E4028" i="44"/>
  <c r="E4029" i="44"/>
  <c r="E4030" i="44"/>
  <c r="E4031" i="44"/>
  <c r="E4032" i="44"/>
  <c r="E4033" i="44"/>
  <c r="E4034" i="44"/>
  <c r="E4035" i="44"/>
  <c r="E4036" i="44"/>
  <c r="E4037" i="44"/>
  <c r="E4038" i="44"/>
  <c r="E4039" i="44"/>
  <c r="E4040" i="44"/>
  <c r="E4041" i="44"/>
  <c r="E4042" i="44"/>
  <c r="E4043" i="44"/>
  <c r="E4044" i="44"/>
  <c r="E4045" i="44"/>
  <c r="E4046" i="44"/>
  <c r="E4047" i="44"/>
  <c r="E4048" i="44"/>
  <c r="E4049" i="44"/>
  <c r="E4050" i="44"/>
  <c r="E4051" i="44"/>
  <c r="E4052" i="44"/>
  <c r="E4053" i="44"/>
  <c r="E4054" i="44"/>
  <c r="E4055" i="44"/>
  <c r="E4056" i="44"/>
  <c r="E4057" i="44"/>
  <c r="E4058" i="44"/>
  <c r="E4059" i="44"/>
  <c r="E4060" i="44"/>
  <c r="E4061" i="44"/>
  <c r="E4062" i="44"/>
  <c r="E4063" i="44"/>
  <c r="E4064" i="44"/>
  <c r="E4065" i="44"/>
  <c r="E4066" i="44"/>
  <c r="E4067" i="44"/>
  <c r="E4068" i="44"/>
  <c r="E4069" i="44"/>
  <c r="E4070" i="44"/>
  <c r="E4071" i="44"/>
  <c r="E4072" i="44"/>
  <c r="E4073" i="44"/>
  <c r="E4074" i="44"/>
  <c r="E4075" i="44"/>
  <c r="E4076" i="44"/>
  <c r="E4077" i="44"/>
  <c r="E4078" i="44"/>
  <c r="E4079" i="44"/>
  <c r="E4080" i="44"/>
  <c r="E4081" i="44"/>
  <c r="E4082" i="44"/>
  <c r="E4083" i="44"/>
  <c r="E4084" i="44"/>
  <c r="E4085" i="44"/>
  <c r="E4086" i="44"/>
  <c r="E4087" i="44"/>
  <c r="E4088" i="44"/>
  <c r="E4089" i="44"/>
  <c r="E4090" i="44"/>
  <c r="E4091" i="44"/>
  <c r="E4092" i="44"/>
  <c r="E4093" i="44"/>
  <c r="E4094" i="44"/>
  <c r="E4095" i="44"/>
  <c r="E4096" i="44"/>
  <c r="E4097" i="44"/>
  <c r="E4098" i="44"/>
  <c r="E4099" i="44"/>
  <c r="E4100" i="44"/>
  <c r="E4101" i="44"/>
  <c r="E4102" i="44"/>
  <c r="E4103" i="44"/>
  <c r="E4104" i="44"/>
  <c r="E4105" i="44"/>
  <c r="E4106" i="44"/>
  <c r="E4107" i="44"/>
  <c r="E4108" i="44"/>
  <c r="E4109" i="44"/>
  <c r="E4110" i="44"/>
  <c r="E4111" i="44"/>
  <c r="E4112" i="44"/>
  <c r="E4113" i="44"/>
  <c r="E4114" i="44"/>
  <c r="E4115" i="44"/>
  <c r="E4116" i="44"/>
  <c r="E4117" i="44"/>
  <c r="E4118" i="44"/>
  <c r="E4119" i="44"/>
  <c r="E4120" i="44"/>
  <c r="E4121" i="44"/>
  <c r="E4122" i="44"/>
  <c r="E4123" i="44"/>
  <c r="E4124" i="44"/>
  <c r="E4125" i="44"/>
  <c r="E4126" i="44"/>
  <c r="E4127" i="44"/>
  <c r="E4128" i="44"/>
  <c r="E4129" i="44"/>
  <c r="E4130" i="44"/>
  <c r="E4131" i="44"/>
  <c r="E4132" i="44"/>
  <c r="E4133" i="44"/>
  <c r="E4134" i="44"/>
  <c r="E4135" i="44"/>
  <c r="E4136" i="44"/>
  <c r="E4137" i="44"/>
  <c r="E4138" i="44"/>
  <c r="E4139" i="44"/>
  <c r="E4140" i="44"/>
  <c r="E4141" i="44"/>
  <c r="E4142" i="44"/>
  <c r="E4143" i="44"/>
  <c r="E4144" i="44"/>
  <c r="E4145" i="44"/>
  <c r="E4146" i="44"/>
  <c r="E4147" i="44"/>
  <c r="E4148" i="44"/>
  <c r="E4149" i="44"/>
  <c r="E4150" i="44"/>
  <c r="E4151" i="44"/>
  <c r="E4152" i="44"/>
  <c r="E4153" i="44"/>
  <c r="E4154" i="44"/>
  <c r="E4155" i="44"/>
  <c r="E4156" i="44"/>
  <c r="E4157" i="44"/>
  <c r="E4158" i="44"/>
  <c r="E4159" i="44"/>
  <c r="E4160" i="44"/>
  <c r="E4161" i="44"/>
  <c r="E4162" i="44"/>
  <c r="E4163" i="44"/>
  <c r="E4164" i="44"/>
  <c r="E4165" i="44"/>
  <c r="E4166" i="44"/>
  <c r="E4167" i="44"/>
  <c r="E4168" i="44"/>
  <c r="E4169" i="44"/>
  <c r="E4170" i="44"/>
  <c r="E4171" i="44"/>
  <c r="E4172" i="44"/>
  <c r="E4173" i="44"/>
  <c r="E4174" i="44"/>
  <c r="E4175" i="44"/>
  <c r="E4176" i="44"/>
  <c r="E4177" i="44"/>
  <c r="E4178" i="44"/>
  <c r="E4179" i="44"/>
  <c r="E4180" i="44"/>
  <c r="E4181" i="44"/>
  <c r="E4182" i="44"/>
  <c r="E4183" i="44"/>
  <c r="E4184" i="44"/>
  <c r="E4185" i="44"/>
  <c r="E4186" i="44"/>
  <c r="E4187" i="44"/>
  <c r="E4188" i="44"/>
  <c r="E4189" i="44"/>
  <c r="E4190" i="44"/>
  <c r="E4191" i="44"/>
  <c r="E4192" i="44"/>
  <c r="E4193" i="44"/>
  <c r="E4194" i="44"/>
  <c r="E4195" i="44"/>
  <c r="E4196" i="44"/>
  <c r="E4197" i="44"/>
  <c r="E4198" i="44"/>
  <c r="E4199" i="44"/>
  <c r="E4200" i="44"/>
  <c r="E4201" i="44"/>
  <c r="E4202" i="44"/>
  <c r="E4203" i="44"/>
  <c r="E4204" i="44"/>
  <c r="E4205" i="44"/>
  <c r="E4206" i="44"/>
  <c r="E4207" i="44"/>
  <c r="E4208" i="44"/>
  <c r="E4209" i="44"/>
  <c r="E4210" i="44"/>
  <c r="E4211" i="44"/>
  <c r="E4212" i="44"/>
  <c r="E4213" i="44"/>
  <c r="E4214" i="44"/>
  <c r="E4215" i="44"/>
  <c r="E4216" i="44"/>
  <c r="E4217" i="44"/>
  <c r="E4218" i="44"/>
  <c r="E4219" i="44"/>
  <c r="E4220" i="44"/>
  <c r="E4221" i="44"/>
  <c r="E4222" i="44"/>
  <c r="E4223" i="44"/>
  <c r="E4224" i="44"/>
  <c r="E4225" i="44"/>
  <c r="E4226" i="44"/>
  <c r="E4227" i="44"/>
  <c r="E4228" i="44"/>
  <c r="E4229" i="44"/>
  <c r="E4230" i="44"/>
  <c r="E4231" i="44"/>
  <c r="E4232" i="44"/>
  <c r="E4233" i="44"/>
  <c r="E4234" i="44"/>
  <c r="E4235" i="44"/>
  <c r="E4236" i="44"/>
  <c r="E4237" i="44"/>
  <c r="E4238" i="44"/>
  <c r="E4239" i="44"/>
  <c r="E4240" i="44"/>
  <c r="E4241" i="44"/>
  <c r="E4242" i="44"/>
  <c r="E4243" i="44"/>
  <c r="E4244" i="44"/>
  <c r="E4245" i="44"/>
  <c r="E4246" i="44"/>
  <c r="E4247" i="44"/>
  <c r="E4248" i="44"/>
  <c r="E4249" i="44"/>
  <c r="E4250" i="44"/>
  <c r="E4251" i="44"/>
  <c r="E4252" i="44"/>
  <c r="E4253" i="44"/>
  <c r="E4254" i="44"/>
  <c r="E4255" i="44"/>
  <c r="E4256" i="44"/>
  <c r="E4257" i="44"/>
  <c r="E4258" i="44"/>
  <c r="E4259" i="44"/>
  <c r="E4260" i="44"/>
  <c r="E4261" i="44"/>
  <c r="E4262" i="44"/>
  <c r="E4263" i="44"/>
  <c r="E4264" i="44"/>
  <c r="E4265" i="44"/>
  <c r="E4266" i="44"/>
  <c r="E4267" i="44"/>
  <c r="E4268" i="44"/>
  <c r="E4269" i="44"/>
  <c r="E4270" i="44"/>
  <c r="E4271" i="44"/>
  <c r="E4272" i="44"/>
  <c r="E4273" i="44"/>
  <c r="E4274" i="44"/>
  <c r="E4275" i="44"/>
  <c r="E4276" i="44"/>
  <c r="E4277" i="44"/>
  <c r="E4278" i="44"/>
  <c r="E4279" i="44"/>
  <c r="E4280" i="44"/>
  <c r="E4281" i="44"/>
  <c r="E4282" i="44"/>
  <c r="E4283" i="44"/>
  <c r="E4284" i="44"/>
  <c r="E4285" i="44"/>
  <c r="E4286" i="44"/>
  <c r="E4287" i="44"/>
  <c r="E4288" i="44"/>
  <c r="E4289" i="44"/>
  <c r="E4290" i="44"/>
  <c r="E4291" i="44"/>
  <c r="E4292" i="44"/>
  <c r="E4293" i="44"/>
  <c r="E4294" i="44"/>
  <c r="E4295" i="44"/>
  <c r="E4296" i="44"/>
  <c r="E4297" i="44"/>
  <c r="E4298" i="44"/>
  <c r="E4299" i="44"/>
  <c r="E4300" i="44"/>
  <c r="E4301" i="44"/>
  <c r="E4302" i="44"/>
  <c r="E4303" i="44"/>
  <c r="E4304" i="44"/>
  <c r="E4305" i="44"/>
  <c r="E4306" i="44"/>
  <c r="E4307" i="44"/>
  <c r="E4308" i="44"/>
  <c r="E4309" i="44"/>
  <c r="E4310" i="44"/>
  <c r="E4311" i="44"/>
  <c r="E4312" i="44"/>
  <c r="E4313" i="44"/>
  <c r="E4314" i="44"/>
  <c r="E4315" i="44"/>
  <c r="E4316" i="44"/>
  <c r="E4317" i="44"/>
  <c r="E4318" i="44"/>
  <c r="E4319" i="44"/>
  <c r="E4320" i="44"/>
  <c r="E4321" i="44"/>
  <c r="E4322" i="44"/>
  <c r="E4323" i="44"/>
  <c r="E4324" i="44"/>
  <c r="E4325" i="44"/>
  <c r="E4326" i="44"/>
  <c r="E4327" i="44"/>
  <c r="E4328" i="44"/>
  <c r="E4329" i="44"/>
  <c r="E4330" i="44"/>
  <c r="E4331" i="44"/>
  <c r="E4332" i="44"/>
  <c r="E4333" i="44"/>
  <c r="E4334" i="44"/>
  <c r="E4335" i="44"/>
  <c r="E4336" i="44"/>
  <c r="E4337" i="44"/>
  <c r="E4338" i="44"/>
  <c r="E4339" i="44"/>
  <c r="E4340" i="44"/>
  <c r="E4341" i="44"/>
  <c r="E4342" i="44"/>
  <c r="E4343" i="44"/>
  <c r="E4344" i="44"/>
  <c r="E4345" i="44"/>
  <c r="E4346" i="44"/>
  <c r="E4347" i="44"/>
  <c r="E4348" i="44"/>
  <c r="E4349" i="44"/>
  <c r="E4350" i="44"/>
  <c r="E4351" i="44"/>
  <c r="E4352" i="44"/>
  <c r="E4353" i="44"/>
  <c r="E4354" i="44"/>
  <c r="E4355" i="44"/>
  <c r="E4356" i="44"/>
  <c r="E4357" i="44"/>
  <c r="E4358" i="44"/>
  <c r="E4359" i="44"/>
  <c r="E4360" i="44"/>
  <c r="E4361" i="44"/>
  <c r="E4362" i="44"/>
  <c r="E4363" i="44"/>
  <c r="E4364" i="44"/>
  <c r="E4365" i="44"/>
  <c r="E4366" i="44"/>
  <c r="E4367" i="44"/>
  <c r="E4368" i="44"/>
  <c r="E4369" i="44"/>
  <c r="E4370" i="44"/>
  <c r="E4371" i="44"/>
  <c r="E4372" i="44"/>
  <c r="E4373" i="44"/>
  <c r="E4374" i="44"/>
  <c r="E4375" i="44"/>
  <c r="E4376" i="44"/>
  <c r="E4377" i="44"/>
  <c r="E4378" i="44"/>
  <c r="E4379" i="44"/>
  <c r="E4380" i="44"/>
  <c r="E4381" i="44"/>
  <c r="E4382" i="44"/>
  <c r="E4383" i="44"/>
  <c r="E4384" i="44"/>
  <c r="E4385" i="44"/>
  <c r="E4386" i="44"/>
  <c r="E4387" i="44"/>
  <c r="E4388" i="44"/>
  <c r="E4389" i="44"/>
  <c r="E4390" i="44"/>
  <c r="E4391" i="44"/>
  <c r="E4392" i="44"/>
  <c r="E4393" i="44"/>
  <c r="E4394" i="44"/>
  <c r="E4395" i="44"/>
  <c r="E4396" i="44"/>
  <c r="E4397" i="44"/>
  <c r="E4398" i="44"/>
  <c r="E4399" i="44"/>
  <c r="E4400" i="44"/>
  <c r="E4401" i="44"/>
  <c r="E4402" i="44"/>
  <c r="E4403" i="44"/>
  <c r="E4404" i="44"/>
  <c r="E4405" i="44"/>
  <c r="E4406" i="44"/>
  <c r="E4407" i="44"/>
  <c r="E4408" i="44"/>
  <c r="E4409" i="44"/>
  <c r="E4410" i="44"/>
  <c r="E4411" i="44"/>
  <c r="E4412" i="44"/>
  <c r="E4413" i="44"/>
  <c r="E4414" i="44"/>
  <c r="E4415" i="44"/>
  <c r="E4416" i="44"/>
  <c r="E4417" i="44"/>
  <c r="E4418" i="44"/>
  <c r="E4419" i="44"/>
  <c r="E4420" i="44"/>
  <c r="E4421" i="44"/>
  <c r="E4422" i="44"/>
  <c r="E4423" i="44"/>
  <c r="E4424" i="44"/>
  <c r="E4425" i="44"/>
  <c r="E4426" i="44"/>
  <c r="E4427" i="44"/>
  <c r="E4428" i="44"/>
  <c r="E4429" i="44"/>
  <c r="E4430" i="44"/>
  <c r="E4431" i="44"/>
  <c r="E4432" i="44"/>
  <c r="E4433" i="44"/>
  <c r="E4434" i="44"/>
  <c r="E4435" i="44"/>
  <c r="E4436" i="44"/>
  <c r="E4437" i="44"/>
  <c r="E4438" i="44"/>
  <c r="E4439" i="44"/>
  <c r="E4440" i="44"/>
  <c r="E4441" i="44"/>
  <c r="E4442" i="44"/>
  <c r="E4443" i="44"/>
  <c r="E4444" i="44"/>
  <c r="E4445" i="44"/>
  <c r="E4446" i="44"/>
  <c r="E4447" i="44"/>
  <c r="E4448" i="44"/>
  <c r="E4449" i="44"/>
  <c r="E4450" i="44"/>
  <c r="E4451" i="44"/>
  <c r="E4452" i="44"/>
  <c r="E4453" i="44"/>
  <c r="E4454" i="44"/>
  <c r="E4455" i="44"/>
  <c r="E4456" i="44"/>
  <c r="E4457" i="44"/>
  <c r="E4458" i="44"/>
  <c r="E4459" i="44"/>
  <c r="E4460" i="44"/>
  <c r="E4461" i="44"/>
  <c r="E4462" i="44"/>
  <c r="E4463" i="44"/>
  <c r="E4464" i="44"/>
  <c r="E4465" i="44"/>
  <c r="E4466" i="44"/>
  <c r="E4467" i="44"/>
  <c r="E4468" i="44"/>
  <c r="E4469" i="44"/>
  <c r="E4470" i="44"/>
  <c r="E4471" i="44"/>
  <c r="E4472" i="44"/>
  <c r="E4473" i="44"/>
  <c r="E4474" i="44"/>
  <c r="E4475" i="44"/>
  <c r="E4476" i="44"/>
  <c r="E4477" i="44"/>
  <c r="E4478" i="44"/>
  <c r="E4479" i="44"/>
  <c r="E4480" i="44"/>
  <c r="E4481" i="44"/>
  <c r="E4482" i="44"/>
  <c r="E4483" i="44"/>
  <c r="E4484" i="44"/>
  <c r="E4485" i="44"/>
  <c r="E4486" i="44"/>
  <c r="E4487" i="44"/>
  <c r="E4488" i="44"/>
  <c r="E4489" i="44"/>
  <c r="E4490" i="44"/>
  <c r="E4491" i="44"/>
  <c r="E4492" i="44"/>
  <c r="E4493" i="44"/>
  <c r="E4494" i="44"/>
  <c r="E4495" i="44"/>
  <c r="E4496" i="44"/>
  <c r="E4497" i="44"/>
  <c r="E4498" i="44"/>
  <c r="E4499" i="44"/>
  <c r="E4500" i="44"/>
  <c r="E4501" i="44"/>
  <c r="E4502" i="44"/>
  <c r="E4503" i="44"/>
  <c r="E4504" i="44"/>
  <c r="E4505" i="44"/>
  <c r="E4506" i="44"/>
  <c r="E4507" i="44"/>
  <c r="E4508" i="44"/>
  <c r="E4509" i="44"/>
  <c r="E4510" i="44"/>
  <c r="E4511" i="44"/>
  <c r="E4512" i="44"/>
  <c r="E4513" i="44"/>
  <c r="E4514" i="44"/>
  <c r="E4515" i="44"/>
  <c r="E4516" i="44"/>
  <c r="E4517" i="44"/>
  <c r="E4518" i="44"/>
  <c r="E4519" i="44"/>
  <c r="E4520" i="44"/>
  <c r="E4521" i="44"/>
  <c r="E4522" i="44"/>
  <c r="E4523" i="44"/>
  <c r="E4524" i="44"/>
  <c r="E4525" i="44"/>
  <c r="E4526" i="44"/>
  <c r="E4527" i="44"/>
  <c r="E4528" i="44"/>
  <c r="E4529" i="44"/>
  <c r="E4530" i="44"/>
  <c r="E4531" i="44"/>
  <c r="E4532" i="44"/>
  <c r="E4533" i="44"/>
  <c r="E4534" i="44"/>
  <c r="E4535" i="44"/>
  <c r="E4536" i="44"/>
  <c r="E4537" i="44"/>
  <c r="E4538" i="44"/>
  <c r="E4539" i="44"/>
  <c r="E4540" i="44"/>
  <c r="E4541" i="44"/>
  <c r="E4542" i="44"/>
  <c r="E4543" i="44"/>
  <c r="E4544" i="44"/>
  <c r="E4545" i="44"/>
  <c r="E4546" i="44"/>
  <c r="E4547" i="44"/>
  <c r="E4548" i="44"/>
  <c r="E4549" i="44"/>
  <c r="E4550" i="44"/>
  <c r="E4551" i="44"/>
  <c r="E4552" i="44"/>
  <c r="E4553" i="44"/>
  <c r="E4554" i="44"/>
  <c r="E4555" i="44"/>
  <c r="E4556" i="44"/>
  <c r="E4557" i="44"/>
  <c r="E4558" i="44"/>
  <c r="E4559" i="44"/>
  <c r="E4560" i="44"/>
  <c r="E4561" i="44"/>
  <c r="E4562" i="44"/>
  <c r="E4563" i="44"/>
  <c r="E4564" i="44"/>
  <c r="E4565" i="44"/>
  <c r="E4566" i="44"/>
  <c r="E4567" i="44"/>
  <c r="E4568" i="44"/>
  <c r="E4569" i="44"/>
  <c r="E4570" i="44"/>
  <c r="E4571" i="44"/>
  <c r="E4572" i="44"/>
  <c r="E4573" i="44"/>
  <c r="E4574" i="44"/>
  <c r="E4575" i="44"/>
  <c r="E4576" i="44"/>
  <c r="E4577" i="44"/>
  <c r="E4578" i="44"/>
  <c r="E4579" i="44"/>
  <c r="E4580" i="44"/>
  <c r="E4581" i="44"/>
  <c r="E4582" i="44"/>
  <c r="E4583" i="44"/>
  <c r="E4584" i="44"/>
  <c r="E4585" i="44"/>
  <c r="E4586" i="44"/>
  <c r="E4587" i="44"/>
  <c r="E4588" i="44"/>
  <c r="E4589" i="44"/>
  <c r="E4590" i="44"/>
  <c r="E4591" i="44"/>
  <c r="E4592" i="44"/>
  <c r="E4593" i="44"/>
  <c r="E4594" i="44"/>
  <c r="E4595" i="44"/>
  <c r="E4596" i="44"/>
  <c r="E4597" i="44"/>
  <c r="E4598" i="44"/>
  <c r="E4599" i="44"/>
  <c r="E4600" i="44"/>
  <c r="E4601" i="44"/>
  <c r="E4602" i="44"/>
  <c r="E4603" i="44"/>
  <c r="E4604" i="44"/>
  <c r="E4605" i="44"/>
  <c r="E4606" i="44"/>
  <c r="E4607" i="44"/>
  <c r="E4608" i="44"/>
  <c r="E4609" i="44"/>
  <c r="E4610" i="44"/>
  <c r="E4611" i="44"/>
  <c r="E4612" i="44"/>
  <c r="E4613" i="44"/>
  <c r="E4614" i="44"/>
  <c r="E4615" i="44"/>
  <c r="E4616" i="44"/>
  <c r="E4617" i="44"/>
  <c r="E4618" i="44"/>
  <c r="E4619" i="44"/>
  <c r="E4620" i="44"/>
  <c r="E4621" i="44"/>
  <c r="E4622" i="44"/>
  <c r="E4623" i="44"/>
  <c r="E4624" i="44"/>
  <c r="E4625" i="44"/>
  <c r="E4626" i="44"/>
  <c r="E4627" i="44"/>
  <c r="E4628" i="44"/>
  <c r="E4629" i="44"/>
  <c r="E4630" i="44"/>
  <c r="E4631" i="44"/>
  <c r="E4632" i="44"/>
  <c r="E4633" i="44"/>
  <c r="E4634" i="44"/>
  <c r="E4635" i="44"/>
  <c r="E4636" i="44"/>
  <c r="E4637" i="44"/>
  <c r="E4638" i="44"/>
  <c r="E4639" i="44"/>
  <c r="E4640" i="44"/>
  <c r="E4641" i="44"/>
  <c r="E4642" i="44"/>
  <c r="E4643" i="44"/>
  <c r="E4644" i="44"/>
  <c r="E4645" i="44"/>
  <c r="E4646" i="44"/>
  <c r="E4647" i="44"/>
  <c r="E4648" i="44"/>
  <c r="E4649" i="44"/>
  <c r="E4650" i="44"/>
  <c r="E4651" i="44"/>
  <c r="E4652" i="44"/>
  <c r="E4653" i="44"/>
  <c r="E4654" i="44"/>
  <c r="E4655" i="44"/>
  <c r="E4656" i="44"/>
  <c r="E4657" i="44"/>
  <c r="E4658" i="44"/>
  <c r="E4659" i="44"/>
  <c r="E4660" i="44"/>
  <c r="E4661" i="44"/>
  <c r="E4662" i="44"/>
  <c r="E4663" i="44"/>
  <c r="E4664" i="44"/>
  <c r="E4665" i="44"/>
  <c r="E4666" i="44"/>
  <c r="E4667" i="44"/>
  <c r="E4668" i="44"/>
  <c r="E4669" i="44"/>
  <c r="E4670" i="44"/>
  <c r="E4671" i="44"/>
  <c r="E4672" i="44"/>
  <c r="E4673" i="44"/>
  <c r="E4674" i="44"/>
  <c r="E4675" i="44"/>
  <c r="E4676" i="44"/>
  <c r="E4677" i="44"/>
  <c r="E4678" i="44"/>
  <c r="E4679" i="44"/>
  <c r="E4680" i="44"/>
  <c r="E4681" i="44"/>
  <c r="E4682" i="44"/>
  <c r="E4683" i="44"/>
  <c r="E4684" i="44"/>
  <c r="E4685" i="44"/>
  <c r="E4686" i="44"/>
  <c r="E4687" i="44"/>
  <c r="E4688" i="44"/>
  <c r="E4689" i="44"/>
  <c r="E4690" i="44"/>
  <c r="E4691" i="44"/>
  <c r="E4692" i="44"/>
  <c r="E4693" i="44"/>
  <c r="E4694" i="44"/>
  <c r="E4695" i="44"/>
  <c r="E4696" i="44"/>
  <c r="E4697" i="44"/>
  <c r="E4698" i="44"/>
  <c r="E4699" i="44"/>
  <c r="E4700" i="44"/>
  <c r="E4701" i="44"/>
  <c r="E4702" i="44"/>
  <c r="E4703" i="44"/>
  <c r="E4704" i="44"/>
  <c r="E4705" i="44"/>
  <c r="E4706" i="44"/>
  <c r="E4707" i="44"/>
  <c r="E4708" i="44"/>
  <c r="E4709" i="44"/>
  <c r="E4710" i="44"/>
  <c r="E4711" i="44"/>
  <c r="E4712" i="44"/>
  <c r="E4713" i="44"/>
  <c r="E4714" i="44"/>
  <c r="E4715" i="44"/>
  <c r="E4716" i="44"/>
  <c r="E4717" i="44"/>
  <c r="E4718" i="44"/>
  <c r="E4719" i="44"/>
  <c r="E4720" i="44"/>
  <c r="E4721" i="44"/>
  <c r="E4722" i="44"/>
  <c r="E4723" i="44"/>
  <c r="E4724" i="44"/>
  <c r="E4725" i="44"/>
  <c r="E4726" i="44"/>
  <c r="E4727" i="44"/>
  <c r="E4728" i="44"/>
  <c r="E4729" i="44"/>
  <c r="E4730" i="44"/>
  <c r="E4731" i="44"/>
  <c r="E4732" i="44"/>
  <c r="E4733" i="44"/>
  <c r="E4734" i="44"/>
  <c r="E4735" i="44"/>
  <c r="E4736" i="44"/>
  <c r="E4737" i="44"/>
  <c r="E4738" i="44"/>
  <c r="E4739" i="44"/>
  <c r="E4740" i="44"/>
  <c r="E4741" i="44"/>
  <c r="E4742" i="44"/>
  <c r="E4743" i="44"/>
  <c r="E4744" i="44"/>
  <c r="E4745" i="44"/>
  <c r="E4746" i="44"/>
  <c r="E4747" i="44"/>
  <c r="E4748" i="44"/>
  <c r="E4749" i="44"/>
  <c r="E4750" i="44"/>
  <c r="E4751" i="44"/>
  <c r="E4752" i="44"/>
  <c r="E4753" i="44"/>
  <c r="E4754" i="44"/>
  <c r="E4755" i="44"/>
  <c r="E4756" i="44"/>
  <c r="E4757" i="44"/>
  <c r="E4758" i="44"/>
  <c r="E4759" i="44"/>
  <c r="E4760" i="44"/>
  <c r="E4761" i="44"/>
  <c r="E4762" i="44"/>
  <c r="E4763" i="44"/>
  <c r="E4764" i="44"/>
  <c r="E4765" i="44"/>
  <c r="E4766" i="44"/>
  <c r="E4767" i="44"/>
  <c r="E4768" i="44"/>
  <c r="E4769" i="44"/>
  <c r="E4770" i="44"/>
  <c r="E4771" i="44"/>
  <c r="E4772" i="44"/>
  <c r="E4773" i="44"/>
  <c r="E4774" i="44"/>
  <c r="E4775" i="44"/>
  <c r="E4776" i="44"/>
  <c r="E4777" i="44"/>
  <c r="E4778" i="44"/>
  <c r="E4779" i="44"/>
  <c r="E4780" i="44"/>
  <c r="E4781" i="44"/>
  <c r="E4782" i="44"/>
  <c r="E4783" i="44"/>
  <c r="E4784" i="44"/>
  <c r="E4785" i="44"/>
  <c r="E4786" i="44"/>
  <c r="E4787" i="44"/>
  <c r="E4788" i="44"/>
  <c r="E4789" i="44"/>
  <c r="E4790" i="44"/>
  <c r="E4791" i="44"/>
  <c r="E4792" i="44"/>
  <c r="E4793" i="44"/>
  <c r="E4794" i="44"/>
  <c r="E4795" i="44"/>
  <c r="E4796" i="44"/>
  <c r="E4797" i="44"/>
  <c r="E4798" i="44"/>
  <c r="E4799" i="44"/>
  <c r="E4800" i="44"/>
  <c r="E4801" i="44"/>
  <c r="E4802" i="44"/>
  <c r="E4803" i="44"/>
  <c r="E4804" i="44"/>
  <c r="E4805" i="44"/>
  <c r="E4806" i="44"/>
  <c r="E4807" i="44"/>
  <c r="E4808" i="44"/>
  <c r="E4809" i="44"/>
  <c r="E4810" i="44"/>
  <c r="E4811" i="44"/>
  <c r="E4812" i="44"/>
  <c r="E4813" i="44"/>
  <c r="E4814" i="44"/>
  <c r="E4815" i="44"/>
  <c r="E4816" i="44"/>
  <c r="E4817" i="44"/>
  <c r="E4818" i="44"/>
  <c r="E4819" i="44"/>
  <c r="E4820" i="44"/>
  <c r="E4821" i="44"/>
  <c r="E4822" i="44"/>
  <c r="E4823" i="44"/>
  <c r="E4824" i="44"/>
  <c r="E4825" i="44"/>
  <c r="E4826" i="44"/>
  <c r="E4827" i="44"/>
  <c r="E4828" i="44"/>
  <c r="E4829" i="44"/>
  <c r="E4830" i="44"/>
  <c r="E4831" i="44"/>
  <c r="E4832" i="44"/>
  <c r="E4833" i="44"/>
  <c r="E4834" i="44"/>
  <c r="E4835" i="44"/>
  <c r="E4836" i="44"/>
  <c r="E4837" i="44"/>
  <c r="E4838" i="44"/>
  <c r="E4839" i="44"/>
  <c r="E4840" i="44"/>
  <c r="E4841" i="44"/>
  <c r="E4842" i="44"/>
  <c r="E4843" i="44"/>
  <c r="E4844" i="44"/>
  <c r="E4845" i="44"/>
  <c r="E4846" i="44"/>
  <c r="E4847" i="44"/>
  <c r="E4848" i="44"/>
  <c r="E4849" i="44"/>
  <c r="E4850" i="44"/>
  <c r="E4851" i="44"/>
  <c r="E4852" i="44"/>
  <c r="E4853" i="44"/>
  <c r="E4854" i="44"/>
  <c r="E4855" i="44"/>
  <c r="E4856" i="44"/>
  <c r="E4857" i="44"/>
  <c r="E4858" i="44"/>
  <c r="E4859" i="44"/>
  <c r="E4860" i="44"/>
  <c r="E4861" i="44"/>
  <c r="E4862" i="44"/>
  <c r="E4863" i="44"/>
  <c r="E4864" i="44"/>
  <c r="E4865" i="44"/>
  <c r="E4866" i="44"/>
  <c r="E4867" i="44"/>
  <c r="E4868" i="44"/>
  <c r="E4869" i="44"/>
  <c r="E4870" i="44"/>
  <c r="E4871" i="44"/>
  <c r="E4872" i="44"/>
  <c r="E4873" i="44"/>
  <c r="E4874" i="44"/>
  <c r="E4875" i="44"/>
  <c r="E4876" i="44"/>
  <c r="E4877" i="44"/>
  <c r="E4878" i="44"/>
  <c r="E4879" i="44"/>
  <c r="E4880" i="44"/>
  <c r="E4881" i="44"/>
  <c r="E4882" i="44"/>
  <c r="E4883" i="44"/>
  <c r="E4884" i="44"/>
  <c r="E4885" i="44"/>
  <c r="E4886" i="44"/>
  <c r="E4887" i="44"/>
  <c r="E4888" i="44"/>
  <c r="E4889" i="44"/>
  <c r="E4890" i="44"/>
  <c r="E4891" i="44"/>
  <c r="E4892" i="44"/>
  <c r="E4893" i="44"/>
  <c r="E4894" i="44"/>
  <c r="E4895" i="44"/>
  <c r="E4896" i="44"/>
  <c r="E4897" i="44"/>
  <c r="E4898" i="44"/>
  <c r="E4899" i="44"/>
  <c r="E4900" i="44"/>
  <c r="E4901" i="44"/>
  <c r="E4902" i="44"/>
  <c r="E4903" i="44"/>
  <c r="E4904" i="44"/>
  <c r="E4905" i="44"/>
  <c r="E4906" i="44"/>
  <c r="E4907" i="44"/>
  <c r="E4908" i="44"/>
  <c r="E4909" i="44"/>
  <c r="E4910" i="44"/>
  <c r="E4911" i="44"/>
  <c r="E4912" i="44"/>
  <c r="E4913" i="44"/>
  <c r="E4914" i="44"/>
  <c r="E4915" i="44"/>
  <c r="E4916" i="44"/>
  <c r="E4917" i="44"/>
  <c r="E4918" i="44"/>
  <c r="E4919" i="44"/>
  <c r="E4920" i="44"/>
  <c r="E4921" i="44"/>
  <c r="E4922" i="44"/>
  <c r="E4923" i="44"/>
  <c r="E4924" i="44"/>
  <c r="E4925" i="44"/>
  <c r="E4926" i="44"/>
  <c r="E4927" i="44"/>
  <c r="E4928" i="44"/>
  <c r="E4929" i="44"/>
  <c r="E4930" i="44"/>
  <c r="E4931" i="44"/>
  <c r="E4932" i="44"/>
  <c r="E4933" i="44"/>
  <c r="E4934" i="44"/>
  <c r="E4935" i="44"/>
  <c r="E4936" i="44"/>
  <c r="E4937" i="44"/>
  <c r="E4938" i="44"/>
  <c r="E4939" i="44"/>
  <c r="E4940" i="44"/>
  <c r="E4941" i="44"/>
  <c r="E4942" i="44"/>
  <c r="E4943" i="44"/>
  <c r="E4944" i="44"/>
  <c r="E4945" i="44"/>
  <c r="E4946" i="44"/>
  <c r="E4947" i="44"/>
  <c r="E4948" i="44"/>
  <c r="E4949" i="44"/>
  <c r="E4950" i="44"/>
  <c r="E4951" i="44"/>
  <c r="E4952" i="44"/>
  <c r="E4953" i="44"/>
  <c r="E4954" i="44"/>
  <c r="E4955" i="44"/>
  <c r="E4956" i="44"/>
  <c r="E4957" i="44"/>
  <c r="E4958" i="44"/>
  <c r="E4959" i="44"/>
  <c r="E4960" i="44"/>
  <c r="E4961" i="44"/>
  <c r="E4962" i="44"/>
  <c r="E4963" i="44"/>
  <c r="E4964" i="44"/>
  <c r="E4965" i="44"/>
  <c r="E4966" i="44"/>
  <c r="E4967" i="44"/>
  <c r="E4968" i="44"/>
  <c r="E4969" i="44"/>
  <c r="E4970" i="44"/>
  <c r="E4971" i="44"/>
  <c r="E4972" i="44"/>
  <c r="E4973" i="44"/>
  <c r="E4974" i="44"/>
  <c r="E4975" i="44"/>
  <c r="E4976" i="44"/>
  <c r="E4977" i="44"/>
  <c r="E4978" i="44"/>
  <c r="E4979" i="44"/>
  <c r="E4980" i="44"/>
  <c r="E4981" i="44"/>
  <c r="E4982" i="44"/>
  <c r="E4983" i="44"/>
  <c r="E4984" i="44"/>
  <c r="E4985" i="44"/>
  <c r="E4986" i="44"/>
  <c r="E4987" i="44"/>
  <c r="E4988" i="44"/>
  <c r="E4989" i="44"/>
  <c r="E4990" i="44"/>
  <c r="E4991" i="44"/>
  <c r="E4992" i="44"/>
  <c r="E4993" i="44"/>
  <c r="E4994" i="44"/>
  <c r="E4995" i="44"/>
  <c r="E4996" i="44"/>
  <c r="E4997" i="44"/>
  <c r="E4998" i="44"/>
  <c r="E4999" i="44"/>
  <c r="E5000" i="44"/>
  <c r="E5001" i="44"/>
  <c r="E5002" i="44"/>
  <c r="E5003" i="44"/>
  <c r="E5004" i="44"/>
  <c r="E5005" i="44"/>
  <c r="E5006" i="44"/>
  <c r="E5007" i="44"/>
  <c r="E5008" i="44"/>
  <c r="E5009" i="44"/>
  <c r="E5010" i="44"/>
  <c r="E5011" i="44"/>
  <c r="E5012" i="44"/>
  <c r="E5013" i="44"/>
  <c r="E5014" i="44"/>
  <c r="E5015" i="44"/>
  <c r="E5016" i="44"/>
  <c r="E5017" i="44"/>
  <c r="E5018" i="44"/>
  <c r="E5019" i="44"/>
  <c r="E5020" i="44"/>
  <c r="E5021" i="44"/>
  <c r="E5022" i="44"/>
  <c r="E5023" i="44"/>
  <c r="E5024" i="44"/>
  <c r="E5025" i="44"/>
  <c r="E5026" i="44"/>
  <c r="E5027" i="44"/>
  <c r="E5028" i="44"/>
  <c r="E5029" i="44"/>
  <c r="E5030" i="44"/>
  <c r="E5031" i="44"/>
  <c r="E5032" i="44"/>
  <c r="E5033" i="44"/>
  <c r="E5034" i="44"/>
  <c r="E5035" i="44"/>
  <c r="E5036" i="44"/>
  <c r="E5037" i="44"/>
  <c r="E5038" i="44"/>
  <c r="E5039" i="44"/>
  <c r="E5040" i="44"/>
  <c r="E5041" i="44"/>
  <c r="E5042" i="44"/>
  <c r="E5043" i="44"/>
  <c r="E5044" i="44"/>
  <c r="E5045" i="44"/>
  <c r="E5046" i="44"/>
  <c r="E5047" i="44"/>
  <c r="E5048" i="44"/>
  <c r="E5049" i="44"/>
  <c r="E5050" i="44"/>
  <c r="E5051" i="44"/>
  <c r="E5052" i="44"/>
  <c r="E5053" i="44"/>
  <c r="E5054" i="44"/>
  <c r="E5055" i="44"/>
  <c r="E5056" i="44"/>
  <c r="E5057" i="44"/>
  <c r="E5058" i="44"/>
  <c r="E5059" i="44"/>
  <c r="E5060" i="44"/>
  <c r="E5061" i="44"/>
  <c r="E5062" i="44"/>
  <c r="E5063" i="44"/>
  <c r="E5064" i="44"/>
  <c r="E5065" i="44"/>
  <c r="E5066" i="44"/>
  <c r="E5067" i="44"/>
  <c r="E5068" i="44"/>
  <c r="E5069" i="44"/>
  <c r="E5070" i="44"/>
  <c r="E5071" i="44"/>
  <c r="E5072" i="44"/>
  <c r="E5073" i="44"/>
  <c r="E5074" i="44"/>
  <c r="E5075" i="44"/>
  <c r="E5076" i="44"/>
  <c r="E5077" i="44"/>
  <c r="E5078" i="44"/>
  <c r="E5079" i="44"/>
  <c r="E5080" i="44"/>
  <c r="E5081" i="44"/>
  <c r="E5082" i="44"/>
  <c r="E5083" i="44"/>
  <c r="E5084" i="44"/>
  <c r="E5085" i="44"/>
  <c r="E5086" i="44"/>
  <c r="E5087" i="44"/>
  <c r="E5088" i="44"/>
  <c r="E5089" i="44"/>
  <c r="E5090" i="44"/>
  <c r="E5091" i="44"/>
  <c r="E5092" i="44"/>
  <c r="E5093" i="44"/>
  <c r="E5094" i="44"/>
  <c r="E5095" i="44"/>
  <c r="E5096" i="44"/>
  <c r="E5097" i="44"/>
  <c r="E5098" i="44"/>
  <c r="E5099" i="44"/>
  <c r="E5100" i="44"/>
  <c r="E5101" i="44"/>
  <c r="E5102" i="44"/>
  <c r="E5103" i="44"/>
  <c r="E5104" i="44"/>
  <c r="E5105" i="44"/>
  <c r="E5106" i="44"/>
  <c r="E5107" i="44"/>
  <c r="E5108" i="44"/>
  <c r="E5109" i="44"/>
  <c r="E5110" i="44"/>
  <c r="E5111" i="44"/>
  <c r="E5112" i="44"/>
  <c r="E5113" i="44"/>
  <c r="E5114" i="44"/>
  <c r="E5115" i="44"/>
  <c r="E5116" i="44"/>
  <c r="E5117" i="44"/>
  <c r="E5118" i="44"/>
  <c r="E5119" i="44"/>
  <c r="E5120" i="44"/>
  <c r="E5121" i="44"/>
  <c r="E5122" i="44"/>
  <c r="E5123" i="44"/>
  <c r="E5124" i="44"/>
  <c r="E5125" i="44"/>
  <c r="E5126" i="44"/>
  <c r="E5127" i="44"/>
  <c r="E5128" i="44"/>
  <c r="E5129" i="44"/>
  <c r="E5130" i="44"/>
  <c r="E5131" i="44"/>
  <c r="E5132" i="44"/>
  <c r="E5133" i="44"/>
  <c r="E5134" i="44"/>
  <c r="E5135" i="44"/>
  <c r="E5136" i="44"/>
  <c r="E5137" i="44"/>
  <c r="E5138" i="44"/>
  <c r="E5139" i="44"/>
  <c r="E5140" i="44"/>
  <c r="E5141" i="44"/>
  <c r="E5142" i="44"/>
  <c r="E5143" i="44"/>
  <c r="E5144" i="44"/>
  <c r="E5145" i="44"/>
  <c r="E5146" i="44"/>
  <c r="E5147" i="44"/>
  <c r="E5148" i="44"/>
  <c r="E5149" i="44"/>
  <c r="E5150" i="44"/>
  <c r="E5151" i="44"/>
  <c r="E5152" i="44"/>
  <c r="E5153" i="44"/>
  <c r="E5154" i="44"/>
  <c r="E5155" i="44"/>
  <c r="E5156" i="44"/>
  <c r="E5157" i="44"/>
  <c r="E5158" i="44"/>
  <c r="E5159" i="44"/>
  <c r="E5160" i="44"/>
  <c r="E5161" i="44"/>
  <c r="E5162" i="44"/>
  <c r="E5163" i="44"/>
  <c r="E5164" i="44"/>
  <c r="E5165" i="44"/>
  <c r="E5166" i="44"/>
  <c r="E5167" i="44"/>
  <c r="E5168" i="44"/>
  <c r="E5169" i="44"/>
  <c r="E5170" i="44"/>
  <c r="E5171" i="44"/>
  <c r="E5172" i="44"/>
  <c r="E5173" i="44"/>
  <c r="E5174" i="44"/>
  <c r="E5175" i="44"/>
  <c r="E5176" i="44"/>
  <c r="E5177" i="44"/>
  <c r="E5178" i="44"/>
  <c r="E5179" i="44"/>
  <c r="E5180" i="44"/>
  <c r="E5181" i="44"/>
  <c r="E5182" i="44"/>
  <c r="E5183" i="44"/>
  <c r="E5184" i="44"/>
  <c r="E5185" i="44"/>
  <c r="E5186" i="44"/>
  <c r="E5187" i="44"/>
  <c r="E5188" i="44"/>
  <c r="E5189" i="44"/>
  <c r="E5190" i="44"/>
  <c r="E5191" i="44"/>
  <c r="E5192" i="44"/>
  <c r="E5193" i="44"/>
  <c r="E5194" i="44"/>
  <c r="E5195" i="44"/>
  <c r="E5196" i="44"/>
  <c r="E5197" i="44"/>
  <c r="E5198" i="44"/>
  <c r="E5199" i="44"/>
  <c r="E5200" i="44"/>
  <c r="E5201" i="44"/>
  <c r="E5202" i="44"/>
  <c r="E5203" i="44"/>
  <c r="E5204" i="44"/>
  <c r="E5205" i="44"/>
  <c r="E5206" i="44"/>
  <c r="E5207" i="44"/>
  <c r="E5208" i="44"/>
  <c r="E5209" i="44"/>
  <c r="E5210" i="44"/>
  <c r="E5211" i="44"/>
  <c r="E5212" i="44"/>
  <c r="E5213" i="44"/>
  <c r="E5214" i="44"/>
  <c r="E5215" i="44"/>
  <c r="E5216" i="44"/>
  <c r="E5217" i="44"/>
  <c r="E5218" i="44"/>
  <c r="E5219" i="44"/>
  <c r="E5220" i="44"/>
  <c r="E5221" i="44"/>
  <c r="E5222" i="44"/>
  <c r="E5223" i="44"/>
  <c r="E5224" i="44"/>
  <c r="E5225" i="44"/>
  <c r="E5226" i="44"/>
  <c r="E5227" i="44"/>
  <c r="E5228" i="44"/>
  <c r="E5229" i="44"/>
  <c r="E5230" i="44"/>
  <c r="E5231" i="44"/>
  <c r="E5232" i="44"/>
  <c r="E5233" i="44"/>
  <c r="E5234" i="44"/>
  <c r="E5235" i="44"/>
  <c r="E5236" i="44"/>
  <c r="E5237" i="44"/>
  <c r="E5238" i="44"/>
  <c r="E5239" i="44"/>
  <c r="E5240" i="44"/>
  <c r="E5241" i="44"/>
  <c r="E5242" i="44"/>
  <c r="E5243" i="44"/>
  <c r="E5244" i="44"/>
  <c r="E5245" i="44"/>
  <c r="E5246" i="44"/>
  <c r="E5247" i="44"/>
  <c r="E5248" i="44"/>
  <c r="E5249" i="44"/>
  <c r="E5250" i="44"/>
  <c r="E5251" i="44"/>
  <c r="E5252" i="44"/>
  <c r="E5253" i="44"/>
  <c r="E5254" i="44"/>
  <c r="E5255" i="44"/>
  <c r="E5256" i="44"/>
  <c r="E5257" i="44"/>
  <c r="E5258" i="44"/>
  <c r="E5259" i="44"/>
  <c r="E5260" i="44"/>
  <c r="E5261" i="44"/>
  <c r="E5262" i="44"/>
  <c r="E5263" i="44"/>
  <c r="E5264" i="44"/>
  <c r="E5265" i="44"/>
  <c r="E5266" i="44"/>
  <c r="E5267" i="44"/>
  <c r="E5268" i="44"/>
  <c r="E5269" i="44"/>
  <c r="E5270" i="44"/>
  <c r="E5271" i="44"/>
  <c r="E5272" i="44"/>
  <c r="E5273" i="44"/>
  <c r="E5274" i="44"/>
  <c r="E5275" i="44"/>
  <c r="E5276" i="44"/>
  <c r="E5277" i="44"/>
  <c r="E5278" i="44"/>
  <c r="E5279" i="44"/>
  <c r="E5280" i="44"/>
  <c r="E5281" i="44"/>
  <c r="E5282" i="44"/>
  <c r="E5283" i="44"/>
  <c r="E5284" i="44"/>
  <c r="E5285" i="44"/>
  <c r="E5286" i="44"/>
  <c r="E5287" i="44"/>
  <c r="E5288" i="44"/>
  <c r="E5289" i="44"/>
  <c r="E5290" i="44"/>
  <c r="E5291" i="44"/>
  <c r="E5292" i="44"/>
  <c r="E5293" i="44"/>
  <c r="E5294" i="44"/>
  <c r="E5295" i="44"/>
  <c r="E5296" i="44"/>
  <c r="E5297" i="44"/>
  <c r="E5298" i="44"/>
  <c r="E5299" i="44"/>
  <c r="E5300" i="44"/>
  <c r="E5301" i="44"/>
  <c r="E5302" i="44"/>
  <c r="E5303" i="44"/>
  <c r="E5304" i="44"/>
  <c r="E5305" i="44"/>
  <c r="E5306" i="44"/>
  <c r="E5307" i="44"/>
  <c r="E5308" i="44"/>
  <c r="E5309" i="44"/>
  <c r="E5310" i="44"/>
  <c r="E5311" i="44"/>
  <c r="E5312" i="44"/>
  <c r="E5313" i="44"/>
  <c r="E5314" i="44"/>
  <c r="E5315" i="44"/>
  <c r="E5316" i="44"/>
  <c r="E5317" i="44"/>
  <c r="E5318" i="44"/>
  <c r="E5319" i="44"/>
  <c r="E5320" i="44"/>
  <c r="E5321" i="44"/>
  <c r="E5322" i="44"/>
  <c r="E5323" i="44"/>
  <c r="E5324" i="44"/>
  <c r="E5325" i="44"/>
  <c r="E5326" i="44"/>
  <c r="E5327" i="44"/>
  <c r="E5328" i="44"/>
  <c r="E5329" i="44"/>
  <c r="E5330" i="44"/>
  <c r="E5331" i="44"/>
  <c r="E5332" i="44"/>
  <c r="E5333" i="44"/>
  <c r="E5334" i="44"/>
  <c r="E5335" i="44"/>
  <c r="E5336" i="44"/>
  <c r="E5337" i="44"/>
  <c r="E5338" i="44"/>
  <c r="E5339" i="44"/>
  <c r="E5340" i="44"/>
  <c r="E5341" i="44"/>
  <c r="E5342" i="44"/>
  <c r="E5343" i="44"/>
  <c r="E5344" i="44"/>
  <c r="E5345" i="44"/>
  <c r="E5346" i="44"/>
  <c r="E5347" i="44"/>
  <c r="E5348" i="44"/>
  <c r="E5349" i="44"/>
  <c r="E5350" i="44"/>
  <c r="E5351" i="44"/>
  <c r="E5352" i="44"/>
  <c r="E5353" i="44"/>
  <c r="E5354" i="44"/>
  <c r="E5355" i="44"/>
  <c r="E5356" i="44"/>
  <c r="E5357" i="44"/>
  <c r="E5358" i="44"/>
  <c r="E5359" i="44"/>
  <c r="E5360" i="44"/>
  <c r="E5361" i="44"/>
  <c r="E5362" i="44"/>
  <c r="E5363" i="44"/>
  <c r="E5364" i="44"/>
  <c r="E5365" i="44"/>
  <c r="E5366" i="44"/>
  <c r="E5367" i="44"/>
  <c r="E5368" i="44"/>
  <c r="E5369" i="44"/>
  <c r="E5370" i="44"/>
  <c r="E5371" i="44"/>
  <c r="E5372" i="44"/>
  <c r="E5373" i="44"/>
  <c r="E5374" i="44"/>
  <c r="E5375" i="44"/>
  <c r="E5376" i="44"/>
  <c r="E5377" i="44"/>
  <c r="E5378" i="44"/>
  <c r="E5379" i="44"/>
  <c r="E5380" i="44"/>
  <c r="E5381" i="44"/>
  <c r="E5382" i="44"/>
  <c r="E5383" i="44"/>
  <c r="E5384" i="44"/>
  <c r="E5385" i="44"/>
  <c r="E5386" i="44"/>
  <c r="E5387" i="44"/>
  <c r="E5388" i="44"/>
  <c r="E5389" i="44"/>
  <c r="E5390" i="44"/>
  <c r="E5391" i="44"/>
  <c r="E5392" i="44"/>
  <c r="E5393" i="44"/>
  <c r="E5394" i="44"/>
  <c r="E5395" i="44"/>
  <c r="E5396" i="44"/>
  <c r="E5397" i="44"/>
  <c r="E5398" i="44"/>
  <c r="E5399" i="44"/>
  <c r="E5400" i="44"/>
  <c r="E5401" i="44"/>
  <c r="E5402" i="44"/>
  <c r="E5403" i="44"/>
  <c r="E5404" i="44"/>
  <c r="E5405" i="44"/>
  <c r="E5406" i="44"/>
  <c r="E5407" i="44"/>
  <c r="E5408" i="44"/>
  <c r="E5409" i="44"/>
  <c r="E5410" i="44"/>
  <c r="E5411" i="44"/>
  <c r="E5412" i="44"/>
  <c r="E5413" i="44"/>
  <c r="E5414" i="44"/>
  <c r="E5415" i="44"/>
  <c r="E5416" i="44"/>
  <c r="E5417" i="44"/>
  <c r="E5418" i="44"/>
  <c r="E5419" i="44"/>
  <c r="E5420" i="44"/>
  <c r="E5421" i="44"/>
  <c r="E5422" i="44"/>
  <c r="E5423" i="44"/>
  <c r="E5424" i="44"/>
  <c r="E5425" i="44"/>
  <c r="E5426" i="44"/>
  <c r="E5427" i="44"/>
  <c r="E5428" i="44"/>
  <c r="E5429" i="44"/>
  <c r="E5430" i="44"/>
  <c r="E5431" i="44"/>
  <c r="E5432" i="44"/>
  <c r="E5433" i="44"/>
  <c r="E5434" i="44"/>
  <c r="E5435" i="44"/>
  <c r="E5436" i="44"/>
  <c r="E5437" i="44"/>
  <c r="E5438" i="44"/>
  <c r="E5439" i="44"/>
  <c r="E5440" i="44"/>
  <c r="E5441" i="44"/>
  <c r="E5442" i="44"/>
  <c r="E5443" i="44"/>
  <c r="E5444" i="44"/>
  <c r="E5445" i="44"/>
  <c r="E5446" i="44"/>
  <c r="E5447" i="44"/>
  <c r="E5448" i="44"/>
  <c r="E5449" i="44"/>
  <c r="E5450" i="44"/>
  <c r="E5451" i="44"/>
  <c r="E5452" i="44"/>
  <c r="E5453" i="44"/>
  <c r="E5454" i="44"/>
  <c r="E5455" i="44"/>
  <c r="E5456" i="44"/>
  <c r="E5457" i="44"/>
  <c r="E5458" i="44"/>
  <c r="E5459" i="44"/>
  <c r="E5460" i="44"/>
  <c r="E5461" i="44"/>
  <c r="E5462" i="44"/>
  <c r="E5463" i="44"/>
  <c r="E5464" i="44"/>
  <c r="E5465" i="44"/>
  <c r="E5466" i="44"/>
  <c r="E5467" i="44"/>
  <c r="E5468" i="44"/>
  <c r="E5469" i="44"/>
  <c r="E5470" i="44"/>
  <c r="E5471" i="44"/>
  <c r="E5472" i="44"/>
  <c r="E5473" i="44"/>
  <c r="E5474" i="44"/>
  <c r="E5475" i="44"/>
  <c r="E5476" i="44"/>
  <c r="E5477" i="44"/>
  <c r="E5478" i="44"/>
  <c r="E5479" i="44"/>
  <c r="E5480" i="44"/>
  <c r="E5481" i="44"/>
  <c r="E5482" i="44"/>
  <c r="E5483" i="44"/>
  <c r="E5484" i="44"/>
  <c r="E5485" i="44"/>
  <c r="E5486" i="44"/>
  <c r="E5487" i="44"/>
  <c r="E5488" i="44"/>
  <c r="E5489" i="44"/>
  <c r="E5490" i="44"/>
  <c r="E5491" i="44"/>
  <c r="E5492" i="44"/>
  <c r="E5493" i="44"/>
  <c r="E5494" i="44"/>
  <c r="E5495" i="44"/>
  <c r="E5496" i="44"/>
  <c r="E5497" i="44"/>
  <c r="E5498" i="44"/>
  <c r="E5499" i="44"/>
  <c r="E5500" i="44"/>
  <c r="E5501" i="44"/>
  <c r="E5502" i="44"/>
  <c r="E5503" i="44"/>
  <c r="E5504" i="44"/>
  <c r="E5505" i="44"/>
  <c r="E5506" i="44"/>
  <c r="E5507" i="44"/>
  <c r="E5508" i="44"/>
  <c r="E5509" i="44"/>
  <c r="E5510" i="44"/>
  <c r="E5511" i="44"/>
  <c r="E5512" i="44"/>
  <c r="E5513" i="44"/>
  <c r="E5514" i="44"/>
  <c r="E5515" i="44"/>
  <c r="E5516" i="44"/>
  <c r="E5517" i="44"/>
  <c r="E5518" i="44"/>
  <c r="E5519" i="44"/>
  <c r="E5520" i="44"/>
  <c r="E5521" i="44"/>
  <c r="E5522" i="44"/>
  <c r="E5523" i="44"/>
  <c r="E5524" i="44"/>
  <c r="E5525" i="44"/>
  <c r="E5526" i="44"/>
  <c r="E5527" i="44"/>
  <c r="E5528" i="44"/>
  <c r="E5529" i="44"/>
  <c r="E5530" i="44"/>
  <c r="E5531" i="44"/>
  <c r="E5532" i="44"/>
  <c r="E5533" i="44"/>
  <c r="E5534" i="44"/>
  <c r="E5535" i="44"/>
  <c r="E5536" i="44"/>
  <c r="E5537" i="44"/>
  <c r="E5538" i="44"/>
  <c r="E5539" i="44"/>
  <c r="E5540" i="44"/>
  <c r="E5541" i="44"/>
  <c r="E5542" i="44"/>
  <c r="E5543" i="44"/>
  <c r="E5544" i="44"/>
  <c r="E5545" i="44"/>
  <c r="E5546" i="44"/>
  <c r="E5547" i="44"/>
  <c r="E5548" i="44"/>
  <c r="E5549" i="44"/>
  <c r="E5550" i="44"/>
  <c r="E5551" i="44"/>
  <c r="E5552" i="44"/>
  <c r="E5553" i="44"/>
  <c r="E5554" i="44"/>
  <c r="E5555" i="44"/>
  <c r="E5556" i="44"/>
  <c r="E5557" i="44"/>
  <c r="E5558" i="44"/>
  <c r="E5559" i="44"/>
  <c r="E5560" i="44"/>
  <c r="E5561" i="44"/>
  <c r="E5562" i="44"/>
  <c r="E5563" i="44"/>
  <c r="E5564" i="44"/>
  <c r="E5565" i="44"/>
  <c r="E5566" i="44"/>
  <c r="E5567" i="44"/>
  <c r="E5568" i="44"/>
  <c r="E5569" i="44"/>
  <c r="E5570" i="44"/>
  <c r="E5571" i="44"/>
  <c r="E5572" i="44"/>
  <c r="E5573" i="44"/>
  <c r="E5574" i="44"/>
  <c r="E5575" i="44"/>
  <c r="E5576" i="44"/>
  <c r="E5577" i="44"/>
  <c r="E5578" i="44"/>
  <c r="E5579" i="44"/>
  <c r="E5580" i="44"/>
  <c r="E5581" i="44"/>
  <c r="E5582" i="44"/>
  <c r="E5583" i="44"/>
  <c r="E5584" i="44"/>
  <c r="E5585" i="44"/>
  <c r="E5586" i="44"/>
  <c r="E5587" i="44"/>
  <c r="E5588" i="44"/>
  <c r="E5589" i="44"/>
  <c r="E5590" i="44"/>
  <c r="E5591" i="44"/>
  <c r="E5592" i="44"/>
  <c r="E5593" i="44"/>
  <c r="E5594" i="44"/>
  <c r="E5595" i="44"/>
  <c r="E5596" i="44"/>
  <c r="E5597" i="44"/>
  <c r="E5598" i="44"/>
  <c r="E5599" i="44"/>
  <c r="E5600" i="44"/>
  <c r="E5601" i="44"/>
  <c r="E5602" i="44"/>
  <c r="E5603" i="44"/>
  <c r="E5604" i="44"/>
  <c r="E5605" i="44"/>
  <c r="E5606" i="44"/>
  <c r="E5607" i="44"/>
  <c r="E5608" i="44"/>
  <c r="E5609" i="44"/>
  <c r="E5610" i="44"/>
  <c r="E5611" i="44"/>
  <c r="E5612" i="44"/>
  <c r="E5613" i="44"/>
  <c r="E5614" i="44"/>
  <c r="E5615" i="44"/>
  <c r="E5616" i="44"/>
  <c r="E5617" i="44"/>
  <c r="E5618" i="44"/>
  <c r="E5619" i="44"/>
  <c r="E5620" i="44"/>
  <c r="E5621" i="44"/>
  <c r="E5622" i="44"/>
  <c r="E5623" i="44"/>
  <c r="E5624" i="44"/>
  <c r="E5625" i="44"/>
  <c r="E5626" i="44"/>
  <c r="E5627" i="44"/>
  <c r="E5628" i="44"/>
  <c r="E5629" i="44"/>
  <c r="E5630" i="44"/>
  <c r="E5631" i="44"/>
  <c r="E5632" i="44"/>
  <c r="E5633" i="44"/>
  <c r="E5634" i="44"/>
  <c r="E5635" i="44"/>
  <c r="E5636" i="44"/>
  <c r="E5637" i="44"/>
  <c r="E5638" i="44"/>
  <c r="E5639" i="44"/>
  <c r="E5640" i="44"/>
  <c r="E5641" i="44"/>
  <c r="E5642" i="44"/>
  <c r="E5643" i="44"/>
  <c r="E5644" i="44"/>
  <c r="E5645" i="44"/>
  <c r="E5646" i="44"/>
  <c r="E5647" i="44"/>
  <c r="E5648" i="44"/>
  <c r="E5649" i="44"/>
  <c r="E5650" i="44"/>
  <c r="E5651" i="44"/>
  <c r="E5652" i="44"/>
  <c r="E5653" i="44"/>
  <c r="E5654" i="44"/>
  <c r="E5655" i="44"/>
  <c r="E5656" i="44"/>
  <c r="E5657" i="44"/>
  <c r="E5658" i="44"/>
  <c r="E5659" i="44"/>
  <c r="E5660" i="44"/>
  <c r="E5661" i="44"/>
  <c r="E5662" i="44"/>
  <c r="E5663" i="44"/>
  <c r="E5664" i="44"/>
  <c r="E5665" i="44"/>
  <c r="E5666" i="44"/>
  <c r="E5667" i="44"/>
  <c r="E5668" i="44"/>
  <c r="E5669" i="44"/>
  <c r="E5670" i="44"/>
  <c r="E5671" i="44"/>
  <c r="E5672" i="44"/>
  <c r="E5673" i="44"/>
  <c r="E5674" i="44"/>
  <c r="E5675" i="44"/>
  <c r="E5676" i="44"/>
  <c r="E5677" i="44"/>
  <c r="E5678" i="44"/>
  <c r="E5679" i="44"/>
  <c r="E5680" i="44"/>
  <c r="E5681" i="44"/>
  <c r="E5682" i="44"/>
  <c r="E5683" i="44"/>
  <c r="E5684" i="44"/>
  <c r="E5685" i="44"/>
  <c r="E5686" i="44"/>
  <c r="E5687" i="44"/>
  <c r="E5688" i="44"/>
  <c r="E5689" i="44"/>
  <c r="E5690" i="44"/>
  <c r="E5691" i="44"/>
  <c r="E5692" i="44"/>
  <c r="E5693" i="44"/>
  <c r="E5694" i="44"/>
  <c r="E5695" i="44"/>
  <c r="E5696" i="44"/>
  <c r="E5697" i="44"/>
  <c r="E5698" i="44"/>
  <c r="E5699" i="44"/>
  <c r="E5700" i="44"/>
  <c r="E5701" i="44"/>
  <c r="E5702" i="44"/>
  <c r="E5703" i="44"/>
  <c r="E5704" i="44"/>
  <c r="E5705" i="44"/>
  <c r="E5706" i="44"/>
  <c r="E5707" i="44"/>
  <c r="E5708" i="44"/>
  <c r="E5709" i="44"/>
  <c r="E5710" i="44"/>
  <c r="E5711" i="44"/>
  <c r="E5712" i="44"/>
  <c r="E5713" i="44"/>
  <c r="E5714" i="44"/>
  <c r="E5715" i="44"/>
  <c r="E5716" i="44"/>
  <c r="E5717" i="44"/>
  <c r="E5718" i="44"/>
  <c r="E5719" i="44"/>
  <c r="E5720" i="44"/>
  <c r="E5721" i="44"/>
  <c r="E5722" i="44"/>
  <c r="E5723" i="44"/>
  <c r="E5724" i="44"/>
  <c r="E5725" i="44"/>
  <c r="E5726" i="44"/>
  <c r="E5727" i="44"/>
  <c r="E5728" i="44"/>
  <c r="E5729" i="44"/>
  <c r="E5730" i="44"/>
  <c r="E5731" i="44"/>
  <c r="E5732" i="44"/>
  <c r="E5733" i="44"/>
  <c r="E5734" i="44"/>
  <c r="E5735" i="44"/>
  <c r="E5736" i="44"/>
  <c r="E5737" i="44"/>
  <c r="E5738" i="44"/>
  <c r="E5739" i="44"/>
  <c r="E5740" i="44"/>
  <c r="E5741" i="44"/>
  <c r="E5742" i="44"/>
  <c r="E5743" i="44"/>
  <c r="E5744" i="44"/>
  <c r="E5745" i="44"/>
  <c r="E5746" i="44"/>
  <c r="E5747" i="44"/>
  <c r="E5748" i="44"/>
  <c r="E5749" i="44"/>
  <c r="E5750" i="44"/>
  <c r="E5751" i="44"/>
  <c r="E5752" i="44"/>
  <c r="E5753" i="44"/>
  <c r="E5754" i="44"/>
  <c r="E5755" i="44"/>
  <c r="E5756" i="44"/>
  <c r="E5757" i="44"/>
  <c r="E5758" i="44"/>
  <c r="E5759" i="44"/>
  <c r="E5760" i="44"/>
  <c r="E5761" i="44"/>
  <c r="E5762" i="44"/>
  <c r="E5763" i="44"/>
  <c r="E5764" i="44"/>
  <c r="E5765" i="44"/>
  <c r="E5766" i="44"/>
  <c r="E5767" i="44"/>
  <c r="E5768" i="44"/>
  <c r="E5769" i="44"/>
  <c r="E5770" i="44"/>
  <c r="E5771" i="44"/>
  <c r="E5772" i="44"/>
  <c r="E5773" i="44"/>
  <c r="E5774" i="44"/>
  <c r="E5775" i="44"/>
  <c r="E5776" i="44"/>
  <c r="E5777" i="44"/>
  <c r="E5778" i="44"/>
  <c r="E5779" i="44"/>
  <c r="E5780" i="44"/>
  <c r="E5781" i="44"/>
  <c r="E5782" i="44"/>
  <c r="E5783" i="44"/>
  <c r="E5784" i="44"/>
  <c r="E5785" i="44"/>
  <c r="E5786" i="44"/>
  <c r="E5787" i="44"/>
  <c r="E5788" i="44"/>
  <c r="E5789" i="44"/>
  <c r="E5790" i="44"/>
  <c r="E5791" i="44"/>
  <c r="E5792" i="44"/>
  <c r="E5793" i="44"/>
  <c r="E5794" i="44"/>
  <c r="E5795" i="44"/>
  <c r="E5796" i="44"/>
  <c r="E5797" i="44"/>
  <c r="E5798" i="44"/>
  <c r="E5799" i="44"/>
  <c r="E5800" i="44"/>
  <c r="E5801" i="44"/>
  <c r="E5802" i="44"/>
  <c r="E5803" i="44"/>
  <c r="E5804" i="44"/>
  <c r="E5805" i="44"/>
  <c r="E5806" i="44"/>
  <c r="E5807" i="44"/>
  <c r="E5808" i="44"/>
  <c r="E5809" i="44"/>
  <c r="E5810" i="44"/>
  <c r="E5811" i="44"/>
  <c r="E5812" i="44"/>
  <c r="E5813" i="44"/>
  <c r="E5814" i="44"/>
  <c r="E5815" i="44"/>
  <c r="E5816" i="44"/>
  <c r="E5817" i="44"/>
  <c r="E5818" i="44"/>
  <c r="E5819" i="44"/>
  <c r="E5820" i="44"/>
  <c r="E5821" i="44"/>
  <c r="E5822" i="44"/>
  <c r="E5823" i="44"/>
  <c r="E5824" i="44"/>
  <c r="E5825" i="44"/>
  <c r="E5826" i="44"/>
  <c r="E5827" i="44"/>
  <c r="E5828" i="44"/>
  <c r="E5829" i="44"/>
  <c r="E5830" i="44"/>
  <c r="E5831" i="44"/>
  <c r="E5832" i="44"/>
  <c r="E5833" i="44"/>
  <c r="E5834" i="44"/>
  <c r="E5835" i="44"/>
  <c r="E5836" i="44"/>
  <c r="E5837" i="44"/>
  <c r="E5838" i="44"/>
  <c r="E5839" i="44"/>
  <c r="E5840" i="44"/>
  <c r="E5841" i="44"/>
  <c r="E5842" i="44"/>
  <c r="E5843" i="44"/>
  <c r="E5844" i="44"/>
  <c r="E5845" i="44"/>
  <c r="E5846" i="44"/>
  <c r="E5847" i="44"/>
  <c r="E5848" i="44"/>
  <c r="E5849" i="44"/>
  <c r="E5850" i="44"/>
  <c r="E5851" i="44"/>
  <c r="E5852" i="44"/>
  <c r="E5853" i="44"/>
  <c r="E5854" i="44"/>
  <c r="E5855" i="44"/>
  <c r="E5856" i="44"/>
  <c r="E5857" i="44"/>
  <c r="E5858" i="44"/>
  <c r="E5859" i="44"/>
  <c r="E5860" i="44"/>
  <c r="E5861" i="44"/>
  <c r="E5862" i="44"/>
  <c r="E5863" i="44"/>
  <c r="E5864" i="44"/>
  <c r="E5865" i="44"/>
  <c r="E5866" i="44"/>
  <c r="E5867" i="44"/>
  <c r="E5868" i="44"/>
  <c r="E5869" i="44"/>
  <c r="E5870" i="44"/>
  <c r="E5871" i="44"/>
  <c r="E5872" i="44"/>
  <c r="E5873" i="44"/>
  <c r="E5874" i="44"/>
  <c r="E5875" i="44"/>
  <c r="E5876" i="44"/>
  <c r="E5877" i="44"/>
  <c r="E5878" i="44"/>
  <c r="E5879" i="44"/>
  <c r="E5880" i="44"/>
  <c r="E5881" i="44"/>
  <c r="E5882" i="44"/>
  <c r="E5883" i="44"/>
  <c r="E5884" i="44"/>
  <c r="E5885" i="44"/>
  <c r="E5886" i="44"/>
  <c r="E5887" i="44"/>
  <c r="E5888" i="44"/>
  <c r="E5889" i="44"/>
  <c r="E5890" i="44"/>
  <c r="E5891" i="44"/>
  <c r="E5892" i="44"/>
  <c r="E5893" i="44"/>
  <c r="E5894" i="44"/>
  <c r="E5895" i="44"/>
  <c r="E5896" i="44"/>
  <c r="E5897" i="44"/>
  <c r="E5898" i="44"/>
  <c r="E5899" i="44"/>
  <c r="E5900" i="44"/>
  <c r="E5901" i="44"/>
  <c r="E5902" i="44"/>
  <c r="E5903" i="44"/>
  <c r="E5904" i="44"/>
  <c r="E5905" i="44"/>
  <c r="E5906" i="44"/>
  <c r="E5907" i="44"/>
  <c r="E5908" i="44"/>
  <c r="E5909" i="44"/>
  <c r="E5910" i="44"/>
  <c r="E5911" i="44"/>
  <c r="E5912" i="44"/>
  <c r="E5913" i="44"/>
  <c r="E5914" i="44"/>
  <c r="E5915" i="44"/>
  <c r="E5916" i="44"/>
  <c r="E5917" i="44"/>
  <c r="E5918" i="44"/>
  <c r="E5919" i="44"/>
  <c r="E5920" i="44"/>
  <c r="E5921" i="44"/>
  <c r="E5922" i="44"/>
  <c r="E5923" i="44"/>
  <c r="E5924" i="44"/>
  <c r="E5925" i="44"/>
  <c r="E5926" i="44"/>
  <c r="E5927" i="44"/>
  <c r="E5928" i="44"/>
  <c r="E5929" i="44"/>
  <c r="E5930" i="44"/>
  <c r="E5931" i="44"/>
  <c r="E5932" i="44"/>
  <c r="E5933" i="44"/>
  <c r="E5934" i="44"/>
  <c r="E5935" i="44"/>
  <c r="E5936" i="44"/>
  <c r="E5937" i="44"/>
  <c r="E5938" i="44"/>
  <c r="E5939" i="44"/>
  <c r="E5940" i="44"/>
  <c r="E5941" i="44"/>
  <c r="E5942" i="44"/>
  <c r="E5943" i="44"/>
  <c r="E5944" i="44"/>
  <c r="E5945" i="44"/>
  <c r="E5946" i="44"/>
  <c r="E5947" i="44"/>
  <c r="E5948" i="44"/>
  <c r="E5949" i="44"/>
  <c r="E5950" i="44"/>
  <c r="E5951" i="44"/>
  <c r="E5952" i="44"/>
  <c r="E5953" i="44"/>
  <c r="E5954" i="44"/>
  <c r="E5955" i="44"/>
  <c r="E5956" i="44"/>
  <c r="E5957" i="44"/>
  <c r="E5958" i="44"/>
  <c r="E5959" i="44"/>
  <c r="E5960" i="44"/>
  <c r="E5961" i="44"/>
  <c r="E5962" i="44"/>
  <c r="E5963" i="44"/>
  <c r="E5964" i="44"/>
  <c r="E5965" i="44"/>
  <c r="E5966" i="44"/>
  <c r="E5967" i="44"/>
  <c r="E5968" i="44"/>
  <c r="E5969" i="44"/>
  <c r="E5970" i="44"/>
  <c r="E5971" i="44"/>
  <c r="E5972" i="44"/>
  <c r="E5973" i="44"/>
  <c r="E5974" i="44"/>
  <c r="E5975" i="44"/>
  <c r="E5976" i="44"/>
  <c r="E5977" i="44"/>
  <c r="E5978" i="44"/>
  <c r="E5979" i="44"/>
  <c r="E5980" i="44"/>
  <c r="E5981" i="44"/>
  <c r="E5982" i="44"/>
  <c r="E5983" i="44"/>
  <c r="E5984" i="44"/>
  <c r="E5985" i="44"/>
  <c r="E5986" i="44"/>
  <c r="E5987" i="44"/>
  <c r="E5988" i="44"/>
  <c r="E5989" i="44"/>
  <c r="E5990" i="44"/>
  <c r="E5991" i="44"/>
  <c r="E5992" i="44"/>
  <c r="E5993" i="44"/>
  <c r="E5994" i="44"/>
  <c r="E5995" i="44"/>
  <c r="E5996" i="44"/>
  <c r="E5997" i="44"/>
  <c r="E5998" i="44"/>
  <c r="E5999" i="44"/>
  <c r="E6000" i="44"/>
  <c r="E6001" i="44"/>
  <c r="E6002" i="44"/>
  <c r="E6003" i="44"/>
  <c r="E6004" i="44"/>
  <c r="E6005" i="44"/>
  <c r="E6006" i="44"/>
  <c r="E6007" i="44"/>
  <c r="E6008" i="44"/>
  <c r="E6009" i="44"/>
  <c r="E6010" i="44"/>
  <c r="E6011" i="44"/>
  <c r="E6012" i="44"/>
  <c r="E6013" i="44"/>
  <c r="E6014" i="44"/>
  <c r="E6015" i="44"/>
  <c r="E6016" i="44"/>
  <c r="E6017" i="44"/>
  <c r="E6018" i="44"/>
  <c r="E6019" i="44"/>
  <c r="E6020" i="44"/>
  <c r="E6021" i="44"/>
  <c r="E6022" i="44"/>
  <c r="E6023" i="44"/>
  <c r="E6024" i="44"/>
  <c r="E6025" i="44"/>
  <c r="E6026" i="44"/>
  <c r="E6027" i="44"/>
  <c r="E6028" i="44"/>
  <c r="E6029" i="44"/>
  <c r="E6030" i="44"/>
  <c r="E6031" i="44"/>
  <c r="E6032" i="44"/>
  <c r="E6033" i="44"/>
  <c r="E6034" i="44"/>
  <c r="E6035" i="44"/>
  <c r="E6036" i="44"/>
  <c r="E6037" i="44"/>
  <c r="E6038" i="44"/>
  <c r="E6039" i="44"/>
  <c r="E6040" i="44"/>
  <c r="E6041" i="44"/>
  <c r="E6042" i="44"/>
  <c r="E6043" i="44"/>
  <c r="E6044" i="44"/>
  <c r="E6045" i="44"/>
  <c r="E6046" i="44"/>
  <c r="E6047" i="44"/>
  <c r="E6048" i="44"/>
  <c r="E6049" i="44"/>
  <c r="E6050" i="44"/>
  <c r="E6051" i="44"/>
  <c r="E6052" i="44"/>
  <c r="E6053" i="44"/>
  <c r="E6054" i="44"/>
  <c r="E6055" i="44"/>
  <c r="E6056" i="44"/>
  <c r="E6057" i="44"/>
  <c r="E6058" i="44"/>
  <c r="E6059" i="44"/>
  <c r="E6060" i="44"/>
  <c r="E6061" i="44"/>
  <c r="E6062" i="44"/>
  <c r="E6063" i="44"/>
  <c r="E6064" i="44"/>
  <c r="E6065" i="44"/>
  <c r="E6066" i="44"/>
  <c r="E6067" i="44"/>
  <c r="E6068" i="44"/>
  <c r="E6069" i="44"/>
  <c r="E6070" i="44"/>
  <c r="E6071" i="44"/>
  <c r="E6072" i="44"/>
  <c r="E6073" i="44"/>
  <c r="E6074" i="44"/>
  <c r="E6075" i="44"/>
  <c r="E6076" i="44"/>
  <c r="E6077" i="44"/>
  <c r="E6078" i="44"/>
  <c r="E6079" i="44"/>
  <c r="E6080" i="44"/>
  <c r="E6081" i="44"/>
  <c r="E6082" i="44"/>
  <c r="E6083" i="44"/>
  <c r="E6084" i="44"/>
  <c r="E6085" i="44"/>
  <c r="E6086" i="44"/>
  <c r="E6087" i="44"/>
  <c r="E6088" i="44"/>
  <c r="E6089" i="44"/>
  <c r="E6090" i="44"/>
  <c r="E6091" i="44"/>
  <c r="E6092" i="44"/>
  <c r="E6093" i="44"/>
  <c r="E6094" i="44"/>
  <c r="E6095" i="44"/>
  <c r="E6096" i="44"/>
  <c r="E6097" i="44"/>
  <c r="E6098" i="44"/>
  <c r="E6099" i="44"/>
  <c r="E6100" i="44"/>
  <c r="E6101" i="44"/>
  <c r="E6102" i="44"/>
  <c r="E6103" i="44"/>
  <c r="E6104" i="44"/>
  <c r="E6105" i="44"/>
  <c r="E6106" i="44"/>
  <c r="E6107" i="44"/>
  <c r="E6108" i="44"/>
  <c r="E6109" i="44"/>
  <c r="E6110" i="44"/>
  <c r="E6111" i="44"/>
  <c r="E6112" i="44"/>
  <c r="E6113" i="44"/>
  <c r="E6114" i="44"/>
  <c r="E6115" i="44"/>
  <c r="E6116" i="44"/>
  <c r="E6117" i="44"/>
  <c r="E6118" i="44"/>
  <c r="E6119" i="44"/>
  <c r="E6120" i="44"/>
  <c r="E6121" i="44"/>
  <c r="E6122" i="44"/>
  <c r="E6123" i="44"/>
  <c r="E6124" i="44"/>
  <c r="E6125" i="44"/>
  <c r="E6126" i="44"/>
  <c r="E6127" i="44"/>
  <c r="E6128" i="44"/>
  <c r="E6129" i="44"/>
  <c r="E6130" i="44"/>
  <c r="E6131" i="44"/>
  <c r="E6132" i="44"/>
  <c r="E6133" i="44"/>
  <c r="E6134" i="44"/>
  <c r="E6135" i="44"/>
  <c r="E6136" i="44"/>
  <c r="E6137" i="44"/>
  <c r="E6138" i="44"/>
  <c r="E6139" i="44"/>
  <c r="E6140" i="44"/>
  <c r="E6141" i="44"/>
  <c r="E6142" i="44"/>
  <c r="E6143" i="44"/>
  <c r="E6144" i="44"/>
  <c r="E6145" i="44"/>
  <c r="E6146" i="44"/>
  <c r="E6147" i="44"/>
  <c r="E6148" i="44"/>
  <c r="E6149" i="44"/>
  <c r="E6150" i="44"/>
  <c r="E6151" i="44"/>
  <c r="E6152" i="44"/>
  <c r="E6153" i="44"/>
  <c r="E6154" i="44"/>
  <c r="E6155" i="44"/>
  <c r="E6156" i="44"/>
  <c r="E6157" i="44"/>
  <c r="E6158" i="44"/>
  <c r="E6159" i="44"/>
  <c r="E6160" i="44"/>
  <c r="E6161" i="44"/>
  <c r="E6162" i="44"/>
  <c r="E6163" i="44"/>
  <c r="E6164" i="44"/>
  <c r="E6165" i="44"/>
  <c r="E6166" i="44"/>
  <c r="E6167" i="44"/>
  <c r="E6168" i="44"/>
  <c r="E6169" i="44"/>
  <c r="E6170" i="44"/>
  <c r="E6171" i="44"/>
  <c r="E6172" i="44"/>
  <c r="E6173" i="44"/>
  <c r="E6174" i="44"/>
  <c r="E6175" i="44"/>
  <c r="E6176" i="44"/>
  <c r="E6177" i="44"/>
  <c r="E6178" i="44"/>
  <c r="E6179" i="44"/>
  <c r="E6180" i="44"/>
  <c r="E6181" i="44"/>
  <c r="E6182" i="44"/>
  <c r="E6183" i="44"/>
  <c r="E6184" i="44"/>
  <c r="E6185" i="44"/>
  <c r="E6186" i="44"/>
  <c r="E6187" i="44"/>
  <c r="E6188" i="44"/>
  <c r="E6189" i="44"/>
  <c r="E6190" i="44"/>
  <c r="E6191" i="44"/>
  <c r="E6192" i="44"/>
  <c r="E6193" i="44"/>
  <c r="E6194" i="44"/>
  <c r="E6195" i="44"/>
  <c r="E6196" i="44"/>
  <c r="E6197" i="44"/>
  <c r="E6198" i="44"/>
  <c r="E6199" i="44"/>
  <c r="E6200" i="44"/>
  <c r="E6201" i="44"/>
  <c r="E6202" i="44"/>
  <c r="E6203" i="44"/>
  <c r="E6204" i="44"/>
  <c r="E6205" i="44"/>
  <c r="E6206" i="44"/>
  <c r="E6207" i="44"/>
  <c r="E6208" i="44"/>
  <c r="E6209" i="44"/>
  <c r="E6210" i="44"/>
  <c r="E6211" i="44"/>
  <c r="E6212" i="44"/>
  <c r="E6213" i="44"/>
  <c r="E6214" i="44"/>
  <c r="E6215" i="44"/>
  <c r="E6216" i="44"/>
  <c r="E6217" i="44"/>
  <c r="E6218" i="44"/>
  <c r="E6219" i="44"/>
  <c r="E6220" i="44"/>
  <c r="E6221" i="44"/>
  <c r="E6222" i="44"/>
  <c r="E6223" i="44"/>
  <c r="E6224" i="44"/>
  <c r="E6225" i="44"/>
  <c r="E6226" i="44"/>
  <c r="E6227" i="44"/>
  <c r="E6228" i="44"/>
  <c r="E6229" i="44"/>
  <c r="E6230" i="44"/>
  <c r="E6231" i="44"/>
  <c r="E6232" i="44"/>
  <c r="E6233" i="44"/>
  <c r="E6234" i="44"/>
  <c r="E6235" i="44"/>
  <c r="E6236" i="44"/>
  <c r="E6237" i="44"/>
  <c r="E6238" i="44"/>
  <c r="E6239" i="44"/>
  <c r="E6240" i="44"/>
  <c r="E6241" i="44"/>
  <c r="E6242" i="44"/>
  <c r="E6243" i="44"/>
  <c r="E6244" i="44"/>
  <c r="E6245" i="44"/>
  <c r="E6246" i="44"/>
  <c r="E6247" i="44"/>
  <c r="E6248" i="44"/>
  <c r="E6249" i="44"/>
  <c r="E6250" i="44"/>
  <c r="E6251" i="44"/>
  <c r="E6252" i="44"/>
  <c r="E6253" i="44"/>
  <c r="E6254" i="44"/>
  <c r="E6255" i="44"/>
  <c r="E6256" i="44"/>
  <c r="E6257" i="44"/>
  <c r="E6258" i="44"/>
  <c r="E6259" i="44"/>
  <c r="E6260" i="44"/>
  <c r="E6261" i="44"/>
  <c r="E6262" i="44"/>
  <c r="E6263" i="44"/>
  <c r="E6264" i="44"/>
  <c r="E6265" i="44"/>
  <c r="E6266" i="44"/>
  <c r="E6267" i="44"/>
  <c r="E6268" i="44"/>
  <c r="E6269" i="44"/>
  <c r="E6270" i="44"/>
  <c r="E6271" i="44"/>
  <c r="E6272" i="44"/>
  <c r="E6273" i="44"/>
  <c r="E6274" i="44"/>
  <c r="E6275" i="44"/>
  <c r="E6276" i="44"/>
  <c r="E6277" i="44"/>
  <c r="E6278" i="44"/>
  <c r="E6279" i="44"/>
  <c r="E6280" i="44"/>
  <c r="E6281" i="44"/>
  <c r="E6282" i="44"/>
  <c r="E6283" i="44"/>
  <c r="E6284" i="44"/>
  <c r="E6285" i="44"/>
  <c r="E6286" i="44"/>
  <c r="E6287" i="44"/>
  <c r="E6288" i="44"/>
  <c r="E6289" i="44"/>
  <c r="E6290" i="44"/>
  <c r="E6291" i="44"/>
  <c r="E6292" i="44"/>
  <c r="E6293" i="44"/>
  <c r="E6294" i="44"/>
  <c r="E6295" i="44"/>
  <c r="E6296" i="44"/>
  <c r="E6297" i="44"/>
  <c r="E6298" i="44"/>
  <c r="E6299" i="44"/>
  <c r="E6300" i="44"/>
  <c r="E6301" i="44"/>
  <c r="E6302" i="44"/>
  <c r="E6303" i="44"/>
  <c r="E6304" i="44"/>
  <c r="E6305" i="44"/>
  <c r="E6306" i="44"/>
  <c r="E6307" i="44"/>
  <c r="E6308" i="44"/>
  <c r="E6309" i="44"/>
  <c r="E6310" i="44"/>
  <c r="E6311" i="44"/>
  <c r="E6312" i="44"/>
  <c r="E6313" i="44"/>
  <c r="E6314" i="44"/>
  <c r="E6315" i="44"/>
  <c r="E6316" i="44"/>
  <c r="E6317" i="44"/>
  <c r="E6318" i="44"/>
  <c r="E6319" i="44"/>
  <c r="E6320" i="44"/>
  <c r="E6321" i="44"/>
  <c r="E6322" i="44"/>
  <c r="E6323" i="44"/>
  <c r="E6324" i="44"/>
  <c r="E6325" i="44"/>
  <c r="E6326" i="44"/>
  <c r="E6327" i="44"/>
  <c r="E6328" i="44"/>
  <c r="E6329" i="44"/>
  <c r="E6330" i="44"/>
  <c r="E6331" i="44"/>
  <c r="E6332" i="44"/>
  <c r="E6333" i="44"/>
  <c r="E6334" i="44"/>
  <c r="E6335" i="44"/>
  <c r="E6336" i="44"/>
  <c r="E6337" i="44"/>
  <c r="E6338" i="44"/>
  <c r="E6339" i="44"/>
  <c r="E6340" i="44"/>
  <c r="E6341" i="44"/>
  <c r="E6342" i="44"/>
  <c r="E6343" i="44"/>
  <c r="E6344" i="44"/>
  <c r="E6345" i="44"/>
  <c r="E6346" i="44"/>
  <c r="E6347" i="44"/>
  <c r="E6348" i="44"/>
  <c r="E6349" i="44"/>
  <c r="E6350" i="44"/>
  <c r="E6351" i="44"/>
  <c r="E6352" i="44"/>
  <c r="E6353" i="44"/>
  <c r="E6354" i="44"/>
  <c r="E6355" i="44"/>
  <c r="E6356" i="44"/>
  <c r="E6357" i="44"/>
  <c r="E6358" i="44"/>
  <c r="E6359" i="44"/>
  <c r="E6360" i="44"/>
  <c r="E6361" i="44"/>
  <c r="E6362" i="44"/>
  <c r="E6363" i="44"/>
  <c r="E6364" i="44"/>
  <c r="E6365" i="44"/>
  <c r="E6366" i="44"/>
  <c r="E6367" i="44"/>
  <c r="E6368" i="44"/>
  <c r="E6369" i="44"/>
  <c r="E6370" i="44"/>
  <c r="E6371" i="44"/>
  <c r="E6372" i="44"/>
  <c r="E6373" i="44"/>
  <c r="E6374" i="44"/>
  <c r="E6375" i="44"/>
  <c r="E6376" i="44"/>
  <c r="E6377" i="44"/>
  <c r="E6378" i="44"/>
  <c r="E6379" i="44"/>
  <c r="E6380" i="44"/>
  <c r="E6381" i="44"/>
  <c r="E6382" i="44"/>
  <c r="E6383" i="44"/>
  <c r="E6384" i="44"/>
  <c r="E6385" i="44"/>
  <c r="E6386" i="44"/>
  <c r="E6387" i="44"/>
  <c r="E6388" i="44"/>
  <c r="E6389" i="44"/>
  <c r="E6390" i="44"/>
  <c r="E6391" i="44"/>
  <c r="E6392" i="44"/>
  <c r="E6393" i="44"/>
  <c r="E6394" i="44"/>
  <c r="E6395" i="44"/>
  <c r="E6396" i="44"/>
  <c r="E6397" i="44"/>
  <c r="E6398" i="44"/>
  <c r="E6399" i="44"/>
  <c r="E6400" i="44"/>
  <c r="E6401" i="44"/>
  <c r="E6402" i="44"/>
  <c r="E6403" i="44"/>
  <c r="E6404" i="44"/>
  <c r="E6405" i="44"/>
  <c r="E6406" i="44"/>
  <c r="E6407" i="44"/>
  <c r="E6408" i="44"/>
  <c r="E6409" i="44"/>
  <c r="E6410" i="44"/>
  <c r="E6411" i="44"/>
  <c r="E6412" i="44"/>
  <c r="E6413" i="44"/>
  <c r="E6414" i="44"/>
  <c r="E6415" i="44"/>
  <c r="E6416" i="44"/>
  <c r="E6417" i="44"/>
  <c r="E6418" i="44"/>
  <c r="E6419" i="44"/>
  <c r="E6420" i="44"/>
  <c r="E6421" i="44"/>
  <c r="E6422" i="44"/>
  <c r="E6423" i="44"/>
  <c r="E6424" i="44"/>
  <c r="E6425" i="44"/>
  <c r="E6426" i="44"/>
  <c r="E6427" i="44"/>
  <c r="E6428" i="44"/>
  <c r="E6429" i="44"/>
  <c r="E6430" i="44"/>
  <c r="E6431" i="44"/>
  <c r="E6432" i="44"/>
  <c r="E6433" i="44"/>
  <c r="E6434" i="44"/>
  <c r="E6435" i="44"/>
  <c r="E6436" i="44"/>
  <c r="E6437" i="44"/>
  <c r="E6438" i="44"/>
  <c r="E6439" i="44"/>
  <c r="E6440" i="44"/>
  <c r="E6441" i="44"/>
  <c r="E6442" i="44"/>
  <c r="E6443" i="44"/>
  <c r="E6444" i="44"/>
  <c r="E6445" i="44"/>
  <c r="E6446" i="44"/>
  <c r="E6447" i="44"/>
  <c r="E6448" i="44"/>
  <c r="E6449" i="44"/>
  <c r="E6450" i="44"/>
  <c r="E6451" i="44"/>
  <c r="E6452" i="44"/>
  <c r="E6453" i="44"/>
  <c r="E6454" i="44"/>
  <c r="E6455" i="44"/>
  <c r="E6456" i="44"/>
  <c r="E6457" i="44"/>
  <c r="E6458" i="44"/>
  <c r="E6459" i="44"/>
  <c r="E6460" i="44"/>
  <c r="E6461" i="44"/>
  <c r="E6462" i="44"/>
  <c r="E6463" i="44"/>
  <c r="E6464" i="44"/>
  <c r="E6465" i="44"/>
  <c r="E6466" i="44"/>
  <c r="E6467" i="44"/>
  <c r="E6468" i="44"/>
  <c r="E6469" i="44"/>
  <c r="E6470" i="44"/>
  <c r="E6471" i="44"/>
  <c r="E6472" i="44"/>
  <c r="E6473" i="44"/>
  <c r="E6474" i="44"/>
  <c r="E6475" i="44"/>
  <c r="E6476" i="44"/>
  <c r="E6477" i="44"/>
  <c r="E6478" i="44"/>
  <c r="E6479" i="44"/>
  <c r="E6480" i="44"/>
  <c r="E6481" i="44"/>
  <c r="E6482" i="44"/>
  <c r="E6483" i="44"/>
  <c r="E6484" i="44"/>
  <c r="E6485" i="44"/>
  <c r="E6486" i="44"/>
  <c r="E6487" i="44"/>
  <c r="E6488" i="44"/>
  <c r="E6489" i="44"/>
  <c r="E6490" i="44"/>
  <c r="E6491" i="44"/>
  <c r="E6492" i="44"/>
  <c r="E6493" i="44"/>
  <c r="E6494" i="44"/>
  <c r="E6495" i="44"/>
  <c r="E6496" i="44"/>
  <c r="E6497" i="44"/>
  <c r="E6498" i="44"/>
  <c r="E6499" i="44"/>
  <c r="E6500" i="44"/>
  <c r="E6501" i="44"/>
  <c r="E6502" i="44"/>
  <c r="E6503" i="44"/>
  <c r="E6504" i="44"/>
  <c r="E6505" i="44"/>
  <c r="E6506" i="44"/>
  <c r="E6507" i="44"/>
  <c r="E6508" i="44"/>
  <c r="E6509" i="44"/>
  <c r="E6510" i="44"/>
  <c r="E6511" i="44"/>
  <c r="E6512" i="44"/>
  <c r="E6513" i="44"/>
  <c r="E6514" i="44"/>
  <c r="E6515" i="44"/>
  <c r="E6516" i="44"/>
  <c r="E6517" i="44"/>
  <c r="E6518" i="44"/>
  <c r="E6519" i="44"/>
  <c r="E6520" i="44"/>
  <c r="E6521" i="44"/>
  <c r="E6522" i="44"/>
  <c r="E6523" i="44"/>
  <c r="E6524" i="44"/>
  <c r="E6525" i="44"/>
  <c r="E6526" i="44"/>
  <c r="E6527" i="44"/>
  <c r="E6528" i="44"/>
  <c r="E6529" i="44"/>
  <c r="E6530" i="44"/>
  <c r="E6531" i="44"/>
  <c r="E6532" i="44"/>
  <c r="E6533" i="44"/>
  <c r="E6534" i="44"/>
  <c r="E6535" i="44"/>
  <c r="E6536" i="44"/>
  <c r="E6537" i="44"/>
  <c r="E6538" i="44"/>
  <c r="E6539" i="44"/>
  <c r="E6540" i="44"/>
  <c r="E6541" i="44"/>
  <c r="E6542" i="44"/>
  <c r="E6543" i="44"/>
  <c r="E6544" i="44"/>
  <c r="E6545" i="44"/>
  <c r="E6546" i="44"/>
  <c r="E6547" i="44"/>
  <c r="E6548" i="44"/>
  <c r="E6549" i="44"/>
  <c r="E6550" i="44"/>
  <c r="E6551" i="44"/>
  <c r="E6552" i="44"/>
  <c r="E6553" i="44"/>
  <c r="E6554" i="44"/>
  <c r="E6555" i="44"/>
  <c r="E6556" i="44"/>
  <c r="E6557" i="44"/>
  <c r="E6558" i="44"/>
  <c r="E6559" i="44"/>
  <c r="E6560" i="44"/>
  <c r="E6561" i="44"/>
  <c r="E6562" i="44"/>
  <c r="E6563" i="44"/>
  <c r="E6564" i="44"/>
  <c r="E6565" i="44"/>
  <c r="E6566" i="44"/>
  <c r="E6567" i="44"/>
  <c r="E6568" i="44"/>
  <c r="E6569" i="44"/>
  <c r="E6570" i="44"/>
  <c r="E6571" i="44"/>
  <c r="E6572" i="44"/>
  <c r="E6573" i="44"/>
  <c r="E6574" i="44"/>
  <c r="E6575" i="44"/>
  <c r="E6576" i="44"/>
  <c r="E6577" i="44"/>
  <c r="E6578" i="44"/>
  <c r="E6579" i="44"/>
  <c r="E6580" i="44"/>
  <c r="E6581" i="44"/>
  <c r="E6582" i="44"/>
  <c r="E6583" i="44"/>
  <c r="E6584" i="44"/>
  <c r="E6585" i="44"/>
  <c r="E6586" i="44"/>
  <c r="E6587" i="44"/>
  <c r="E6588" i="44"/>
  <c r="E6589" i="44"/>
  <c r="E6590" i="44"/>
  <c r="E6591" i="44"/>
  <c r="E6592" i="44"/>
  <c r="E6593" i="44"/>
  <c r="E6594" i="44"/>
  <c r="E6595" i="44"/>
  <c r="E6596" i="44"/>
  <c r="E6597" i="44"/>
  <c r="E6598" i="44"/>
  <c r="E6599" i="44"/>
  <c r="E6600" i="44"/>
  <c r="E6601" i="44"/>
  <c r="E6602" i="44"/>
  <c r="E6603" i="44"/>
  <c r="E6604" i="44"/>
  <c r="E6605" i="44"/>
  <c r="E6606" i="44"/>
  <c r="E6607" i="44"/>
  <c r="E6608" i="44"/>
  <c r="E6609" i="44"/>
  <c r="E6610" i="44"/>
  <c r="E6611" i="44"/>
  <c r="E6612" i="44"/>
  <c r="E6613" i="44"/>
  <c r="E6614" i="44"/>
  <c r="E6615" i="44"/>
  <c r="E6616" i="44"/>
  <c r="E6617" i="44"/>
  <c r="E6618" i="44"/>
  <c r="E6619" i="44"/>
  <c r="E6620" i="44"/>
  <c r="E6621" i="44"/>
  <c r="E6622" i="44"/>
  <c r="E6623" i="44"/>
  <c r="E6624" i="44"/>
  <c r="E6625" i="44"/>
  <c r="E6626" i="44"/>
  <c r="E6627" i="44"/>
  <c r="E6628" i="44"/>
  <c r="E6629" i="44"/>
  <c r="E6630" i="44"/>
  <c r="E6631" i="44"/>
  <c r="E6632" i="44"/>
  <c r="E6633" i="44"/>
  <c r="E6634" i="44"/>
  <c r="E6635" i="44"/>
  <c r="E6636" i="44"/>
  <c r="E6637" i="44"/>
  <c r="E6638" i="44"/>
  <c r="E6639" i="44"/>
  <c r="E6640" i="44"/>
  <c r="E6641" i="44"/>
  <c r="E6642" i="44"/>
  <c r="E6643" i="44"/>
  <c r="E6644" i="44"/>
  <c r="E6645" i="44"/>
  <c r="E6646" i="44"/>
  <c r="E6647" i="44"/>
  <c r="E6648" i="44"/>
  <c r="E6649" i="44"/>
  <c r="E6650" i="44"/>
  <c r="E6651" i="44"/>
  <c r="E6652" i="44"/>
  <c r="E6653" i="44"/>
  <c r="E6654" i="44"/>
  <c r="E6655" i="44"/>
  <c r="E6656" i="44"/>
  <c r="E6657" i="44"/>
  <c r="E6658" i="44"/>
  <c r="E6659" i="44"/>
  <c r="E6660" i="44"/>
  <c r="E6661" i="44"/>
  <c r="E6662" i="44"/>
  <c r="E6663" i="44"/>
  <c r="E6664" i="44"/>
  <c r="E6665" i="44"/>
  <c r="E6666" i="44"/>
  <c r="E6667" i="44"/>
  <c r="E6668" i="44"/>
  <c r="E6669" i="44"/>
  <c r="E6670" i="44"/>
  <c r="E6671" i="44"/>
  <c r="E6672" i="44"/>
  <c r="E6673" i="44"/>
  <c r="E6674" i="44"/>
  <c r="E6675" i="44"/>
  <c r="E6676" i="44"/>
  <c r="E6677" i="44"/>
  <c r="E6678" i="44"/>
  <c r="E6679" i="44"/>
  <c r="E6680" i="44"/>
  <c r="E6681" i="44"/>
  <c r="E6682" i="44"/>
  <c r="E6683" i="44"/>
  <c r="E6684" i="44"/>
  <c r="E6685" i="44"/>
  <c r="E6686" i="44"/>
  <c r="E6687" i="44"/>
  <c r="E6688" i="44"/>
  <c r="E6689" i="44"/>
  <c r="E6690" i="44"/>
  <c r="E6691" i="44"/>
  <c r="E6692" i="44"/>
  <c r="E6693" i="44"/>
  <c r="E6694" i="44"/>
  <c r="E6695" i="44"/>
  <c r="E6696" i="44"/>
  <c r="E6697" i="44"/>
  <c r="E6698" i="44"/>
  <c r="E6699" i="44"/>
  <c r="E6700" i="44"/>
  <c r="E6701" i="44"/>
  <c r="E6702" i="44"/>
  <c r="E6703" i="44"/>
  <c r="E6704" i="44"/>
  <c r="E6705" i="44"/>
  <c r="E6706" i="44"/>
  <c r="E6707" i="44"/>
  <c r="E6708" i="44"/>
  <c r="E6709" i="44"/>
  <c r="E6710" i="44"/>
  <c r="E6711" i="44"/>
  <c r="E6712" i="44"/>
  <c r="E6713" i="44"/>
  <c r="E6714" i="44"/>
  <c r="E6715" i="44"/>
  <c r="E6716" i="44"/>
  <c r="E6717" i="44"/>
  <c r="E6718" i="44"/>
  <c r="E6719" i="44"/>
  <c r="E6720" i="44"/>
  <c r="E6721" i="44"/>
  <c r="E6722" i="44"/>
  <c r="E6723" i="44"/>
  <c r="E6724" i="44"/>
  <c r="E6725" i="44"/>
  <c r="E6726" i="44"/>
  <c r="E6727" i="44"/>
  <c r="E6728" i="44"/>
  <c r="E6729" i="44"/>
  <c r="E6730" i="44"/>
  <c r="E6731" i="44"/>
  <c r="E6732" i="44"/>
  <c r="E6733" i="44"/>
  <c r="E6734" i="44"/>
  <c r="E6735" i="44"/>
  <c r="E6736" i="44"/>
  <c r="E6737" i="44"/>
  <c r="E6738" i="44"/>
  <c r="E6739" i="44"/>
  <c r="E6740" i="44"/>
  <c r="E6741" i="44"/>
  <c r="E6742" i="44"/>
  <c r="E6743" i="44"/>
  <c r="E6744" i="44"/>
  <c r="E6745" i="44"/>
  <c r="E6746" i="44"/>
  <c r="E6747" i="44"/>
  <c r="E6748" i="44"/>
  <c r="E6749" i="44"/>
  <c r="E6750" i="44"/>
  <c r="E6751" i="44"/>
  <c r="E6752" i="44"/>
  <c r="E6753" i="44"/>
  <c r="E6754" i="44"/>
  <c r="E6755" i="44"/>
  <c r="E6756" i="44"/>
  <c r="E6757" i="44"/>
  <c r="E6758" i="44"/>
  <c r="E6759" i="44"/>
  <c r="E6760" i="44"/>
  <c r="E6761" i="44"/>
  <c r="E6762" i="44"/>
  <c r="E6763" i="44"/>
  <c r="E6764" i="44"/>
  <c r="E6765" i="44"/>
  <c r="E6766" i="44"/>
  <c r="E6767" i="44"/>
  <c r="E6768" i="44"/>
  <c r="E6769" i="44"/>
  <c r="E6770" i="44"/>
  <c r="E6771" i="44"/>
  <c r="E6772" i="44"/>
  <c r="E6773" i="44"/>
  <c r="E6774" i="44"/>
  <c r="E6775" i="44"/>
  <c r="E6776" i="44"/>
  <c r="E6777" i="44"/>
  <c r="E6778" i="44"/>
  <c r="E6779" i="44"/>
  <c r="E6780" i="44"/>
  <c r="E6781" i="44"/>
  <c r="E6782" i="44"/>
  <c r="E6783" i="44"/>
  <c r="E6784" i="44"/>
  <c r="E6785" i="44"/>
  <c r="E6786" i="44"/>
  <c r="E6787" i="44"/>
  <c r="E6788" i="44"/>
  <c r="E6789" i="44"/>
  <c r="E6790" i="44"/>
  <c r="E6791" i="44"/>
  <c r="E6792" i="44"/>
  <c r="E6793" i="44"/>
  <c r="E6794" i="44"/>
  <c r="E6795" i="44"/>
  <c r="E6796" i="44"/>
  <c r="E6797" i="44"/>
  <c r="E6798" i="44"/>
  <c r="E6799" i="44"/>
  <c r="E6800" i="44"/>
  <c r="E6801" i="44"/>
  <c r="E6802" i="44"/>
  <c r="E6803" i="44"/>
  <c r="E6804" i="44"/>
  <c r="E6805" i="44"/>
  <c r="E6806" i="44"/>
  <c r="E6807" i="44"/>
  <c r="E6808" i="44"/>
  <c r="E6809" i="44"/>
  <c r="E6810" i="44"/>
  <c r="E6811" i="44"/>
  <c r="E6812" i="44"/>
  <c r="E6813" i="44"/>
  <c r="E6814" i="44"/>
  <c r="E6815" i="44"/>
  <c r="E6816" i="44"/>
  <c r="E6817" i="44"/>
  <c r="E6818" i="44"/>
  <c r="E6819" i="44"/>
  <c r="E6820" i="44"/>
  <c r="E6821" i="44"/>
  <c r="E6822" i="44"/>
  <c r="E6823" i="44"/>
  <c r="E6824" i="44"/>
  <c r="E6825" i="44"/>
  <c r="E6826" i="44"/>
  <c r="E6827" i="44"/>
  <c r="E6828" i="44"/>
  <c r="E6829" i="44"/>
  <c r="E6830" i="44"/>
  <c r="E6831" i="44"/>
  <c r="E6832" i="44"/>
  <c r="E6833" i="44"/>
  <c r="E6834" i="44"/>
  <c r="E6835" i="44"/>
  <c r="E6836" i="44"/>
  <c r="E6837" i="44"/>
  <c r="E6838" i="44"/>
  <c r="E6839" i="44"/>
  <c r="E6840" i="44"/>
  <c r="E6841" i="44"/>
  <c r="E6842" i="44"/>
  <c r="E6843" i="44"/>
  <c r="E6844" i="44"/>
  <c r="E6845" i="44"/>
  <c r="E6846" i="44"/>
  <c r="E6847" i="44"/>
  <c r="E6848" i="44"/>
  <c r="E6849" i="44"/>
  <c r="E6850" i="44"/>
  <c r="E6851" i="44"/>
  <c r="E6852" i="44"/>
  <c r="E6853" i="44"/>
  <c r="E6854" i="44"/>
  <c r="E6855" i="44"/>
  <c r="E6856" i="44"/>
  <c r="E6857" i="44"/>
  <c r="E6858" i="44"/>
  <c r="E6859" i="44"/>
  <c r="E6860" i="44"/>
  <c r="E6861" i="44"/>
  <c r="E6862" i="44"/>
  <c r="E6863" i="44"/>
  <c r="E6864" i="44"/>
  <c r="E6865" i="44"/>
  <c r="E6866" i="44"/>
  <c r="E6867" i="44"/>
  <c r="E6868" i="44"/>
  <c r="E6869" i="44"/>
  <c r="E6870" i="44"/>
  <c r="E6871" i="44"/>
  <c r="E6872" i="44"/>
  <c r="E6873" i="44"/>
  <c r="E6874" i="44"/>
  <c r="E6875" i="44"/>
  <c r="E6876" i="44"/>
  <c r="E6877" i="44"/>
  <c r="E6878" i="44"/>
  <c r="E6879" i="44"/>
  <c r="E6880" i="44"/>
  <c r="E6881" i="44"/>
  <c r="E6882" i="44"/>
  <c r="E6883" i="44"/>
  <c r="E6884" i="44"/>
  <c r="E6885" i="44"/>
  <c r="E6886" i="44"/>
  <c r="E6887" i="44"/>
  <c r="E6888" i="44"/>
  <c r="E6889" i="44"/>
  <c r="E6890" i="44"/>
  <c r="E6891" i="44"/>
  <c r="E6892" i="44"/>
  <c r="E6893" i="44"/>
  <c r="E6894" i="44"/>
  <c r="E6895" i="44"/>
  <c r="E6896" i="44"/>
  <c r="E6897" i="44"/>
  <c r="E6898" i="44"/>
  <c r="E6899" i="44"/>
  <c r="E6900" i="44"/>
  <c r="E6901" i="44"/>
  <c r="E6902" i="44"/>
  <c r="E6903" i="44"/>
  <c r="E6904" i="44"/>
  <c r="E6905" i="44"/>
  <c r="E6906" i="44"/>
  <c r="E6907" i="44"/>
  <c r="E6908" i="44"/>
  <c r="E6909" i="44"/>
  <c r="E6910" i="44"/>
  <c r="E6911" i="44"/>
  <c r="E6912" i="44"/>
  <c r="E6913" i="44"/>
  <c r="E6914" i="44"/>
  <c r="E6915" i="44"/>
  <c r="E6916" i="44"/>
  <c r="E6917" i="44"/>
  <c r="E6918" i="44"/>
  <c r="E6919" i="44"/>
  <c r="E6920" i="44"/>
  <c r="E6921" i="44"/>
  <c r="E6922" i="44"/>
  <c r="E6923" i="44"/>
  <c r="E6924" i="44"/>
  <c r="E6925" i="44"/>
  <c r="E6926" i="44"/>
  <c r="E6927" i="44"/>
  <c r="E6928" i="44"/>
  <c r="E6929" i="44"/>
  <c r="E6930" i="44"/>
  <c r="E6931" i="44"/>
  <c r="E6932" i="44"/>
  <c r="E6933" i="44"/>
  <c r="E6934" i="44"/>
  <c r="E6935" i="44"/>
  <c r="E6936" i="44"/>
  <c r="E6937" i="44"/>
  <c r="E6938" i="44"/>
  <c r="E6939" i="44"/>
  <c r="E6940" i="44"/>
  <c r="E6941" i="44"/>
  <c r="E6942" i="44"/>
  <c r="E6943" i="44"/>
  <c r="E6944" i="44"/>
  <c r="E6945" i="44"/>
  <c r="E6946" i="44"/>
  <c r="E6947" i="44"/>
  <c r="E6948" i="44"/>
  <c r="E6949" i="44"/>
  <c r="E6950" i="44"/>
  <c r="E6951" i="44"/>
  <c r="E6952" i="44"/>
  <c r="E6953" i="44"/>
  <c r="E6954" i="44"/>
  <c r="E6955" i="44"/>
  <c r="E6956" i="44"/>
  <c r="E6957" i="44"/>
  <c r="E6958" i="44"/>
  <c r="E6959" i="44"/>
  <c r="E6960" i="44"/>
  <c r="E6961" i="44"/>
  <c r="E6962" i="44"/>
  <c r="E6963" i="44"/>
  <c r="E6964" i="44"/>
  <c r="E6965" i="44"/>
  <c r="E6966" i="44"/>
  <c r="E6967" i="44"/>
  <c r="E6968" i="44"/>
  <c r="E6969" i="44"/>
  <c r="E6970" i="44"/>
  <c r="E6971" i="44"/>
  <c r="E6972" i="44"/>
  <c r="E6973" i="44"/>
  <c r="E6974" i="44"/>
  <c r="E6975" i="44"/>
  <c r="E6976" i="44"/>
  <c r="E6977" i="44"/>
  <c r="E6978" i="44"/>
  <c r="E6979" i="44"/>
  <c r="E6980" i="44"/>
  <c r="E6981" i="44"/>
  <c r="E6982" i="44"/>
  <c r="E6983" i="44"/>
  <c r="E6984" i="44"/>
  <c r="E6985" i="44"/>
  <c r="E6986" i="44"/>
  <c r="E6987" i="44"/>
  <c r="E6988" i="44"/>
  <c r="E6989" i="44"/>
  <c r="E6990" i="44"/>
  <c r="E6991" i="44"/>
  <c r="E6992" i="44"/>
  <c r="E6993" i="44"/>
  <c r="E6994" i="44"/>
  <c r="E6995" i="44"/>
  <c r="E6996" i="44"/>
  <c r="E6997" i="44"/>
  <c r="E6998" i="44"/>
  <c r="E6999" i="44"/>
  <c r="E7000" i="44"/>
  <c r="E7001" i="44"/>
  <c r="E7002" i="44"/>
  <c r="E7003" i="44"/>
  <c r="E7004" i="44"/>
  <c r="E7005" i="44"/>
  <c r="E7006" i="44"/>
  <c r="E7007" i="44"/>
  <c r="E7008" i="44"/>
  <c r="E7009" i="44"/>
  <c r="E7010" i="44"/>
  <c r="E7011" i="44"/>
  <c r="E7012" i="44"/>
  <c r="E7013" i="44"/>
  <c r="E7014" i="44"/>
  <c r="E7015" i="44"/>
  <c r="E7016" i="44"/>
  <c r="E7017" i="44"/>
  <c r="E7018" i="44"/>
  <c r="E7019" i="44"/>
  <c r="E7020" i="44"/>
  <c r="E7021" i="44"/>
  <c r="E7022" i="44"/>
  <c r="E7023" i="44"/>
  <c r="E7024" i="44"/>
  <c r="E7025" i="44"/>
  <c r="E7026" i="44"/>
  <c r="E7027" i="44"/>
  <c r="E7028" i="44"/>
  <c r="E7029" i="44"/>
  <c r="E7030" i="44"/>
  <c r="E7031" i="44"/>
  <c r="E7032" i="44"/>
  <c r="E7033" i="44"/>
  <c r="E7034" i="44"/>
  <c r="E7035" i="44"/>
  <c r="E7036" i="44"/>
  <c r="E7037" i="44"/>
  <c r="E7038" i="44"/>
  <c r="E7039" i="44"/>
  <c r="E7040" i="44"/>
  <c r="E7041" i="44"/>
  <c r="E7042" i="44"/>
  <c r="E7043" i="44"/>
  <c r="E7044" i="44"/>
  <c r="E7045" i="44"/>
  <c r="E7046" i="44"/>
  <c r="E7047" i="44"/>
  <c r="E7048" i="44"/>
  <c r="E7049" i="44"/>
  <c r="E7050" i="44"/>
  <c r="E7051" i="44"/>
  <c r="E7052" i="44"/>
  <c r="E7053" i="44"/>
  <c r="E7054" i="44"/>
  <c r="E7055" i="44"/>
  <c r="E7056" i="44"/>
  <c r="E7057" i="44"/>
  <c r="E7058" i="44"/>
  <c r="E7059" i="44"/>
  <c r="E7060" i="44"/>
  <c r="E7061" i="44"/>
  <c r="E7062" i="44"/>
  <c r="E7063" i="44"/>
  <c r="E7064" i="44"/>
  <c r="E7065" i="44"/>
  <c r="E7066" i="44"/>
  <c r="E7067" i="44"/>
  <c r="E7068" i="44"/>
  <c r="E7069" i="44"/>
  <c r="E7070" i="44"/>
  <c r="E7071" i="44"/>
  <c r="E7072" i="44"/>
  <c r="E7073" i="44"/>
  <c r="E7074" i="44"/>
  <c r="E7075" i="44"/>
  <c r="E7076" i="44"/>
  <c r="E7077" i="44"/>
  <c r="E7078" i="44"/>
  <c r="E7079" i="44"/>
  <c r="E7080" i="44"/>
  <c r="E7081" i="44"/>
  <c r="E7082" i="44"/>
  <c r="E7083" i="44"/>
  <c r="E7084" i="44"/>
  <c r="E7085" i="44"/>
  <c r="E7086" i="44"/>
  <c r="E7087" i="44"/>
  <c r="E7088" i="44"/>
  <c r="E7089" i="44"/>
  <c r="E7090" i="44"/>
  <c r="E7091" i="44"/>
  <c r="E7092" i="44"/>
  <c r="E7093" i="44"/>
  <c r="E7094" i="44"/>
  <c r="E7095" i="44"/>
  <c r="E7096" i="44"/>
  <c r="E7097" i="44"/>
  <c r="E7098" i="44"/>
  <c r="E7099" i="44"/>
  <c r="E7100" i="44"/>
  <c r="E7101" i="44"/>
  <c r="E7102" i="44"/>
  <c r="E7103" i="44"/>
  <c r="E7104" i="44"/>
  <c r="E7105" i="44"/>
  <c r="E7106" i="44"/>
  <c r="E7107" i="44"/>
  <c r="E7108" i="44"/>
  <c r="E7109" i="44"/>
  <c r="E7110" i="44"/>
  <c r="E7111" i="44"/>
  <c r="E7112" i="44"/>
  <c r="E7113" i="44"/>
  <c r="E7114" i="44"/>
  <c r="E7115" i="44"/>
  <c r="E7116" i="44"/>
  <c r="E7117" i="44"/>
  <c r="E7118" i="44"/>
  <c r="E7119" i="44"/>
  <c r="E7120" i="44"/>
  <c r="E7121" i="44"/>
  <c r="E7122" i="44"/>
  <c r="E7123" i="44"/>
  <c r="E7124" i="44"/>
  <c r="E7125" i="44"/>
  <c r="E7126" i="44"/>
  <c r="E7127" i="44"/>
  <c r="E7128" i="44"/>
  <c r="E7129" i="44"/>
  <c r="E7130" i="44"/>
  <c r="E7131" i="44"/>
  <c r="E7132" i="44"/>
  <c r="E7133" i="44"/>
  <c r="E7134" i="44"/>
  <c r="E7135" i="44"/>
  <c r="E7136" i="44"/>
  <c r="E7137" i="44"/>
  <c r="E7138" i="44"/>
  <c r="E7139" i="44"/>
  <c r="E7140" i="44"/>
  <c r="E7141" i="44"/>
  <c r="E7142" i="44"/>
  <c r="E7143" i="44"/>
  <c r="E7144" i="44"/>
  <c r="E7145" i="44"/>
  <c r="E7146" i="44"/>
  <c r="E7147" i="44"/>
  <c r="E7148" i="44"/>
  <c r="E7149" i="44"/>
  <c r="E7150" i="44"/>
  <c r="E7151" i="44"/>
  <c r="E7152" i="44"/>
  <c r="E7153" i="44"/>
  <c r="E7154" i="44"/>
  <c r="E7155" i="44"/>
  <c r="E7156" i="44"/>
  <c r="E7157" i="44"/>
  <c r="E7158" i="44"/>
  <c r="E7159" i="44"/>
  <c r="E7160" i="44"/>
  <c r="E7161" i="44"/>
  <c r="E7162" i="44"/>
  <c r="E7163" i="44"/>
  <c r="E7164" i="44"/>
  <c r="E7165" i="44"/>
  <c r="E7166" i="44"/>
  <c r="E7167" i="44"/>
  <c r="E7168" i="44"/>
  <c r="E7169" i="44"/>
  <c r="E7170" i="44"/>
  <c r="E7171" i="44"/>
  <c r="E7172" i="44"/>
  <c r="E7173" i="44"/>
  <c r="E7174" i="44"/>
  <c r="E7175" i="44"/>
  <c r="E7176" i="44"/>
  <c r="E7177" i="44"/>
  <c r="E7178" i="44"/>
  <c r="E7179" i="44"/>
  <c r="E7180" i="44"/>
  <c r="E7181" i="44"/>
  <c r="E7182" i="44"/>
  <c r="E7183" i="44"/>
  <c r="E7184" i="44"/>
  <c r="E7185" i="44"/>
  <c r="E7186" i="44"/>
  <c r="E7187" i="44"/>
  <c r="E7188" i="44"/>
  <c r="E7189" i="44"/>
  <c r="E7190" i="44"/>
  <c r="E7191" i="44"/>
  <c r="E7192" i="44"/>
  <c r="E7193" i="44"/>
  <c r="E7194" i="44"/>
  <c r="E7195" i="44"/>
  <c r="E7196" i="44"/>
  <c r="E7197" i="44"/>
  <c r="E7198" i="44"/>
  <c r="E7199" i="44"/>
  <c r="E7200" i="44"/>
  <c r="E7201" i="44"/>
  <c r="E7202" i="44"/>
  <c r="E7203" i="44"/>
  <c r="E7204" i="44"/>
  <c r="E7205" i="44"/>
  <c r="E7206" i="44"/>
  <c r="E7207" i="44"/>
  <c r="E7208" i="44"/>
  <c r="E7209" i="44"/>
  <c r="E7210" i="44"/>
  <c r="E7211" i="44"/>
  <c r="E7212" i="44"/>
  <c r="E7213" i="44"/>
  <c r="E7214" i="44"/>
  <c r="E7215" i="44"/>
  <c r="E7216" i="44"/>
  <c r="E7217" i="44"/>
  <c r="E7218" i="44"/>
  <c r="E7219" i="44"/>
  <c r="E7220" i="44"/>
  <c r="E7221" i="44"/>
  <c r="E7222" i="44"/>
  <c r="E7223" i="44"/>
  <c r="E7224" i="44"/>
  <c r="E7225" i="44"/>
  <c r="E7226" i="44"/>
  <c r="E7227" i="44"/>
  <c r="E7228" i="44"/>
  <c r="E7229" i="44"/>
  <c r="E7230" i="44"/>
  <c r="E7231" i="44"/>
  <c r="E7232" i="44"/>
  <c r="E7233" i="44"/>
  <c r="E7234" i="44"/>
  <c r="E7235" i="44"/>
  <c r="E7236" i="44"/>
  <c r="E7237" i="44"/>
  <c r="E7238" i="44"/>
  <c r="E7239" i="44"/>
  <c r="E7240" i="44"/>
  <c r="E7241" i="44"/>
  <c r="E7242" i="44"/>
  <c r="E7243" i="44"/>
  <c r="E7244" i="44"/>
  <c r="E7245" i="44"/>
  <c r="E7246" i="44"/>
  <c r="E7247" i="44"/>
  <c r="E7248" i="44"/>
  <c r="E7249" i="44"/>
  <c r="E7250" i="44"/>
  <c r="E7251" i="44"/>
  <c r="E7252" i="44"/>
  <c r="E7253" i="44"/>
  <c r="E7254" i="44"/>
  <c r="E7255" i="44"/>
  <c r="E7256" i="44"/>
  <c r="E7257" i="44"/>
  <c r="E7258" i="44"/>
  <c r="E7259" i="44"/>
  <c r="E7260" i="44"/>
  <c r="E7261" i="44"/>
  <c r="E7262" i="44"/>
  <c r="E7263" i="44"/>
  <c r="E7264" i="44"/>
  <c r="E7265" i="44"/>
  <c r="E7266" i="44"/>
  <c r="E7267" i="44"/>
  <c r="E7268" i="44"/>
  <c r="E7269" i="44"/>
  <c r="E7270" i="44"/>
  <c r="E7271" i="44"/>
  <c r="E7272" i="44"/>
  <c r="E7273" i="44"/>
  <c r="E7274" i="44"/>
  <c r="E7275" i="44"/>
  <c r="E7276" i="44"/>
  <c r="E7277" i="44"/>
  <c r="E7278" i="44"/>
  <c r="E7279" i="44"/>
  <c r="E7280" i="44"/>
  <c r="E7281" i="44"/>
  <c r="E7282" i="44"/>
  <c r="E7283" i="44"/>
  <c r="E7284" i="44"/>
  <c r="E7285" i="44"/>
  <c r="E7286" i="44"/>
  <c r="E7287" i="44"/>
  <c r="E7288" i="44"/>
  <c r="E7289" i="44"/>
  <c r="E7290" i="44"/>
  <c r="E7291" i="44"/>
  <c r="E7292" i="44"/>
  <c r="E7293" i="44"/>
  <c r="E7294" i="44"/>
  <c r="E7295" i="44"/>
  <c r="E7296" i="44"/>
  <c r="E7297" i="44"/>
  <c r="E7298" i="44"/>
  <c r="E7299" i="44"/>
  <c r="E7300" i="44"/>
  <c r="E7301" i="44"/>
  <c r="E7302" i="44"/>
  <c r="E7303" i="44"/>
  <c r="E7304" i="44"/>
  <c r="E7305" i="44"/>
  <c r="E7306" i="44"/>
  <c r="E7307" i="44"/>
  <c r="E7308" i="44"/>
  <c r="E7309" i="44"/>
  <c r="E7310" i="44"/>
  <c r="E7311" i="44"/>
  <c r="E7312" i="44"/>
  <c r="E7313" i="44"/>
  <c r="E7314" i="44"/>
  <c r="E7315" i="44"/>
  <c r="E7316" i="44"/>
  <c r="E7317" i="44"/>
  <c r="E7318" i="44"/>
  <c r="E7319" i="44"/>
  <c r="E7320" i="44"/>
  <c r="E7321" i="44"/>
  <c r="E7322" i="44"/>
  <c r="E7323" i="44"/>
  <c r="E7324" i="44"/>
  <c r="E7325" i="44"/>
  <c r="E7326" i="44"/>
  <c r="E7327" i="44"/>
  <c r="E7328" i="44"/>
  <c r="E7329" i="44"/>
  <c r="E7330" i="44"/>
  <c r="E7331" i="44"/>
  <c r="E7332" i="44"/>
  <c r="E7333" i="44"/>
  <c r="E7334" i="44"/>
  <c r="E7335" i="44"/>
  <c r="E7336" i="44"/>
  <c r="E7337" i="44"/>
  <c r="E7338" i="44"/>
  <c r="E7339" i="44"/>
  <c r="E7340" i="44"/>
  <c r="E7341" i="44"/>
  <c r="E7342" i="44"/>
  <c r="E7343" i="44"/>
  <c r="E7344" i="44"/>
  <c r="E7345" i="44"/>
  <c r="E7346" i="44"/>
  <c r="E7347" i="44"/>
  <c r="E7348" i="44"/>
  <c r="E7349" i="44"/>
  <c r="E7350" i="44"/>
  <c r="E7351" i="44"/>
  <c r="E7352" i="44"/>
  <c r="E7353" i="44"/>
  <c r="E7354" i="44"/>
  <c r="E7355" i="44"/>
  <c r="E7356" i="44"/>
  <c r="E7357" i="44"/>
  <c r="E7358" i="44"/>
  <c r="E7359" i="44"/>
  <c r="E7360" i="44"/>
  <c r="E7361" i="44"/>
  <c r="E7362" i="44"/>
  <c r="E7363" i="44"/>
  <c r="E7364" i="44"/>
  <c r="E7365" i="44"/>
  <c r="E7366" i="44"/>
  <c r="E7367" i="44"/>
  <c r="E7368" i="44"/>
  <c r="E7369" i="44"/>
  <c r="E7370" i="44"/>
  <c r="E7371" i="44"/>
  <c r="E7372" i="44"/>
  <c r="E7373" i="44"/>
  <c r="E7374" i="44"/>
  <c r="E7375" i="44"/>
  <c r="E7376" i="44"/>
  <c r="E7377" i="44"/>
  <c r="E7378" i="44"/>
  <c r="E7379" i="44"/>
  <c r="E7380" i="44"/>
  <c r="E7381" i="44"/>
  <c r="E7382" i="44"/>
  <c r="E7383" i="44"/>
  <c r="E7384" i="44"/>
  <c r="E7385" i="44"/>
  <c r="E7386" i="44"/>
  <c r="E7387" i="44"/>
  <c r="E7388" i="44"/>
  <c r="E7389" i="44"/>
  <c r="E7390" i="44"/>
  <c r="E7391" i="44"/>
  <c r="E7392" i="44"/>
  <c r="E7393" i="44"/>
  <c r="E7394" i="44"/>
  <c r="E7395" i="44"/>
  <c r="E7396" i="44"/>
  <c r="E7397" i="44"/>
  <c r="E7398" i="44"/>
  <c r="E7399" i="44"/>
  <c r="E7400" i="44"/>
  <c r="E7401" i="44"/>
  <c r="E7402" i="44"/>
  <c r="E7403" i="44"/>
  <c r="E7404" i="44"/>
  <c r="E7405" i="44"/>
  <c r="E7406" i="44"/>
  <c r="E7407" i="44"/>
  <c r="E7408" i="44"/>
  <c r="E7409" i="44"/>
  <c r="E7410" i="44"/>
  <c r="E7411" i="44"/>
  <c r="E7412" i="44"/>
  <c r="E7413" i="44"/>
  <c r="E7414" i="44"/>
  <c r="E7415" i="44"/>
  <c r="E7416" i="44"/>
  <c r="E7417" i="44"/>
  <c r="E7418" i="44"/>
  <c r="E7419" i="44"/>
  <c r="E7420" i="44"/>
  <c r="E7421" i="44"/>
  <c r="E7422" i="44"/>
  <c r="E7423" i="44"/>
  <c r="E7424" i="44"/>
  <c r="E7425" i="44"/>
  <c r="E7426" i="44"/>
  <c r="E7427" i="44"/>
  <c r="E7428" i="44"/>
  <c r="E7429" i="44"/>
  <c r="E7430" i="44"/>
  <c r="E7431" i="44"/>
  <c r="E7432" i="44"/>
  <c r="E7433" i="44"/>
  <c r="E7434" i="44"/>
  <c r="E7435" i="44"/>
  <c r="E7436" i="44"/>
  <c r="E7437" i="44"/>
  <c r="E7438" i="44"/>
  <c r="E7439" i="44"/>
  <c r="E7440" i="44"/>
  <c r="E7441" i="44"/>
  <c r="E7442" i="44"/>
  <c r="E7443" i="44"/>
  <c r="E7444" i="44"/>
  <c r="E7445" i="44"/>
  <c r="E7446" i="44"/>
  <c r="E7447" i="44"/>
  <c r="E7448" i="44"/>
  <c r="E7449" i="44"/>
  <c r="E7450" i="44"/>
  <c r="E7451" i="44"/>
  <c r="E7452" i="44"/>
  <c r="E7453" i="44"/>
  <c r="E7454" i="44"/>
  <c r="E7455" i="44"/>
  <c r="E7456" i="44"/>
  <c r="E7457" i="44"/>
  <c r="E7458" i="44"/>
  <c r="E7459" i="44"/>
  <c r="E7460" i="44"/>
  <c r="E7461" i="44"/>
  <c r="E7462" i="44"/>
  <c r="E7463" i="44"/>
  <c r="E7464" i="44"/>
  <c r="E7465" i="44"/>
  <c r="E7466" i="44"/>
  <c r="E7467" i="44"/>
  <c r="E7468" i="44"/>
  <c r="E7469" i="44"/>
  <c r="E7470" i="44"/>
  <c r="E7471" i="44"/>
  <c r="E7472" i="44"/>
  <c r="E7473" i="44"/>
  <c r="E7474" i="44"/>
  <c r="E7475" i="44"/>
  <c r="E7476" i="44"/>
  <c r="E7477" i="44"/>
  <c r="E7478" i="44"/>
  <c r="E7479" i="44"/>
  <c r="E7480" i="44"/>
  <c r="E7481" i="44"/>
  <c r="E7482" i="44"/>
  <c r="E7483" i="44"/>
  <c r="E7484" i="44"/>
  <c r="E7485" i="44"/>
  <c r="E7486" i="44"/>
  <c r="E7487" i="44"/>
  <c r="E7488" i="44"/>
  <c r="E7489" i="44"/>
  <c r="E7490" i="44"/>
  <c r="E7491" i="44"/>
  <c r="E7492" i="44"/>
  <c r="E7493" i="44"/>
  <c r="E7494" i="44"/>
  <c r="E7495" i="44"/>
  <c r="E7496" i="44"/>
  <c r="E7497" i="44"/>
  <c r="E7498" i="44"/>
  <c r="E7499" i="44"/>
  <c r="E7500" i="44"/>
  <c r="E7501" i="44"/>
  <c r="E7502" i="44"/>
  <c r="E7503" i="44"/>
  <c r="E7504" i="44"/>
  <c r="E7505" i="44"/>
  <c r="E7506" i="44"/>
  <c r="E7507" i="44"/>
  <c r="E7508" i="44"/>
  <c r="E7509" i="44"/>
  <c r="E7510" i="44"/>
  <c r="E7511" i="44"/>
  <c r="E7512" i="44"/>
  <c r="E7513" i="44"/>
  <c r="E7514" i="44"/>
  <c r="E7515" i="44"/>
  <c r="E7516" i="44"/>
  <c r="E7517" i="44"/>
  <c r="E7518" i="44"/>
  <c r="E7519" i="44"/>
  <c r="E7520" i="44"/>
  <c r="E7521" i="44"/>
  <c r="E7522" i="44"/>
  <c r="E7523" i="44"/>
  <c r="E7524" i="44"/>
  <c r="E7525" i="44"/>
  <c r="E7526" i="44"/>
  <c r="E7527" i="44"/>
  <c r="E7528" i="44"/>
  <c r="E7529" i="44"/>
  <c r="E7530" i="44"/>
  <c r="E7531" i="44"/>
  <c r="E7532" i="44"/>
  <c r="E7533" i="44"/>
  <c r="E7534" i="44"/>
  <c r="E7535" i="44"/>
  <c r="E7536" i="44"/>
  <c r="E7537" i="44"/>
  <c r="E7538" i="44"/>
  <c r="E7539" i="44"/>
  <c r="E7540" i="44"/>
  <c r="E7541" i="44"/>
  <c r="E7542" i="44"/>
  <c r="E7543" i="44"/>
  <c r="E7544" i="44"/>
  <c r="E7545" i="44"/>
  <c r="E7546" i="44"/>
  <c r="E7547" i="44"/>
  <c r="E7548" i="44"/>
  <c r="E7549" i="44"/>
  <c r="E7550" i="44"/>
  <c r="E7551" i="44"/>
  <c r="E7552" i="44"/>
  <c r="E7553" i="44"/>
  <c r="E7554" i="44"/>
  <c r="E7555" i="44"/>
  <c r="E7556" i="44"/>
  <c r="E7557" i="44"/>
  <c r="E7558" i="44"/>
  <c r="E7559" i="44"/>
  <c r="E7560" i="44"/>
  <c r="E7561" i="44"/>
  <c r="E7562" i="44"/>
  <c r="E7563" i="44"/>
  <c r="E7564" i="44"/>
  <c r="E7565" i="44"/>
  <c r="E7566" i="44"/>
  <c r="E7567" i="44"/>
  <c r="E7568" i="44"/>
  <c r="E7569" i="44"/>
  <c r="E7570" i="44"/>
  <c r="E7571" i="44"/>
  <c r="E7572" i="44"/>
  <c r="E7573" i="44"/>
  <c r="E7574" i="44"/>
  <c r="E7575" i="44"/>
  <c r="E7576" i="44"/>
  <c r="E7577" i="44"/>
  <c r="E7578" i="44"/>
  <c r="E7579" i="44"/>
  <c r="E7580" i="44"/>
  <c r="E7581" i="44"/>
  <c r="E7582" i="44"/>
  <c r="E7583" i="44"/>
  <c r="E7584" i="44"/>
  <c r="E7585" i="44"/>
  <c r="E7586" i="44"/>
  <c r="E7587" i="44"/>
  <c r="E7588" i="44"/>
  <c r="E7589" i="44"/>
  <c r="E7590" i="44"/>
  <c r="E7591" i="44"/>
  <c r="E7592" i="44"/>
  <c r="E7593" i="44"/>
  <c r="E7594" i="44"/>
  <c r="E7595" i="44"/>
  <c r="E7596" i="44"/>
  <c r="E7597" i="44"/>
  <c r="E7598" i="44"/>
  <c r="E7599" i="44"/>
  <c r="E7600" i="44"/>
  <c r="E7601" i="44"/>
  <c r="E7602" i="44"/>
  <c r="E7603" i="44"/>
  <c r="E7604" i="44"/>
  <c r="E7605" i="44"/>
  <c r="E7606" i="44"/>
  <c r="E7607" i="44"/>
  <c r="E7608" i="44"/>
  <c r="E7609" i="44"/>
  <c r="E7610" i="44"/>
  <c r="E7611" i="44"/>
  <c r="E7612" i="44"/>
  <c r="E7613" i="44"/>
  <c r="E7614" i="44"/>
  <c r="E7615" i="44"/>
  <c r="E7616" i="44"/>
  <c r="E7617" i="44"/>
  <c r="E7618" i="44"/>
  <c r="E7619" i="44"/>
  <c r="E7620" i="44"/>
  <c r="E7621" i="44"/>
  <c r="E7622" i="44"/>
  <c r="E7623" i="44"/>
  <c r="E7624" i="44"/>
  <c r="E7625" i="44"/>
  <c r="E7626" i="44"/>
  <c r="E7627" i="44"/>
  <c r="E7628" i="44"/>
  <c r="E7629" i="44"/>
  <c r="E7630" i="44"/>
  <c r="E7631" i="44"/>
  <c r="E7632" i="44"/>
  <c r="E7633" i="44"/>
  <c r="E7634" i="44"/>
  <c r="E7635" i="44"/>
  <c r="E7636" i="44"/>
  <c r="E7637" i="44"/>
  <c r="E7638" i="44"/>
  <c r="E7639" i="44"/>
  <c r="E7640" i="44"/>
  <c r="E7641" i="44"/>
  <c r="E7642" i="44"/>
  <c r="E7643" i="44"/>
  <c r="E7644" i="44"/>
  <c r="E7645" i="44"/>
  <c r="E7646" i="44"/>
  <c r="E7647" i="44"/>
  <c r="E7648" i="44"/>
  <c r="E7649" i="44"/>
  <c r="E7650" i="44"/>
  <c r="E7651" i="44"/>
  <c r="E7652" i="44"/>
  <c r="E7653" i="44"/>
  <c r="E7654" i="44"/>
  <c r="E7655" i="44"/>
  <c r="E7656" i="44"/>
  <c r="E7657" i="44"/>
  <c r="E7658" i="44"/>
  <c r="E7659" i="44"/>
  <c r="E7660" i="44"/>
  <c r="E7661" i="44"/>
  <c r="E7662" i="44"/>
  <c r="E7663" i="44"/>
  <c r="E7664" i="44"/>
  <c r="E7665" i="44"/>
  <c r="E7666" i="44"/>
  <c r="E7667" i="44"/>
  <c r="E7668" i="44"/>
  <c r="E7669" i="44"/>
  <c r="E7670" i="44"/>
  <c r="E7671" i="44"/>
  <c r="E7672" i="44"/>
  <c r="E7673" i="44"/>
  <c r="E7674" i="44"/>
  <c r="E7675" i="44"/>
  <c r="E7676" i="44"/>
  <c r="E7677" i="44"/>
  <c r="E7678" i="44"/>
  <c r="E7679" i="44"/>
  <c r="E7680" i="44"/>
  <c r="E7681" i="44"/>
  <c r="E7682" i="44"/>
  <c r="E7683" i="44"/>
  <c r="E7684" i="44"/>
  <c r="E7685" i="44"/>
  <c r="E7686" i="44"/>
  <c r="E7687" i="44"/>
  <c r="E7688" i="44"/>
  <c r="E7689" i="44"/>
  <c r="E7690" i="44"/>
  <c r="E7691" i="44"/>
  <c r="E7692" i="44"/>
  <c r="E7693" i="44"/>
  <c r="E7694" i="44"/>
  <c r="E7695" i="44"/>
  <c r="E7696" i="44"/>
  <c r="E7697" i="44"/>
  <c r="E7698" i="44"/>
  <c r="E7699" i="44"/>
  <c r="E7700" i="44"/>
  <c r="E7701" i="44"/>
  <c r="E7702" i="44"/>
  <c r="E7703" i="44"/>
  <c r="E7704" i="44"/>
  <c r="E7705" i="44"/>
  <c r="E7706" i="44"/>
  <c r="E7707" i="44"/>
  <c r="E7708" i="44"/>
  <c r="E7709" i="44"/>
  <c r="E7710" i="44"/>
  <c r="E7711" i="44"/>
  <c r="E7712" i="44"/>
  <c r="E7713" i="44"/>
  <c r="E7714" i="44"/>
  <c r="E7715" i="44"/>
  <c r="E7716" i="44"/>
  <c r="E7717" i="44"/>
  <c r="E7718" i="44"/>
  <c r="E7719" i="44"/>
  <c r="E7720" i="44"/>
  <c r="E7721" i="44"/>
  <c r="E7722" i="44"/>
  <c r="E7723" i="44"/>
  <c r="E7724" i="44"/>
  <c r="E7725" i="44"/>
  <c r="E7726" i="44"/>
  <c r="E7727" i="44"/>
  <c r="E7728" i="44"/>
  <c r="E7729" i="44"/>
  <c r="E7730" i="44"/>
  <c r="E7731" i="44"/>
  <c r="E7732" i="44"/>
  <c r="E7733" i="44"/>
  <c r="E7734" i="44"/>
  <c r="E7735" i="44"/>
  <c r="E7736" i="44"/>
  <c r="E7737" i="44"/>
  <c r="E7738" i="44"/>
  <c r="E7739" i="44"/>
  <c r="E7740" i="44"/>
  <c r="E7741" i="44"/>
  <c r="E7742" i="44"/>
  <c r="E7743" i="44"/>
  <c r="E7744" i="44"/>
  <c r="E7745" i="44"/>
  <c r="E7746" i="44"/>
  <c r="E7747" i="44"/>
  <c r="E7748" i="44"/>
  <c r="E7749" i="44"/>
  <c r="E7750" i="44"/>
  <c r="E7751" i="44"/>
  <c r="E7752" i="44"/>
  <c r="E7753" i="44"/>
  <c r="E7754" i="44"/>
  <c r="E7755" i="44"/>
  <c r="E7756" i="44"/>
  <c r="E7757" i="44"/>
  <c r="E7758" i="44"/>
  <c r="E7759" i="44"/>
  <c r="E7760" i="44"/>
  <c r="E7761" i="44"/>
  <c r="E7762" i="44"/>
  <c r="E7763" i="44"/>
  <c r="E7764" i="44"/>
  <c r="E7765" i="44"/>
  <c r="E7766" i="44"/>
  <c r="E7767" i="44"/>
  <c r="E7768" i="44"/>
  <c r="E7769" i="44"/>
  <c r="E7770" i="44"/>
  <c r="E7771" i="44"/>
  <c r="E7772" i="44"/>
  <c r="E7773" i="44"/>
  <c r="E7774" i="44"/>
  <c r="E7775" i="44"/>
  <c r="E7776" i="44"/>
  <c r="E7777" i="44"/>
  <c r="E7778" i="44"/>
  <c r="E7779" i="44"/>
  <c r="E7780" i="44"/>
  <c r="E7781" i="44"/>
  <c r="E7782" i="44"/>
  <c r="E7783" i="44"/>
  <c r="E7784" i="44"/>
  <c r="E7785" i="44"/>
  <c r="E7786" i="44"/>
  <c r="E7787" i="44"/>
  <c r="E7788" i="44"/>
  <c r="E7789" i="44"/>
  <c r="E7790" i="44"/>
  <c r="E7791" i="44"/>
  <c r="E7792" i="44"/>
  <c r="E7793" i="44"/>
  <c r="E7794" i="44"/>
  <c r="E7795" i="44"/>
  <c r="E7796" i="44"/>
  <c r="E7797" i="44"/>
  <c r="E7798" i="44"/>
  <c r="E7799" i="44"/>
  <c r="E7800" i="44"/>
  <c r="E7801" i="44"/>
  <c r="E7802" i="44"/>
  <c r="E7803" i="44"/>
  <c r="E7804" i="44"/>
  <c r="E7805" i="44"/>
  <c r="E7806" i="44"/>
  <c r="E7807" i="44"/>
  <c r="E7808" i="44"/>
  <c r="E7809" i="44"/>
  <c r="E7810" i="44"/>
  <c r="E7811" i="44"/>
  <c r="E7812" i="44"/>
  <c r="E7813" i="44"/>
  <c r="E7814" i="44"/>
  <c r="E7815" i="44"/>
  <c r="E7816" i="44"/>
  <c r="E7817" i="44"/>
  <c r="E7818" i="44"/>
  <c r="E7819" i="44"/>
  <c r="E7820" i="44"/>
  <c r="E7821" i="44"/>
  <c r="E7822" i="44"/>
  <c r="E7823" i="44"/>
  <c r="E7824" i="44"/>
  <c r="E7825" i="44"/>
  <c r="E7826" i="44"/>
  <c r="E7827" i="44"/>
  <c r="E7828" i="44"/>
  <c r="E7829" i="44"/>
  <c r="E7830" i="44"/>
  <c r="E7831" i="44"/>
  <c r="E7832" i="44"/>
  <c r="E7833" i="44"/>
  <c r="E7834" i="44"/>
  <c r="E7835" i="44"/>
  <c r="E7836" i="44"/>
  <c r="E7837" i="44"/>
  <c r="E7838" i="44"/>
  <c r="E7839" i="44"/>
  <c r="E7840" i="44"/>
  <c r="E7841" i="44"/>
  <c r="E7842" i="44"/>
  <c r="E7843" i="44"/>
  <c r="E7844" i="44"/>
  <c r="E7845" i="44"/>
  <c r="E7846" i="44"/>
  <c r="E7847" i="44"/>
  <c r="E7848" i="44"/>
  <c r="E7849" i="44"/>
  <c r="E7850" i="44"/>
  <c r="E7851" i="44"/>
  <c r="E7852" i="44"/>
  <c r="E7853" i="44"/>
  <c r="E7854" i="44"/>
  <c r="E7855" i="44"/>
  <c r="E7856" i="44"/>
  <c r="E7857" i="44"/>
  <c r="E7858" i="44"/>
  <c r="E7859" i="44"/>
  <c r="E7860" i="44"/>
  <c r="E7861" i="44"/>
  <c r="E7862" i="44"/>
  <c r="E7863" i="44"/>
  <c r="E7864" i="44"/>
  <c r="E7865" i="44"/>
  <c r="E7866" i="44"/>
  <c r="E7867" i="44"/>
  <c r="E7868" i="44"/>
  <c r="E7869" i="44"/>
  <c r="E7870" i="44"/>
  <c r="E7871" i="44"/>
  <c r="E7872" i="44"/>
  <c r="E7873" i="44"/>
  <c r="E7874" i="44"/>
  <c r="E7875" i="44"/>
  <c r="E7876" i="44"/>
  <c r="E7877" i="44"/>
  <c r="E7878" i="44"/>
  <c r="E7879" i="44"/>
  <c r="E7880" i="44"/>
  <c r="E7881" i="44"/>
  <c r="E7882" i="44"/>
  <c r="E7883" i="44"/>
  <c r="E7884" i="44"/>
  <c r="E7885" i="44"/>
  <c r="E7886" i="44"/>
  <c r="E7887" i="44"/>
  <c r="E7888" i="44"/>
  <c r="E7889" i="44"/>
  <c r="E7890" i="44"/>
  <c r="E7891" i="44"/>
  <c r="E7892" i="44"/>
  <c r="E7893" i="44"/>
  <c r="E7894" i="44"/>
  <c r="E7895" i="44"/>
  <c r="E7896" i="44"/>
  <c r="E7897" i="44"/>
  <c r="E7898" i="44"/>
  <c r="E7899" i="44"/>
  <c r="E7900" i="44"/>
  <c r="E7901" i="44"/>
  <c r="E7902" i="44"/>
  <c r="E7903" i="44"/>
  <c r="E7904" i="44"/>
  <c r="E7905" i="44"/>
  <c r="E7906" i="44"/>
  <c r="E7907" i="44"/>
  <c r="E7908" i="44"/>
  <c r="E7909" i="44"/>
  <c r="E7910" i="44"/>
  <c r="E7911" i="44"/>
  <c r="E7912" i="44"/>
  <c r="E7913" i="44"/>
  <c r="E7914" i="44"/>
  <c r="E7915" i="44"/>
  <c r="E7916" i="44"/>
  <c r="E7917" i="44"/>
  <c r="E7918" i="44"/>
  <c r="E7919" i="44"/>
  <c r="E7920" i="44"/>
  <c r="E7921" i="44"/>
  <c r="E7922" i="44"/>
  <c r="E7923" i="44"/>
  <c r="E7924" i="44"/>
  <c r="E7925" i="44"/>
  <c r="E7926" i="44"/>
  <c r="E7927" i="44"/>
  <c r="E7928" i="44"/>
  <c r="E7929" i="44"/>
  <c r="E7930" i="44"/>
  <c r="E7931" i="44"/>
  <c r="E7932" i="44"/>
  <c r="E7933" i="44"/>
  <c r="E7934" i="44"/>
  <c r="E7935" i="44"/>
  <c r="E7936" i="44"/>
  <c r="E7937" i="44"/>
  <c r="E7938" i="44"/>
  <c r="E7939" i="44"/>
  <c r="E7940" i="44"/>
  <c r="E7941" i="44"/>
  <c r="E7942" i="44"/>
  <c r="E7943" i="44"/>
  <c r="E7944" i="44"/>
  <c r="E7945" i="44"/>
  <c r="E7946" i="44"/>
  <c r="E7947" i="44"/>
  <c r="E7948" i="44"/>
  <c r="E7949" i="44"/>
  <c r="E7950" i="44"/>
  <c r="E7951" i="44"/>
  <c r="E7952" i="44"/>
  <c r="E7953" i="44"/>
  <c r="E7954" i="44"/>
  <c r="E7955" i="44"/>
  <c r="E7956" i="44"/>
  <c r="E7957" i="44"/>
  <c r="E7958" i="44"/>
  <c r="E7959" i="44"/>
  <c r="E7960" i="44"/>
  <c r="E7961" i="44"/>
  <c r="E7962" i="44"/>
  <c r="E7963" i="44"/>
  <c r="E7964" i="44"/>
  <c r="E7965" i="44"/>
  <c r="E7966" i="44"/>
  <c r="E7967" i="44"/>
  <c r="E7968" i="44"/>
  <c r="E7969" i="44"/>
  <c r="E7970" i="44"/>
  <c r="E7971" i="44"/>
  <c r="E7972" i="44"/>
  <c r="E7973" i="44"/>
  <c r="E7974" i="44"/>
  <c r="E7975" i="44"/>
  <c r="E7976" i="44"/>
  <c r="E7977" i="44"/>
  <c r="E7978" i="44"/>
  <c r="E7979" i="44"/>
  <c r="E7980" i="44"/>
  <c r="E7981" i="44"/>
  <c r="E7982" i="44"/>
  <c r="E7983" i="44"/>
  <c r="E7984" i="44"/>
  <c r="E7985" i="44"/>
  <c r="E7986" i="44"/>
  <c r="E7987" i="44"/>
  <c r="E7988" i="44"/>
  <c r="E7989" i="44"/>
  <c r="E7990" i="44"/>
  <c r="E7991" i="44"/>
  <c r="E7992" i="44"/>
  <c r="E7993" i="44"/>
  <c r="E7994" i="44"/>
  <c r="E7995" i="44"/>
  <c r="E7996" i="44"/>
  <c r="E7997" i="44"/>
  <c r="E7998" i="44"/>
  <c r="E7999" i="44"/>
  <c r="E8000" i="44"/>
  <c r="E8001" i="44"/>
  <c r="E8002" i="44"/>
  <c r="E8003" i="44"/>
  <c r="E8004" i="44"/>
  <c r="E8005" i="44"/>
  <c r="E8006" i="44"/>
  <c r="E8007" i="44"/>
  <c r="E8008" i="44"/>
  <c r="E8009" i="44"/>
  <c r="E8010" i="44"/>
  <c r="E8011" i="44"/>
  <c r="E8012" i="44"/>
  <c r="E8013" i="44"/>
  <c r="E8014" i="44"/>
  <c r="E8015" i="44"/>
  <c r="E8016" i="44"/>
  <c r="E8017" i="44"/>
  <c r="E8018" i="44"/>
  <c r="E8019" i="44"/>
  <c r="E8020" i="44"/>
  <c r="E8021" i="44"/>
  <c r="E8022" i="44"/>
  <c r="E8023" i="44"/>
  <c r="E8024" i="44"/>
  <c r="E8025" i="44"/>
  <c r="E8026" i="44"/>
  <c r="E8027" i="44"/>
  <c r="E8028" i="44"/>
  <c r="E8029" i="44"/>
  <c r="E8030" i="44"/>
  <c r="E8031" i="44"/>
  <c r="E8032" i="44"/>
  <c r="E8033" i="44"/>
  <c r="E8034" i="44"/>
  <c r="E8035" i="44"/>
  <c r="E8036" i="44"/>
  <c r="E8037" i="44"/>
  <c r="E8038" i="44"/>
  <c r="E8039" i="44"/>
  <c r="E8040" i="44"/>
  <c r="E8041" i="44"/>
  <c r="E8042" i="44"/>
  <c r="E8043" i="44"/>
  <c r="E8044" i="44"/>
  <c r="E8045" i="44"/>
  <c r="E8046" i="44"/>
  <c r="E8047" i="44"/>
  <c r="E8048" i="44"/>
  <c r="E8049" i="44"/>
  <c r="E8050" i="44"/>
  <c r="E8051" i="44"/>
  <c r="E8052" i="44"/>
  <c r="E8053" i="44"/>
  <c r="E8054" i="44"/>
  <c r="E8055" i="44"/>
  <c r="E8056" i="44"/>
  <c r="E8057" i="44"/>
  <c r="E8058" i="44"/>
  <c r="E8059" i="44"/>
  <c r="E8060" i="44"/>
  <c r="E8061" i="44"/>
  <c r="E8062" i="44"/>
  <c r="E8063" i="44"/>
  <c r="E8064" i="44"/>
  <c r="E8065" i="44"/>
  <c r="E8066" i="44"/>
  <c r="E8067" i="44"/>
  <c r="E8068" i="44"/>
  <c r="E8069" i="44"/>
  <c r="E8070" i="44"/>
  <c r="E8071" i="44"/>
  <c r="E8072" i="44"/>
  <c r="E8073" i="44"/>
  <c r="E8074" i="44"/>
  <c r="E8075" i="44"/>
  <c r="E8076" i="44"/>
  <c r="E8077" i="44"/>
  <c r="E8078" i="44"/>
  <c r="E8079" i="44"/>
  <c r="E8080" i="44"/>
  <c r="E8081" i="44"/>
  <c r="E8082" i="44"/>
  <c r="E8083" i="44"/>
  <c r="E8084" i="44"/>
  <c r="E8085" i="44"/>
  <c r="E8086" i="44"/>
  <c r="E8087" i="44"/>
  <c r="E8088" i="44"/>
  <c r="E8089" i="44"/>
  <c r="E8090" i="44"/>
  <c r="E8091" i="44"/>
  <c r="E8092" i="44"/>
  <c r="E8093" i="44"/>
  <c r="E8094" i="44"/>
  <c r="E8095" i="44"/>
  <c r="E8096" i="44"/>
  <c r="E8097" i="44"/>
  <c r="E8098" i="44"/>
  <c r="E8099" i="44"/>
  <c r="E8100" i="44"/>
  <c r="E8101" i="44"/>
  <c r="E8102" i="44"/>
  <c r="E8103" i="44"/>
  <c r="E8104" i="44"/>
  <c r="E8105" i="44"/>
  <c r="E8106" i="44"/>
  <c r="E8107" i="44"/>
  <c r="E8108" i="44"/>
  <c r="E8109" i="44"/>
  <c r="E8110" i="44"/>
  <c r="E8111" i="44"/>
  <c r="E8112" i="44"/>
  <c r="E8113" i="44"/>
  <c r="E8114" i="44"/>
  <c r="E8115" i="44"/>
  <c r="E8116" i="44"/>
  <c r="E8117" i="44"/>
  <c r="E8118" i="44"/>
  <c r="E8119" i="44"/>
  <c r="E8120" i="44"/>
  <c r="E8121" i="44"/>
  <c r="E8122" i="44"/>
  <c r="E8123" i="44"/>
  <c r="E8124" i="44"/>
  <c r="E8125" i="44"/>
  <c r="E8126" i="44"/>
  <c r="E8127" i="44"/>
  <c r="E8128" i="44"/>
  <c r="E8129" i="44"/>
  <c r="E8130" i="44"/>
  <c r="E8131" i="44"/>
  <c r="E8132" i="44"/>
  <c r="E8133" i="44"/>
  <c r="E8134" i="44"/>
  <c r="E8135" i="44"/>
  <c r="E8136" i="44"/>
  <c r="E8137" i="44"/>
  <c r="E8138" i="44"/>
  <c r="E8139" i="44"/>
  <c r="E8140" i="44"/>
  <c r="E8141" i="44"/>
  <c r="E8142" i="44"/>
  <c r="E8143" i="44"/>
  <c r="E8144" i="44"/>
  <c r="E8145" i="44"/>
  <c r="E8146" i="44"/>
  <c r="E8147" i="44"/>
  <c r="E8148" i="44"/>
  <c r="E8149" i="44"/>
  <c r="E8150" i="44"/>
  <c r="E8151" i="44"/>
  <c r="E8152" i="44"/>
  <c r="E8153" i="44"/>
  <c r="E8154" i="44"/>
  <c r="E8155" i="44"/>
  <c r="E8156" i="44"/>
  <c r="E8157" i="44"/>
  <c r="E8158" i="44"/>
  <c r="E8159" i="44"/>
  <c r="E8160" i="44"/>
  <c r="E8161" i="44"/>
  <c r="E8162" i="44"/>
  <c r="E8163" i="44"/>
  <c r="E8164" i="44"/>
  <c r="E8165" i="44"/>
  <c r="E8166" i="44"/>
  <c r="E8167" i="44"/>
  <c r="E8168" i="44"/>
  <c r="E8169" i="44"/>
  <c r="E8170" i="44"/>
  <c r="E8171" i="44"/>
  <c r="E8172" i="44"/>
  <c r="E8173" i="44"/>
  <c r="E8174" i="44"/>
  <c r="E8175" i="44"/>
  <c r="E8176" i="44"/>
  <c r="E8177" i="44"/>
  <c r="E8178" i="44"/>
  <c r="E8179" i="44"/>
  <c r="E8180" i="44"/>
  <c r="E8181" i="44"/>
  <c r="E8182" i="44"/>
  <c r="E8183" i="44"/>
  <c r="E8184" i="44"/>
  <c r="E8185" i="44"/>
  <c r="E8186" i="44"/>
  <c r="E8187" i="44"/>
  <c r="E8188" i="44"/>
  <c r="E8189" i="44"/>
  <c r="E8190" i="44"/>
  <c r="E8191" i="44"/>
  <c r="E8192" i="44"/>
  <c r="E8193" i="44"/>
  <c r="E8194" i="44"/>
  <c r="E8195" i="44"/>
  <c r="E8196" i="44"/>
  <c r="E8197" i="44"/>
  <c r="E8198" i="44"/>
  <c r="E8199" i="44"/>
  <c r="E8200" i="44"/>
  <c r="E8201" i="44"/>
  <c r="E8202" i="44"/>
  <c r="E8203" i="44"/>
  <c r="E8204" i="44"/>
  <c r="E8205" i="44"/>
  <c r="E8206" i="44"/>
  <c r="E8207" i="44"/>
  <c r="E8208" i="44"/>
  <c r="E8209" i="44"/>
  <c r="E8210" i="44"/>
  <c r="E8211" i="44"/>
  <c r="E8212" i="44"/>
  <c r="E8213" i="44"/>
  <c r="E8214" i="44"/>
  <c r="E8215" i="44"/>
  <c r="E8216" i="44"/>
  <c r="E8217" i="44"/>
  <c r="E8218" i="44"/>
  <c r="E8219" i="44"/>
  <c r="E8220" i="44"/>
  <c r="E8221" i="44"/>
  <c r="E8222" i="44"/>
  <c r="E8223" i="44"/>
  <c r="E8224" i="44"/>
  <c r="E8225" i="44"/>
  <c r="E8226" i="44"/>
  <c r="E8227" i="44"/>
  <c r="E8228" i="44"/>
  <c r="E8229" i="44"/>
  <c r="E8230" i="44"/>
  <c r="E8231" i="44"/>
  <c r="E8232" i="44"/>
  <c r="E8233" i="44"/>
  <c r="E8234" i="44"/>
  <c r="E8235" i="44"/>
  <c r="E8236" i="44"/>
  <c r="E8237" i="44"/>
  <c r="E8238" i="44"/>
  <c r="E8239" i="44"/>
  <c r="E8240" i="44"/>
  <c r="E8241" i="44"/>
  <c r="E8242" i="44"/>
  <c r="E8243" i="44"/>
  <c r="E8244" i="44"/>
  <c r="E8245" i="44"/>
  <c r="E8246" i="44"/>
  <c r="E8247" i="44"/>
  <c r="E8248" i="44"/>
  <c r="E8249" i="44"/>
  <c r="E8250" i="44"/>
  <c r="E8251" i="44"/>
  <c r="E8252" i="44"/>
  <c r="E8253" i="44"/>
  <c r="E8254" i="44"/>
  <c r="E8255" i="44"/>
  <c r="E8256" i="44"/>
  <c r="E8257" i="44"/>
  <c r="E8258" i="44"/>
  <c r="E8259" i="44"/>
  <c r="E8260" i="44"/>
  <c r="E8261" i="44"/>
  <c r="E8262" i="44"/>
  <c r="E8263" i="44"/>
  <c r="E8264" i="44"/>
  <c r="E8265" i="44"/>
  <c r="E8266" i="44"/>
  <c r="E8267" i="44"/>
  <c r="E8268" i="44"/>
  <c r="E8269" i="44"/>
  <c r="E8270" i="44"/>
  <c r="E8271" i="44"/>
  <c r="E8272" i="44"/>
  <c r="E8273" i="44"/>
  <c r="E8274" i="44"/>
  <c r="E8275" i="44"/>
  <c r="E8276" i="44"/>
  <c r="E8277" i="44"/>
  <c r="E8278" i="44"/>
  <c r="E8279" i="44"/>
  <c r="E8280" i="44"/>
  <c r="E8281" i="44"/>
  <c r="E8282" i="44"/>
  <c r="E8283" i="44"/>
  <c r="E8284" i="44"/>
  <c r="E8285" i="44"/>
  <c r="E8286" i="44"/>
  <c r="E8287" i="44"/>
  <c r="E8288" i="44"/>
  <c r="E8289" i="44"/>
  <c r="E8290" i="44"/>
  <c r="E8291" i="44"/>
  <c r="E8292" i="44"/>
  <c r="E8293" i="44"/>
  <c r="E8294" i="44"/>
  <c r="E8295" i="44"/>
  <c r="E8296" i="44"/>
  <c r="E8297" i="44"/>
  <c r="E8298" i="44"/>
  <c r="E8299" i="44"/>
  <c r="E8300" i="44"/>
  <c r="E8301" i="44"/>
  <c r="E8302" i="44"/>
  <c r="E8303" i="44"/>
  <c r="E8304" i="44"/>
  <c r="E8305" i="44"/>
  <c r="E8306" i="44"/>
  <c r="E8307" i="44"/>
  <c r="E8308" i="44"/>
  <c r="E8309" i="44"/>
  <c r="E8310" i="44"/>
  <c r="E8311" i="44"/>
  <c r="E8312" i="44"/>
  <c r="E8313" i="44"/>
  <c r="E8314" i="44"/>
  <c r="E8315" i="44"/>
  <c r="E8316" i="44"/>
  <c r="E8317" i="44"/>
  <c r="E8318" i="44"/>
  <c r="E8319" i="44"/>
  <c r="E8320" i="44"/>
  <c r="E8321" i="44"/>
  <c r="E8322" i="44"/>
  <c r="E8323" i="44"/>
  <c r="E8324" i="44"/>
  <c r="E8325" i="44"/>
  <c r="E8326" i="44"/>
  <c r="E8327" i="44"/>
  <c r="E8328" i="44"/>
  <c r="E8329" i="44"/>
  <c r="E8330" i="44"/>
  <c r="E8331" i="44"/>
  <c r="E8332" i="44"/>
  <c r="E8333" i="44"/>
  <c r="E8334" i="44"/>
  <c r="E8335" i="44"/>
  <c r="E8336" i="44"/>
  <c r="E8337" i="44"/>
  <c r="E8338" i="44"/>
  <c r="E8339" i="44"/>
  <c r="E8340" i="44"/>
  <c r="E8341" i="44"/>
  <c r="E8342" i="44"/>
  <c r="E8343" i="44"/>
  <c r="E8344" i="44"/>
  <c r="E8345" i="44"/>
  <c r="E8346" i="44"/>
  <c r="E8347" i="44"/>
  <c r="E8348" i="44"/>
  <c r="E8349" i="44"/>
  <c r="E8350" i="44"/>
  <c r="E8351" i="44"/>
  <c r="E8352" i="44"/>
  <c r="E8353" i="44"/>
  <c r="E8354" i="44"/>
  <c r="E8355" i="44"/>
  <c r="E8356" i="44"/>
  <c r="E8357" i="44"/>
  <c r="E8358" i="44"/>
  <c r="E8359" i="44"/>
  <c r="E8360" i="44"/>
  <c r="E8361" i="44"/>
  <c r="E8362" i="44"/>
  <c r="E8363" i="44"/>
  <c r="E8364" i="44"/>
  <c r="E8365" i="44"/>
  <c r="E8366" i="44"/>
  <c r="E8367" i="44"/>
  <c r="E8368" i="44"/>
  <c r="E8369" i="44"/>
  <c r="E8370" i="44"/>
  <c r="E8371" i="44"/>
  <c r="E8372" i="44"/>
  <c r="E8373" i="44"/>
  <c r="E8374" i="44"/>
  <c r="E8375" i="44"/>
  <c r="E8376" i="44"/>
  <c r="E8377" i="44"/>
  <c r="E8378" i="44"/>
  <c r="E8379" i="44"/>
  <c r="E8380" i="44"/>
  <c r="E8381" i="44"/>
  <c r="E8382" i="44"/>
  <c r="E8383" i="44"/>
  <c r="E8384" i="44"/>
  <c r="E8385" i="44"/>
  <c r="E8386" i="44"/>
  <c r="E8387" i="44"/>
  <c r="E8388" i="44"/>
  <c r="E8389" i="44"/>
  <c r="E8390" i="44"/>
  <c r="E8391" i="44"/>
  <c r="E8392" i="44"/>
  <c r="E8393" i="44"/>
  <c r="E8394" i="44"/>
  <c r="E8395" i="44"/>
  <c r="E8396" i="44"/>
  <c r="E8397" i="44"/>
  <c r="E8398" i="44"/>
  <c r="E8399" i="44"/>
  <c r="E8400" i="44"/>
  <c r="E8401" i="44"/>
  <c r="E8402" i="44"/>
  <c r="E8403" i="44"/>
  <c r="E8404" i="44"/>
  <c r="E8405" i="44"/>
  <c r="E8406" i="44"/>
  <c r="E8407" i="44"/>
  <c r="E8408" i="44"/>
  <c r="E8409" i="44"/>
  <c r="E8410" i="44"/>
  <c r="E8411" i="44"/>
  <c r="E8412" i="44"/>
  <c r="E8413" i="44"/>
  <c r="E8414" i="44"/>
  <c r="E8415" i="44"/>
  <c r="E8416" i="44"/>
  <c r="E8417" i="44"/>
  <c r="E8418" i="44"/>
  <c r="E8419" i="44"/>
  <c r="E8420" i="44"/>
  <c r="E8421" i="44"/>
  <c r="E8422" i="44"/>
  <c r="E8423" i="44"/>
  <c r="E8424" i="44"/>
  <c r="E8425" i="44"/>
  <c r="E8426" i="44"/>
  <c r="E8427" i="44"/>
  <c r="E8428" i="44"/>
  <c r="E8429" i="44"/>
  <c r="E8430" i="44"/>
  <c r="E8431" i="44"/>
  <c r="E8432" i="44"/>
  <c r="E8433" i="44"/>
  <c r="E8434" i="44"/>
  <c r="E8435" i="44"/>
  <c r="E8436" i="44"/>
  <c r="E8437" i="44"/>
  <c r="E8438" i="44"/>
  <c r="E8439" i="44"/>
  <c r="E8440" i="44"/>
  <c r="E8441" i="44"/>
  <c r="E8442" i="44"/>
  <c r="E8443" i="44"/>
  <c r="E8444" i="44"/>
  <c r="E8445" i="44"/>
  <c r="E8446" i="44"/>
  <c r="E8447" i="44"/>
  <c r="E8448" i="44"/>
  <c r="E8449" i="44"/>
  <c r="E8450" i="44"/>
  <c r="E8451" i="44"/>
  <c r="E8452" i="44"/>
  <c r="E8453" i="44"/>
  <c r="E8454" i="44"/>
  <c r="E8455" i="44"/>
  <c r="E8456" i="44"/>
  <c r="E8457" i="44"/>
  <c r="E8458" i="44"/>
  <c r="E8459" i="44"/>
  <c r="E8460" i="44"/>
  <c r="E8461" i="44"/>
  <c r="E8462" i="44"/>
  <c r="E8463" i="44"/>
  <c r="E8464" i="44"/>
  <c r="E8465" i="44"/>
  <c r="E8466" i="44"/>
  <c r="E8467" i="44"/>
  <c r="E8468" i="44"/>
  <c r="E8469" i="44"/>
  <c r="E8470" i="44"/>
  <c r="E8471" i="44"/>
  <c r="E8472" i="44"/>
  <c r="E8473" i="44"/>
  <c r="E8474" i="44"/>
  <c r="E8475" i="44"/>
  <c r="E8476" i="44"/>
  <c r="E8477" i="44"/>
  <c r="E8478" i="44"/>
  <c r="E8479" i="44"/>
  <c r="E8480" i="44"/>
  <c r="E8481" i="44"/>
  <c r="E8482" i="44"/>
  <c r="E8483" i="44"/>
  <c r="E8484" i="44"/>
  <c r="E8485" i="44"/>
  <c r="E8486" i="44"/>
  <c r="E8487" i="44"/>
  <c r="E8488" i="44"/>
  <c r="E8489" i="44"/>
  <c r="E8490" i="44"/>
  <c r="E8491" i="44"/>
  <c r="E8492" i="44"/>
  <c r="E8493" i="44"/>
  <c r="E8494" i="44"/>
  <c r="E8495" i="44"/>
  <c r="E8496" i="44"/>
  <c r="E8497" i="44"/>
  <c r="E8498" i="44"/>
  <c r="E8499" i="44"/>
  <c r="E8500" i="44"/>
  <c r="E8501" i="44"/>
  <c r="E8502" i="44"/>
  <c r="E8503" i="44"/>
  <c r="E8504" i="44"/>
  <c r="E8505" i="44"/>
  <c r="E8506" i="44"/>
  <c r="E8507" i="44"/>
  <c r="E8508" i="44"/>
  <c r="E8509" i="44"/>
  <c r="E8510" i="44"/>
  <c r="E8511" i="44"/>
  <c r="E8512" i="44"/>
  <c r="E8513" i="44"/>
  <c r="E8514" i="44"/>
  <c r="E8515" i="44"/>
  <c r="E8516" i="44"/>
  <c r="E8517" i="44"/>
  <c r="E8518" i="44"/>
  <c r="E8519" i="44"/>
  <c r="E8520" i="44"/>
  <c r="E8521" i="44"/>
  <c r="E8522" i="44"/>
  <c r="E8523" i="44"/>
  <c r="E8524" i="44"/>
  <c r="E8525" i="44"/>
  <c r="E8526" i="44"/>
  <c r="E8527" i="44"/>
  <c r="E8528" i="44"/>
  <c r="E8529" i="44"/>
  <c r="E8530" i="44"/>
  <c r="E8531" i="44"/>
  <c r="E8532" i="44"/>
  <c r="E8533" i="44"/>
  <c r="E8534" i="44"/>
  <c r="E8535" i="44"/>
  <c r="E8536" i="44"/>
  <c r="E8537" i="44"/>
  <c r="E8538" i="44"/>
  <c r="E8539" i="44"/>
  <c r="E8540" i="44"/>
  <c r="E8541" i="44"/>
  <c r="E8542" i="44"/>
  <c r="E8543" i="44"/>
  <c r="E8544" i="44"/>
  <c r="E8545" i="44"/>
  <c r="E8546" i="44"/>
  <c r="E8547" i="44"/>
  <c r="E8548" i="44"/>
  <c r="E8549" i="44"/>
  <c r="E8550" i="44"/>
  <c r="E8551" i="44"/>
  <c r="E8552" i="44"/>
  <c r="E8553" i="44"/>
  <c r="E8554" i="44"/>
  <c r="E8555" i="44"/>
  <c r="E8556" i="44"/>
  <c r="E8557" i="44"/>
  <c r="E8558" i="44"/>
  <c r="E8559" i="44"/>
  <c r="E8560" i="44"/>
  <c r="E8561" i="44"/>
  <c r="E8562" i="44"/>
  <c r="E8563" i="44"/>
  <c r="E8564" i="44"/>
  <c r="E8565" i="44"/>
  <c r="E8566" i="44"/>
  <c r="E8567" i="44"/>
  <c r="E8568" i="44"/>
  <c r="E8569" i="44"/>
  <c r="E8570" i="44"/>
  <c r="E8571" i="44"/>
  <c r="E8572" i="44"/>
  <c r="E8573" i="44"/>
  <c r="E8574" i="44"/>
  <c r="E8575" i="44"/>
  <c r="E8576" i="44"/>
  <c r="E8577" i="44"/>
  <c r="E8578" i="44"/>
  <c r="E8579" i="44"/>
  <c r="E8580" i="44"/>
  <c r="E8581" i="44"/>
  <c r="E8582" i="44"/>
  <c r="E8583" i="44"/>
  <c r="E8584" i="44"/>
  <c r="E8585" i="44"/>
  <c r="E8586" i="44"/>
  <c r="E8587" i="44"/>
  <c r="E8588" i="44"/>
  <c r="E8589" i="44"/>
  <c r="E8590" i="44"/>
  <c r="E8591" i="44"/>
  <c r="E8592" i="44"/>
  <c r="E8593" i="44"/>
  <c r="E8594" i="44"/>
  <c r="E8595" i="44"/>
  <c r="E8596" i="44"/>
  <c r="E8597" i="44"/>
  <c r="E8598" i="44"/>
  <c r="E8599" i="44"/>
  <c r="E8600" i="44"/>
  <c r="E8601" i="44"/>
  <c r="E8602" i="44"/>
  <c r="E8603" i="44"/>
  <c r="E8604" i="44"/>
  <c r="E8605" i="44"/>
  <c r="E8606" i="44"/>
  <c r="E8607" i="44"/>
  <c r="E8608" i="44"/>
  <c r="E8609" i="44"/>
  <c r="E8610" i="44"/>
  <c r="E8611" i="44"/>
  <c r="E8612" i="44"/>
  <c r="E8613" i="44"/>
  <c r="E8614" i="44"/>
  <c r="E8615" i="44"/>
  <c r="E8616" i="44"/>
  <c r="E8617" i="44"/>
  <c r="E8618" i="44"/>
  <c r="E8619" i="44"/>
  <c r="E8620" i="44"/>
  <c r="E8621" i="44"/>
  <c r="E8622" i="44"/>
  <c r="E8623" i="44"/>
  <c r="E8624" i="44"/>
  <c r="E8625" i="44"/>
  <c r="E8626" i="44"/>
  <c r="E8627" i="44"/>
  <c r="E8628" i="44"/>
  <c r="E8629" i="44"/>
  <c r="E8630" i="44"/>
  <c r="E8631" i="44"/>
  <c r="E8632" i="44"/>
  <c r="E8633" i="44"/>
  <c r="E8634" i="44"/>
  <c r="E8635" i="44"/>
  <c r="E8636" i="44"/>
  <c r="E8637" i="44"/>
  <c r="E8638" i="44"/>
  <c r="E8639" i="44"/>
  <c r="E8640" i="44"/>
  <c r="E8641" i="44"/>
  <c r="E8642" i="44"/>
  <c r="E8643" i="44"/>
  <c r="E8644" i="44"/>
  <c r="E8645" i="44"/>
  <c r="E8646" i="44"/>
  <c r="E8647" i="44"/>
  <c r="E8648" i="44"/>
  <c r="E8649" i="44"/>
  <c r="E8650" i="44"/>
  <c r="E8651" i="44"/>
  <c r="E8652" i="44"/>
  <c r="E8653" i="44"/>
  <c r="E8654" i="44"/>
  <c r="E8655" i="44"/>
  <c r="E8656" i="44"/>
  <c r="E8657" i="44"/>
  <c r="E8658" i="44"/>
  <c r="E8659" i="44"/>
  <c r="E8660" i="44"/>
  <c r="E8661" i="44"/>
  <c r="E8662" i="44"/>
  <c r="E8663" i="44"/>
  <c r="E8664" i="44"/>
  <c r="E8665" i="44"/>
  <c r="E8666" i="44"/>
  <c r="E8667" i="44"/>
  <c r="E8668" i="44"/>
  <c r="E8669" i="44"/>
  <c r="E8670" i="44"/>
  <c r="E8671" i="44"/>
  <c r="E8672" i="44"/>
  <c r="E8673" i="44"/>
  <c r="E8674" i="44"/>
  <c r="E8675" i="44"/>
  <c r="E8676" i="44"/>
  <c r="E8677" i="44"/>
  <c r="E8678" i="44"/>
  <c r="E8679" i="44"/>
  <c r="E8680" i="44"/>
  <c r="E8681" i="44"/>
  <c r="E8682" i="44"/>
  <c r="E8683" i="44"/>
  <c r="E8684" i="44"/>
  <c r="E8685" i="44"/>
  <c r="E8686" i="44"/>
  <c r="E8687" i="44"/>
  <c r="E8688" i="44"/>
  <c r="E8689" i="44"/>
  <c r="E8690" i="44"/>
  <c r="E8691" i="44"/>
  <c r="E8692" i="44"/>
  <c r="E8693" i="44"/>
  <c r="E8694" i="44"/>
  <c r="E8695" i="44"/>
  <c r="E8696" i="44"/>
  <c r="E8697" i="44"/>
  <c r="E8698" i="44"/>
  <c r="E8699" i="44"/>
  <c r="E8700" i="44"/>
  <c r="E8701" i="44"/>
  <c r="E8702" i="44"/>
  <c r="E8703" i="44"/>
  <c r="E8704" i="44"/>
  <c r="E8705" i="44"/>
  <c r="E8706" i="44"/>
  <c r="E8707" i="44"/>
  <c r="E8708" i="44"/>
  <c r="E8709" i="44"/>
  <c r="E8710" i="44"/>
  <c r="E8711" i="44"/>
  <c r="E8712" i="44"/>
  <c r="E8713" i="44"/>
  <c r="E8714" i="44"/>
  <c r="E8715" i="44"/>
  <c r="E8716" i="44"/>
  <c r="E8717" i="44"/>
  <c r="E8718" i="44"/>
  <c r="E8719" i="44"/>
  <c r="E8720" i="44"/>
  <c r="E8721" i="44"/>
  <c r="E8722" i="44"/>
  <c r="E8723" i="44"/>
  <c r="E8724" i="44"/>
  <c r="E8725" i="44"/>
  <c r="E8726" i="44"/>
  <c r="E8727" i="44"/>
  <c r="E8728" i="44"/>
  <c r="E8729" i="44"/>
  <c r="E8730" i="44"/>
  <c r="E8731" i="44"/>
  <c r="E8732" i="44"/>
  <c r="E8733" i="44"/>
  <c r="E8734" i="44"/>
  <c r="E8735" i="44"/>
  <c r="E8736" i="44"/>
  <c r="E8737" i="44"/>
  <c r="E8738" i="44"/>
  <c r="E8739" i="44"/>
  <c r="E8740" i="44"/>
  <c r="E8741" i="44"/>
  <c r="E8742" i="44"/>
  <c r="E8743" i="44"/>
  <c r="E8744" i="44"/>
  <c r="E8745" i="44"/>
  <c r="E8746" i="44"/>
  <c r="E8747" i="44"/>
  <c r="E8748" i="44"/>
  <c r="E8749" i="44"/>
  <c r="E8750" i="44"/>
  <c r="E8751" i="44"/>
  <c r="E8752" i="44"/>
  <c r="E8753" i="44"/>
  <c r="E8754" i="44"/>
  <c r="E8755" i="44"/>
  <c r="E8756" i="44"/>
  <c r="E8757" i="44"/>
  <c r="E8758" i="44"/>
  <c r="E8759" i="44"/>
  <c r="E8760" i="44"/>
  <c r="E8761" i="44"/>
  <c r="E8762" i="44"/>
  <c r="E8763" i="44"/>
  <c r="E8764" i="44"/>
  <c r="E8765" i="44"/>
  <c r="E8766" i="44"/>
  <c r="E8767" i="44"/>
  <c r="E8768" i="44"/>
  <c r="E8769" i="44"/>
  <c r="E8770" i="44"/>
  <c r="E8771" i="44"/>
  <c r="E8772" i="44"/>
  <c r="E8773" i="44"/>
  <c r="E8774" i="44"/>
  <c r="E8775" i="44"/>
  <c r="E8776" i="44"/>
  <c r="E8777" i="44"/>
  <c r="E8778" i="44"/>
  <c r="E8779" i="44"/>
  <c r="E8780" i="44"/>
  <c r="E8781" i="44"/>
  <c r="E8782" i="44"/>
  <c r="E8783" i="44"/>
  <c r="E8784" i="44"/>
  <c r="E8785" i="44"/>
  <c r="E8786" i="44"/>
  <c r="E8787" i="44"/>
  <c r="E8788" i="44"/>
  <c r="E8789" i="44"/>
  <c r="E8790" i="44"/>
  <c r="E8791" i="44"/>
  <c r="E8792" i="44"/>
  <c r="E8793" i="44"/>
  <c r="E8794" i="44"/>
  <c r="E8795" i="44"/>
  <c r="E8796" i="44"/>
  <c r="E8797" i="44"/>
  <c r="E8798" i="44"/>
  <c r="E8799" i="44"/>
  <c r="E8800" i="44"/>
  <c r="E8801" i="44"/>
  <c r="E8802" i="44"/>
  <c r="E8803" i="44"/>
  <c r="E8804" i="44"/>
  <c r="E8805" i="44"/>
  <c r="E8806" i="44"/>
  <c r="E8807" i="44"/>
  <c r="E8808" i="44"/>
  <c r="E8809" i="44"/>
  <c r="E8810" i="44"/>
  <c r="E8811" i="44"/>
  <c r="E8812" i="44"/>
  <c r="E8813" i="44"/>
  <c r="E8814" i="44"/>
  <c r="E8815" i="44"/>
  <c r="E8816" i="44"/>
  <c r="E8817" i="44"/>
  <c r="E8818" i="44"/>
  <c r="E8819" i="44"/>
  <c r="E8820" i="44"/>
  <c r="E8821" i="44"/>
  <c r="E8822" i="44"/>
  <c r="E8823" i="44"/>
  <c r="E8824" i="44"/>
  <c r="E8825" i="44"/>
  <c r="E8826" i="44"/>
  <c r="E8827" i="44"/>
  <c r="E8828" i="44"/>
  <c r="E8829" i="44"/>
  <c r="E8830" i="44"/>
  <c r="E8831" i="44"/>
  <c r="E8832" i="44"/>
  <c r="E8833" i="44"/>
  <c r="E8834" i="44"/>
  <c r="E8835" i="44"/>
  <c r="E8836" i="44"/>
  <c r="E8837" i="44"/>
  <c r="E8838" i="44"/>
  <c r="E8839" i="44"/>
  <c r="E8840" i="44"/>
  <c r="E8841" i="44"/>
  <c r="E8842" i="44"/>
  <c r="E8843" i="44"/>
  <c r="E8844" i="44"/>
  <c r="E8845" i="44"/>
  <c r="E8846" i="44"/>
  <c r="E8847" i="44"/>
  <c r="E8848" i="44"/>
  <c r="E8849" i="44"/>
  <c r="E8850" i="44"/>
  <c r="E8851" i="44"/>
  <c r="E8852" i="44"/>
  <c r="E8853" i="44"/>
  <c r="E8854" i="44"/>
  <c r="E8855" i="44"/>
  <c r="E8856" i="44"/>
  <c r="E8857" i="44"/>
  <c r="E8858" i="44"/>
  <c r="E8859" i="44"/>
  <c r="E8860" i="44"/>
  <c r="E8861" i="44"/>
  <c r="E8862" i="44"/>
  <c r="E8863" i="44"/>
  <c r="E8864" i="44"/>
  <c r="E8865" i="44"/>
  <c r="E8866" i="44"/>
  <c r="E8867" i="44"/>
  <c r="E8868" i="44"/>
  <c r="E8869" i="44"/>
  <c r="E8870" i="44"/>
  <c r="E8871" i="44"/>
  <c r="E8872" i="44"/>
  <c r="E8873" i="44"/>
  <c r="E8874" i="44"/>
  <c r="E8875" i="44"/>
  <c r="E8876" i="44"/>
  <c r="E8877" i="44"/>
  <c r="E8878" i="44"/>
  <c r="E8879" i="44"/>
  <c r="E8880" i="44"/>
  <c r="E8881" i="44"/>
  <c r="E8882" i="44"/>
  <c r="E8883" i="44"/>
  <c r="E8884" i="44"/>
  <c r="E8885" i="44"/>
  <c r="E8886" i="44"/>
  <c r="E8887" i="44"/>
  <c r="E8888" i="44"/>
  <c r="E8889" i="44"/>
  <c r="E8890" i="44"/>
  <c r="E8891" i="44"/>
  <c r="E8892" i="44"/>
  <c r="E8893" i="44"/>
  <c r="E8894" i="44"/>
  <c r="E8895" i="44"/>
  <c r="E8896" i="44"/>
  <c r="E8897" i="44"/>
  <c r="E8898" i="44"/>
  <c r="E8899" i="44"/>
  <c r="E8900" i="44"/>
  <c r="E8901" i="44"/>
  <c r="E8902" i="44"/>
  <c r="E8903" i="44"/>
  <c r="E8904" i="44"/>
  <c r="E8905" i="44"/>
  <c r="E8906" i="44"/>
  <c r="E8907" i="44"/>
  <c r="E8908" i="44"/>
  <c r="E8909" i="44"/>
  <c r="E8910" i="44"/>
  <c r="E8911" i="44"/>
  <c r="E8912" i="44"/>
  <c r="E8913" i="44"/>
  <c r="E8914" i="44"/>
  <c r="E8915" i="44"/>
  <c r="E8916" i="44"/>
  <c r="E8917" i="44"/>
  <c r="E8918" i="44"/>
  <c r="E8919" i="44"/>
  <c r="E8920" i="44"/>
  <c r="E8921" i="44"/>
  <c r="E8922" i="44"/>
  <c r="E8923" i="44"/>
  <c r="E8924" i="44"/>
  <c r="E8925" i="44"/>
  <c r="E8926" i="44"/>
  <c r="E8927" i="44"/>
  <c r="E8928" i="44"/>
  <c r="E8929" i="44"/>
  <c r="E8930" i="44"/>
  <c r="E8931" i="44"/>
  <c r="E8932" i="44"/>
  <c r="E8933" i="44"/>
  <c r="E8934" i="44"/>
  <c r="E8935" i="44"/>
  <c r="E8936" i="44"/>
  <c r="E8937" i="44"/>
  <c r="E8938" i="44"/>
  <c r="E8939" i="44"/>
  <c r="E8940" i="44"/>
  <c r="E8941" i="44"/>
  <c r="E8942" i="44"/>
  <c r="E8943" i="44"/>
  <c r="E8944" i="44"/>
  <c r="E8945" i="44"/>
  <c r="E8946" i="44"/>
  <c r="E8947" i="44"/>
  <c r="E8948" i="44"/>
  <c r="E8949" i="44"/>
  <c r="E8950" i="44"/>
  <c r="E8951" i="44"/>
  <c r="E8952" i="44"/>
  <c r="E8953" i="44"/>
  <c r="E8954" i="44"/>
  <c r="E8955" i="44"/>
  <c r="E8956" i="44"/>
  <c r="E8957" i="44"/>
  <c r="E8958" i="44"/>
  <c r="E8959" i="44"/>
  <c r="E8960" i="44"/>
  <c r="E8961" i="44"/>
  <c r="E8962" i="44"/>
  <c r="E8963" i="44"/>
  <c r="E8964" i="44"/>
  <c r="E8965" i="44"/>
  <c r="E8966" i="44"/>
  <c r="E8967" i="44"/>
  <c r="E8968" i="44"/>
  <c r="E8969" i="44"/>
  <c r="E8970" i="44"/>
  <c r="E8971" i="44"/>
  <c r="E8972" i="44"/>
  <c r="E8973" i="44"/>
  <c r="E8974" i="44"/>
  <c r="E8975" i="44"/>
  <c r="E8976" i="44"/>
  <c r="E8977" i="44"/>
  <c r="E8978" i="44"/>
  <c r="E8979" i="44"/>
  <c r="E8980" i="44"/>
  <c r="E8981" i="44"/>
  <c r="E8982" i="44"/>
  <c r="E8983" i="44"/>
  <c r="E8984" i="44"/>
  <c r="E8985" i="44"/>
  <c r="E8986" i="44"/>
  <c r="E8987" i="44"/>
  <c r="E8988" i="44"/>
  <c r="E8989" i="44"/>
  <c r="E8990" i="44"/>
  <c r="E8991" i="44"/>
  <c r="E8992" i="44"/>
  <c r="E8993" i="44"/>
  <c r="E8994" i="44"/>
  <c r="E8995" i="44"/>
  <c r="E8996" i="44"/>
  <c r="E8997" i="44"/>
  <c r="E8998" i="44"/>
  <c r="E8999" i="44"/>
  <c r="E9000" i="44"/>
  <c r="E9001" i="44"/>
  <c r="E9002" i="44"/>
  <c r="E9003" i="44"/>
  <c r="E9004" i="44"/>
  <c r="E9005" i="44"/>
  <c r="E9006" i="44"/>
  <c r="E9007" i="44"/>
  <c r="E9008" i="44"/>
  <c r="E9009" i="44"/>
  <c r="E9010" i="44"/>
  <c r="E9011" i="44"/>
  <c r="E9012" i="44"/>
  <c r="E9013" i="44"/>
  <c r="E9014" i="44"/>
  <c r="E9015" i="44"/>
  <c r="E9016" i="44"/>
  <c r="E9017" i="44"/>
  <c r="E9018" i="44"/>
  <c r="E9019" i="44"/>
  <c r="E9020" i="44"/>
  <c r="E9021" i="44"/>
  <c r="E9022" i="44"/>
  <c r="E9023" i="44"/>
  <c r="E9024" i="44"/>
  <c r="E9025" i="44"/>
  <c r="E9026" i="44"/>
  <c r="E9027" i="44"/>
  <c r="E9028" i="44"/>
  <c r="E9029" i="44"/>
  <c r="E9030" i="44"/>
  <c r="E9031" i="44"/>
  <c r="E9032" i="44"/>
  <c r="E9033" i="44"/>
  <c r="E9034" i="44"/>
  <c r="E9035" i="44"/>
  <c r="E9036" i="44"/>
  <c r="E9037" i="44"/>
  <c r="E9038" i="44"/>
  <c r="E9039" i="44"/>
  <c r="E9040" i="44"/>
  <c r="E9041" i="44"/>
  <c r="E9042" i="44"/>
  <c r="E9043" i="44"/>
  <c r="E9044" i="44"/>
  <c r="E9045" i="44"/>
  <c r="E9046" i="44"/>
  <c r="E9047" i="44"/>
  <c r="E9048" i="44"/>
  <c r="E9049" i="44"/>
  <c r="E9050" i="44"/>
  <c r="E9051" i="44"/>
  <c r="E9052" i="44"/>
  <c r="E9053" i="44"/>
  <c r="E9054" i="44"/>
  <c r="E9055" i="44"/>
  <c r="E9056" i="44"/>
  <c r="E9057" i="44"/>
  <c r="E9058" i="44"/>
  <c r="E9059" i="44"/>
  <c r="E9060" i="44"/>
  <c r="E9061" i="44"/>
  <c r="E9062" i="44"/>
  <c r="E9063" i="44"/>
  <c r="E9064" i="44"/>
  <c r="E9065" i="44"/>
  <c r="E9066" i="44"/>
  <c r="E9067" i="44"/>
  <c r="E9068" i="44"/>
  <c r="E9069" i="44"/>
  <c r="E9070" i="44"/>
  <c r="E9071" i="44"/>
  <c r="E9072" i="44"/>
  <c r="E9073" i="44"/>
  <c r="E9074" i="44"/>
  <c r="E9075" i="44"/>
  <c r="E9076" i="44"/>
  <c r="E9077" i="44"/>
  <c r="E9078" i="44"/>
  <c r="E9079" i="44"/>
  <c r="E9080" i="44"/>
  <c r="E9081" i="44"/>
  <c r="E9082" i="44"/>
  <c r="E9083" i="44"/>
  <c r="E9084" i="44"/>
  <c r="E9085" i="44"/>
  <c r="E9086" i="44"/>
  <c r="E9087" i="44"/>
  <c r="E9088" i="44"/>
  <c r="E9089" i="44"/>
  <c r="E9090" i="44"/>
  <c r="E9091" i="44"/>
  <c r="E9092" i="44"/>
  <c r="E9093" i="44"/>
  <c r="E9094" i="44"/>
  <c r="E9095" i="44"/>
  <c r="E9096" i="44"/>
  <c r="E9097" i="44"/>
  <c r="E9098" i="44"/>
  <c r="E9099" i="44"/>
  <c r="E9100" i="44"/>
  <c r="E9101" i="44"/>
  <c r="E9102" i="44"/>
  <c r="E9103" i="44"/>
  <c r="E9104" i="44"/>
  <c r="E9105" i="44"/>
  <c r="E9106" i="44"/>
  <c r="E9107" i="44"/>
  <c r="E9108" i="44"/>
  <c r="E9109" i="44"/>
  <c r="E9110" i="44"/>
  <c r="E9111" i="44"/>
  <c r="E9112" i="44"/>
  <c r="E9113" i="44"/>
  <c r="E9114" i="44"/>
  <c r="E9115" i="44"/>
  <c r="E9116" i="44"/>
  <c r="E9117" i="44"/>
  <c r="E9118" i="44"/>
  <c r="E9119" i="44"/>
  <c r="E9120" i="44"/>
  <c r="E9121" i="44"/>
  <c r="E9122" i="44"/>
  <c r="E9123" i="44"/>
  <c r="E9124" i="44"/>
  <c r="E9125" i="44"/>
  <c r="E9126" i="44"/>
  <c r="E9127" i="44"/>
  <c r="E9128" i="44"/>
  <c r="E9129" i="44"/>
  <c r="E9130" i="44"/>
  <c r="E9131" i="44"/>
  <c r="E9132" i="44"/>
  <c r="E9133" i="44"/>
  <c r="E9134" i="44"/>
  <c r="E9135" i="44"/>
  <c r="E9136" i="44"/>
  <c r="E9137" i="44"/>
  <c r="E9138" i="44"/>
  <c r="E9139" i="44"/>
  <c r="E9140" i="44"/>
  <c r="E9141" i="44"/>
  <c r="E9142" i="44"/>
  <c r="E9143" i="44"/>
  <c r="E9144" i="44"/>
  <c r="E9145" i="44"/>
  <c r="E9146" i="44"/>
  <c r="E9147" i="44"/>
  <c r="E9148" i="44"/>
  <c r="E9149" i="44"/>
  <c r="E9150" i="44"/>
  <c r="E9151" i="44"/>
  <c r="E9152" i="44"/>
  <c r="E9153" i="44"/>
  <c r="E9154" i="44"/>
  <c r="E9155" i="44"/>
  <c r="E9156" i="44"/>
  <c r="E9157" i="44"/>
  <c r="E9158" i="44"/>
  <c r="E9159" i="44"/>
  <c r="E9160" i="44"/>
  <c r="E9161" i="44"/>
  <c r="E9162" i="44"/>
  <c r="E9163" i="44"/>
  <c r="E9164" i="44"/>
  <c r="E9165" i="44"/>
  <c r="E9166" i="44"/>
  <c r="E9167" i="44"/>
  <c r="E9168" i="44"/>
  <c r="E9169" i="44"/>
  <c r="E9170" i="44"/>
  <c r="E9171" i="44"/>
  <c r="E9172" i="44"/>
  <c r="E9173" i="44"/>
  <c r="E9174" i="44"/>
  <c r="E9175" i="44"/>
  <c r="E9176" i="44"/>
  <c r="E9177" i="44"/>
  <c r="E9178" i="44"/>
  <c r="E9179" i="44"/>
  <c r="E9180" i="44"/>
  <c r="E9181" i="44"/>
  <c r="E9182" i="44"/>
  <c r="E9183" i="44"/>
  <c r="E9184" i="44"/>
  <c r="E9185" i="44"/>
  <c r="E9186" i="44"/>
  <c r="E9187" i="44"/>
  <c r="E9188" i="44"/>
  <c r="E9189" i="44"/>
  <c r="E9190" i="44"/>
  <c r="E9191" i="44"/>
  <c r="E9192" i="44"/>
  <c r="E9193" i="44"/>
  <c r="E9194" i="44"/>
  <c r="E9195" i="44"/>
  <c r="E9196" i="44"/>
  <c r="E9197" i="44"/>
  <c r="E9198" i="44"/>
  <c r="E9199" i="44"/>
  <c r="E9200" i="44"/>
  <c r="E9201" i="44"/>
  <c r="E9202" i="44"/>
  <c r="E9203" i="44"/>
  <c r="E9204" i="44"/>
  <c r="E9205" i="44"/>
  <c r="E9206" i="44"/>
  <c r="E9207" i="44"/>
  <c r="E9208" i="44"/>
  <c r="E9209" i="44"/>
  <c r="E9210" i="44"/>
  <c r="E9211" i="44"/>
  <c r="E9212" i="44"/>
  <c r="E9213" i="44"/>
  <c r="E9214" i="44"/>
  <c r="E9215" i="44"/>
  <c r="E9216" i="44"/>
  <c r="E9217" i="44"/>
  <c r="E9218" i="44"/>
  <c r="E9219" i="44"/>
  <c r="E9220" i="44"/>
  <c r="E9221" i="44"/>
  <c r="E9222" i="44"/>
  <c r="E9223" i="44"/>
  <c r="E9224" i="44"/>
  <c r="E9225" i="44"/>
  <c r="E9226" i="44"/>
  <c r="E9227" i="44"/>
  <c r="E9228" i="44"/>
  <c r="E9229" i="44"/>
  <c r="E9230" i="44"/>
  <c r="E9231" i="44"/>
  <c r="E9232" i="44"/>
  <c r="E9233" i="44"/>
  <c r="E9234" i="44"/>
  <c r="E9235" i="44"/>
  <c r="E9236" i="44"/>
  <c r="E9237" i="44"/>
  <c r="E9238" i="44"/>
  <c r="E9239" i="44"/>
  <c r="E9240" i="44"/>
  <c r="E9241" i="44"/>
  <c r="E9242" i="44"/>
  <c r="E9243" i="44"/>
  <c r="E9244" i="44"/>
  <c r="E9245" i="44"/>
  <c r="E9246" i="44"/>
  <c r="E9247" i="44"/>
  <c r="E9248" i="44"/>
  <c r="E9249" i="44"/>
  <c r="E9250" i="44"/>
  <c r="E9251" i="44"/>
  <c r="E9252" i="44"/>
  <c r="E9253" i="44"/>
  <c r="E9254" i="44"/>
  <c r="E9255" i="44"/>
  <c r="E9256" i="44"/>
  <c r="E9257" i="44"/>
  <c r="E9258" i="44"/>
  <c r="E9259" i="44"/>
  <c r="E9260" i="44"/>
  <c r="E9261" i="44"/>
  <c r="E9262" i="44"/>
  <c r="E9263" i="44"/>
  <c r="E9264" i="44"/>
  <c r="E9265" i="44"/>
  <c r="E9266" i="44"/>
  <c r="E9267" i="44"/>
  <c r="E9268" i="44"/>
  <c r="E9269" i="44"/>
  <c r="E9270" i="44"/>
  <c r="E9271" i="44"/>
  <c r="E9272" i="44"/>
  <c r="E9273" i="44"/>
  <c r="E9274" i="44"/>
  <c r="E9275" i="44"/>
  <c r="E9276" i="44"/>
  <c r="E9277" i="44"/>
  <c r="E9278" i="44"/>
  <c r="E9279" i="44"/>
  <c r="E9280" i="44"/>
  <c r="E9281" i="44"/>
  <c r="E9282" i="44"/>
  <c r="E9283" i="44"/>
  <c r="E9284" i="44"/>
  <c r="E9285" i="44"/>
  <c r="E9286" i="44"/>
  <c r="E9287" i="44"/>
  <c r="E9288" i="44"/>
  <c r="E9289" i="44"/>
  <c r="E9290" i="44"/>
  <c r="E9291" i="44"/>
  <c r="E9292" i="44"/>
  <c r="E9293" i="44"/>
  <c r="E9294" i="44"/>
  <c r="E9295" i="44"/>
  <c r="E9296" i="44"/>
  <c r="E9297" i="44"/>
  <c r="E9298" i="44"/>
  <c r="E9299" i="44"/>
  <c r="E9300" i="44"/>
  <c r="E9301" i="44"/>
  <c r="E9302" i="44"/>
  <c r="E9303" i="44"/>
  <c r="E9304" i="44"/>
  <c r="E9305" i="44"/>
  <c r="E9306" i="44"/>
  <c r="E9307" i="44"/>
  <c r="E9308" i="44"/>
  <c r="E9309" i="44"/>
  <c r="E9310" i="44"/>
  <c r="E9311" i="44"/>
  <c r="E9312" i="44"/>
  <c r="E9313" i="44"/>
  <c r="E9314" i="44"/>
  <c r="E9315" i="44"/>
  <c r="E9316" i="44"/>
  <c r="E9317" i="44"/>
  <c r="E9318" i="44"/>
  <c r="E9319" i="44"/>
  <c r="E9320" i="44"/>
  <c r="E9321" i="44"/>
  <c r="E9322" i="44"/>
  <c r="E9323" i="44"/>
  <c r="E9324" i="44"/>
  <c r="E9325" i="44"/>
  <c r="E9326" i="44"/>
  <c r="E9327" i="44"/>
  <c r="E9328" i="44"/>
  <c r="E9329" i="44"/>
  <c r="E9330" i="44"/>
  <c r="E9331" i="44"/>
  <c r="E9332" i="44"/>
  <c r="E9333" i="44"/>
  <c r="E9334" i="44"/>
  <c r="E9335" i="44"/>
  <c r="E9336" i="44"/>
  <c r="E9337" i="44"/>
  <c r="E9338" i="44"/>
  <c r="E9339" i="44"/>
  <c r="E9340" i="44"/>
  <c r="E9341" i="44"/>
  <c r="E9342" i="44"/>
  <c r="E9343" i="44"/>
  <c r="E9344" i="44"/>
  <c r="E9345" i="44"/>
  <c r="E9346" i="44"/>
  <c r="E9347" i="44"/>
  <c r="E9348" i="44"/>
  <c r="E9349" i="44"/>
  <c r="E9350" i="44"/>
  <c r="E9351" i="44"/>
  <c r="E9352" i="44"/>
  <c r="E9353" i="44"/>
  <c r="E9354" i="44"/>
  <c r="E9355" i="44"/>
  <c r="E9356" i="44"/>
  <c r="E9357" i="44"/>
  <c r="E9358" i="44"/>
  <c r="E9359" i="44"/>
  <c r="E9360" i="44"/>
  <c r="E9361" i="44"/>
  <c r="E9362" i="44"/>
  <c r="E9363" i="44"/>
  <c r="E9364" i="44"/>
  <c r="E9365" i="44"/>
  <c r="E9366" i="44"/>
  <c r="E9367" i="44"/>
  <c r="E9368" i="44"/>
  <c r="E9369" i="44"/>
  <c r="E9370" i="44"/>
  <c r="E9371" i="44"/>
  <c r="E9372" i="44"/>
  <c r="E9373" i="44"/>
  <c r="E9374" i="44"/>
  <c r="E9375" i="44"/>
  <c r="E9376" i="44"/>
  <c r="E9377" i="44"/>
  <c r="E9378" i="44"/>
  <c r="E9379" i="44"/>
  <c r="E9380" i="44"/>
  <c r="E9381" i="44"/>
  <c r="E9382" i="44"/>
  <c r="E9383" i="44"/>
  <c r="E9384" i="44"/>
  <c r="E9385" i="44"/>
  <c r="E9386" i="44"/>
  <c r="E9387" i="44"/>
  <c r="E9388" i="44"/>
  <c r="E9389" i="44"/>
  <c r="E9390" i="44"/>
  <c r="E9391" i="44"/>
  <c r="E9392" i="44"/>
  <c r="E9393" i="44"/>
  <c r="E9394" i="44"/>
  <c r="E9395" i="44"/>
  <c r="E9396" i="44"/>
  <c r="E9397" i="44"/>
  <c r="E9398" i="44"/>
  <c r="E9399" i="44"/>
  <c r="E9400" i="44"/>
  <c r="E9401" i="44"/>
  <c r="E9402" i="44"/>
  <c r="E9403" i="44"/>
  <c r="E9404" i="44"/>
  <c r="E9405" i="44"/>
  <c r="E9406" i="44"/>
  <c r="E9407" i="44"/>
  <c r="E9408" i="44"/>
  <c r="E9409" i="44"/>
  <c r="E9410" i="44"/>
  <c r="E9411" i="44"/>
  <c r="E9412" i="44"/>
  <c r="E9413" i="44"/>
  <c r="E9414" i="44"/>
  <c r="E9415" i="44"/>
  <c r="E9416" i="44"/>
  <c r="E9417" i="44"/>
  <c r="E9418" i="44"/>
  <c r="E9419" i="44"/>
  <c r="E9420" i="44"/>
  <c r="E9421" i="44"/>
  <c r="E9422" i="44"/>
  <c r="E9423" i="44"/>
  <c r="E9424" i="44"/>
  <c r="E9425" i="44"/>
  <c r="E9426" i="44"/>
  <c r="E9427" i="44"/>
  <c r="E9428" i="44"/>
  <c r="E9429" i="44"/>
  <c r="E9430" i="44"/>
  <c r="E9431" i="44"/>
  <c r="E9432" i="44"/>
  <c r="E9433" i="44"/>
  <c r="E9434" i="44"/>
  <c r="E9435" i="44"/>
  <c r="E9436" i="44"/>
  <c r="E9437" i="44"/>
  <c r="E9438" i="44"/>
  <c r="E9439" i="44"/>
  <c r="E9440" i="44"/>
  <c r="E9441" i="44"/>
  <c r="E9442" i="44"/>
  <c r="E9443" i="44"/>
  <c r="E9444" i="44"/>
  <c r="E9445" i="44"/>
  <c r="E9446" i="44"/>
  <c r="E9447" i="44"/>
  <c r="E9448" i="44"/>
  <c r="E9449" i="44"/>
  <c r="E9450" i="44"/>
  <c r="E9451" i="44"/>
  <c r="E9452" i="44"/>
  <c r="E9453" i="44"/>
  <c r="E9454" i="44"/>
  <c r="E9455" i="44"/>
  <c r="E9456" i="44"/>
  <c r="E9457" i="44"/>
  <c r="E9458" i="44"/>
  <c r="E9459" i="44"/>
  <c r="E9460" i="44"/>
  <c r="E9461" i="44"/>
  <c r="E9462" i="44"/>
  <c r="E9463" i="44"/>
  <c r="E9464" i="44"/>
  <c r="E9465" i="44"/>
  <c r="E9466" i="44"/>
  <c r="E9467" i="44"/>
  <c r="E9468" i="44"/>
  <c r="E9469" i="44"/>
  <c r="E9470" i="44"/>
  <c r="E9471" i="44"/>
  <c r="E9472" i="44"/>
  <c r="E9473" i="44"/>
  <c r="E9474" i="44"/>
  <c r="E9475" i="44"/>
  <c r="E9476" i="44"/>
  <c r="E9477" i="44"/>
  <c r="E9478" i="44"/>
  <c r="E9479" i="44"/>
  <c r="E9480" i="44"/>
  <c r="E9481" i="44"/>
  <c r="E9482" i="44"/>
  <c r="E9483" i="44"/>
  <c r="E9484" i="44"/>
  <c r="E9485" i="44"/>
  <c r="E9486" i="44"/>
  <c r="E9487" i="44"/>
  <c r="E9488" i="44"/>
  <c r="E9489" i="44"/>
  <c r="E9490" i="44"/>
  <c r="E9491" i="44"/>
  <c r="E9492" i="44"/>
  <c r="E9493" i="44"/>
  <c r="E9494" i="44"/>
  <c r="E9495" i="44"/>
  <c r="E9496" i="44"/>
  <c r="E9497" i="44"/>
  <c r="E9498" i="44"/>
  <c r="E9499" i="44"/>
  <c r="E9500" i="44"/>
  <c r="E9501" i="44"/>
  <c r="E9502" i="44"/>
  <c r="E9503" i="44"/>
  <c r="E9504" i="44"/>
  <c r="E9505" i="44"/>
  <c r="E9506" i="44"/>
  <c r="E9507" i="44"/>
  <c r="E9508" i="44"/>
  <c r="E9509" i="44"/>
  <c r="E9510" i="44"/>
  <c r="E9511" i="44"/>
  <c r="E9512" i="44"/>
  <c r="E9513" i="44"/>
  <c r="E9514" i="44"/>
  <c r="E9515" i="44"/>
  <c r="E9516" i="44"/>
  <c r="E9517" i="44"/>
  <c r="E9518" i="44"/>
  <c r="E9519" i="44"/>
  <c r="E9520" i="44"/>
  <c r="E9521" i="44"/>
  <c r="E9522" i="44"/>
  <c r="E9523" i="44"/>
  <c r="E9524" i="44"/>
  <c r="E9525" i="44"/>
  <c r="E9526" i="44"/>
  <c r="E9527" i="44"/>
  <c r="E9528" i="44"/>
  <c r="E9529" i="44"/>
  <c r="E9530" i="44"/>
  <c r="E9531" i="44"/>
  <c r="E9532" i="44"/>
  <c r="E9533" i="44"/>
  <c r="E9534" i="44"/>
  <c r="E9535" i="44"/>
  <c r="E9536" i="44"/>
  <c r="E9537" i="44"/>
  <c r="E9538" i="44"/>
  <c r="E9539" i="44"/>
  <c r="E9540" i="44"/>
  <c r="E9541" i="44"/>
  <c r="E9542" i="44"/>
  <c r="E9543" i="44"/>
  <c r="E9544" i="44"/>
  <c r="E9545" i="44"/>
  <c r="E9546" i="44"/>
  <c r="E9547" i="44"/>
  <c r="E9548" i="44"/>
  <c r="E9549" i="44"/>
  <c r="E9550" i="44"/>
  <c r="E9551" i="44"/>
  <c r="E9552" i="44"/>
  <c r="E9553" i="44"/>
  <c r="E9554" i="44"/>
  <c r="E9555" i="44"/>
  <c r="E9556" i="44"/>
  <c r="E9557" i="44"/>
  <c r="E9558" i="44"/>
  <c r="E9559" i="44"/>
  <c r="E9560" i="44"/>
  <c r="E9561" i="44"/>
  <c r="E9562" i="44"/>
  <c r="E9563" i="44"/>
  <c r="E9564" i="44"/>
  <c r="E9565" i="44"/>
  <c r="E9566" i="44"/>
  <c r="E9567" i="44"/>
  <c r="E9568" i="44"/>
  <c r="E9569" i="44"/>
  <c r="E9570" i="44"/>
  <c r="E9571" i="44"/>
  <c r="E9572" i="44"/>
  <c r="E9573" i="44"/>
  <c r="E9574" i="44"/>
  <c r="E9575" i="44"/>
  <c r="E9576" i="44"/>
  <c r="E9577" i="44"/>
  <c r="E9578" i="44"/>
  <c r="E9579" i="44"/>
  <c r="E9580" i="44"/>
  <c r="E9581" i="44"/>
  <c r="E9582" i="44"/>
  <c r="E9583" i="44"/>
  <c r="E9584" i="44"/>
  <c r="E9585" i="44"/>
  <c r="E9586" i="44"/>
  <c r="E9587" i="44"/>
  <c r="E9588" i="44"/>
  <c r="E9589" i="44"/>
  <c r="E9590" i="44"/>
  <c r="E9591" i="44"/>
  <c r="E9592" i="44"/>
  <c r="E9593" i="44"/>
  <c r="E9594" i="44"/>
  <c r="E9595" i="44"/>
  <c r="E9596" i="44"/>
  <c r="E9597" i="44"/>
  <c r="E9598" i="44"/>
  <c r="E9599" i="44"/>
  <c r="E9600" i="44"/>
  <c r="E9601" i="44"/>
  <c r="E9602" i="44"/>
  <c r="E9603" i="44"/>
  <c r="E9604" i="44"/>
  <c r="E9605" i="44"/>
  <c r="E9606" i="44"/>
  <c r="E9607" i="44"/>
  <c r="E9608" i="44"/>
  <c r="E9609" i="44"/>
  <c r="E9610" i="44"/>
  <c r="E9611" i="44"/>
  <c r="E9612" i="44"/>
  <c r="E9613" i="44"/>
  <c r="E9614" i="44"/>
  <c r="E9615" i="44"/>
  <c r="E9616" i="44"/>
  <c r="E9617" i="44"/>
  <c r="E9618" i="44"/>
  <c r="E9619" i="44"/>
  <c r="E9620" i="44"/>
  <c r="E9621" i="44"/>
  <c r="E9622" i="44"/>
  <c r="E9623" i="44"/>
  <c r="E9624" i="44"/>
  <c r="E9625" i="44"/>
  <c r="E9626" i="44"/>
  <c r="E9627" i="44"/>
  <c r="E9628" i="44"/>
  <c r="E9629" i="44"/>
  <c r="E9630" i="44"/>
  <c r="E9631" i="44"/>
  <c r="E9632" i="44"/>
  <c r="E9633" i="44"/>
  <c r="E9634" i="44"/>
  <c r="E9635" i="44"/>
  <c r="E9636" i="44"/>
  <c r="E9637" i="44"/>
  <c r="E9638" i="44"/>
  <c r="E9639" i="44"/>
  <c r="E9640" i="44"/>
  <c r="E9641" i="44"/>
  <c r="E9642" i="44"/>
  <c r="E9643" i="44"/>
  <c r="E9644" i="44"/>
  <c r="E9645" i="44"/>
  <c r="E9646" i="44"/>
  <c r="E9647" i="44"/>
  <c r="E9648" i="44"/>
  <c r="E9649" i="44"/>
  <c r="E9650" i="44"/>
  <c r="E9651" i="44"/>
  <c r="E9652" i="44"/>
  <c r="E9653" i="44"/>
  <c r="E9654" i="44"/>
  <c r="E9655" i="44"/>
  <c r="E9656" i="44"/>
  <c r="E9657" i="44"/>
  <c r="E9658" i="44"/>
  <c r="E9659" i="44"/>
  <c r="E9660" i="44"/>
  <c r="E9661" i="44"/>
  <c r="E9662" i="44"/>
  <c r="E9663" i="44"/>
  <c r="E9664" i="44"/>
  <c r="E9665" i="44"/>
  <c r="E9666" i="44"/>
  <c r="E9667" i="44"/>
  <c r="E9668" i="44"/>
  <c r="E9669" i="44"/>
  <c r="E9670" i="44"/>
  <c r="E9671" i="44"/>
  <c r="E9672" i="44"/>
  <c r="E9673" i="44"/>
  <c r="E9674" i="44"/>
  <c r="E9675" i="44"/>
  <c r="E9676" i="44"/>
  <c r="E9677" i="44"/>
  <c r="E9678" i="44"/>
  <c r="E9679" i="44"/>
  <c r="E9680" i="44"/>
  <c r="E9681" i="44"/>
  <c r="E9682" i="44"/>
  <c r="E9683" i="44"/>
  <c r="E9684" i="44"/>
  <c r="E9685" i="44"/>
  <c r="E9686" i="44"/>
  <c r="E9687" i="44"/>
  <c r="E9688" i="44"/>
  <c r="E9689" i="44"/>
  <c r="E9690" i="44"/>
  <c r="E9691" i="44"/>
  <c r="E9692" i="44"/>
  <c r="E9693" i="44"/>
  <c r="E9694" i="44"/>
  <c r="E9695" i="44"/>
  <c r="E9696" i="44"/>
  <c r="E9697" i="44"/>
  <c r="E9698" i="44"/>
  <c r="E9699" i="44"/>
  <c r="E9700" i="44"/>
  <c r="E9701" i="44"/>
  <c r="E9702" i="44"/>
  <c r="E9703" i="44"/>
  <c r="E9704" i="44"/>
  <c r="E9705" i="44"/>
  <c r="E9706" i="44"/>
  <c r="E9707" i="44"/>
  <c r="E9708" i="44"/>
  <c r="E9709" i="44"/>
  <c r="E9710" i="44"/>
  <c r="E9711" i="44"/>
  <c r="E9712" i="44"/>
  <c r="E9713" i="44"/>
  <c r="E9714" i="44"/>
  <c r="E9715" i="44"/>
  <c r="E9716" i="44"/>
  <c r="E9717" i="44"/>
  <c r="E9718" i="44"/>
  <c r="E9719" i="44"/>
  <c r="E9720" i="44"/>
  <c r="E9721" i="44"/>
  <c r="E9722" i="44"/>
  <c r="E9723" i="44"/>
  <c r="E9724" i="44"/>
  <c r="E9725" i="44"/>
  <c r="E9726" i="44"/>
  <c r="E9727" i="44"/>
  <c r="E9728" i="44"/>
  <c r="E9729" i="44"/>
  <c r="E9730" i="44"/>
  <c r="E9731" i="44"/>
  <c r="E9732" i="44"/>
  <c r="E9733" i="44"/>
  <c r="E9734" i="44"/>
  <c r="E9735" i="44"/>
  <c r="E9736" i="44"/>
  <c r="E9737" i="44"/>
  <c r="E9738" i="44"/>
  <c r="E9739" i="44"/>
  <c r="E9740" i="44"/>
  <c r="E9741" i="44"/>
  <c r="E9742" i="44"/>
  <c r="E9743" i="44"/>
  <c r="E9744" i="44"/>
  <c r="E9745" i="44"/>
  <c r="E9746" i="44"/>
  <c r="E9747" i="44"/>
  <c r="E9748" i="44"/>
  <c r="E9749" i="44"/>
  <c r="E9750" i="44"/>
  <c r="E9751" i="44"/>
  <c r="E9752" i="44"/>
  <c r="E9753" i="44"/>
  <c r="E9754" i="44"/>
  <c r="E9755" i="44"/>
  <c r="E9756" i="44"/>
  <c r="E9757" i="44"/>
  <c r="E9758" i="44"/>
  <c r="E9759" i="44"/>
  <c r="E9760" i="44"/>
  <c r="E9761" i="44"/>
  <c r="E9762" i="44"/>
  <c r="E9763" i="44"/>
  <c r="E9764" i="44"/>
  <c r="E9765" i="44"/>
  <c r="E9766" i="44"/>
  <c r="E9767" i="44"/>
  <c r="E9768" i="44"/>
  <c r="E9769" i="44"/>
  <c r="E9770" i="44"/>
  <c r="E9771" i="44"/>
  <c r="E9772" i="44"/>
  <c r="E9773" i="44"/>
  <c r="E9774" i="44"/>
  <c r="E9775" i="44"/>
  <c r="E9776" i="44"/>
  <c r="E9777" i="44"/>
  <c r="E9778" i="44"/>
  <c r="E9779" i="44"/>
  <c r="E9780" i="44"/>
  <c r="E9781" i="44"/>
  <c r="E9782" i="44"/>
  <c r="E9783" i="44"/>
  <c r="E9784" i="44"/>
  <c r="E9785" i="44"/>
  <c r="E9786" i="44"/>
  <c r="E9787" i="44"/>
  <c r="E9788" i="44"/>
  <c r="E9789" i="44"/>
  <c r="E9790" i="44"/>
  <c r="E9791" i="44"/>
  <c r="E9792" i="44"/>
  <c r="E9793" i="44"/>
  <c r="E9794" i="44"/>
  <c r="E9795" i="44"/>
  <c r="E9796" i="44"/>
  <c r="E9797" i="44"/>
  <c r="E9798" i="44"/>
  <c r="E9799" i="44"/>
  <c r="E9800" i="44"/>
  <c r="E9801" i="44"/>
  <c r="E9802" i="44"/>
  <c r="E9803" i="44"/>
  <c r="E9804" i="44"/>
  <c r="E9805" i="44"/>
  <c r="E9806" i="44"/>
  <c r="E9807" i="44"/>
  <c r="E9808" i="44"/>
  <c r="E9809" i="44"/>
  <c r="E9810" i="44"/>
  <c r="E9811" i="44"/>
  <c r="E9812" i="44"/>
  <c r="E9813" i="44"/>
  <c r="E9814" i="44"/>
  <c r="E9815" i="44"/>
  <c r="E9816" i="44"/>
  <c r="E9817" i="44"/>
  <c r="E9818" i="44"/>
  <c r="E9819" i="44"/>
  <c r="E9820" i="44"/>
  <c r="E9821" i="44"/>
  <c r="E9822" i="44"/>
  <c r="E9823" i="44"/>
  <c r="E9824" i="44"/>
  <c r="E9825" i="44"/>
  <c r="E9826" i="44"/>
  <c r="E9827" i="44"/>
  <c r="E9828" i="44"/>
  <c r="E9829" i="44"/>
  <c r="E9830" i="44"/>
  <c r="E9831" i="44"/>
  <c r="E9832" i="44"/>
  <c r="E9833" i="44"/>
  <c r="E9834" i="44"/>
  <c r="E9835" i="44"/>
  <c r="E9836" i="44"/>
  <c r="E9837" i="44"/>
  <c r="E9838" i="44"/>
  <c r="E9839" i="44"/>
  <c r="E9840" i="44"/>
  <c r="E9841" i="44"/>
  <c r="E9842" i="44"/>
  <c r="E9843" i="44"/>
  <c r="E9844" i="44"/>
  <c r="E9845" i="44"/>
  <c r="E9846" i="44"/>
  <c r="E9847" i="44"/>
  <c r="E9848" i="44"/>
  <c r="E9849" i="44"/>
  <c r="E9850" i="44"/>
  <c r="E9851" i="44"/>
  <c r="E9852" i="44"/>
  <c r="E9853" i="44"/>
  <c r="E9854" i="44"/>
  <c r="E9855" i="44"/>
  <c r="E9856" i="44"/>
  <c r="E9857" i="44"/>
  <c r="E9858" i="44"/>
  <c r="E9859" i="44"/>
  <c r="E9860" i="44"/>
  <c r="E9861" i="44"/>
  <c r="E9862" i="44"/>
  <c r="E9863" i="44"/>
  <c r="E9864" i="44"/>
  <c r="E9865" i="44"/>
  <c r="E9866" i="44"/>
  <c r="E9867" i="44"/>
  <c r="E9868" i="44"/>
  <c r="E9869" i="44"/>
  <c r="E9870" i="44"/>
  <c r="E9871" i="44"/>
  <c r="E9872" i="44"/>
  <c r="E9873" i="44"/>
  <c r="E9874" i="44"/>
  <c r="E9875" i="44"/>
  <c r="E9876" i="44"/>
  <c r="E9877" i="44"/>
  <c r="E9878" i="44"/>
  <c r="E9879" i="44"/>
  <c r="E9880" i="44"/>
  <c r="E9881" i="44"/>
  <c r="E9882" i="44"/>
  <c r="E9883" i="44"/>
  <c r="E9884" i="44"/>
  <c r="E9885" i="44"/>
  <c r="E9886" i="44"/>
  <c r="E9887" i="44"/>
  <c r="E9888" i="44"/>
  <c r="E9889" i="44"/>
  <c r="E9890" i="44"/>
  <c r="E9891" i="44"/>
  <c r="E9892" i="44"/>
  <c r="E9893" i="44"/>
  <c r="E9894" i="44"/>
  <c r="E9895" i="44"/>
  <c r="E9896" i="44"/>
  <c r="E9897" i="44"/>
  <c r="E9898" i="44"/>
  <c r="E9899" i="44"/>
  <c r="E9900" i="44"/>
  <c r="E9901" i="44"/>
  <c r="E9902" i="44"/>
  <c r="E9903" i="44"/>
  <c r="E9904" i="44"/>
  <c r="E9905" i="44"/>
  <c r="E9906" i="44"/>
  <c r="E9907" i="44"/>
  <c r="E9908" i="44"/>
  <c r="E9909" i="44"/>
  <c r="E9910" i="44"/>
  <c r="E9911" i="44"/>
  <c r="E9912" i="44"/>
  <c r="E9913" i="44"/>
  <c r="E9914" i="44"/>
  <c r="E9915" i="44"/>
  <c r="E9916" i="44"/>
  <c r="E9917" i="44"/>
  <c r="E9918" i="44"/>
  <c r="E9919" i="44"/>
  <c r="E9920" i="44"/>
  <c r="E9921" i="44"/>
  <c r="E9922" i="44"/>
  <c r="E9923" i="44"/>
  <c r="E9924" i="44"/>
  <c r="E9925" i="44"/>
  <c r="E9926" i="44"/>
  <c r="E9927" i="44"/>
  <c r="E9928" i="44"/>
  <c r="E9929" i="44"/>
  <c r="E9930" i="44"/>
  <c r="E9931" i="44"/>
  <c r="E9932" i="44"/>
  <c r="E9933" i="44"/>
  <c r="E9934" i="44"/>
  <c r="E9935" i="44"/>
  <c r="E9936" i="44"/>
  <c r="E9937" i="44"/>
  <c r="E9938" i="44"/>
  <c r="E9939" i="44"/>
  <c r="E9940" i="44"/>
  <c r="E9941" i="44"/>
  <c r="E9942" i="44"/>
  <c r="E9943" i="44"/>
  <c r="E9944" i="44"/>
  <c r="E9945" i="44"/>
  <c r="E9946" i="44"/>
  <c r="E9947" i="44"/>
  <c r="E9948" i="44"/>
  <c r="E9949" i="44"/>
  <c r="E9950" i="44"/>
  <c r="E9951" i="44"/>
  <c r="E9952" i="44"/>
  <c r="E9953" i="44"/>
  <c r="E9954" i="44"/>
  <c r="E9955" i="44"/>
  <c r="E9956" i="44"/>
  <c r="E9957" i="44"/>
  <c r="E9958" i="44"/>
  <c r="E9959" i="44"/>
  <c r="E9960" i="44"/>
  <c r="E9961" i="44"/>
  <c r="E9962" i="44"/>
  <c r="E9963" i="44"/>
  <c r="E9964" i="44"/>
  <c r="E9965" i="44"/>
  <c r="E9966" i="44"/>
  <c r="E9967" i="44"/>
  <c r="E9968" i="44"/>
  <c r="E9969" i="44"/>
  <c r="E9970" i="44"/>
  <c r="E9971" i="44"/>
  <c r="E9972" i="44"/>
  <c r="E9973" i="44"/>
  <c r="E9974" i="44"/>
  <c r="E9975" i="44"/>
  <c r="E9976" i="44"/>
  <c r="E9977" i="44"/>
  <c r="E9978" i="44"/>
  <c r="E9979" i="44"/>
  <c r="E9980" i="44"/>
  <c r="E9981" i="44"/>
  <c r="E9982" i="44"/>
  <c r="E9983" i="44"/>
  <c r="E9984" i="44"/>
  <c r="E9985" i="44"/>
  <c r="E9986" i="44"/>
  <c r="E9987" i="44"/>
  <c r="E9988" i="44"/>
  <c r="E9989" i="44"/>
  <c r="E9990" i="44"/>
  <c r="E9991" i="44"/>
  <c r="E9992" i="44"/>
  <c r="E9993" i="44"/>
  <c r="E9994" i="44"/>
  <c r="E9995" i="44"/>
  <c r="E9996" i="44"/>
  <c r="E9997" i="44"/>
  <c r="E9998" i="44"/>
  <c r="E9999" i="44"/>
  <c r="E10000" i="44"/>
  <c r="E10001" i="44"/>
  <c r="E10002" i="44"/>
  <c r="E10003" i="44"/>
  <c r="E10004" i="44"/>
  <c r="E10005" i="44"/>
  <c r="E10006" i="44"/>
  <c r="E10007" i="44"/>
  <c r="E10008" i="44"/>
  <c r="E10009" i="44"/>
  <c r="E10010" i="44"/>
  <c r="E10011" i="44"/>
  <c r="E10012" i="44"/>
  <c r="E10013" i="44"/>
  <c r="E10014" i="44"/>
  <c r="E10015" i="44"/>
  <c r="E10016" i="44"/>
  <c r="E10017" i="44"/>
  <c r="E10018" i="44"/>
  <c r="E10019" i="44"/>
  <c r="E10020" i="44"/>
  <c r="E10021" i="44"/>
  <c r="E10022" i="44"/>
  <c r="E10023" i="44"/>
  <c r="E10024" i="44"/>
  <c r="E10025" i="44"/>
  <c r="E10026" i="44"/>
  <c r="E10027" i="44"/>
  <c r="E10028" i="44"/>
  <c r="E10029" i="44"/>
  <c r="E10030" i="44"/>
  <c r="E10031" i="44"/>
  <c r="E10032" i="44"/>
  <c r="E10033" i="44"/>
  <c r="E10034" i="44"/>
  <c r="E10035" i="44"/>
  <c r="E10036" i="44"/>
  <c r="E10037" i="44"/>
  <c r="E10038" i="44"/>
  <c r="E10039" i="44"/>
  <c r="E10040" i="44"/>
  <c r="E10041" i="44"/>
  <c r="E10042" i="44"/>
  <c r="E10043" i="44"/>
  <c r="E10044" i="44"/>
  <c r="E10045" i="44"/>
  <c r="E10046" i="44"/>
  <c r="E10047" i="44"/>
  <c r="E10048" i="44"/>
  <c r="E10049" i="44"/>
  <c r="E10050" i="44"/>
  <c r="E10051" i="44"/>
  <c r="E10052" i="44"/>
  <c r="E10053" i="44"/>
  <c r="E10054" i="44"/>
  <c r="E10055" i="44"/>
  <c r="E10056" i="44"/>
  <c r="E10057" i="44"/>
  <c r="E10058" i="44"/>
  <c r="E10059" i="44"/>
  <c r="E10060" i="44"/>
  <c r="E10061" i="44"/>
  <c r="E10062" i="44"/>
  <c r="E10063" i="44"/>
  <c r="E10064" i="44"/>
  <c r="E10065" i="44"/>
  <c r="E10066" i="44"/>
  <c r="E10067" i="44"/>
  <c r="E10068" i="44"/>
  <c r="E10069" i="44"/>
  <c r="E10070" i="44"/>
  <c r="E10071" i="44"/>
  <c r="E10072" i="44"/>
  <c r="E10073" i="44"/>
  <c r="E10074" i="44"/>
  <c r="E10075" i="44"/>
  <c r="E10076" i="44"/>
  <c r="E10077" i="44"/>
  <c r="E10078" i="44"/>
  <c r="E10079" i="44"/>
  <c r="E10080" i="44"/>
  <c r="E10081" i="44"/>
  <c r="E10082" i="44"/>
  <c r="E10083" i="44"/>
  <c r="E10084" i="44"/>
  <c r="E10085" i="44"/>
  <c r="E10086" i="44"/>
  <c r="E10087" i="44"/>
  <c r="E10088" i="44"/>
  <c r="E10089" i="44"/>
  <c r="E10090" i="44"/>
  <c r="E10091" i="44"/>
  <c r="E10092" i="44"/>
  <c r="E10093" i="44"/>
  <c r="E10094" i="44"/>
  <c r="E10095" i="44"/>
  <c r="E10096" i="44"/>
  <c r="E10097" i="44"/>
  <c r="E10098" i="44"/>
  <c r="E10099" i="44"/>
  <c r="E10100" i="44"/>
  <c r="E10101" i="44"/>
  <c r="E10102" i="44"/>
  <c r="E10103" i="44"/>
  <c r="E10104" i="44"/>
  <c r="E10105" i="44"/>
  <c r="E10106" i="44"/>
  <c r="E10107" i="44"/>
  <c r="E10108" i="44"/>
  <c r="E10109" i="44"/>
  <c r="E10110" i="44"/>
  <c r="E10111" i="44"/>
  <c r="E10112" i="44"/>
  <c r="E10113" i="44"/>
  <c r="E10114" i="44"/>
  <c r="E10115" i="44"/>
  <c r="E10116" i="44"/>
  <c r="E10117" i="44"/>
  <c r="E10118" i="44"/>
  <c r="E10119" i="44"/>
  <c r="E10120" i="44"/>
  <c r="E10121" i="44"/>
  <c r="E10122" i="44"/>
  <c r="E10123" i="44"/>
  <c r="E10124" i="44"/>
  <c r="E10125" i="44"/>
  <c r="E10126" i="44"/>
  <c r="E10127" i="44"/>
  <c r="E10128" i="44"/>
  <c r="E10129" i="44"/>
  <c r="E10130" i="44"/>
  <c r="E10131" i="44"/>
  <c r="E10132" i="44"/>
  <c r="E10133" i="44"/>
  <c r="E10134" i="44"/>
  <c r="E10135" i="44"/>
  <c r="E10136" i="44"/>
  <c r="E10137" i="44"/>
  <c r="E10138" i="44"/>
  <c r="E10139" i="44"/>
  <c r="E10140" i="44"/>
  <c r="E10141" i="44"/>
  <c r="E10142" i="44"/>
  <c r="E10143" i="44"/>
  <c r="E10144" i="44"/>
  <c r="E10145" i="44"/>
  <c r="E10146" i="44"/>
  <c r="E10147" i="44"/>
  <c r="E10148" i="44"/>
  <c r="E10149" i="44"/>
  <c r="E10150" i="44"/>
  <c r="E10151" i="44"/>
  <c r="E10152" i="44"/>
  <c r="E10153" i="44"/>
  <c r="E10154" i="44"/>
  <c r="E10155" i="44"/>
  <c r="E10156" i="44"/>
  <c r="E10157" i="44"/>
  <c r="E10158" i="44"/>
  <c r="E10159" i="44"/>
  <c r="E10160" i="44"/>
  <c r="E10161" i="44"/>
  <c r="E10162" i="44"/>
  <c r="E10163" i="44"/>
  <c r="E10164" i="44"/>
  <c r="E10165" i="44"/>
  <c r="E10166" i="44"/>
  <c r="E10167" i="44"/>
  <c r="E10168" i="44"/>
  <c r="E10169" i="44"/>
  <c r="E10170" i="44"/>
  <c r="E10171" i="44"/>
  <c r="E10172" i="44"/>
  <c r="E10173" i="44"/>
  <c r="E10174" i="44"/>
  <c r="E10175" i="44"/>
  <c r="E10176" i="44"/>
  <c r="E10177" i="44"/>
  <c r="E10178" i="44"/>
  <c r="E10179" i="44"/>
  <c r="E10180" i="44"/>
  <c r="E10181" i="44"/>
  <c r="E10182" i="44"/>
  <c r="E10183" i="44"/>
  <c r="E10184" i="44"/>
  <c r="E10185" i="44"/>
  <c r="E10186" i="44"/>
  <c r="E10187" i="44"/>
  <c r="E10188" i="44"/>
  <c r="E10189" i="44"/>
  <c r="E10190" i="44"/>
  <c r="E10191" i="44"/>
  <c r="E10192" i="44"/>
  <c r="E10193" i="44"/>
  <c r="E10194" i="44"/>
  <c r="E10195" i="44"/>
  <c r="E10196" i="44"/>
  <c r="E10197" i="44"/>
  <c r="E10198" i="44"/>
  <c r="E10199" i="44"/>
  <c r="E10200" i="44"/>
  <c r="E10201" i="44"/>
  <c r="E10202" i="44"/>
  <c r="E10203" i="44"/>
  <c r="E10204" i="44"/>
  <c r="E10205" i="44"/>
  <c r="E10206" i="44"/>
  <c r="E10207" i="44"/>
  <c r="E10208" i="44"/>
  <c r="E10209" i="44"/>
  <c r="E10210" i="44"/>
  <c r="E10211" i="44"/>
  <c r="E10212" i="44"/>
  <c r="E10213" i="44"/>
  <c r="E10214" i="44"/>
  <c r="E10215" i="44"/>
  <c r="E10216" i="44"/>
  <c r="E10217" i="44"/>
  <c r="E10218" i="44"/>
  <c r="E10219" i="44"/>
  <c r="E10220" i="44"/>
  <c r="E10221" i="44"/>
  <c r="E10222" i="44"/>
  <c r="E10223" i="44"/>
  <c r="E10224" i="44"/>
  <c r="E10225" i="44"/>
  <c r="E10226" i="44"/>
  <c r="E10227" i="44"/>
  <c r="E10228" i="44"/>
  <c r="E10229" i="44"/>
  <c r="E10230" i="44"/>
  <c r="E10231" i="44"/>
  <c r="E10232" i="44"/>
  <c r="E10233" i="44"/>
  <c r="E10234" i="44"/>
  <c r="E10235" i="44"/>
  <c r="E10236" i="44"/>
  <c r="E10237" i="44"/>
  <c r="E10238" i="44"/>
  <c r="E10239" i="44"/>
  <c r="E10240" i="44"/>
  <c r="E10241" i="44"/>
  <c r="E10242" i="44"/>
  <c r="E10243" i="44"/>
  <c r="E10244" i="44"/>
  <c r="E10245" i="44"/>
  <c r="E10246" i="44"/>
  <c r="E10247" i="44"/>
  <c r="E10248" i="44"/>
  <c r="E10249" i="44"/>
  <c r="E10250" i="44"/>
  <c r="E10251" i="44"/>
  <c r="E10252" i="44"/>
  <c r="E10253" i="44"/>
  <c r="E10254" i="44"/>
  <c r="E10255" i="44"/>
  <c r="E10256" i="44"/>
  <c r="E10257" i="44"/>
  <c r="E10258" i="44"/>
  <c r="E10259" i="44"/>
  <c r="E10260" i="44"/>
  <c r="E10261" i="44"/>
  <c r="E10262" i="44"/>
  <c r="E10263" i="44"/>
  <c r="E10264" i="44"/>
  <c r="E10265" i="44"/>
  <c r="E10266" i="44"/>
  <c r="E10267" i="44"/>
  <c r="E10268" i="44"/>
  <c r="E10269" i="44"/>
  <c r="E10270" i="44"/>
  <c r="E10271" i="44"/>
  <c r="E10272" i="44"/>
  <c r="E10273" i="44"/>
  <c r="E10274" i="44"/>
  <c r="E10275" i="44"/>
  <c r="E10276" i="44"/>
  <c r="E10277" i="44"/>
  <c r="E10278" i="44"/>
  <c r="E10279" i="44"/>
  <c r="E10280" i="44"/>
  <c r="E10281" i="44"/>
  <c r="E10282" i="44"/>
  <c r="E10283" i="44"/>
  <c r="E10284" i="44"/>
  <c r="E10285" i="44"/>
  <c r="E10286" i="44"/>
  <c r="E10287" i="44"/>
  <c r="E10288" i="44"/>
  <c r="E10289" i="44"/>
  <c r="E10290" i="44"/>
  <c r="E10291" i="44"/>
  <c r="E10292" i="44"/>
  <c r="E10293" i="44"/>
  <c r="E10294" i="44"/>
  <c r="E10295" i="44"/>
  <c r="E10296" i="44"/>
  <c r="E10297" i="44"/>
  <c r="E10298" i="44"/>
  <c r="E10299" i="44"/>
  <c r="E10300" i="44"/>
  <c r="E10301" i="44"/>
  <c r="E10302" i="44"/>
  <c r="E10303" i="44"/>
  <c r="E10304" i="44"/>
  <c r="E10305" i="44"/>
  <c r="E10306" i="44"/>
  <c r="E10307" i="44"/>
  <c r="E10308" i="44"/>
  <c r="E10309" i="44"/>
  <c r="E10310" i="44"/>
  <c r="E10311" i="44"/>
  <c r="E10312" i="44"/>
  <c r="E10313" i="44"/>
  <c r="E10314" i="44"/>
  <c r="E10315" i="44"/>
  <c r="E10316" i="44"/>
  <c r="E10317" i="44"/>
  <c r="E10318" i="44"/>
  <c r="E10319" i="44"/>
  <c r="E10320" i="44"/>
  <c r="E10321" i="44"/>
  <c r="E10322" i="44"/>
  <c r="E10323" i="44"/>
  <c r="E10324" i="44"/>
  <c r="E10325" i="44"/>
  <c r="E10326" i="44"/>
  <c r="E10327" i="44"/>
  <c r="E10328" i="44"/>
  <c r="E10329" i="44"/>
  <c r="E10330" i="44"/>
  <c r="E10331" i="44"/>
  <c r="E10332" i="44"/>
  <c r="E10333" i="44"/>
  <c r="E10334" i="44"/>
  <c r="E10335" i="44"/>
  <c r="E10336" i="44"/>
  <c r="E10337" i="44"/>
  <c r="E10338" i="44"/>
  <c r="E10339" i="44"/>
  <c r="E10340" i="44"/>
  <c r="E10341" i="44"/>
  <c r="E10342" i="44"/>
  <c r="E10343" i="44"/>
  <c r="E10344" i="44"/>
  <c r="E10345" i="44"/>
  <c r="E10346" i="44"/>
  <c r="E10347" i="44"/>
  <c r="E10348" i="44"/>
  <c r="E10349" i="44"/>
  <c r="E10350" i="44"/>
  <c r="E10351" i="44"/>
  <c r="E10352" i="44"/>
  <c r="E10353" i="44"/>
  <c r="E10354" i="44"/>
  <c r="E10355" i="44"/>
  <c r="E10356" i="44"/>
  <c r="E10357" i="44"/>
  <c r="E10358" i="44"/>
  <c r="E10359" i="44"/>
  <c r="E10360" i="44"/>
  <c r="E10361" i="44"/>
  <c r="E10362" i="44"/>
  <c r="E10363" i="44"/>
  <c r="E10364" i="44"/>
  <c r="E10365" i="44"/>
  <c r="E10366" i="44"/>
  <c r="E10367" i="44"/>
  <c r="E10368" i="44"/>
  <c r="E10369" i="44"/>
  <c r="E10370" i="44"/>
  <c r="E10371" i="44"/>
  <c r="E10372" i="44"/>
  <c r="E10373" i="44"/>
  <c r="E10374" i="44"/>
  <c r="E10375" i="44"/>
  <c r="E10376" i="44"/>
  <c r="E10377" i="44"/>
  <c r="E10378" i="44"/>
  <c r="E10379" i="44"/>
  <c r="E10380" i="44"/>
  <c r="E10381" i="44"/>
  <c r="E10382" i="44"/>
  <c r="E10383" i="44"/>
  <c r="E10384" i="44"/>
  <c r="E10385" i="44"/>
  <c r="E10386" i="44"/>
  <c r="E10387" i="44"/>
  <c r="E10388" i="44"/>
  <c r="E10389" i="44"/>
  <c r="E10390" i="44"/>
  <c r="E10391" i="44"/>
  <c r="E10392" i="44"/>
  <c r="E10393" i="44"/>
  <c r="E10394" i="44"/>
  <c r="E10395" i="44"/>
  <c r="E10396" i="44"/>
  <c r="E10397" i="44"/>
  <c r="E10398" i="44"/>
  <c r="E10399" i="44"/>
  <c r="E10400" i="44"/>
  <c r="E10401" i="44"/>
  <c r="E10402" i="44"/>
  <c r="E10403" i="44"/>
  <c r="E10404" i="44"/>
  <c r="E10405" i="44"/>
  <c r="E10406" i="44"/>
  <c r="E10407" i="44"/>
  <c r="E10408" i="44"/>
  <c r="E10409" i="44"/>
  <c r="E10410" i="44"/>
  <c r="E10411" i="44"/>
  <c r="E10412" i="44"/>
  <c r="E10413" i="44"/>
  <c r="E10414" i="44"/>
  <c r="E10415" i="44"/>
  <c r="E10416" i="44"/>
  <c r="E10417" i="44"/>
  <c r="E10418" i="44"/>
  <c r="E10419" i="44"/>
  <c r="E10420" i="44"/>
  <c r="E10421" i="44"/>
  <c r="E10422" i="44"/>
  <c r="E10423" i="44"/>
  <c r="E10424" i="44"/>
  <c r="E10425" i="44"/>
  <c r="E10426" i="44"/>
  <c r="E10427" i="44"/>
  <c r="E10428" i="44"/>
  <c r="E10429" i="44"/>
  <c r="E10430" i="44"/>
  <c r="E10431" i="44"/>
  <c r="E10432" i="44"/>
  <c r="E10433" i="44"/>
  <c r="E10434" i="44"/>
  <c r="E10435" i="44"/>
  <c r="E10436" i="44"/>
  <c r="E10437" i="44"/>
  <c r="E10438" i="44"/>
  <c r="E10439" i="44"/>
  <c r="E10440" i="44"/>
  <c r="E10441" i="44"/>
  <c r="E10442" i="44"/>
  <c r="E10443" i="44"/>
  <c r="E10444" i="44"/>
  <c r="E10445" i="44"/>
  <c r="E10446" i="44"/>
  <c r="E10447" i="44"/>
  <c r="E10448" i="44"/>
  <c r="E10449" i="44"/>
  <c r="E10450" i="44"/>
  <c r="E10451" i="44"/>
  <c r="E10452" i="44"/>
  <c r="E10453" i="44"/>
  <c r="E10454" i="44"/>
  <c r="E10455" i="44"/>
  <c r="E10456" i="44"/>
  <c r="E10457" i="44"/>
  <c r="E10458" i="44"/>
  <c r="E10459" i="44"/>
  <c r="E10460" i="44"/>
  <c r="E10461" i="44"/>
  <c r="E10462" i="44"/>
  <c r="E10463" i="44"/>
  <c r="E10464" i="44"/>
  <c r="E10465" i="44"/>
  <c r="E10466" i="44"/>
  <c r="E10467" i="44"/>
  <c r="E10468" i="44"/>
  <c r="E10469" i="44"/>
  <c r="E10470" i="44"/>
  <c r="E10471" i="44"/>
  <c r="E10472" i="44"/>
  <c r="E10473" i="44"/>
  <c r="E10474" i="44"/>
  <c r="E10475" i="44"/>
  <c r="E10476" i="44"/>
  <c r="E10477" i="44"/>
  <c r="E10478" i="44"/>
  <c r="E10479" i="44"/>
  <c r="E10480" i="44"/>
  <c r="E10481" i="44"/>
  <c r="E10482" i="44"/>
  <c r="E10483" i="44"/>
  <c r="E10484" i="44"/>
  <c r="E10485" i="44"/>
  <c r="E10486" i="44"/>
  <c r="E10487" i="44"/>
  <c r="E10488" i="44"/>
  <c r="E10489" i="44"/>
  <c r="E10490" i="44"/>
  <c r="E10491" i="44"/>
  <c r="E10492" i="44"/>
  <c r="E10493" i="44"/>
  <c r="E10494" i="44"/>
  <c r="E10495" i="44"/>
  <c r="E10496" i="44"/>
  <c r="E10497" i="44"/>
  <c r="E10498" i="44"/>
  <c r="E10499" i="44"/>
  <c r="E10500" i="44"/>
  <c r="E10501" i="44"/>
  <c r="E10502" i="44"/>
  <c r="E10503" i="44"/>
  <c r="E10504" i="44"/>
  <c r="E10505" i="44"/>
  <c r="E10506" i="44"/>
  <c r="E10507" i="44"/>
  <c r="E10508" i="44"/>
  <c r="E10509" i="44"/>
  <c r="E10510" i="44"/>
  <c r="E10511" i="44"/>
  <c r="E10512" i="44"/>
  <c r="E10513" i="44"/>
  <c r="E10514" i="44"/>
  <c r="E10515" i="44"/>
  <c r="E10516" i="44"/>
  <c r="E10517" i="44"/>
  <c r="E10518" i="44"/>
  <c r="E10519" i="44"/>
  <c r="E10520" i="44"/>
  <c r="E10521" i="44"/>
  <c r="E10522" i="44"/>
  <c r="E10523" i="44"/>
  <c r="E10524" i="44"/>
  <c r="E10525" i="44"/>
  <c r="E10526" i="44"/>
  <c r="E10527" i="44"/>
  <c r="E10528" i="44"/>
  <c r="E10529" i="44"/>
  <c r="E10530" i="44"/>
  <c r="E10531" i="44"/>
  <c r="E10532" i="44"/>
  <c r="E10533" i="44"/>
  <c r="E10534" i="44"/>
  <c r="E10535" i="44"/>
  <c r="E10536" i="44"/>
  <c r="E10537" i="44"/>
  <c r="E10538" i="44"/>
  <c r="E10539" i="44"/>
  <c r="E10540" i="44"/>
  <c r="E10541" i="44"/>
  <c r="E10542" i="44"/>
  <c r="E10543" i="44"/>
  <c r="E10544" i="44"/>
  <c r="E10545" i="44"/>
  <c r="E10546" i="44"/>
  <c r="E10547" i="44"/>
  <c r="E10548" i="44"/>
  <c r="E10549" i="44"/>
  <c r="E10550" i="44"/>
  <c r="E10551" i="44"/>
  <c r="E10552" i="44"/>
  <c r="E10553" i="44"/>
  <c r="E10554" i="44"/>
  <c r="E10555" i="44"/>
  <c r="E10556" i="44"/>
  <c r="E10557" i="44"/>
  <c r="E10558" i="44"/>
  <c r="E10559" i="44"/>
  <c r="E10560" i="44"/>
  <c r="E10561" i="44"/>
  <c r="E10562" i="44"/>
  <c r="E10563" i="44"/>
  <c r="E10564" i="44"/>
  <c r="E10565" i="44"/>
  <c r="E10566" i="44"/>
  <c r="E10567" i="44"/>
  <c r="E10568" i="44"/>
  <c r="E10569" i="44"/>
  <c r="E10570" i="44"/>
  <c r="E10571" i="44"/>
  <c r="E10572" i="44"/>
  <c r="E10573" i="44"/>
  <c r="E10574" i="44"/>
  <c r="E10575" i="44"/>
  <c r="E10576" i="44"/>
  <c r="E10577" i="44"/>
  <c r="E10578" i="44"/>
  <c r="E10579" i="44"/>
  <c r="E10580" i="44"/>
  <c r="E10581" i="44"/>
  <c r="E10582" i="44"/>
  <c r="E10583" i="44"/>
  <c r="E10584" i="44"/>
  <c r="E10585" i="44"/>
  <c r="E10586" i="44"/>
  <c r="E10587" i="44"/>
  <c r="E10588" i="44"/>
  <c r="E10589" i="44"/>
  <c r="E10590" i="44"/>
  <c r="E10591" i="44"/>
  <c r="E10592" i="44"/>
  <c r="E10593" i="44"/>
  <c r="E10594" i="44"/>
  <c r="E10595" i="44"/>
  <c r="E10596" i="44"/>
  <c r="E10597" i="44"/>
  <c r="E10598" i="44"/>
  <c r="E10599" i="44"/>
  <c r="E10600" i="44"/>
  <c r="E10601" i="44"/>
  <c r="E10602" i="44"/>
  <c r="E10603" i="44"/>
  <c r="E10604" i="44"/>
  <c r="E10605" i="44"/>
  <c r="E10606" i="44"/>
  <c r="E10607" i="44"/>
  <c r="E10608" i="44"/>
  <c r="E10609" i="44"/>
  <c r="E10610" i="44"/>
  <c r="E10611" i="44"/>
  <c r="E10612" i="44"/>
  <c r="E10613" i="44"/>
  <c r="E10614" i="44"/>
  <c r="E10615" i="44"/>
  <c r="E10616" i="44"/>
  <c r="E10617" i="44"/>
  <c r="E10618" i="44"/>
  <c r="E10619" i="44"/>
  <c r="E10620" i="44"/>
  <c r="E10621" i="44"/>
  <c r="E10622" i="44"/>
  <c r="E10623" i="44"/>
  <c r="E10624" i="44"/>
  <c r="E10625" i="44"/>
  <c r="E10626" i="44"/>
  <c r="E10627" i="44"/>
  <c r="E10628" i="44"/>
  <c r="E10629" i="44"/>
  <c r="E10630" i="44"/>
  <c r="E10631" i="44"/>
  <c r="E10632" i="44"/>
  <c r="E10633" i="44"/>
  <c r="E10634" i="44"/>
  <c r="E10635" i="44"/>
  <c r="E10636" i="44"/>
  <c r="E10637" i="44"/>
  <c r="E10638" i="44"/>
  <c r="E10639" i="44"/>
  <c r="E10640" i="44"/>
  <c r="E10641" i="44"/>
  <c r="E10642" i="44"/>
  <c r="E10643" i="44"/>
  <c r="E10644" i="44"/>
  <c r="E10645" i="44"/>
  <c r="E10646" i="44"/>
  <c r="E10647" i="44"/>
  <c r="E10648" i="44"/>
  <c r="E10649" i="44"/>
  <c r="E10650" i="44"/>
  <c r="E10651" i="44"/>
  <c r="E10652" i="44"/>
  <c r="E10653" i="44"/>
  <c r="E10654" i="44"/>
  <c r="E10655" i="44"/>
  <c r="E10656" i="44"/>
  <c r="E10657" i="44"/>
  <c r="E10658" i="44"/>
  <c r="E10659" i="44"/>
  <c r="E10660" i="44"/>
  <c r="E10661" i="44"/>
  <c r="E10662" i="44"/>
  <c r="E10663" i="44"/>
  <c r="E10664" i="44"/>
  <c r="E10665" i="44"/>
  <c r="E10666" i="44"/>
  <c r="E10667" i="44"/>
  <c r="E10668" i="44"/>
  <c r="E10669" i="44"/>
  <c r="E10670" i="44"/>
  <c r="E10671" i="44"/>
  <c r="E10672" i="44"/>
  <c r="E10673" i="44"/>
  <c r="E10674" i="44"/>
  <c r="E10675" i="44"/>
  <c r="E10676" i="44"/>
  <c r="E10677" i="44"/>
  <c r="E10678" i="44"/>
  <c r="E10679" i="44"/>
  <c r="E10680" i="44"/>
  <c r="E10681" i="44"/>
  <c r="E10682" i="44"/>
  <c r="E10683" i="44"/>
  <c r="E10684" i="44"/>
  <c r="E10685" i="44"/>
  <c r="E10686" i="44"/>
  <c r="E10687" i="44"/>
  <c r="E10688" i="44"/>
  <c r="E10689" i="44"/>
  <c r="E10690" i="44"/>
  <c r="E10691" i="44"/>
  <c r="E10692" i="44"/>
  <c r="E10693" i="44"/>
  <c r="E10694" i="44"/>
  <c r="E10695" i="44"/>
  <c r="E10696" i="44"/>
  <c r="E10697" i="44"/>
  <c r="E10698" i="44"/>
  <c r="E10699" i="44"/>
  <c r="E10700" i="44"/>
  <c r="E10701" i="44"/>
  <c r="E10702" i="44"/>
  <c r="E10703" i="44"/>
  <c r="E10704" i="44"/>
  <c r="E10705" i="44"/>
  <c r="E10706" i="44"/>
  <c r="E10707" i="44"/>
  <c r="E10708" i="44"/>
  <c r="E10709" i="44"/>
  <c r="E10710" i="44"/>
  <c r="E10711" i="44"/>
  <c r="E10712" i="44"/>
  <c r="E10713" i="44"/>
  <c r="E10714" i="44"/>
  <c r="E10715" i="44"/>
  <c r="E10716" i="44"/>
  <c r="E10717" i="44"/>
  <c r="E10718" i="44"/>
  <c r="E10719" i="44"/>
  <c r="E10720" i="44"/>
  <c r="E10721" i="44"/>
  <c r="E10722" i="44"/>
  <c r="E10723" i="44"/>
  <c r="E10724" i="44"/>
  <c r="E10725" i="44"/>
  <c r="E10726" i="44"/>
  <c r="E10727" i="44"/>
  <c r="E10728" i="44"/>
  <c r="E10729" i="44"/>
  <c r="E10730" i="44"/>
  <c r="E10731" i="44"/>
  <c r="E10732" i="44"/>
  <c r="E10733" i="44"/>
  <c r="E10734" i="44"/>
  <c r="E10735" i="44"/>
  <c r="E10736" i="44"/>
  <c r="E10737" i="44"/>
  <c r="E10738" i="44"/>
  <c r="E10739" i="44"/>
  <c r="E10740" i="44"/>
  <c r="E10741" i="44"/>
  <c r="E10742" i="44"/>
  <c r="E10743" i="44"/>
  <c r="E10744" i="44"/>
  <c r="E10745" i="44"/>
  <c r="E10746" i="44"/>
  <c r="E10747" i="44"/>
  <c r="E10748" i="44"/>
  <c r="E10749" i="44"/>
  <c r="E10750" i="44"/>
  <c r="E10751" i="44"/>
  <c r="E10752" i="44"/>
  <c r="E10753" i="44"/>
  <c r="E10754" i="44"/>
  <c r="E10755" i="44"/>
  <c r="E10756" i="44"/>
  <c r="E10757" i="44"/>
  <c r="E10758" i="44"/>
  <c r="E10759" i="44"/>
  <c r="E10760" i="44"/>
  <c r="E10761" i="44"/>
  <c r="E10762" i="44"/>
  <c r="E10763" i="44"/>
  <c r="E10764" i="44"/>
  <c r="E10765" i="44"/>
  <c r="E10766" i="44"/>
  <c r="E10767" i="44"/>
  <c r="E10768" i="44"/>
  <c r="E10769" i="44"/>
  <c r="E10770" i="44"/>
  <c r="E10771" i="44"/>
  <c r="E10772" i="44"/>
  <c r="E10773" i="44"/>
  <c r="E10774" i="44"/>
  <c r="E10775" i="44"/>
  <c r="E10776" i="44"/>
  <c r="E10777" i="44"/>
  <c r="E10778" i="44"/>
  <c r="E10779" i="44"/>
  <c r="E10780" i="44"/>
  <c r="E10781" i="44"/>
  <c r="E10782" i="44"/>
  <c r="E10783" i="44"/>
  <c r="E10784" i="44"/>
  <c r="E10785" i="44"/>
  <c r="E10786" i="44"/>
  <c r="E10787" i="44"/>
  <c r="E10788" i="44"/>
  <c r="E10789" i="44"/>
  <c r="E10790" i="44"/>
  <c r="E10791" i="44"/>
  <c r="E10792" i="44"/>
  <c r="E10793" i="44"/>
  <c r="E10794" i="44"/>
  <c r="E10795" i="44"/>
  <c r="E10796" i="44"/>
  <c r="E10797" i="44"/>
  <c r="E10798" i="44"/>
  <c r="E10799" i="44"/>
  <c r="E10800" i="44"/>
  <c r="E10801" i="44"/>
  <c r="E10802" i="44"/>
  <c r="E10803" i="44"/>
  <c r="E10804" i="44"/>
  <c r="E10805" i="44"/>
  <c r="E10806" i="44"/>
  <c r="E10807" i="44"/>
  <c r="E10808" i="44"/>
  <c r="E10809" i="44"/>
  <c r="E10810" i="44"/>
  <c r="E10811" i="44"/>
  <c r="E10812" i="44"/>
  <c r="E10813" i="44"/>
  <c r="E10814" i="44"/>
  <c r="E10815" i="44"/>
  <c r="E10816" i="44"/>
  <c r="E10817" i="44"/>
  <c r="E10818" i="44"/>
  <c r="E10819" i="44"/>
  <c r="E10820" i="44"/>
  <c r="E10821" i="44"/>
  <c r="E10822" i="44"/>
  <c r="E10823" i="44"/>
  <c r="E10824" i="44"/>
  <c r="E10825" i="44"/>
  <c r="E10826" i="44"/>
  <c r="E10827" i="44"/>
  <c r="E10828" i="44"/>
  <c r="E10829" i="44"/>
  <c r="E10830" i="44"/>
  <c r="E10831" i="44"/>
  <c r="E10832" i="44"/>
  <c r="E10833" i="44"/>
  <c r="E10834" i="44"/>
  <c r="E10835" i="44"/>
  <c r="E10836" i="44"/>
  <c r="E10837" i="44"/>
  <c r="E10838" i="44"/>
  <c r="E10839" i="44"/>
  <c r="E10840" i="44"/>
  <c r="E10841" i="44"/>
  <c r="E10842" i="44"/>
  <c r="E10843" i="44"/>
  <c r="E10844" i="44"/>
  <c r="E10845" i="44"/>
  <c r="E10846" i="44"/>
  <c r="E10847" i="44"/>
  <c r="E10848" i="44"/>
  <c r="E10849" i="44"/>
  <c r="E10850" i="44"/>
  <c r="E10851" i="44"/>
  <c r="E10852" i="44"/>
  <c r="E10853" i="44"/>
  <c r="E10854" i="44"/>
  <c r="E10855" i="44"/>
  <c r="E10856" i="44"/>
  <c r="E10857" i="44"/>
  <c r="E10858" i="44"/>
  <c r="E10859" i="44"/>
  <c r="E10860" i="44"/>
  <c r="E10861" i="44"/>
  <c r="E10862" i="44"/>
  <c r="E10863" i="44"/>
  <c r="E10864" i="44"/>
  <c r="E10865" i="44"/>
  <c r="E10866" i="44"/>
  <c r="E10867" i="44"/>
  <c r="E10868" i="44"/>
  <c r="E10869" i="44"/>
  <c r="E10870" i="44"/>
  <c r="E10871" i="44"/>
  <c r="E10872" i="44"/>
  <c r="E10873" i="44"/>
  <c r="E10874" i="44"/>
  <c r="E10875" i="44"/>
  <c r="E10876" i="44"/>
  <c r="E10877" i="44"/>
  <c r="E10878" i="44"/>
  <c r="E10879" i="44"/>
  <c r="E10880" i="44"/>
  <c r="E10881" i="44"/>
  <c r="E10882" i="44"/>
  <c r="E10883" i="44"/>
  <c r="E10884" i="44"/>
  <c r="E10885" i="44"/>
  <c r="E10886" i="44"/>
  <c r="E10887" i="44"/>
  <c r="E10888" i="44"/>
  <c r="E10889" i="44"/>
  <c r="E10890" i="44"/>
  <c r="E10891" i="44"/>
  <c r="E10892" i="44"/>
  <c r="E10893" i="44"/>
  <c r="E10894" i="44"/>
  <c r="E10895" i="44"/>
  <c r="E10896" i="44"/>
  <c r="E10897" i="44"/>
  <c r="E10898" i="44"/>
  <c r="E10899" i="44"/>
  <c r="E10900" i="44"/>
  <c r="E10901" i="44"/>
  <c r="E10902" i="44"/>
  <c r="E10903" i="44"/>
  <c r="E10904" i="44"/>
  <c r="E10905" i="44"/>
  <c r="E10906" i="44"/>
  <c r="E10907" i="44"/>
  <c r="E10908" i="44"/>
  <c r="E10909" i="44"/>
  <c r="E10910" i="44"/>
  <c r="E10911" i="44"/>
  <c r="E10912" i="44"/>
  <c r="E10913" i="44"/>
  <c r="E10914" i="44"/>
  <c r="E10915" i="44"/>
  <c r="E10916" i="44"/>
  <c r="E10917" i="44"/>
  <c r="E10918" i="44"/>
  <c r="E10919" i="44"/>
  <c r="E10920" i="44"/>
  <c r="E10921" i="44"/>
  <c r="E10922" i="44"/>
  <c r="E10923" i="44"/>
  <c r="E10924" i="44"/>
  <c r="E10925" i="44"/>
  <c r="E10926" i="44"/>
  <c r="E10927" i="44"/>
  <c r="E10928" i="44"/>
  <c r="E10929" i="44"/>
  <c r="E10930" i="44"/>
  <c r="E10931" i="44"/>
  <c r="E10932" i="44"/>
  <c r="E10933" i="44"/>
  <c r="E10934" i="44"/>
  <c r="E10935" i="44"/>
  <c r="E10936" i="44"/>
  <c r="E10937" i="44"/>
  <c r="E10938" i="44"/>
  <c r="E10939" i="44"/>
  <c r="E10940" i="44"/>
  <c r="E10941" i="44"/>
  <c r="E10942" i="44"/>
  <c r="E10943" i="44"/>
  <c r="E10944" i="44"/>
  <c r="E10945" i="44"/>
  <c r="E10946" i="44"/>
  <c r="E10947" i="44"/>
  <c r="E10948" i="44"/>
  <c r="E10949" i="44"/>
  <c r="E10950" i="44"/>
  <c r="E10951" i="44"/>
  <c r="E10952" i="44"/>
  <c r="E10953" i="44"/>
  <c r="E10954" i="44"/>
  <c r="E10955" i="44"/>
  <c r="E10956" i="44"/>
  <c r="E10957" i="44"/>
  <c r="E10958" i="44"/>
  <c r="E10959" i="44"/>
  <c r="E10960" i="44"/>
  <c r="E10961" i="44"/>
  <c r="E10962" i="44"/>
  <c r="E10963" i="44"/>
  <c r="E10964" i="44"/>
  <c r="E10965" i="44"/>
  <c r="E10966" i="44"/>
  <c r="E10967" i="44"/>
  <c r="E10968" i="44"/>
  <c r="E10969" i="44"/>
  <c r="E10970" i="44"/>
  <c r="E10971" i="44"/>
  <c r="E10972" i="44"/>
  <c r="E10973" i="44"/>
  <c r="E10974" i="44"/>
  <c r="E10975" i="44"/>
  <c r="E10976" i="44"/>
  <c r="E10977" i="44"/>
  <c r="E10978" i="44"/>
  <c r="E10979" i="44"/>
  <c r="E10980" i="44"/>
  <c r="E10981" i="44"/>
  <c r="E10982" i="44"/>
  <c r="E10983" i="44"/>
  <c r="E10984" i="44"/>
  <c r="E10985" i="44"/>
  <c r="E10986" i="44"/>
  <c r="E10987" i="44"/>
  <c r="E10988" i="44"/>
  <c r="E10989" i="44"/>
  <c r="E10990" i="44"/>
  <c r="E10991" i="44"/>
  <c r="E10992" i="44"/>
  <c r="E10993" i="44"/>
  <c r="E10994" i="44"/>
  <c r="E10995" i="44"/>
  <c r="E10996" i="44"/>
  <c r="E10997" i="44"/>
  <c r="E10998" i="44"/>
  <c r="E10999" i="44"/>
  <c r="E11000" i="44"/>
  <c r="E11001" i="44"/>
  <c r="E11002" i="44"/>
  <c r="E11003" i="44"/>
  <c r="E11004" i="44"/>
  <c r="E11005" i="44"/>
  <c r="E11006" i="44"/>
  <c r="E11007" i="44"/>
  <c r="E11008" i="44"/>
  <c r="E11009" i="44"/>
  <c r="E11010" i="44"/>
  <c r="E11011" i="44"/>
  <c r="E11012" i="44"/>
  <c r="E11013" i="44"/>
  <c r="E11014" i="44"/>
  <c r="E11015" i="44"/>
  <c r="E11016" i="44"/>
  <c r="E11017" i="44"/>
  <c r="E11018" i="44"/>
  <c r="E11019" i="44"/>
  <c r="E11020" i="44"/>
  <c r="E11021" i="44"/>
  <c r="E11022" i="44"/>
  <c r="E11023" i="44"/>
  <c r="E11024" i="44"/>
  <c r="E11025" i="44"/>
  <c r="E11026" i="44"/>
  <c r="E11027" i="44"/>
  <c r="E11028" i="44"/>
  <c r="E11029" i="44"/>
  <c r="E11030" i="44"/>
  <c r="E11031" i="44"/>
  <c r="E11032" i="44"/>
  <c r="E11033" i="44"/>
  <c r="E11034" i="44"/>
  <c r="E11035" i="44"/>
  <c r="E11036" i="44"/>
  <c r="E11037" i="44"/>
  <c r="E11038" i="44"/>
  <c r="E11039" i="44"/>
  <c r="E11040" i="44"/>
  <c r="E11041" i="44"/>
  <c r="E11042" i="44"/>
  <c r="E11043" i="44"/>
  <c r="E11044" i="44"/>
  <c r="E11045" i="44"/>
  <c r="E11046" i="44"/>
  <c r="E11047" i="44"/>
  <c r="E11048" i="44"/>
  <c r="E11049" i="44"/>
  <c r="E11050" i="44"/>
  <c r="E11051" i="44"/>
  <c r="E11052" i="44"/>
  <c r="E11053" i="44"/>
  <c r="E11054" i="44"/>
  <c r="E11055" i="44"/>
  <c r="E11056" i="44"/>
  <c r="E11057" i="44"/>
  <c r="E11058" i="44"/>
  <c r="E11059" i="44"/>
  <c r="E11060" i="44"/>
  <c r="E11061" i="44"/>
  <c r="E11062" i="44"/>
  <c r="E11063" i="44"/>
  <c r="E11064" i="44"/>
  <c r="E11065" i="44"/>
  <c r="E11066" i="44"/>
  <c r="E11067" i="44"/>
  <c r="E11068" i="44"/>
  <c r="E11069" i="44"/>
  <c r="E11070" i="44"/>
  <c r="E11071" i="44"/>
  <c r="E11072" i="44"/>
  <c r="E11073" i="44"/>
  <c r="E11074" i="44"/>
  <c r="E11075" i="44"/>
  <c r="E11076" i="44"/>
  <c r="E11077" i="44"/>
  <c r="E11078" i="44"/>
  <c r="E11079" i="44"/>
  <c r="E11080" i="44"/>
  <c r="E11081" i="44"/>
  <c r="E11082" i="44"/>
  <c r="E11083" i="44"/>
  <c r="E11084" i="44"/>
  <c r="E11085" i="44"/>
  <c r="E11086" i="44"/>
  <c r="E11087" i="44"/>
  <c r="E11088" i="44"/>
  <c r="E11089" i="44"/>
  <c r="E11090" i="44"/>
  <c r="E11091" i="44"/>
  <c r="E11092" i="44"/>
  <c r="E11093" i="44"/>
  <c r="E11094" i="44"/>
  <c r="E11095" i="44"/>
  <c r="E11096" i="44"/>
  <c r="E11097" i="44"/>
  <c r="E11098" i="44"/>
  <c r="E11099" i="44"/>
  <c r="E11100" i="44"/>
  <c r="E11101" i="44"/>
  <c r="E11102" i="44"/>
  <c r="E11103" i="44"/>
  <c r="E11104" i="44"/>
  <c r="E11105" i="44"/>
  <c r="E11106" i="44"/>
  <c r="E11107" i="44"/>
  <c r="E11108" i="44"/>
  <c r="E11109" i="44"/>
  <c r="E11110" i="44"/>
  <c r="E11111" i="44"/>
  <c r="E11112" i="44"/>
  <c r="E11113" i="44"/>
  <c r="E11114" i="44"/>
  <c r="E11115" i="44"/>
  <c r="E11116" i="44"/>
  <c r="E11117" i="44"/>
  <c r="E11118" i="44"/>
  <c r="E11119" i="44"/>
  <c r="E11120" i="44"/>
  <c r="E11121" i="44"/>
  <c r="E11122" i="44"/>
  <c r="E11123" i="44"/>
  <c r="E11124" i="44"/>
  <c r="E11125" i="44"/>
  <c r="E11126" i="44"/>
  <c r="E11127" i="44"/>
  <c r="E11128" i="44"/>
  <c r="E11129" i="44"/>
  <c r="E11130" i="44"/>
  <c r="E11131" i="44"/>
  <c r="E11132" i="44"/>
  <c r="E11133" i="44"/>
  <c r="E11134" i="44"/>
  <c r="E11135" i="44"/>
  <c r="E11136" i="44"/>
  <c r="E11137" i="44"/>
  <c r="E11138" i="44"/>
  <c r="E11139" i="44"/>
  <c r="E11140" i="44"/>
  <c r="E11141" i="44"/>
  <c r="E11142" i="44"/>
  <c r="E11143" i="44"/>
  <c r="E11144" i="44"/>
  <c r="E11145" i="44"/>
  <c r="E11146" i="44"/>
  <c r="E11147" i="44"/>
  <c r="E11148" i="44"/>
  <c r="E11149" i="44"/>
  <c r="E11150" i="44"/>
  <c r="E11151" i="44"/>
  <c r="E11152" i="44"/>
  <c r="E11153" i="44"/>
  <c r="E11154" i="44"/>
  <c r="E11155" i="44"/>
  <c r="E11156" i="44"/>
  <c r="E11157" i="44"/>
  <c r="E11158" i="44"/>
  <c r="E11159" i="44"/>
  <c r="E11160" i="44"/>
  <c r="E11161" i="44"/>
  <c r="E11162" i="44"/>
  <c r="E11163" i="44"/>
  <c r="E11164" i="44"/>
  <c r="E11165" i="44"/>
  <c r="E11166" i="44"/>
  <c r="E11167" i="44"/>
  <c r="E11168" i="44"/>
  <c r="E11169" i="44"/>
  <c r="E11170" i="44"/>
  <c r="E11171" i="44"/>
  <c r="E11172" i="44"/>
  <c r="E11173" i="44"/>
  <c r="E11174" i="44"/>
  <c r="E11175" i="44"/>
  <c r="E11176" i="44"/>
  <c r="E11177" i="44"/>
  <c r="E11178" i="44"/>
  <c r="E11179" i="44"/>
  <c r="E11180" i="44"/>
  <c r="E11181" i="44"/>
  <c r="E11182" i="44"/>
  <c r="E11183" i="44"/>
  <c r="E11184" i="44"/>
  <c r="E11185" i="44"/>
  <c r="E11186" i="44"/>
  <c r="E11187" i="44"/>
  <c r="E11188" i="44"/>
  <c r="E11189" i="44"/>
  <c r="E11190" i="44"/>
  <c r="E11191" i="44"/>
  <c r="E11192" i="44"/>
  <c r="E11193" i="44"/>
  <c r="E11194" i="44"/>
  <c r="E11195" i="44"/>
  <c r="E11196" i="44"/>
  <c r="E11197" i="44"/>
  <c r="E11198" i="44"/>
  <c r="E11199" i="44"/>
  <c r="E11200" i="44"/>
  <c r="E11201" i="44"/>
  <c r="E11202" i="44"/>
  <c r="E11203" i="44"/>
  <c r="E11204" i="44"/>
  <c r="E11205" i="44"/>
  <c r="E11206" i="44"/>
  <c r="E11207" i="44"/>
  <c r="E11208" i="44"/>
  <c r="E11209" i="44"/>
  <c r="E11210" i="44"/>
  <c r="E11211" i="44"/>
  <c r="E11212" i="44"/>
  <c r="E11213" i="44"/>
  <c r="E11214" i="44"/>
  <c r="E11215" i="44"/>
  <c r="E11216" i="44"/>
  <c r="E11217" i="44"/>
  <c r="E11218" i="44"/>
  <c r="E11219" i="44"/>
  <c r="E11220" i="44"/>
  <c r="E11221" i="44"/>
  <c r="E11222" i="44"/>
  <c r="E11223" i="44"/>
  <c r="E11224" i="44"/>
  <c r="E11225" i="44"/>
  <c r="E11226" i="44"/>
  <c r="E11227" i="44"/>
  <c r="E11228" i="44"/>
  <c r="E11229" i="44"/>
  <c r="E11230" i="44"/>
  <c r="E11231" i="44"/>
  <c r="E11232" i="44"/>
  <c r="E11233" i="44"/>
  <c r="E11234" i="44"/>
  <c r="E11235" i="44"/>
  <c r="E11236" i="44"/>
  <c r="E11237" i="44"/>
  <c r="E11238" i="44"/>
  <c r="E11239" i="44"/>
  <c r="E11240" i="44"/>
  <c r="E11241" i="44"/>
  <c r="E11242" i="44"/>
  <c r="E11243" i="44"/>
  <c r="E11244" i="44"/>
  <c r="E11245" i="44"/>
  <c r="E11246" i="44"/>
  <c r="E11247" i="44"/>
  <c r="E11248" i="44"/>
  <c r="E11249" i="44"/>
  <c r="E11250" i="44"/>
  <c r="E11251" i="44"/>
  <c r="E11252" i="44"/>
  <c r="E11253" i="44"/>
  <c r="E11254" i="44"/>
  <c r="E11255" i="44"/>
  <c r="E11256" i="44"/>
  <c r="E11257" i="44"/>
  <c r="E11258" i="44"/>
  <c r="E11259" i="44"/>
  <c r="E11260" i="44"/>
  <c r="E11261" i="44"/>
  <c r="E11262" i="44"/>
  <c r="E11263" i="44"/>
  <c r="E11264" i="44"/>
  <c r="E11265" i="44"/>
  <c r="E11266" i="44"/>
  <c r="E11267" i="44"/>
  <c r="E11268" i="44"/>
  <c r="E11269" i="44"/>
  <c r="E11270" i="44"/>
  <c r="E11271" i="44"/>
  <c r="E11272" i="44"/>
  <c r="E11273" i="44"/>
  <c r="E11274" i="44"/>
  <c r="E11275" i="44"/>
  <c r="E11276" i="44"/>
  <c r="E11277" i="44"/>
  <c r="E11278" i="44"/>
  <c r="E11279" i="44"/>
  <c r="E11280" i="44"/>
  <c r="E11281" i="44"/>
  <c r="E11282" i="44"/>
  <c r="E11283" i="44"/>
  <c r="E11284" i="44"/>
  <c r="E11285" i="44"/>
  <c r="E11286" i="44"/>
  <c r="E11287" i="44"/>
  <c r="E11288" i="44"/>
  <c r="E11289" i="44"/>
  <c r="E11290" i="44"/>
  <c r="E11291" i="44"/>
  <c r="E11292" i="44"/>
  <c r="E11293" i="44"/>
  <c r="E11294" i="44"/>
  <c r="E11295" i="44"/>
  <c r="E11296" i="44"/>
  <c r="E11297" i="44"/>
  <c r="E11298" i="44"/>
  <c r="E11299" i="44"/>
  <c r="E11300" i="44"/>
  <c r="E11301" i="44"/>
  <c r="E11302" i="44"/>
  <c r="E11303" i="44"/>
  <c r="E11304" i="44"/>
  <c r="E11305" i="44"/>
  <c r="E11306" i="44"/>
  <c r="E11307" i="44"/>
  <c r="E11308" i="44"/>
  <c r="E11309" i="44"/>
  <c r="E11310" i="44"/>
  <c r="E11311" i="44"/>
  <c r="E11312" i="44"/>
  <c r="E11313" i="44"/>
  <c r="E11314" i="44"/>
  <c r="E11315" i="44"/>
  <c r="E11316" i="44"/>
  <c r="E11317" i="44"/>
  <c r="E11318" i="44"/>
  <c r="E11319" i="44"/>
  <c r="E11320" i="44"/>
  <c r="E11321" i="44"/>
  <c r="E11322" i="44"/>
  <c r="E11323" i="44"/>
  <c r="E11324" i="44"/>
  <c r="E11325" i="44"/>
  <c r="E11326" i="44"/>
  <c r="E11327" i="44"/>
  <c r="E11328" i="44"/>
  <c r="E11329" i="44"/>
  <c r="E11330" i="44"/>
  <c r="E11331" i="44"/>
  <c r="E11332" i="44"/>
  <c r="E11333" i="44"/>
  <c r="E11334" i="44"/>
  <c r="E11335" i="44"/>
  <c r="E11336" i="44"/>
  <c r="E11337" i="44"/>
  <c r="E11338" i="44"/>
  <c r="E11339" i="44"/>
  <c r="E11340" i="44"/>
  <c r="E11341" i="44"/>
  <c r="E11342" i="44"/>
  <c r="E11343" i="44"/>
  <c r="E11344" i="44"/>
  <c r="E11345" i="44"/>
  <c r="E11346" i="44"/>
  <c r="E11347" i="44"/>
  <c r="E11348" i="44"/>
  <c r="E11349" i="44"/>
  <c r="E11350" i="44"/>
  <c r="E11351" i="44"/>
  <c r="E11352" i="44"/>
  <c r="E11353" i="44"/>
  <c r="E11354" i="44"/>
  <c r="E11355" i="44"/>
  <c r="E11356" i="44"/>
  <c r="E11357" i="44"/>
  <c r="E11358" i="44"/>
  <c r="E11359" i="44"/>
  <c r="E11360" i="44"/>
  <c r="E11361" i="44"/>
  <c r="E11362" i="44"/>
  <c r="E11363" i="44"/>
  <c r="E11364" i="44"/>
  <c r="E11365" i="44"/>
  <c r="E11366" i="44"/>
  <c r="E11367" i="44"/>
  <c r="E11368" i="44"/>
  <c r="E11369" i="44"/>
  <c r="E11370" i="44"/>
  <c r="E11371" i="44"/>
  <c r="E11372" i="44"/>
  <c r="E11373" i="44"/>
  <c r="E11374" i="44"/>
  <c r="E11375" i="44"/>
  <c r="E11376" i="44"/>
  <c r="E11377" i="44"/>
  <c r="E11378" i="44"/>
  <c r="E11379" i="44"/>
  <c r="E11380" i="44"/>
  <c r="E11381" i="44"/>
  <c r="E11382" i="44"/>
  <c r="E11383" i="44"/>
  <c r="E11384" i="44"/>
  <c r="E11385" i="44"/>
  <c r="E11386" i="44"/>
  <c r="E11387" i="44"/>
  <c r="E11388" i="44"/>
  <c r="E11389" i="44"/>
  <c r="E11390" i="44"/>
  <c r="E11391" i="44"/>
  <c r="E11392" i="44"/>
  <c r="E11393" i="44"/>
  <c r="E11394" i="44"/>
  <c r="E11395" i="44"/>
  <c r="E11396" i="44"/>
  <c r="E11397" i="44"/>
  <c r="E11398" i="44"/>
  <c r="E11399" i="44"/>
  <c r="E11400" i="44"/>
  <c r="E11401" i="44"/>
  <c r="E11402" i="44"/>
  <c r="E11403" i="44"/>
  <c r="E11404" i="44"/>
  <c r="E11405" i="44"/>
  <c r="E11406" i="44"/>
  <c r="E11407" i="44"/>
  <c r="E11408" i="44"/>
  <c r="E11409" i="44"/>
  <c r="E11410" i="44"/>
  <c r="E11411" i="44"/>
  <c r="E11412" i="44"/>
  <c r="E11413" i="44"/>
  <c r="E11414" i="44"/>
  <c r="E11415" i="44"/>
  <c r="E11416" i="44"/>
  <c r="E11417" i="44"/>
  <c r="E11418" i="44"/>
  <c r="E11419" i="44"/>
  <c r="E11420" i="44"/>
  <c r="E11421" i="44"/>
  <c r="E11422" i="44"/>
  <c r="E11423" i="44"/>
  <c r="E11424" i="44"/>
  <c r="E11425" i="44"/>
  <c r="E11426" i="44"/>
  <c r="E11427" i="44"/>
  <c r="E11428" i="44"/>
  <c r="E11429" i="44"/>
  <c r="E11430" i="44"/>
  <c r="E11431" i="44"/>
  <c r="E11432" i="44"/>
  <c r="E11433" i="44"/>
  <c r="E11434" i="44"/>
  <c r="E11435" i="44"/>
  <c r="E11436" i="44"/>
  <c r="E11437" i="44"/>
  <c r="E11438" i="44"/>
  <c r="E11439" i="44"/>
  <c r="E11440" i="44"/>
  <c r="E11441" i="44"/>
  <c r="E11442" i="44"/>
  <c r="E11443" i="44"/>
  <c r="E11444" i="44"/>
  <c r="E11445" i="44"/>
  <c r="E11446" i="44"/>
  <c r="E11447" i="44"/>
  <c r="E11448" i="44"/>
  <c r="E11449" i="44"/>
  <c r="E11450" i="44"/>
  <c r="E11451" i="44"/>
  <c r="E11452" i="44"/>
  <c r="E11453" i="44"/>
  <c r="E11454" i="44"/>
  <c r="E11455" i="44"/>
  <c r="E11456" i="44"/>
  <c r="E11457" i="44"/>
  <c r="E11458" i="44"/>
  <c r="E11459" i="44"/>
  <c r="E11460" i="44"/>
  <c r="E11461" i="44"/>
  <c r="E11462" i="44"/>
  <c r="E11463" i="44"/>
  <c r="E11464" i="44"/>
  <c r="E11465" i="44"/>
  <c r="E11466" i="44"/>
  <c r="E11467" i="44"/>
  <c r="E11468" i="44"/>
  <c r="E11469" i="44"/>
  <c r="E11470" i="44"/>
  <c r="E11471" i="44"/>
  <c r="E11472" i="44"/>
  <c r="E11473" i="44"/>
  <c r="E11474" i="44"/>
  <c r="E11475" i="44"/>
  <c r="E11476" i="44"/>
  <c r="E11477" i="44"/>
  <c r="E11478" i="44"/>
  <c r="E11479" i="44"/>
  <c r="E11480" i="44"/>
  <c r="E11481" i="44"/>
  <c r="E11482" i="44"/>
  <c r="E11483" i="44"/>
  <c r="E11484" i="44"/>
  <c r="E11485" i="44"/>
  <c r="E11486" i="44"/>
  <c r="E11487" i="44"/>
  <c r="E11488" i="44"/>
  <c r="E11489" i="44"/>
  <c r="E11490" i="44"/>
  <c r="E11491" i="44"/>
  <c r="E11492" i="44"/>
  <c r="E11493" i="44"/>
  <c r="E11494" i="44"/>
  <c r="E11495" i="44"/>
  <c r="E11496" i="44"/>
  <c r="E11497" i="44"/>
  <c r="E11498" i="44"/>
  <c r="E11499" i="44"/>
  <c r="E11500" i="44"/>
  <c r="E11501" i="44"/>
  <c r="E11502" i="44"/>
  <c r="E11503" i="44"/>
  <c r="E11504" i="44"/>
  <c r="E11505" i="44"/>
  <c r="E11506" i="44"/>
  <c r="E11507" i="44"/>
  <c r="E11508" i="44"/>
  <c r="E11509" i="44"/>
  <c r="E11510" i="44"/>
  <c r="E11511" i="44"/>
  <c r="E11512" i="44"/>
  <c r="E11513" i="44"/>
  <c r="E11514" i="44"/>
  <c r="E11515" i="44"/>
  <c r="E11516" i="44"/>
  <c r="E11517" i="44"/>
  <c r="E11518" i="44"/>
  <c r="E11519" i="44"/>
  <c r="E11520" i="44"/>
  <c r="E11521" i="44"/>
  <c r="E11522" i="44"/>
  <c r="E11523" i="44"/>
  <c r="E11524" i="44"/>
  <c r="E11525" i="44"/>
  <c r="E11526" i="44"/>
  <c r="E11527" i="44"/>
  <c r="E11528" i="44"/>
  <c r="E11529" i="44"/>
  <c r="E11530" i="44"/>
  <c r="E11531" i="44"/>
  <c r="E11532" i="44"/>
  <c r="E11533" i="44"/>
  <c r="E11534" i="44"/>
  <c r="E11535" i="44"/>
  <c r="E11536" i="44"/>
  <c r="E11537" i="44"/>
  <c r="E11538" i="44"/>
  <c r="E11539" i="44"/>
  <c r="E11540" i="44"/>
  <c r="E11541" i="44"/>
  <c r="E11542" i="44"/>
  <c r="E11543" i="44"/>
  <c r="E11544" i="44"/>
  <c r="E11545" i="44"/>
  <c r="E11546" i="44"/>
  <c r="E11547" i="44"/>
  <c r="E11548" i="44"/>
  <c r="E11549" i="44"/>
  <c r="E11550" i="44"/>
  <c r="E11551" i="44"/>
  <c r="E11552" i="44"/>
  <c r="E11553" i="44"/>
  <c r="E11554" i="44"/>
  <c r="E11555" i="44"/>
  <c r="E11556" i="44"/>
  <c r="E11557" i="44"/>
  <c r="E11558" i="44"/>
  <c r="E11559" i="44"/>
  <c r="E11560" i="44"/>
  <c r="E11561" i="44"/>
  <c r="E11562" i="44"/>
  <c r="E11563" i="44"/>
  <c r="E11564" i="44"/>
  <c r="E11565" i="44"/>
  <c r="E11566" i="44"/>
  <c r="E11567" i="44"/>
  <c r="E11568" i="44"/>
  <c r="E11569" i="44"/>
  <c r="E11570" i="44"/>
  <c r="E11571" i="44"/>
  <c r="E11572" i="44"/>
  <c r="E11573" i="44"/>
  <c r="E11574" i="44"/>
  <c r="E11575" i="44"/>
  <c r="E11576" i="44"/>
  <c r="E11577" i="44"/>
  <c r="E11578" i="44"/>
  <c r="E11579" i="44"/>
  <c r="E11580" i="44"/>
  <c r="E11581" i="44"/>
  <c r="E11582" i="44"/>
  <c r="E11583" i="44"/>
  <c r="E11584" i="44"/>
  <c r="E11585" i="44"/>
  <c r="E11586" i="44"/>
  <c r="E11587" i="44"/>
  <c r="E11588" i="44"/>
  <c r="E11589" i="44"/>
  <c r="E11590" i="44"/>
  <c r="E11591" i="44"/>
  <c r="E11592" i="44"/>
  <c r="E11593" i="44"/>
  <c r="E11594" i="44"/>
  <c r="E11595" i="44"/>
  <c r="E11596" i="44"/>
  <c r="E11597" i="44"/>
  <c r="E11598" i="44"/>
  <c r="E11599" i="44"/>
  <c r="E11600" i="44"/>
  <c r="E11601" i="44"/>
  <c r="E11602" i="44"/>
  <c r="E11603" i="44"/>
  <c r="E11604" i="44"/>
  <c r="E11605" i="44"/>
  <c r="E11606" i="44"/>
  <c r="E11607" i="44"/>
  <c r="E11608" i="44"/>
  <c r="E11609" i="44"/>
  <c r="E11610" i="44"/>
  <c r="E11611" i="44"/>
  <c r="E11612" i="44"/>
  <c r="E11613" i="44"/>
  <c r="E11614" i="44"/>
  <c r="E11615" i="44"/>
  <c r="E11616" i="44"/>
  <c r="E11617" i="44"/>
  <c r="E11618" i="44"/>
  <c r="E11619" i="44"/>
  <c r="E11620" i="44"/>
  <c r="E11621" i="44"/>
  <c r="E11622" i="44"/>
  <c r="E11623" i="44"/>
  <c r="E11624" i="44"/>
  <c r="E11625" i="44"/>
  <c r="E11626" i="44"/>
  <c r="E11627" i="44"/>
  <c r="E11628" i="44"/>
  <c r="E11629" i="44"/>
  <c r="E11630" i="44"/>
  <c r="E11631" i="44"/>
  <c r="E11632" i="44"/>
  <c r="E11633" i="44"/>
  <c r="E11634" i="44"/>
  <c r="E11635" i="44"/>
  <c r="E11636" i="44"/>
  <c r="E11637" i="44"/>
  <c r="E11638" i="44"/>
  <c r="E11639" i="44"/>
  <c r="E11640" i="44"/>
  <c r="E11641" i="44"/>
  <c r="E11642" i="44"/>
  <c r="E11643" i="44"/>
  <c r="E11644" i="44"/>
  <c r="E11645" i="44"/>
  <c r="E11646" i="44"/>
  <c r="E11647" i="44"/>
  <c r="E11648" i="44"/>
  <c r="E11649" i="44"/>
  <c r="E11650" i="44"/>
  <c r="E11651" i="44"/>
  <c r="E11652" i="44"/>
  <c r="E11653" i="44"/>
  <c r="E11654" i="44"/>
  <c r="E11655" i="44"/>
  <c r="E11656" i="44"/>
  <c r="E11657" i="44"/>
  <c r="E11658" i="44"/>
  <c r="E11659" i="44"/>
  <c r="E11660" i="44"/>
  <c r="E11661" i="44"/>
  <c r="E11662" i="44"/>
  <c r="E11663" i="44"/>
  <c r="E11664" i="44"/>
  <c r="E11665" i="44"/>
  <c r="E11666" i="44"/>
  <c r="E11667" i="44"/>
  <c r="E11668" i="44"/>
  <c r="E11669" i="44"/>
  <c r="E11670" i="44"/>
  <c r="E11671" i="44"/>
  <c r="E11672" i="44"/>
  <c r="E11673" i="44"/>
  <c r="E11674" i="44"/>
  <c r="E11675" i="44"/>
  <c r="E11676" i="44"/>
  <c r="E11677" i="44"/>
  <c r="E11678" i="44"/>
  <c r="E11679" i="44"/>
  <c r="E11680" i="44"/>
  <c r="E11681" i="44"/>
  <c r="E11682" i="44"/>
  <c r="E11683" i="44"/>
  <c r="E11684" i="44"/>
  <c r="E11685" i="44"/>
  <c r="E11686" i="44"/>
  <c r="E11687" i="44"/>
  <c r="E11688" i="44"/>
  <c r="E11689" i="44"/>
  <c r="E11690" i="44"/>
  <c r="E11691" i="44"/>
  <c r="E11692" i="44"/>
  <c r="E11693" i="44"/>
  <c r="E11694" i="44"/>
  <c r="E11695" i="44"/>
  <c r="E11696" i="44"/>
  <c r="E11697" i="44"/>
  <c r="E11698" i="44"/>
  <c r="E11699" i="44"/>
  <c r="E11700" i="44"/>
  <c r="E11701" i="44"/>
  <c r="E11702" i="44"/>
  <c r="E11703" i="44"/>
  <c r="E11704" i="44"/>
  <c r="E11705" i="44"/>
  <c r="E11706" i="44"/>
  <c r="E11707" i="44"/>
  <c r="E11708" i="44"/>
  <c r="E11709" i="44"/>
  <c r="E11710" i="44"/>
  <c r="E11711" i="44"/>
  <c r="E11712" i="44"/>
  <c r="E11713" i="44"/>
  <c r="E11714" i="44"/>
  <c r="E11715" i="44"/>
  <c r="E11716" i="44"/>
  <c r="E11717" i="44"/>
  <c r="E11718" i="44"/>
  <c r="E11719" i="44"/>
  <c r="E11720" i="44"/>
  <c r="E11721" i="44"/>
  <c r="E11722" i="44"/>
  <c r="E11723" i="44"/>
  <c r="E11724" i="44"/>
  <c r="E11725" i="44"/>
  <c r="E11726" i="44"/>
  <c r="E11727" i="44"/>
  <c r="E11728" i="44"/>
  <c r="E11729" i="44"/>
  <c r="E11730" i="44"/>
  <c r="E11731" i="44"/>
  <c r="E11732" i="44"/>
  <c r="E11733" i="44"/>
  <c r="E11734" i="44"/>
  <c r="E11735" i="44"/>
  <c r="E11736" i="44"/>
  <c r="E11737" i="44"/>
  <c r="E11738" i="44"/>
  <c r="E11739" i="44"/>
  <c r="E11740" i="44"/>
  <c r="E11741" i="44"/>
  <c r="E11742" i="44"/>
  <c r="E11743" i="44"/>
  <c r="E11744" i="44"/>
  <c r="E11745" i="44"/>
  <c r="E11746" i="44"/>
  <c r="E11747" i="44"/>
  <c r="E11748" i="44"/>
  <c r="E11749" i="44"/>
  <c r="E11750" i="44"/>
  <c r="E11751" i="44"/>
  <c r="E11752" i="44"/>
  <c r="E11753" i="44"/>
  <c r="E11754" i="44"/>
  <c r="E11755" i="44"/>
  <c r="E11756" i="44"/>
  <c r="E11757" i="44"/>
  <c r="E11758" i="44"/>
  <c r="E11759" i="44"/>
  <c r="E11760" i="44"/>
  <c r="E11761" i="44"/>
  <c r="E11762" i="44"/>
  <c r="E11763" i="44"/>
  <c r="E11764" i="44"/>
  <c r="E11765" i="44"/>
  <c r="E11766" i="44"/>
  <c r="E11767" i="44"/>
  <c r="E11768" i="44"/>
  <c r="E11769" i="44"/>
  <c r="E11770" i="44"/>
  <c r="E11771" i="44"/>
  <c r="E11772" i="44"/>
  <c r="E11773" i="44"/>
  <c r="E11774" i="44"/>
  <c r="E11775" i="44"/>
  <c r="E11776" i="44"/>
  <c r="E11777" i="44"/>
  <c r="E11778" i="44"/>
  <c r="E11779" i="44"/>
  <c r="E11780" i="44"/>
  <c r="E11781" i="44"/>
  <c r="E11782" i="44"/>
  <c r="E11783" i="44"/>
  <c r="E11784" i="44"/>
  <c r="E11785" i="44"/>
  <c r="E11786" i="44"/>
  <c r="E11787" i="44"/>
  <c r="E11788" i="44"/>
  <c r="E11789" i="44"/>
  <c r="E11790" i="44"/>
  <c r="E11791" i="44"/>
  <c r="E11792" i="44"/>
  <c r="E11793" i="44"/>
  <c r="E11794" i="44"/>
  <c r="E11795" i="44"/>
  <c r="E11796" i="44"/>
  <c r="E11797" i="44"/>
  <c r="E11798" i="44"/>
  <c r="E11799" i="44"/>
  <c r="E11800" i="44"/>
  <c r="E11801" i="44"/>
  <c r="E11802" i="44"/>
  <c r="E11803" i="44"/>
  <c r="E11804" i="44"/>
  <c r="E11805" i="44"/>
  <c r="E11806" i="44"/>
  <c r="E11807" i="44"/>
  <c r="E11808" i="44"/>
  <c r="E11809" i="44"/>
  <c r="E11810" i="44"/>
  <c r="E11811" i="44"/>
  <c r="E11812" i="44"/>
  <c r="E11813" i="44"/>
  <c r="E11814" i="44"/>
  <c r="E11815" i="44"/>
  <c r="E11816" i="44"/>
  <c r="E11817" i="44"/>
  <c r="E11818" i="44"/>
  <c r="E11819" i="44"/>
  <c r="E11820" i="44"/>
  <c r="E11821" i="44"/>
  <c r="E11822" i="44"/>
  <c r="E11823" i="44"/>
  <c r="E11824" i="44"/>
  <c r="E11825" i="44"/>
  <c r="E11826" i="44"/>
  <c r="E11827" i="44"/>
  <c r="E11828" i="44"/>
  <c r="E11829" i="44"/>
  <c r="E11830" i="44"/>
  <c r="E11831" i="44"/>
  <c r="E11832" i="44"/>
  <c r="E11833" i="44"/>
  <c r="E11834" i="44"/>
  <c r="E11835" i="44"/>
  <c r="E11836" i="44"/>
  <c r="E11837" i="44"/>
  <c r="E11838" i="44"/>
  <c r="E11839" i="44"/>
  <c r="E11840" i="44"/>
  <c r="E11841" i="44"/>
  <c r="E11842" i="44"/>
  <c r="E11843" i="44"/>
  <c r="E11844" i="44"/>
  <c r="E11845" i="44"/>
  <c r="E11846" i="44"/>
  <c r="E11847" i="44"/>
  <c r="E11848" i="44"/>
  <c r="E11849" i="44"/>
  <c r="E11850" i="44"/>
  <c r="E11851" i="44"/>
  <c r="E11852" i="44"/>
  <c r="E11853" i="44"/>
  <c r="E11854" i="44"/>
  <c r="E11855" i="44"/>
  <c r="E11856" i="44"/>
  <c r="E11857" i="44"/>
  <c r="E11858" i="44"/>
  <c r="E11859" i="44"/>
  <c r="E11860" i="44"/>
  <c r="E11861" i="44"/>
  <c r="E11862" i="44"/>
  <c r="E11863" i="44"/>
  <c r="E11864" i="44"/>
  <c r="E11865" i="44"/>
  <c r="E11866" i="44"/>
  <c r="E11867" i="44"/>
  <c r="E11868" i="44"/>
  <c r="E11869" i="44"/>
  <c r="E11870" i="44"/>
  <c r="E11871" i="44"/>
  <c r="E11872" i="44"/>
  <c r="E11873" i="44"/>
  <c r="E11874" i="44"/>
  <c r="E11875" i="44"/>
  <c r="E11876" i="44"/>
  <c r="E11877" i="44"/>
  <c r="E11878" i="44"/>
  <c r="E11879" i="44"/>
  <c r="E11880" i="44"/>
  <c r="E11881" i="44"/>
  <c r="E11882" i="44"/>
  <c r="E11883" i="44"/>
  <c r="E11884" i="44"/>
  <c r="E11885" i="44"/>
  <c r="E11886" i="44"/>
  <c r="E11887" i="44"/>
  <c r="E11888" i="44"/>
  <c r="E11889" i="44"/>
  <c r="E11890" i="44"/>
  <c r="E11891" i="44"/>
  <c r="E11892" i="44"/>
  <c r="E11893" i="44"/>
  <c r="E11894" i="44"/>
  <c r="E11895" i="44"/>
  <c r="E11896" i="44"/>
  <c r="E11897" i="44"/>
  <c r="E11898" i="44"/>
  <c r="E11899" i="44"/>
  <c r="E11900" i="44"/>
  <c r="E11901" i="44"/>
  <c r="E11902" i="44"/>
  <c r="E11903" i="44"/>
  <c r="E11904" i="44"/>
  <c r="E11905" i="44"/>
  <c r="E11906" i="44"/>
  <c r="E11907" i="44"/>
  <c r="E11908" i="44"/>
  <c r="E11909" i="44"/>
  <c r="E11910" i="44"/>
  <c r="E11911" i="44"/>
  <c r="E11912" i="44"/>
  <c r="E11913" i="44"/>
  <c r="E11914" i="44"/>
  <c r="E11915" i="44"/>
  <c r="E11916" i="44"/>
  <c r="E11917" i="44"/>
  <c r="E11918" i="44"/>
  <c r="E11919" i="44"/>
  <c r="E11920" i="44"/>
  <c r="E11921" i="44"/>
  <c r="E11922" i="44"/>
  <c r="E11923" i="44"/>
  <c r="E11924" i="44"/>
  <c r="E11925" i="44"/>
  <c r="E11926" i="44"/>
  <c r="E11927" i="44"/>
  <c r="E11928" i="44"/>
  <c r="E11929" i="44"/>
  <c r="E11930" i="44"/>
  <c r="E11931" i="44"/>
  <c r="E11932" i="44"/>
  <c r="E11933" i="44"/>
  <c r="E11934" i="44"/>
  <c r="E11935" i="44"/>
  <c r="E11936" i="44"/>
  <c r="E11937" i="44"/>
  <c r="E11938" i="44"/>
  <c r="E11939" i="44"/>
  <c r="E11940" i="44"/>
  <c r="E11941" i="44"/>
  <c r="E11942" i="44"/>
  <c r="E11943" i="44"/>
  <c r="E11944" i="44"/>
  <c r="E11945" i="44"/>
  <c r="E11946" i="44"/>
  <c r="E11947" i="44"/>
  <c r="E11948" i="44"/>
  <c r="E11949" i="44"/>
  <c r="E11950" i="44"/>
  <c r="E11951" i="44"/>
  <c r="E11952" i="44"/>
  <c r="E11953" i="44"/>
  <c r="E11954" i="44"/>
  <c r="E11955" i="44"/>
  <c r="E11956" i="44"/>
  <c r="E11957" i="44"/>
  <c r="E11958" i="44"/>
  <c r="E11959" i="44"/>
  <c r="E11960" i="44"/>
  <c r="E11961" i="44"/>
  <c r="E11962" i="44"/>
  <c r="E11963" i="44"/>
  <c r="E11964" i="44"/>
  <c r="E11965" i="44"/>
  <c r="E11966" i="44"/>
  <c r="E11967" i="44"/>
  <c r="E11968" i="44"/>
  <c r="E11969" i="44"/>
  <c r="E11970" i="44"/>
  <c r="E11971" i="44"/>
  <c r="E11972" i="44"/>
  <c r="E11973" i="44"/>
  <c r="E11974" i="44"/>
  <c r="E11975" i="44"/>
  <c r="E11976" i="44"/>
  <c r="E11977" i="44"/>
  <c r="E11978" i="44"/>
  <c r="E11979" i="44"/>
  <c r="E11980" i="44"/>
  <c r="E11981" i="44"/>
  <c r="E11982" i="44"/>
  <c r="E11983" i="44"/>
  <c r="E11984" i="44"/>
  <c r="E11985" i="44"/>
  <c r="E11986" i="44"/>
  <c r="E11987" i="44"/>
  <c r="E11988" i="44"/>
  <c r="E11989" i="44"/>
  <c r="E11990" i="44"/>
  <c r="E11991" i="44"/>
  <c r="E11992" i="44"/>
  <c r="E11993" i="44"/>
  <c r="E11994" i="44"/>
  <c r="E11995" i="44"/>
  <c r="E11996" i="44"/>
  <c r="E11997" i="44"/>
  <c r="E11998" i="44"/>
  <c r="E11999" i="44"/>
  <c r="E12000" i="44"/>
  <c r="E12001" i="44"/>
  <c r="E12002" i="44"/>
  <c r="E12003" i="44"/>
  <c r="E12004" i="44"/>
  <c r="E12005" i="44"/>
  <c r="E12006" i="44"/>
  <c r="E12007" i="44"/>
  <c r="E12008" i="44"/>
  <c r="E12009" i="44"/>
  <c r="E12010" i="44"/>
  <c r="E12011" i="44"/>
  <c r="E12012" i="44"/>
  <c r="E12013" i="44"/>
  <c r="E12014" i="44"/>
  <c r="E12015" i="44"/>
  <c r="E12016" i="44"/>
  <c r="E12017" i="44"/>
  <c r="E12018" i="44"/>
  <c r="E12019" i="44"/>
  <c r="E12020" i="44"/>
  <c r="E12021" i="44"/>
  <c r="E12022" i="44"/>
  <c r="E12023" i="44"/>
  <c r="E12024" i="44"/>
  <c r="E12025" i="44"/>
  <c r="E12026" i="44"/>
  <c r="E12027" i="44"/>
  <c r="E12028" i="44"/>
  <c r="E12029" i="44"/>
  <c r="E12030" i="44"/>
  <c r="E12031" i="44"/>
  <c r="E12032" i="44"/>
  <c r="E12033" i="44"/>
  <c r="E12034" i="44"/>
  <c r="E12035" i="44"/>
  <c r="E12036" i="44"/>
  <c r="E12037" i="44"/>
  <c r="E12038" i="44"/>
  <c r="E12039" i="44"/>
  <c r="E12040" i="44"/>
  <c r="E12041" i="44"/>
  <c r="E12042" i="44"/>
  <c r="E12043" i="44"/>
  <c r="E12044" i="44"/>
  <c r="E12045" i="44"/>
  <c r="E12046" i="44"/>
  <c r="E12047" i="44"/>
  <c r="E12048" i="44"/>
  <c r="E12049" i="44"/>
  <c r="E12050" i="44"/>
  <c r="E12051" i="44"/>
  <c r="E12052" i="44"/>
  <c r="E12053" i="44"/>
  <c r="E12054" i="44"/>
  <c r="E12055" i="44"/>
  <c r="E12056" i="44"/>
  <c r="E12057" i="44"/>
  <c r="E12058" i="44"/>
  <c r="E12059" i="44"/>
  <c r="E12060" i="44"/>
  <c r="E12061" i="44"/>
  <c r="E12062" i="44"/>
  <c r="E12063" i="44"/>
  <c r="E12064" i="44"/>
  <c r="E12065" i="44"/>
  <c r="E12066" i="44"/>
  <c r="E12067" i="44"/>
  <c r="E12068" i="44"/>
  <c r="E12069" i="44"/>
  <c r="E12070" i="44"/>
  <c r="E12071" i="44"/>
  <c r="E12072" i="44"/>
  <c r="E12073" i="44"/>
  <c r="E12074" i="44"/>
  <c r="E12075" i="44"/>
  <c r="E12076" i="44"/>
  <c r="E12077" i="44"/>
  <c r="E12078" i="44"/>
  <c r="E12079" i="44"/>
  <c r="E12080" i="44"/>
  <c r="E12081" i="44"/>
  <c r="E12082" i="44"/>
  <c r="E12083" i="44"/>
  <c r="E12084" i="44"/>
  <c r="E12085" i="44"/>
  <c r="E12086" i="44"/>
  <c r="E12087" i="44"/>
  <c r="E12088" i="44"/>
  <c r="E12089" i="44"/>
  <c r="E12090" i="44"/>
  <c r="E12091" i="44"/>
  <c r="E12092" i="44"/>
  <c r="E12093" i="44"/>
  <c r="E12094" i="44"/>
  <c r="E12095" i="44"/>
  <c r="E12096" i="44"/>
  <c r="E12097" i="44"/>
  <c r="E12098" i="44"/>
  <c r="E12099" i="44"/>
  <c r="E12100" i="44"/>
  <c r="E12101" i="44"/>
  <c r="E12102" i="44"/>
  <c r="E12103" i="44"/>
  <c r="E12104" i="44"/>
  <c r="E12105" i="44"/>
  <c r="E12106" i="44"/>
  <c r="E12107" i="44"/>
  <c r="E12108" i="44"/>
  <c r="E12109" i="44"/>
  <c r="E12110" i="44"/>
  <c r="E12111" i="44"/>
  <c r="E12112" i="44"/>
  <c r="E12113" i="44"/>
  <c r="E12114" i="44"/>
  <c r="E12115" i="44"/>
  <c r="E12116" i="44"/>
  <c r="E12117" i="44"/>
  <c r="E12118" i="44"/>
  <c r="E12119" i="44"/>
  <c r="E12120" i="44"/>
  <c r="E12121" i="44"/>
  <c r="E12122" i="44"/>
  <c r="E12123" i="44"/>
  <c r="E12124" i="44"/>
  <c r="E12125" i="44"/>
  <c r="E12126" i="44"/>
  <c r="E12127" i="44"/>
  <c r="E12128" i="44"/>
  <c r="E12129" i="44"/>
  <c r="E12130" i="44"/>
  <c r="E12131" i="44"/>
  <c r="E12132" i="44"/>
  <c r="E12133" i="44"/>
  <c r="E12134" i="44"/>
  <c r="E12135" i="44"/>
  <c r="E12136" i="44"/>
  <c r="E12137" i="44"/>
  <c r="E12138" i="44"/>
  <c r="E12139" i="44"/>
  <c r="E12140" i="44"/>
  <c r="E12141" i="44"/>
  <c r="E12142" i="44"/>
  <c r="E12143" i="44"/>
  <c r="E12144" i="44"/>
  <c r="E12145" i="44"/>
  <c r="E12146" i="44"/>
  <c r="E12147" i="44"/>
  <c r="E12148" i="44"/>
  <c r="E12149" i="44"/>
  <c r="E12150" i="44"/>
  <c r="E12151" i="44"/>
  <c r="E12152" i="44"/>
  <c r="E12153" i="44"/>
  <c r="E12154" i="44"/>
  <c r="E12155" i="44"/>
  <c r="E12156" i="44"/>
  <c r="E12157" i="44"/>
  <c r="E12158" i="44"/>
  <c r="E12159" i="44"/>
  <c r="E12160" i="44"/>
  <c r="E12161" i="44"/>
  <c r="E12162" i="44"/>
  <c r="E12163" i="44"/>
  <c r="E12164" i="44"/>
  <c r="E12165" i="44"/>
  <c r="E12166" i="44"/>
  <c r="E12167" i="44"/>
  <c r="E12168" i="44"/>
  <c r="E12169" i="44"/>
  <c r="E12170" i="44"/>
  <c r="E12171" i="44"/>
  <c r="E12172" i="44"/>
  <c r="E12173" i="44"/>
  <c r="E12174" i="44"/>
  <c r="E12175" i="44"/>
  <c r="E12176" i="44"/>
  <c r="E12177" i="44"/>
  <c r="E12178" i="44"/>
  <c r="E12179" i="44"/>
  <c r="E12180" i="44"/>
  <c r="E12181" i="44"/>
  <c r="E12182" i="44"/>
  <c r="E12183" i="44"/>
  <c r="E12184" i="44"/>
  <c r="E12185" i="44"/>
  <c r="E12186" i="44"/>
  <c r="E12187" i="44"/>
  <c r="E12188" i="44"/>
  <c r="E12189" i="44"/>
  <c r="E12190" i="44"/>
  <c r="E12191" i="44"/>
  <c r="E12192" i="44"/>
  <c r="E12193" i="44"/>
  <c r="E12194" i="44"/>
  <c r="E12195" i="44"/>
  <c r="E12196" i="44"/>
  <c r="E12197" i="44"/>
  <c r="E12198" i="44"/>
  <c r="E12199" i="44"/>
  <c r="E12200" i="44"/>
  <c r="E12201" i="44"/>
  <c r="E12202" i="44"/>
  <c r="E12203" i="44"/>
  <c r="E12204" i="44"/>
  <c r="E12205" i="44"/>
  <c r="E12206" i="44"/>
  <c r="E12207" i="44"/>
  <c r="E12208" i="44"/>
  <c r="E12209" i="44"/>
  <c r="E12210" i="44"/>
  <c r="E12211" i="44"/>
  <c r="E12212" i="44"/>
  <c r="E12213" i="44"/>
  <c r="E12214" i="44"/>
  <c r="E12215" i="44"/>
  <c r="E12216" i="44"/>
  <c r="E12217" i="44"/>
  <c r="E12218" i="44"/>
  <c r="E12219" i="44"/>
  <c r="E12220" i="44"/>
  <c r="E12221" i="44"/>
  <c r="E12222" i="44"/>
  <c r="E12223" i="44"/>
  <c r="E12224" i="44"/>
  <c r="E12225" i="44"/>
  <c r="E12226" i="44"/>
  <c r="E12227" i="44"/>
  <c r="E12228" i="44"/>
  <c r="E12229" i="44"/>
  <c r="E12230" i="44"/>
  <c r="E12231" i="44"/>
  <c r="E12232" i="44"/>
  <c r="E12233" i="44"/>
  <c r="E12234" i="44"/>
  <c r="E12235" i="44"/>
  <c r="E12236" i="44"/>
  <c r="E12237" i="44"/>
  <c r="E12238" i="44"/>
  <c r="E12239" i="44"/>
  <c r="E12240" i="44"/>
  <c r="E12241" i="44"/>
  <c r="E12242" i="44"/>
  <c r="E12243" i="44"/>
  <c r="E12244" i="44"/>
  <c r="E12245" i="44"/>
  <c r="E12246" i="44"/>
  <c r="E12247" i="44"/>
  <c r="E12248" i="44"/>
  <c r="E12249" i="44"/>
  <c r="E12250" i="44"/>
  <c r="E12251" i="44"/>
  <c r="E12252" i="44"/>
  <c r="E12253" i="44"/>
  <c r="E12254" i="44"/>
  <c r="E12255" i="44"/>
  <c r="E12256" i="44"/>
  <c r="E12257" i="44"/>
  <c r="E12258" i="44"/>
  <c r="E12259" i="44"/>
  <c r="E12260" i="44"/>
  <c r="E12261" i="44"/>
  <c r="E12262" i="44"/>
  <c r="E12263" i="44"/>
  <c r="E12264" i="44"/>
  <c r="E12265" i="44"/>
  <c r="E12266" i="44"/>
  <c r="E12267" i="44"/>
  <c r="E12268" i="44"/>
  <c r="E12269" i="44"/>
  <c r="E12270" i="44"/>
  <c r="E12271" i="44"/>
  <c r="E12272" i="44"/>
  <c r="E12273" i="44"/>
  <c r="E12274" i="44"/>
  <c r="E12275" i="44"/>
  <c r="E12276" i="44"/>
  <c r="E12277" i="44"/>
  <c r="E12278" i="44"/>
  <c r="E12279" i="44"/>
  <c r="E12280" i="44"/>
  <c r="E12281" i="44"/>
  <c r="E12282" i="44"/>
  <c r="E12283" i="44"/>
  <c r="E12284" i="44"/>
  <c r="E12285" i="44"/>
  <c r="E12286" i="44"/>
  <c r="E12287" i="44"/>
  <c r="E12288" i="44"/>
  <c r="E12289" i="44"/>
  <c r="E12290" i="44"/>
  <c r="E12291" i="44"/>
  <c r="E12292" i="44"/>
  <c r="E12293" i="44"/>
  <c r="E12294" i="44"/>
  <c r="E12295" i="44"/>
  <c r="E12296" i="44"/>
  <c r="E12297" i="44"/>
  <c r="E12298" i="44"/>
  <c r="E12299" i="44"/>
  <c r="E12300" i="44"/>
  <c r="E12301" i="44"/>
  <c r="E12302" i="44"/>
  <c r="E12303" i="44"/>
  <c r="E12304" i="44"/>
  <c r="E12305" i="44"/>
  <c r="E12306" i="44"/>
  <c r="E12307" i="44"/>
  <c r="E12308" i="44"/>
  <c r="E12309" i="44"/>
  <c r="E12310" i="44"/>
  <c r="E12311" i="44"/>
  <c r="E12312" i="44"/>
  <c r="E12313" i="44"/>
  <c r="E12314" i="44"/>
  <c r="E12315" i="44"/>
  <c r="E12316" i="44"/>
  <c r="E12317" i="44"/>
  <c r="E12318" i="44"/>
  <c r="E12319" i="44"/>
  <c r="E12320" i="44"/>
  <c r="E12321" i="44"/>
  <c r="E12322" i="44"/>
  <c r="E12323" i="44"/>
  <c r="E12324" i="44"/>
  <c r="E12325" i="44"/>
  <c r="E12326" i="44"/>
  <c r="E12327" i="44"/>
  <c r="E12328" i="44"/>
  <c r="E12329" i="44"/>
  <c r="E12330" i="44"/>
  <c r="E12331" i="44"/>
  <c r="E12332" i="44"/>
  <c r="E12333" i="44"/>
  <c r="E12334" i="44"/>
  <c r="E12335" i="44"/>
  <c r="E12336" i="44"/>
  <c r="E12337" i="44"/>
  <c r="E12338" i="44"/>
  <c r="E12339" i="44"/>
  <c r="E12340" i="44"/>
  <c r="E12341" i="44"/>
  <c r="E12342" i="44"/>
  <c r="E12343" i="44"/>
  <c r="E12344" i="44"/>
  <c r="E12345" i="44"/>
  <c r="E12346" i="44"/>
  <c r="E12347" i="44"/>
  <c r="E12348" i="44"/>
  <c r="E12349" i="44"/>
  <c r="E12350" i="44"/>
  <c r="E12351" i="44"/>
  <c r="E12352" i="44"/>
  <c r="E12353" i="44"/>
  <c r="E12354" i="44"/>
  <c r="E12355" i="44"/>
  <c r="E12356" i="44"/>
  <c r="E12357" i="44"/>
  <c r="E12358" i="44"/>
  <c r="E12359" i="44"/>
  <c r="E12360" i="44"/>
  <c r="E12361" i="44"/>
  <c r="E12362" i="44"/>
  <c r="E12363" i="44"/>
  <c r="E12364" i="44"/>
  <c r="E12365" i="44"/>
  <c r="E12366" i="44"/>
  <c r="E12367" i="44"/>
  <c r="E12368" i="44"/>
  <c r="E12369" i="44"/>
  <c r="E12370" i="44"/>
  <c r="E12371" i="44"/>
  <c r="E12372" i="44"/>
  <c r="E12373" i="44"/>
  <c r="E12374" i="44"/>
  <c r="E12375" i="44"/>
  <c r="E12376" i="44"/>
  <c r="E12377" i="44"/>
  <c r="E12378" i="44"/>
  <c r="E12379" i="44"/>
  <c r="E12380" i="44"/>
  <c r="E12381" i="44"/>
  <c r="E12382" i="44"/>
  <c r="E12383" i="44"/>
  <c r="E12384" i="44"/>
  <c r="E12385" i="44"/>
  <c r="E12386" i="44"/>
  <c r="E12387" i="44"/>
  <c r="E12388" i="44"/>
  <c r="E12389" i="44"/>
  <c r="E12390" i="44"/>
  <c r="E12391" i="44"/>
  <c r="E12392" i="44"/>
  <c r="E12393" i="44"/>
  <c r="E12394" i="44"/>
  <c r="E12395" i="44"/>
  <c r="E12396" i="44"/>
  <c r="E12397" i="44"/>
  <c r="E12398" i="44"/>
  <c r="E12399" i="44"/>
  <c r="E12400" i="44"/>
  <c r="E12401" i="44"/>
  <c r="E12402" i="44"/>
  <c r="E12403" i="44"/>
  <c r="E12404" i="44"/>
  <c r="E12405" i="44"/>
  <c r="E12406" i="44"/>
  <c r="E12407" i="44"/>
  <c r="E12408" i="44"/>
  <c r="E12409" i="44"/>
  <c r="E12410" i="44"/>
  <c r="E12411" i="44"/>
  <c r="E12412" i="44"/>
  <c r="E12413" i="44"/>
  <c r="E12414" i="44"/>
  <c r="E12415" i="44"/>
  <c r="E12416" i="44"/>
  <c r="E12417" i="44"/>
  <c r="E12418" i="44"/>
  <c r="E12419" i="44"/>
  <c r="E12420" i="44"/>
  <c r="E12421" i="44"/>
  <c r="E12422" i="44"/>
  <c r="E12423" i="44"/>
  <c r="E12424" i="44"/>
  <c r="E12425" i="44"/>
  <c r="E12426" i="44"/>
  <c r="E12427" i="44"/>
  <c r="E12428" i="44"/>
  <c r="E12429" i="44"/>
  <c r="E12430" i="44"/>
  <c r="E12431" i="44"/>
  <c r="E12432" i="44"/>
  <c r="E12433" i="44"/>
  <c r="E12434" i="44"/>
  <c r="E12435" i="44"/>
  <c r="E12436" i="44"/>
  <c r="E12437" i="44"/>
  <c r="E12438" i="44"/>
  <c r="E12439" i="44"/>
  <c r="E12440" i="44"/>
  <c r="E12441" i="44"/>
  <c r="E12442" i="44"/>
  <c r="E12443" i="44"/>
  <c r="E12444" i="44"/>
  <c r="E12445" i="44"/>
  <c r="E12446" i="44"/>
  <c r="E12447" i="44"/>
  <c r="E12448" i="44"/>
  <c r="E12449" i="44"/>
  <c r="E12450" i="44"/>
  <c r="E12451" i="44"/>
  <c r="E12452" i="44"/>
  <c r="E12453" i="44"/>
  <c r="E12454" i="44"/>
  <c r="E12455" i="44"/>
  <c r="E12456" i="44"/>
  <c r="E12457" i="44"/>
  <c r="E12458" i="44"/>
  <c r="E12459" i="44"/>
  <c r="E12460" i="44"/>
  <c r="E12461" i="44"/>
  <c r="E12462" i="44"/>
  <c r="E12463" i="44"/>
  <c r="E12464" i="44"/>
  <c r="E12465" i="44"/>
  <c r="E12466" i="44"/>
  <c r="E12467" i="44"/>
  <c r="E12468" i="44"/>
  <c r="E12469" i="44"/>
  <c r="E12470" i="44"/>
  <c r="E12471" i="44"/>
  <c r="E12472" i="44"/>
  <c r="E12473" i="44"/>
  <c r="E12474" i="44"/>
  <c r="E12475" i="44"/>
  <c r="E12476" i="44"/>
  <c r="E12477" i="44"/>
  <c r="E12478" i="44"/>
  <c r="E12479" i="44"/>
  <c r="E12480" i="44"/>
  <c r="E12481" i="44"/>
  <c r="E12482" i="44"/>
  <c r="E12483" i="44"/>
  <c r="E12484" i="44"/>
  <c r="E12485" i="44"/>
  <c r="E12486" i="44"/>
  <c r="E12487" i="44"/>
  <c r="E12488" i="44"/>
  <c r="E12489" i="44"/>
  <c r="E12490" i="44"/>
  <c r="E12491" i="44"/>
  <c r="E12492" i="44"/>
  <c r="E12493" i="44"/>
  <c r="E12494" i="44"/>
  <c r="E12495" i="44"/>
  <c r="E12496" i="44"/>
  <c r="E12497" i="44"/>
  <c r="E12498" i="44"/>
  <c r="E12499" i="44"/>
  <c r="E12500" i="44"/>
  <c r="E12501" i="44"/>
  <c r="E12502" i="44"/>
  <c r="E12503" i="44"/>
  <c r="E12504" i="44"/>
  <c r="E12505" i="44"/>
  <c r="E12506" i="44"/>
  <c r="E12507" i="44"/>
  <c r="E12508" i="44"/>
  <c r="E12509" i="44"/>
  <c r="E12510" i="44"/>
  <c r="E12511" i="44"/>
  <c r="E12512" i="44"/>
  <c r="E12513" i="44"/>
  <c r="E12514" i="44"/>
  <c r="E12515" i="44"/>
  <c r="E12516" i="44"/>
  <c r="E12517" i="44"/>
  <c r="E12518" i="44"/>
  <c r="E12519" i="44"/>
  <c r="E12520" i="44"/>
  <c r="E12521" i="44"/>
  <c r="E12522" i="44"/>
  <c r="E12523" i="44"/>
  <c r="E12524" i="44"/>
  <c r="E12525" i="44"/>
  <c r="E12526" i="44"/>
  <c r="E12527" i="44"/>
  <c r="E12528" i="44"/>
  <c r="E12529" i="44"/>
  <c r="E12530" i="44"/>
  <c r="E12531" i="44"/>
  <c r="E12532" i="44"/>
  <c r="E12533" i="44"/>
  <c r="E12534" i="44"/>
  <c r="E12535" i="44"/>
  <c r="E12536" i="44"/>
  <c r="E12537" i="44"/>
  <c r="E12538" i="44"/>
  <c r="E12539" i="44"/>
  <c r="E12540" i="44"/>
  <c r="E12541" i="44"/>
  <c r="E12542" i="44"/>
  <c r="E12543" i="44"/>
  <c r="E12544" i="44"/>
  <c r="E12545" i="44"/>
  <c r="E12546" i="44"/>
  <c r="E12547" i="44"/>
  <c r="E12548" i="44"/>
  <c r="E12549" i="44"/>
  <c r="E12550" i="44"/>
  <c r="E12551" i="44"/>
  <c r="E12552" i="44"/>
  <c r="E12553" i="44"/>
  <c r="E12554" i="44"/>
  <c r="E12555" i="44"/>
  <c r="E12556" i="44"/>
  <c r="E12557" i="44"/>
  <c r="E12558" i="44"/>
  <c r="E12559" i="44"/>
  <c r="E12560" i="44"/>
  <c r="E12561" i="44"/>
  <c r="E12562" i="44"/>
  <c r="E12563" i="44"/>
  <c r="E12564" i="44"/>
  <c r="E12565" i="44"/>
  <c r="E12566" i="44"/>
  <c r="E12567" i="44"/>
  <c r="E12568" i="44"/>
  <c r="E12569" i="44"/>
  <c r="E12570" i="44"/>
  <c r="E12571" i="44"/>
  <c r="E12572" i="44"/>
  <c r="E12573" i="44"/>
  <c r="E12574" i="44"/>
  <c r="E12575" i="44"/>
  <c r="E12576" i="44"/>
  <c r="E12577" i="44"/>
  <c r="E12578" i="44"/>
  <c r="E12579" i="44"/>
  <c r="E12580" i="44"/>
  <c r="E12581" i="44"/>
  <c r="E12582" i="44"/>
  <c r="E12583" i="44"/>
  <c r="E12584" i="44"/>
  <c r="E12585" i="44"/>
  <c r="E12586" i="44"/>
  <c r="E12587" i="44"/>
  <c r="E12588" i="44"/>
  <c r="E12589" i="44"/>
  <c r="E12590" i="44"/>
  <c r="E12591" i="44"/>
  <c r="E12592" i="44"/>
  <c r="E12593" i="44"/>
  <c r="E12594" i="44"/>
  <c r="E12595" i="44"/>
  <c r="E12596" i="44"/>
  <c r="E12597" i="44"/>
  <c r="E12598" i="44"/>
  <c r="E12599" i="44"/>
  <c r="E12600" i="44"/>
  <c r="E12601" i="44"/>
  <c r="E12602" i="44"/>
  <c r="E12603" i="44"/>
  <c r="E12604" i="44"/>
  <c r="E12605" i="44"/>
  <c r="E12606" i="44"/>
  <c r="E12607" i="44"/>
  <c r="E12608" i="44"/>
  <c r="E12609" i="44"/>
  <c r="E12610" i="44"/>
  <c r="E12611" i="44"/>
  <c r="E12612" i="44"/>
  <c r="E12613" i="44"/>
  <c r="E12614" i="44"/>
  <c r="E12615" i="44"/>
  <c r="E12616" i="44"/>
  <c r="E12617" i="44"/>
  <c r="E12618" i="44"/>
  <c r="E12619" i="44"/>
  <c r="E12620" i="44"/>
  <c r="E12621" i="44"/>
  <c r="E12622" i="44"/>
  <c r="E12623" i="44"/>
  <c r="E12624" i="44"/>
  <c r="E12625" i="44"/>
  <c r="E12626" i="44"/>
  <c r="E12627" i="44"/>
  <c r="E12628" i="44"/>
  <c r="E12629" i="44"/>
  <c r="E12630" i="44"/>
  <c r="E12631" i="44"/>
  <c r="E12632" i="44"/>
  <c r="E12633" i="44"/>
  <c r="E12634" i="44"/>
  <c r="E12635" i="44"/>
  <c r="E12636" i="44"/>
  <c r="E12637" i="44"/>
  <c r="E12638" i="44"/>
  <c r="E12639" i="44"/>
  <c r="E12640" i="44"/>
  <c r="E12641" i="44"/>
  <c r="E12642" i="44"/>
  <c r="E12643" i="44"/>
  <c r="E12644" i="44"/>
  <c r="E12645" i="44"/>
  <c r="E12646" i="44"/>
  <c r="E12647" i="44"/>
  <c r="E12648" i="44"/>
  <c r="E12649" i="44"/>
  <c r="E12650" i="44"/>
  <c r="E12651" i="44"/>
  <c r="E12652" i="44"/>
  <c r="E12653" i="44"/>
  <c r="E12654" i="44"/>
  <c r="E12655" i="44"/>
  <c r="E12656" i="44"/>
  <c r="E12657" i="44"/>
  <c r="E12658" i="44"/>
  <c r="E12659" i="44"/>
  <c r="E12660" i="44"/>
  <c r="E12661" i="44"/>
  <c r="E12662" i="44"/>
  <c r="E12663" i="44"/>
  <c r="E12664" i="44"/>
  <c r="E12665" i="44"/>
  <c r="E12666" i="44"/>
  <c r="E12667" i="44"/>
  <c r="E12668" i="44"/>
  <c r="E12669" i="44"/>
  <c r="E12670" i="44"/>
  <c r="E12671" i="44"/>
  <c r="E12672" i="44"/>
  <c r="E12673" i="44"/>
  <c r="E12674" i="44"/>
  <c r="E12675" i="44"/>
  <c r="E12676" i="44"/>
  <c r="E12677" i="44"/>
  <c r="E12678" i="44"/>
  <c r="E12679" i="44"/>
  <c r="E12680" i="44"/>
  <c r="E12681" i="44"/>
  <c r="E12682" i="44"/>
  <c r="E12683" i="44"/>
  <c r="E12684" i="44"/>
  <c r="E12685" i="44"/>
  <c r="E12686" i="44"/>
  <c r="E12687" i="44"/>
  <c r="E12688" i="44"/>
  <c r="E12689" i="44"/>
  <c r="E12690" i="44"/>
  <c r="E12691" i="44"/>
  <c r="E12692" i="44"/>
  <c r="E12693" i="44"/>
  <c r="E12694" i="44"/>
  <c r="E12695" i="44"/>
  <c r="E12696" i="44"/>
  <c r="E12697" i="44"/>
  <c r="E12698" i="44"/>
  <c r="E12699" i="44"/>
  <c r="E12700" i="44"/>
  <c r="E12701" i="44"/>
  <c r="E12702" i="44"/>
  <c r="E12703" i="44"/>
  <c r="E12704" i="44"/>
  <c r="E12705" i="44"/>
  <c r="E12706" i="44"/>
  <c r="E12707" i="44"/>
  <c r="E12708" i="44"/>
  <c r="E12709" i="44"/>
  <c r="E12710" i="44"/>
  <c r="E12711" i="44"/>
  <c r="E12712" i="44"/>
  <c r="E12713" i="44"/>
  <c r="E12714" i="44"/>
  <c r="E12715" i="44"/>
  <c r="E12716" i="44"/>
  <c r="E12717" i="44"/>
  <c r="E12718" i="44"/>
  <c r="E12719" i="44"/>
  <c r="E12720" i="44"/>
  <c r="E12721" i="44"/>
  <c r="E12722" i="44"/>
  <c r="E12723" i="44"/>
  <c r="E12724" i="44"/>
  <c r="E12725" i="44"/>
  <c r="E12726" i="44"/>
  <c r="E12727" i="44"/>
  <c r="E12728" i="44"/>
  <c r="E12729" i="44"/>
  <c r="E12730" i="44"/>
  <c r="E12731" i="44"/>
  <c r="E12732" i="44"/>
  <c r="E12733" i="44"/>
  <c r="E12734" i="44"/>
  <c r="E12735" i="44"/>
  <c r="E12736" i="44"/>
  <c r="E12737" i="44"/>
  <c r="E12738" i="44"/>
  <c r="E12739" i="44"/>
  <c r="E12740" i="44"/>
  <c r="E12741" i="44"/>
  <c r="E12742" i="44"/>
  <c r="E12743" i="44"/>
  <c r="E12744" i="44"/>
  <c r="E12745" i="44"/>
  <c r="E12746" i="44"/>
  <c r="E12747" i="44"/>
  <c r="E12748" i="44"/>
  <c r="E12749" i="44"/>
  <c r="E12750" i="44"/>
  <c r="E12751" i="44"/>
  <c r="E12752" i="44"/>
  <c r="E12753" i="44"/>
  <c r="E12754" i="44"/>
  <c r="E12755" i="44"/>
  <c r="E12756" i="44"/>
  <c r="E12757" i="44"/>
  <c r="E12758" i="44"/>
  <c r="E12759" i="44"/>
  <c r="E12760" i="44"/>
  <c r="E12761" i="44"/>
  <c r="E12762" i="44"/>
  <c r="E12763" i="44"/>
  <c r="E12764" i="44"/>
  <c r="E12765" i="44"/>
  <c r="E12766" i="44"/>
  <c r="E12767" i="44"/>
  <c r="E12768" i="44"/>
  <c r="E12769" i="44"/>
  <c r="E12770" i="44"/>
  <c r="E12771" i="44"/>
  <c r="E12772" i="44"/>
  <c r="E12773" i="44"/>
  <c r="E12774" i="44"/>
  <c r="E12775" i="44"/>
  <c r="E12776" i="44"/>
  <c r="E12777" i="44"/>
  <c r="E12778" i="44"/>
  <c r="E12779" i="44"/>
  <c r="E12780" i="44"/>
  <c r="E12781" i="44"/>
  <c r="E12782" i="44"/>
  <c r="E12783" i="44"/>
  <c r="E12784" i="44"/>
  <c r="E12785" i="44"/>
  <c r="E12786" i="44"/>
  <c r="E12787" i="44"/>
  <c r="E12788" i="44"/>
  <c r="E12789" i="44"/>
  <c r="E12790" i="44"/>
  <c r="E12791" i="44"/>
  <c r="E12792" i="44"/>
  <c r="E12793" i="44"/>
  <c r="E12794" i="44"/>
  <c r="E12795" i="44"/>
  <c r="E12796" i="44"/>
  <c r="E12797" i="44"/>
  <c r="E12798" i="44"/>
  <c r="E12799" i="44"/>
  <c r="E12800" i="44"/>
  <c r="E12801" i="44"/>
  <c r="E12802" i="44"/>
  <c r="E12803" i="44"/>
  <c r="E12804" i="44"/>
  <c r="E12805" i="44"/>
  <c r="E12806" i="44"/>
  <c r="E12807" i="44"/>
  <c r="E12808" i="44"/>
  <c r="E12809" i="44"/>
  <c r="E12810" i="44"/>
  <c r="E12811" i="44"/>
  <c r="E12812" i="44"/>
  <c r="E12813" i="44"/>
  <c r="E12814" i="44"/>
  <c r="E12815" i="44"/>
  <c r="E12816" i="44"/>
  <c r="E12817" i="44"/>
  <c r="E12818" i="44"/>
  <c r="E12819" i="44"/>
  <c r="E12820" i="44"/>
  <c r="E12821" i="44"/>
  <c r="E12822" i="44"/>
  <c r="E12823" i="44"/>
  <c r="E12824" i="44"/>
  <c r="E12825" i="44"/>
  <c r="E12826" i="44"/>
  <c r="E12827" i="44"/>
  <c r="E12828" i="44"/>
  <c r="E12829" i="44"/>
  <c r="E12830" i="44"/>
  <c r="E12831" i="44"/>
  <c r="E12832" i="44"/>
  <c r="E12833" i="44"/>
  <c r="E12834" i="44"/>
  <c r="E12835" i="44"/>
  <c r="E12836" i="44"/>
  <c r="E12837" i="44"/>
  <c r="E12838" i="44"/>
  <c r="E12839" i="44"/>
  <c r="E12840" i="44"/>
  <c r="E12841" i="44"/>
  <c r="E12842" i="44"/>
  <c r="E12843" i="44"/>
  <c r="E12844" i="44"/>
  <c r="E12845" i="44"/>
  <c r="E12846" i="44"/>
  <c r="E12847" i="44"/>
  <c r="E12848" i="44"/>
  <c r="E12849" i="44"/>
  <c r="E12850" i="44"/>
  <c r="E12851" i="44"/>
  <c r="E12852" i="44"/>
  <c r="E12853" i="44"/>
  <c r="E12854" i="44"/>
  <c r="E12855" i="44"/>
  <c r="E12856" i="44"/>
  <c r="E12857" i="44"/>
  <c r="E12858" i="44"/>
  <c r="E12859" i="44"/>
  <c r="E12860" i="44"/>
  <c r="E12861" i="44"/>
  <c r="E12862" i="44"/>
  <c r="E12863" i="44"/>
  <c r="E12864" i="44"/>
  <c r="E12865" i="44"/>
  <c r="E12866" i="44"/>
  <c r="E12867" i="44"/>
  <c r="E12868" i="44"/>
  <c r="E12869" i="44"/>
  <c r="E12870" i="44"/>
  <c r="E12871" i="44"/>
  <c r="E12872" i="44"/>
  <c r="E12873" i="44"/>
  <c r="E12874" i="44"/>
  <c r="E12875" i="44"/>
  <c r="E12876" i="44"/>
  <c r="E12877" i="44"/>
  <c r="E12878" i="44"/>
  <c r="E12879" i="44"/>
  <c r="E12880" i="44"/>
  <c r="E12881" i="44"/>
  <c r="E12882" i="44"/>
  <c r="E12883" i="44"/>
  <c r="E12884" i="44"/>
  <c r="E12885" i="44"/>
  <c r="E12886" i="44"/>
  <c r="E12887" i="44"/>
  <c r="E12888" i="44"/>
  <c r="E12889" i="44"/>
  <c r="E12890" i="44"/>
  <c r="E12891" i="44"/>
  <c r="E12892" i="44"/>
  <c r="E12893" i="44"/>
  <c r="E12894" i="44"/>
  <c r="E12895" i="44"/>
  <c r="E12896" i="44"/>
  <c r="E12897" i="44"/>
  <c r="E12898" i="44"/>
  <c r="E12899" i="44"/>
  <c r="E12900" i="44"/>
  <c r="E12901" i="44"/>
  <c r="E12902" i="44"/>
  <c r="E12903" i="44"/>
  <c r="E12904" i="44"/>
  <c r="E12905" i="44"/>
  <c r="E12906" i="44"/>
  <c r="E12907" i="44"/>
  <c r="E12908" i="44"/>
  <c r="E12909" i="44"/>
  <c r="E12910" i="44"/>
  <c r="E12911" i="44"/>
  <c r="E12912" i="44"/>
  <c r="E12913" i="44"/>
  <c r="E12914" i="44"/>
  <c r="E12915" i="44"/>
  <c r="E12916" i="44"/>
  <c r="E12917" i="44"/>
  <c r="E12918" i="44"/>
  <c r="E12919" i="44"/>
  <c r="E12920" i="44"/>
  <c r="E12921" i="44"/>
  <c r="E12922" i="44"/>
  <c r="E12923" i="44"/>
  <c r="E12924" i="44"/>
  <c r="E12925" i="44"/>
  <c r="E12926" i="44"/>
  <c r="E12927" i="44"/>
  <c r="E12928" i="44"/>
  <c r="E12929" i="44"/>
  <c r="E12930" i="44"/>
  <c r="E12931" i="44"/>
  <c r="E12932" i="44"/>
  <c r="E12933" i="44"/>
  <c r="E12934" i="44"/>
  <c r="E12935" i="44"/>
  <c r="E12936" i="44"/>
  <c r="E12937" i="44"/>
  <c r="E12938" i="44"/>
  <c r="E12939" i="44"/>
  <c r="E12940" i="44"/>
  <c r="E12941" i="44"/>
  <c r="E12942" i="44"/>
  <c r="E12943" i="44"/>
  <c r="E12944" i="44"/>
  <c r="E12945" i="44"/>
  <c r="E12946" i="44"/>
  <c r="E12947" i="44"/>
  <c r="E12948" i="44"/>
  <c r="E12949" i="44"/>
  <c r="E12950" i="44"/>
  <c r="E12951" i="44"/>
  <c r="E12952" i="44"/>
  <c r="E12953" i="44"/>
  <c r="E12954" i="44"/>
  <c r="E12955" i="44"/>
  <c r="E12956" i="44"/>
  <c r="E12957" i="44"/>
  <c r="E12958" i="44"/>
  <c r="E12959" i="44"/>
  <c r="E12960" i="44"/>
  <c r="E12961" i="44"/>
  <c r="E12962" i="44"/>
  <c r="E12963" i="44"/>
  <c r="E12964" i="44"/>
  <c r="E12965" i="44"/>
  <c r="E12966" i="44"/>
  <c r="E12967" i="44"/>
  <c r="E12968" i="44"/>
  <c r="E12969" i="44"/>
  <c r="E12970" i="44"/>
  <c r="E12971" i="44"/>
  <c r="E12972" i="44"/>
  <c r="E12973" i="44"/>
  <c r="E12974" i="44"/>
  <c r="E12975" i="44"/>
  <c r="E12976" i="44"/>
  <c r="E12977" i="44"/>
  <c r="E12978" i="44"/>
  <c r="E12979" i="44"/>
  <c r="E12980" i="44"/>
  <c r="E12981" i="44"/>
  <c r="E12982" i="44"/>
  <c r="E12983" i="44"/>
  <c r="E12984" i="44"/>
  <c r="E12985" i="44"/>
  <c r="E12986" i="44"/>
  <c r="E12987" i="44"/>
  <c r="E12988" i="44"/>
  <c r="E12989" i="44"/>
  <c r="E12990" i="44"/>
  <c r="E12991" i="44"/>
  <c r="E12992" i="44"/>
  <c r="E12993" i="44"/>
  <c r="E12994" i="44"/>
  <c r="E12995" i="44"/>
  <c r="E12996" i="44"/>
  <c r="E12997" i="44"/>
  <c r="E12998" i="44"/>
  <c r="E12999" i="44"/>
  <c r="E13000" i="44"/>
  <c r="E13001" i="44"/>
  <c r="E13002" i="44"/>
  <c r="E13003" i="44"/>
  <c r="E13004" i="44"/>
  <c r="E13005" i="44"/>
  <c r="E13006" i="44"/>
  <c r="E13007" i="44"/>
  <c r="E13008" i="44"/>
  <c r="E13009" i="44"/>
  <c r="E13010" i="44"/>
  <c r="E13011" i="44"/>
  <c r="E13012" i="44"/>
  <c r="E13013" i="44"/>
  <c r="E13014" i="44"/>
  <c r="E13015" i="44"/>
  <c r="E13016" i="44"/>
  <c r="E13017" i="44"/>
  <c r="E13018" i="44"/>
  <c r="E13019" i="44"/>
  <c r="E13020" i="44"/>
  <c r="E13021" i="44"/>
  <c r="E13022" i="44"/>
  <c r="E13023" i="44"/>
  <c r="E13024" i="44"/>
  <c r="E13025" i="44"/>
  <c r="E13026" i="44"/>
  <c r="E13027" i="44"/>
  <c r="E13028" i="44"/>
  <c r="E13029" i="44"/>
  <c r="E13030" i="44"/>
  <c r="E13031" i="44"/>
  <c r="E13032" i="44"/>
  <c r="E13033" i="44"/>
  <c r="E13034" i="44"/>
  <c r="E13035" i="44"/>
  <c r="E13036" i="44"/>
  <c r="E13037" i="44"/>
  <c r="E13038" i="44"/>
  <c r="E13039" i="44"/>
  <c r="E13040" i="44"/>
  <c r="E13041" i="44"/>
  <c r="E13042" i="44"/>
  <c r="E13043" i="44"/>
  <c r="E13044" i="44"/>
  <c r="E13045" i="44"/>
  <c r="E13046" i="44"/>
  <c r="E13047" i="44"/>
  <c r="E13048" i="44"/>
  <c r="E13049" i="44"/>
  <c r="E13050" i="44"/>
  <c r="E13051" i="44"/>
  <c r="E13052" i="44"/>
  <c r="E13053" i="44"/>
  <c r="E13054" i="44"/>
  <c r="E13055" i="44"/>
  <c r="E13056" i="44"/>
  <c r="E13057" i="44"/>
  <c r="E13058" i="44"/>
  <c r="E13059" i="44"/>
  <c r="E13060" i="44"/>
  <c r="E13061" i="44"/>
  <c r="E13062" i="44"/>
  <c r="E13063" i="44"/>
  <c r="E13064" i="44"/>
  <c r="E13065" i="44"/>
  <c r="E13066" i="44"/>
  <c r="E13067" i="44"/>
  <c r="E13068" i="44"/>
  <c r="E13069" i="44"/>
  <c r="E13070" i="44"/>
  <c r="E13071" i="44"/>
  <c r="E13072" i="44"/>
  <c r="E13073" i="44"/>
  <c r="E13074" i="44"/>
  <c r="E13075" i="44"/>
  <c r="E13076" i="44"/>
  <c r="E13077" i="44"/>
  <c r="E13078" i="44"/>
  <c r="E13079" i="44"/>
  <c r="E13080" i="44"/>
  <c r="E13081" i="44"/>
  <c r="E13082" i="44"/>
  <c r="E13083" i="44"/>
  <c r="E13084" i="44"/>
  <c r="E13085" i="44"/>
  <c r="E13086" i="44"/>
  <c r="E13087" i="44"/>
  <c r="E13088" i="44"/>
  <c r="E13089" i="44"/>
  <c r="E13090" i="44"/>
  <c r="E13091" i="44"/>
  <c r="E13092" i="44"/>
  <c r="E13093" i="44"/>
  <c r="E13094" i="44"/>
  <c r="E13095" i="44"/>
  <c r="E13096" i="44"/>
  <c r="E13097" i="44"/>
  <c r="E13098" i="44"/>
  <c r="E13099" i="44"/>
  <c r="E13100" i="44"/>
  <c r="E13101" i="44"/>
  <c r="E13102" i="44"/>
  <c r="E13103" i="44"/>
  <c r="E13104" i="44"/>
  <c r="E13105" i="44"/>
  <c r="E13106" i="44"/>
  <c r="E13107" i="44"/>
  <c r="E13108" i="44"/>
  <c r="E13109" i="44"/>
  <c r="E13110" i="44"/>
  <c r="E13111" i="44"/>
  <c r="E13112" i="44"/>
  <c r="E13113" i="44"/>
  <c r="E13114" i="44"/>
  <c r="E13115" i="44"/>
  <c r="E13116" i="44"/>
  <c r="E13117" i="44"/>
  <c r="E13118" i="44"/>
  <c r="E13119" i="44"/>
  <c r="E13120" i="44"/>
  <c r="E13121" i="44"/>
  <c r="E13122" i="44"/>
  <c r="E13123" i="44"/>
  <c r="E13124" i="44"/>
  <c r="E13125" i="44"/>
  <c r="E13126" i="44"/>
  <c r="E13127" i="44"/>
  <c r="E13128" i="44"/>
  <c r="E13129" i="44"/>
  <c r="E13130" i="44"/>
  <c r="E13131" i="44"/>
  <c r="E13132" i="44"/>
  <c r="E2" i="44"/>
  <c r="I12" i="2" l="1"/>
  <c r="H17" i="2"/>
  <c r="H18" i="2"/>
  <c r="H9" i="2"/>
  <c r="H10" i="2"/>
  <c r="H12" i="2"/>
  <c r="H11" i="2"/>
  <c r="H16" i="2"/>
  <c r="H15" i="2"/>
  <c r="H14" i="2"/>
  <c r="H7" i="2"/>
  <c r="H13" i="2"/>
  <c r="H8" i="2"/>
  <c r="H6" i="2"/>
  <c r="H5" i="2"/>
  <c r="H4" i="2"/>
  <c r="I11" i="2"/>
  <c r="I18" i="2"/>
  <c r="I13" i="2"/>
  <c r="I16" i="2"/>
  <c r="I15" i="2"/>
  <c r="I14" i="2"/>
  <c r="I3" i="2"/>
  <c r="H3" i="2"/>
  <c r="J17" i="2" l="1"/>
  <c r="I24" i="2"/>
  <c r="I25" i="2"/>
  <c r="J25" i="2" s="1"/>
  <c r="J28" i="2" s="1"/>
  <c r="J16" i="2"/>
  <c r="J3" i="2"/>
  <c r="I20" i="2"/>
  <c r="M24" i="2" l="1"/>
  <c r="J24" i="2"/>
  <c r="J18" i="2"/>
  <c r="J11" i="2"/>
  <c r="J6" i="2"/>
  <c r="J5" i="2"/>
  <c r="J4" i="2"/>
  <c r="J15" i="2"/>
  <c r="J14" i="2"/>
  <c r="J13" i="2"/>
  <c r="J8" i="2"/>
  <c r="J7" i="2"/>
  <c r="N25" i="2"/>
  <c r="O25" i="2"/>
  <c r="P25" i="2" s="1"/>
  <c r="J12" i="2"/>
  <c r="J9" i="2"/>
  <c r="J10" i="2"/>
  <c r="J27" i="2" l="1"/>
  <c r="N24" i="2"/>
  <c r="O24" i="2" s="1"/>
  <c r="P24" i="2" s="1"/>
  <c r="Q24" i="2" s="1"/>
  <c r="M27" i="2"/>
  <c r="K13" i="2"/>
  <c r="Q13" i="2" s="1"/>
  <c r="Q25" i="2"/>
  <c r="K3" i="2"/>
  <c r="P3" i="2" s="1"/>
  <c r="R24" i="2" l="1"/>
  <c r="P27" i="2"/>
  <c r="O27" i="2"/>
  <c r="N27" i="2"/>
  <c r="N13" i="2"/>
  <c r="R13" i="2" s="1"/>
  <c r="O13" i="2"/>
  <c r="P13" i="2"/>
  <c r="P20" i="2" s="1"/>
  <c r="Q27" i="2"/>
  <c r="R25" i="2"/>
  <c r="N3" i="2"/>
  <c r="M3" i="2"/>
  <c r="O3" i="2"/>
  <c r="K20" i="2"/>
  <c r="Q3" i="2"/>
  <c r="Q20" i="2" s="1"/>
  <c r="R27" i="2" l="1"/>
  <c r="O20" i="2"/>
  <c r="N20" i="2"/>
  <c r="M20" i="2"/>
  <c r="R3" i="2"/>
  <c r="R20" i="2" s="1"/>
</calcChain>
</file>

<file path=xl/sharedStrings.xml><?xml version="1.0" encoding="utf-8"?>
<sst xmlns="http://schemas.openxmlformats.org/spreadsheetml/2006/main" count="2070" uniqueCount="698">
  <si>
    <t>Project Name</t>
  </si>
  <si>
    <t>작성자</t>
  </si>
  <si>
    <t>Category</t>
  </si>
  <si>
    <t>작성일</t>
  </si>
  <si>
    <t>Table ID</t>
  </si>
  <si>
    <t>Version</t>
  </si>
  <si>
    <t>Table Name</t>
  </si>
  <si>
    <t>LINK</t>
  </si>
  <si>
    <t>TABLE_LIST</t>
  </si>
  <si>
    <t>NO</t>
  </si>
  <si>
    <t>Column Name</t>
  </si>
  <si>
    <t>Type</t>
  </si>
  <si>
    <t>Len</t>
  </si>
  <si>
    <t>DIM</t>
    <phoneticPr fontId="6" type="noConversion"/>
  </si>
  <si>
    <t>NotNull</t>
    <phoneticPr fontId="6" type="noConversion"/>
  </si>
  <si>
    <t>Y</t>
    <phoneticPr fontId="6" type="noConversion"/>
  </si>
  <si>
    <t>형식 및 코드설명</t>
    <phoneticPr fontId="3" type="noConversion"/>
  </si>
  <si>
    <t>부동산센터</t>
    <phoneticPr fontId="6" type="noConversion"/>
  </si>
  <si>
    <t>2023.08.28</t>
    <phoneticPr fontId="6" type="noConversion"/>
  </si>
  <si>
    <t>1.0</t>
    <phoneticPr fontId="6" type="noConversion"/>
  </si>
  <si>
    <t>법정동코드</t>
    <phoneticPr fontId="3" type="noConversion"/>
  </si>
  <si>
    <t>법정동명</t>
    <phoneticPr fontId="3" type="noConversion"/>
  </si>
  <si>
    <t>부번지</t>
    <phoneticPr fontId="3" type="noConversion"/>
  </si>
  <si>
    <t>건수</t>
    <phoneticPr fontId="3" type="noConversion"/>
  </si>
  <si>
    <t>항목수</t>
    <phoneticPr fontId="6" type="noConversion"/>
  </si>
  <si>
    <t>용량</t>
    <phoneticPr fontId="3" type="noConversion"/>
  </si>
  <si>
    <t>공동주택 변경이력 정보</t>
    <phoneticPr fontId="6" type="noConversion"/>
  </si>
  <si>
    <t>공동주택 이명 정보</t>
    <phoneticPr fontId="6" type="noConversion"/>
  </si>
  <si>
    <t>상업용건물 이명 정보</t>
    <phoneticPr fontId="6" type="noConversion"/>
  </si>
  <si>
    <t>상업용건물 변경이력 정보</t>
    <phoneticPr fontId="6" type="noConversion"/>
  </si>
  <si>
    <t>단위</t>
    <phoneticPr fontId="3" type="noConversion"/>
  </si>
  <si>
    <t>지번</t>
    <phoneticPr fontId="3" type="noConversion"/>
  </si>
  <si>
    <t>배달지</t>
    <phoneticPr fontId="3" type="noConversion"/>
  </si>
  <si>
    <t>기존보유
(자체구축)</t>
    <phoneticPr fontId="3" type="noConversion"/>
  </si>
  <si>
    <t>문화/관광지 구역정보</t>
    <phoneticPr fontId="6" type="noConversion"/>
  </si>
  <si>
    <t>문화/관광지</t>
    <phoneticPr fontId="3" type="noConversion"/>
  </si>
  <si>
    <t>배달지 상권 구역정보</t>
    <phoneticPr fontId="6" type="noConversion"/>
  </si>
  <si>
    <t>구축(개방)시기</t>
    <phoneticPr fontId="3" type="noConversion"/>
  </si>
  <si>
    <t>1차년도
(2023)</t>
    <phoneticPr fontId="3" type="noConversion"/>
  </si>
  <si>
    <t>업데이트주기</t>
    <phoneticPr fontId="3" type="noConversion"/>
  </si>
  <si>
    <t>분기</t>
    <phoneticPr fontId="3" type="noConversion"/>
  </si>
  <si>
    <t>2차년도
(2024)</t>
    <phoneticPr fontId="3" type="noConversion"/>
  </si>
  <si>
    <t>신규구축
(자체구축)</t>
    <phoneticPr fontId="3" type="noConversion"/>
  </si>
  <si>
    <t>산촌지역 구역정보</t>
    <phoneticPr fontId="6" type="noConversion"/>
  </si>
  <si>
    <t xml:space="preserve">산촌지역 토지시세+지역속성(산림플랫폼) 정보 </t>
    <phoneticPr fontId="6" type="noConversion"/>
  </si>
  <si>
    <t xml:space="preserve">배달지 상권 토지시세+배달거래(통신플랫폼) 정보 </t>
    <phoneticPr fontId="6" type="noConversion"/>
  </si>
  <si>
    <t xml:space="preserve">문화/관광지 토지시세+유동인구(통신플랫폼) 정보 </t>
    <phoneticPr fontId="3" type="noConversion"/>
  </si>
  <si>
    <t>데이터명</t>
    <phoneticPr fontId="3" type="noConversion"/>
  </si>
  <si>
    <t>산촌지역</t>
    <phoneticPr fontId="3" type="noConversion"/>
  </si>
  <si>
    <t>신규구축
(융합데이터)</t>
    <phoneticPr fontId="3" type="noConversion"/>
  </si>
  <si>
    <t>단지별</t>
    <phoneticPr fontId="3" type="noConversion"/>
  </si>
  <si>
    <t>건물별</t>
    <phoneticPr fontId="3" type="noConversion"/>
  </si>
  <si>
    <t>단지/연도별</t>
    <phoneticPr fontId="3" type="noConversion"/>
  </si>
  <si>
    <t>건물/연도별</t>
    <phoneticPr fontId="3" type="noConversion"/>
  </si>
  <si>
    <t>전국 상업용지 토지시세 추정 정보</t>
    <phoneticPr fontId="6" type="noConversion"/>
  </si>
  <si>
    <t>전국 농업용지 토지시세 추정 정보</t>
    <phoneticPr fontId="6" type="noConversion"/>
  </si>
  <si>
    <t>전국 주택용지 토지시세 추정 정보</t>
    <phoneticPr fontId="6" type="noConversion"/>
  </si>
  <si>
    <t>전국 산림용지 토지시세 추정 정보</t>
    <phoneticPr fontId="6" type="noConversion"/>
  </si>
  <si>
    <t>전국 산업용지 토지시세 추정 정보</t>
    <phoneticPr fontId="6" type="noConversion"/>
  </si>
  <si>
    <t>전국 문화/생활용지 토지시세 추정 정보</t>
    <phoneticPr fontId="6" type="noConversion"/>
  </si>
  <si>
    <t>개별공시지가</t>
    <phoneticPr fontId="3" type="noConversion"/>
  </si>
  <si>
    <t>범위</t>
    <phoneticPr fontId="3" type="noConversion"/>
  </si>
  <si>
    <t>전국</t>
    <phoneticPr fontId="3" type="noConversion"/>
  </si>
  <si>
    <t>좌표X</t>
    <phoneticPr fontId="3" type="noConversion"/>
  </si>
  <si>
    <t>좌표Y</t>
    <phoneticPr fontId="3" type="noConversion"/>
  </si>
  <si>
    <t>-</t>
    <phoneticPr fontId="3" type="noConversion"/>
  </si>
  <si>
    <t>연도별 개방 용량 (연간 4회, 시계열 데이터)</t>
    <phoneticPr fontId="3" type="noConversion"/>
  </si>
  <si>
    <t>데이터 구분</t>
    <phoneticPr fontId="6" type="noConversion"/>
  </si>
  <si>
    <t>지목코드</t>
    <phoneticPr fontId="3" type="noConversion"/>
  </si>
  <si>
    <t>토지면적</t>
    <phoneticPr fontId="3" type="noConversion"/>
  </si>
  <si>
    <t>지형높이코드</t>
    <phoneticPr fontId="3" type="noConversion"/>
  </si>
  <si>
    <t>지형상황코드</t>
    <phoneticPr fontId="3" type="noConversion"/>
  </si>
  <si>
    <t>표준지여부</t>
    <phoneticPr fontId="3" type="noConversion"/>
  </si>
  <si>
    <t>토지이용상황코드</t>
    <phoneticPr fontId="3" type="noConversion"/>
  </si>
  <si>
    <t>용도지역코드1</t>
    <phoneticPr fontId="3" type="noConversion"/>
  </si>
  <si>
    <t>용도지역코드2</t>
    <phoneticPr fontId="3" type="noConversion"/>
  </si>
  <si>
    <t>지목</t>
  </si>
  <si>
    <t>용도지역1</t>
  </si>
  <si>
    <t>토지이용상황</t>
  </si>
  <si>
    <t>수량</t>
  </si>
  <si>
    <t>테이블명</t>
    <phoneticPr fontId="3" type="noConversion"/>
  </si>
  <si>
    <t>컬럼명(영문)</t>
    <phoneticPr fontId="3" type="noConversion"/>
  </si>
  <si>
    <t>컬럼명(한글)</t>
    <phoneticPr fontId="3" type="noConversion"/>
  </si>
  <si>
    <t>코드순번</t>
    <phoneticPr fontId="3" type="noConversion"/>
  </si>
  <si>
    <t>코드</t>
    <phoneticPr fontId="3" type="noConversion"/>
  </si>
  <si>
    <t>코드명</t>
    <phoneticPr fontId="3" type="noConversion"/>
  </si>
  <si>
    <t>01</t>
    <phoneticPr fontId="3" type="noConversion"/>
  </si>
  <si>
    <t>일반</t>
    <phoneticPr fontId="3" type="noConversion"/>
  </si>
  <si>
    <t>02</t>
  </si>
  <si>
    <t>산</t>
    <phoneticPr fontId="3" type="noConversion"/>
  </si>
  <si>
    <t>03</t>
  </si>
  <si>
    <t>가지번</t>
  </si>
  <si>
    <t>04</t>
  </si>
  <si>
    <t>가지번(부번세분)</t>
    <phoneticPr fontId="3" type="noConversion"/>
  </si>
  <si>
    <t>05</t>
  </si>
  <si>
    <t>블럭지번</t>
    <phoneticPr fontId="3" type="noConversion"/>
  </si>
  <si>
    <t>06</t>
  </si>
  <si>
    <t>블럭지번(롯트세분)</t>
    <phoneticPr fontId="3" type="noConversion"/>
  </si>
  <si>
    <t>07</t>
  </si>
  <si>
    <t>블럭지번(지구)</t>
    <phoneticPr fontId="3" type="noConversion"/>
  </si>
  <si>
    <t>08</t>
  </si>
  <si>
    <t>블럭지번(지구_롯트)</t>
    <phoneticPr fontId="3" type="noConversion"/>
  </si>
  <si>
    <t>09</t>
  </si>
  <si>
    <t>기타지번</t>
    <phoneticPr fontId="3" type="noConversion"/>
  </si>
  <si>
    <t>전</t>
    <phoneticPr fontId="3" type="noConversion"/>
  </si>
  <si>
    <t>02</t>
    <phoneticPr fontId="3" type="noConversion"/>
  </si>
  <si>
    <t>답</t>
    <phoneticPr fontId="3" type="noConversion"/>
  </si>
  <si>
    <t>과수원</t>
    <phoneticPr fontId="3" type="noConversion"/>
  </si>
  <si>
    <t>목장용지</t>
    <phoneticPr fontId="3" type="noConversion"/>
  </si>
  <si>
    <t>임야</t>
  </si>
  <si>
    <t>광천지</t>
  </si>
  <si>
    <t>염전</t>
  </si>
  <si>
    <t>대</t>
  </si>
  <si>
    <t>공장용지</t>
  </si>
  <si>
    <t>10</t>
  </si>
  <si>
    <t>학교용지</t>
  </si>
  <si>
    <t>11</t>
  </si>
  <si>
    <t>주차장</t>
  </si>
  <si>
    <t>12</t>
  </si>
  <si>
    <t>주유소용지</t>
  </si>
  <si>
    <t>13</t>
  </si>
  <si>
    <t>창고용지</t>
  </si>
  <si>
    <t>14</t>
  </si>
  <si>
    <t>도로</t>
  </si>
  <si>
    <t>15</t>
  </si>
  <si>
    <t>철도용지</t>
  </si>
  <si>
    <t>16</t>
  </si>
  <si>
    <t>제방</t>
  </si>
  <si>
    <t>17</t>
  </si>
  <si>
    <t>하천</t>
  </si>
  <si>
    <t>18</t>
  </si>
  <si>
    <t>구거</t>
  </si>
  <si>
    <t>19</t>
  </si>
  <si>
    <t>유지</t>
  </si>
  <si>
    <t>20</t>
  </si>
  <si>
    <t>양어장</t>
  </si>
  <si>
    <t>21</t>
  </si>
  <si>
    <t>수도용지</t>
  </si>
  <si>
    <t>22</t>
  </si>
  <si>
    <t>공원</t>
  </si>
  <si>
    <t>23</t>
  </si>
  <si>
    <t>체육용지</t>
  </si>
  <si>
    <t>24</t>
  </si>
  <si>
    <t>유원지</t>
  </si>
  <si>
    <t>25</t>
  </si>
  <si>
    <t>종교용지</t>
  </si>
  <si>
    <t>26</t>
  </si>
  <si>
    <t>사적지</t>
  </si>
  <si>
    <t>27</t>
  </si>
  <si>
    <t>묘지</t>
  </si>
  <si>
    <t>28</t>
  </si>
  <si>
    <t>잡종지</t>
  </si>
  <si>
    <t>제1종전용주거지역</t>
  </si>
  <si>
    <t>제2종전용주거지역</t>
  </si>
  <si>
    <t>제1종일반주거지역</t>
  </si>
  <si>
    <t>제2종일반주거지역</t>
  </si>
  <si>
    <t>제3종일반주거지역</t>
  </si>
  <si>
    <t>준주거지역</t>
  </si>
  <si>
    <t>중심상업지역</t>
  </si>
  <si>
    <t>일반상업지역</t>
  </si>
  <si>
    <t>근린상업지역</t>
  </si>
  <si>
    <t>유통상업지역</t>
  </si>
  <si>
    <t>전용공업지역</t>
  </si>
  <si>
    <t>일반공업지역</t>
  </si>
  <si>
    <t>준공업지역</t>
  </si>
  <si>
    <t>보전녹지지역</t>
  </si>
  <si>
    <t>생산녹지지역</t>
  </si>
  <si>
    <t>자연녹지지역</t>
  </si>
  <si>
    <t>개발제한구역</t>
  </si>
  <si>
    <t>용도미지정</t>
  </si>
  <si>
    <t>관리지역</t>
  </si>
  <si>
    <t>보전관리지역</t>
  </si>
  <si>
    <t>생산관리지역</t>
  </si>
  <si>
    <t>계획관리지역</t>
  </si>
  <si>
    <t>농림지역</t>
  </si>
  <si>
    <t>자연환경보전지역</t>
  </si>
  <si>
    <t>00</t>
    <phoneticPr fontId="3" type="noConversion"/>
  </si>
  <si>
    <t>지정되지않음</t>
    <phoneticPr fontId="3" type="noConversion"/>
  </si>
  <si>
    <t>주거용</t>
  </si>
  <si>
    <t>단독</t>
  </si>
  <si>
    <t>연립</t>
  </si>
  <si>
    <t>다세대</t>
  </si>
  <si>
    <t>아파트</t>
  </si>
  <si>
    <t>주거나지</t>
  </si>
  <si>
    <t>주거기타</t>
  </si>
  <si>
    <t>상업.업무용</t>
  </si>
  <si>
    <t>상업용</t>
  </si>
  <si>
    <t>업무용</t>
  </si>
  <si>
    <t>상업나지</t>
  </si>
  <si>
    <t>상업기타</t>
  </si>
  <si>
    <t>주.상복합용</t>
  </si>
  <si>
    <t>주상용</t>
  </si>
  <si>
    <t>주상나지</t>
  </si>
  <si>
    <t>주상기타</t>
  </si>
  <si>
    <t>공업용</t>
  </si>
  <si>
    <t>공업나지</t>
  </si>
  <si>
    <t>공업기타</t>
  </si>
  <si>
    <t>태양광발전소부지</t>
  </si>
  <si>
    <t>전</t>
  </si>
  <si>
    <t>과수원</t>
  </si>
  <si>
    <t>전기타</t>
  </si>
  <si>
    <t>전창고</t>
  </si>
  <si>
    <t>전축사</t>
  </si>
  <si>
    <t>답</t>
  </si>
  <si>
    <t>답기타</t>
  </si>
  <si>
    <t>답창고</t>
  </si>
  <si>
    <t>답축사</t>
  </si>
  <si>
    <t>조림</t>
  </si>
  <si>
    <t>자연림</t>
  </si>
  <si>
    <t>토지임야</t>
  </si>
  <si>
    <t>목장용지</t>
  </si>
  <si>
    <t>임야기타</t>
  </si>
  <si>
    <t>광업용지</t>
  </si>
  <si>
    <t>양어장·양식장</t>
  </si>
  <si>
    <t>야영장</t>
  </si>
  <si>
    <t>공원묘지</t>
  </si>
  <si>
    <t>골프장 회원제</t>
  </si>
  <si>
    <t>골프장 대중제</t>
  </si>
  <si>
    <t>골프장 간이</t>
  </si>
  <si>
    <t>스키장</t>
  </si>
  <si>
    <t>경마장</t>
  </si>
  <si>
    <t>승마장</t>
  </si>
  <si>
    <t>여객자동차터미널</t>
  </si>
  <si>
    <t>콘도미니엄</t>
  </si>
  <si>
    <t>공항</t>
  </si>
  <si>
    <t>고속도로휴게소</t>
  </si>
  <si>
    <t>매립지</t>
  </si>
  <si>
    <t>발전소</t>
  </si>
  <si>
    <t>물류터미널</t>
  </si>
  <si>
    <t>특수기타</t>
  </si>
  <si>
    <t>공공용지등</t>
  </si>
  <si>
    <t>도로등</t>
  </si>
  <si>
    <t>하천등</t>
  </si>
  <si>
    <t>공원등</t>
  </si>
  <si>
    <t>운동장등</t>
  </si>
  <si>
    <t>주차장등</t>
  </si>
  <si>
    <t>위험시설</t>
  </si>
  <si>
    <t>유해.혐오시설</t>
  </si>
  <si>
    <t>기타</t>
  </si>
  <si>
    <t>000</t>
    <phoneticPr fontId="3" type="noConversion"/>
  </si>
  <si>
    <t>저지</t>
  </si>
  <si>
    <t>평지</t>
  </si>
  <si>
    <t>완경사</t>
  </si>
  <si>
    <t>급경사</t>
  </si>
  <si>
    <t>고지</t>
  </si>
  <si>
    <t>정방형</t>
  </si>
  <si>
    <t>가로장방</t>
  </si>
  <si>
    <t>세로장방</t>
  </si>
  <si>
    <t>사다리형</t>
  </si>
  <si>
    <t>삼각형</t>
  </si>
  <si>
    <t>역삼각형</t>
  </si>
  <si>
    <t>부정형</t>
  </si>
  <si>
    <t>자루형</t>
  </si>
  <si>
    <t>광대로한면</t>
  </si>
  <si>
    <t>광대소각</t>
  </si>
  <si>
    <t>광대세각</t>
  </si>
  <si>
    <t>중로한면</t>
  </si>
  <si>
    <t>중로각지</t>
  </si>
  <si>
    <t>소로한면</t>
  </si>
  <si>
    <t>소로각지</t>
  </si>
  <si>
    <t>세로한면(가)</t>
  </si>
  <si>
    <t>세로각지(가)</t>
  </si>
  <si>
    <t>세로한면(불)</t>
  </si>
  <si>
    <t>세로각지(불)</t>
  </si>
  <si>
    <t>맹지</t>
  </si>
  <si>
    <t>제외지</t>
    <phoneticPr fontId="3" type="noConversion"/>
  </si>
  <si>
    <t>9</t>
    <phoneticPr fontId="3" type="noConversion"/>
  </si>
  <si>
    <t>(출처: 건축물대장)</t>
    <phoneticPr fontId="3" type="noConversion"/>
  </si>
  <si>
    <t>(출처: 건축물대장), 복합도 = 건축물용도 개수</t>
    <phoneticPr fontId="3" type="noConversion"/>
  </si>
  <si>
    <t>(출처: 건축물대장), 압축도 = (지역내 건축물 총연면적) / (지역면적)</t>
    <phoneticPr fontId="3" type="noConversion"/>
  </si>
  <si>
    <t>(출처: 건축물대장), 노후건물 = 20년 이상 건축물 수 (2002년 이전)</t>
    <phoneticPr fontId="3" type="noConversion"/>
  </si>
  <si>
    <t>(출처: 건축물대장), 노후주택 = 20년 이상 주택 수 (2002년 이전)</t>
    <phoneticPr fontId="3" type="noConversion"/>
  </si>
  <si>
    <t>(출처: 건축물대장), 주택 = 건축물 중 건물용도가 주택인 건물</t>
    <phoneticPr fontId="3" type="noConversion"/>
  </si>
  <si>
    <t>(출처: 국토정보플랫폼)</t>
    <phoneticPr fontId="3" type="noConversion"/>
  </si>
  <si>
    <t>(출처: 국토정보플랫폼), 생산가능인구 = 15~64세 인구</t>
    <phoneticPr fontId="3" type="noConversion"/>
  </si>
  <si>
    <t>(출처: 국토정보플랫폼), 노인인구 = 65세 이상 인구</t>
    <phoneticPr fontId="3" type="noConversion"/>
  </si>
  <si>
    <t>(출처: 국토정보플랫폼), 유소년인구 = 14세 이하 인구</t>
    <phoneticPr fontId="3" type="noConversion"/>
  </si>
  <si>
    <t>(출처: 통계지리정보서비스)</t>
    <phoneticPr fontId="3" type="noConversion"/>
  </si>
  <si>
    <t>(출처: 국가공간정보포털)</t>
    <phoneticPr fontId="3" type="noConversion"/>
  </si>
  <si>
    <t>(출처: 공공데이터포털)</t>
    <phoneticPr fontId="3" type="noConversion"/>
  </si>
  <si>
    <t>(출처: 국가POI)</t>
    <phoneticPr fontId="3" type="noConversion"/>
  </si>
  <si>
    <t>PNU코드</t>
  </si>
  <si>
    <t>PNU_CD</t>
  </si>
  <si>
    <t>VARCHAR</t>
  </si>
  <si>
    <t>LEGALDONG_CD</t>
  </si>
  <si>
    <t>VARCHAR</t>
    <phoneticPr fontId="6" type="noConversion"/>
  </si>
  <si>
    <t>본번지</t>
    <phoneticPr fontId="3" type="noConversion"/>
  </si>
  <si>
    <t>NUMERIC</t>
  </si>
  <si>
    <t>XCRDT</t>
  </si>
  <si>
    <t>YCRDT</t>
  </si>
  <si>
    <t>LNCT_CD</t>
  </si>
  <si>
    <t>SUSAR_CD_ONE</t>
  </si>
  <si>
    <t>SUSAR_CD_TWO</t>
  </si>
  <si>
    <t>LAND_USE_STTN_CD</t>
    <phoneticPr fontId="3" type="noConversion"/>
  </si>
  <si>
    <t>TPGRP_HGHT_CD</t>
  </si>
  <si>
    <t>TPGRP_STTN_CD</t>
  </si>
  <si>
    <t>OSILP</t>
  </si>
  <si>
    <t>개별공시지가기준시점</t>
    <phoneticPr fontId="3" type="noConversion"/>
  </si>
  <si>
    <t>NUMERIC</t>
    <phoneticPr fontId="3" type="noConversion"/>
  </si>
  <si>
    <t>교통편의성_정류장수_500m</t>
  </si>
  <si>
    <t>교통편의성_인접고속도로개수_500m</t>
    <phoneticPr fontId="3" type="noConversion"/>
  </si>
  <si>
    <t>교통편의성_인접로개수_500m</t>
    <phoneticPr fontId="3" type="noConversion"/>
  </si>
  <si>
    <t>교통편의성_고속도로_최단거리</t>
    <phoneticPr fontId="3" type="noConversion"/>
  </si>
  <si>
    <t>TFCVN_NRBHW_ECNT_FVHD_METER</t>
    <phoneticPr fontId="3" type="noConversion"/>
  </si>
  <si>
    <t>교통편의성_인접대로개수_500m</t>
    <phoneticPr fontId="3" type="noConversion"/>
  </si>
  <si>
    <t>TFCVN_HIWY_SHRTDST</t>
    <phoneticPr fontId="3" type="noConversion"/>
  </si>
  <si>
    <t>TFCVN_NRBMARD_ECNT_FVHD_METER</t>
    <phoneticPr fontId="3" type="noConversion"/>
  </si>
  <si>
    <t>교통편의성_대로_최단거리</t>
    <phoneticPr fontId="3" type="noConversion"/>
  </si>
  <si>
    <t>TFCVN_MARD_SHRTDST</t>
    <phoneticPr fontId="3" type="noConversion"/>
  </si>
  <si>
    <t>교통편의성_로_최단거리</t>
    <phoneticPr fontId="3" type="noConversion"/>
  </si>
  <si>
    <t>TFCVN_NRBSMRD_ECNT_FVHD_METER</t>
    <phoneticPr fontId="3" type="noConversion"/>
  </si>
  <si>
    <t>TFCVN_SMRD_SHRTDST</t>
    <phoneticPr fontId="3" type="noConversion"/>
  </si>
  <si>
    <t>교통편의성_인접길개수_500m</t>
    <phoneticPr fontId="3" type="noConversion"/>
  </si>
  <si>
    <t>교통편의성_길_최단거리</t>
    <phoneticPr fontId="3" type="noConversion"/>
  </si>
  <si>
    <t>TFCVN_NRBSRT_ECNT_FVHD_METER</t>
    <phoneticPr fontId="3" type="noConversion"/>
  </si>
  <si>
    <t>TFCVN_STRT_SHRTDST</t>
    <phoneticPr fontId="3" type="noConversion"/>
  </si>
  <si>
    <t>교통편의성_인접역</t>
    <phoneticPr fontId="3" type="noConversion"/>
  </si>
  <si>
    <t>교통편의성_인접고속도로IC</t>
    <phoneticPr fontId="3" type="noConversion"/>
  </si>
  <si>
    <t>TFCVN_NRBSTATN</t>
    <phoneticPr fontId="3" type="noConversion"/>
  </si>
  <si>
    <t>TFCVN_NRBHWIC</t>
    <phoneticPr fontId="3" type="noConversion"/>
  </si>
  <si>
    <t>광역시도명</t>
    <phoneticPr fontId="3" type="noConversion"/>
  </si>
  <si>
    <t>시군구명</t>
    <phoneticPr fontId="3" type="noConversion"/>
  </si>
  <si>
    <t>LEGALDONG_NM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</si>
  <si>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</si>
  <si>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</si>
  <si>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</si>
  <si>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</si>
  <si>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</si>
  <si>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</si>
  <si>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</si>
  <si>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</si>
  <si>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법정리명</t>
    <phoneticPr fontId="3" type="noConversion"/>
  </si>
  <si>
    <t>STDL_YN</t>
    <phoneticPr fontId="3" type="noConversion"/>
  </si>
  <si>
    <t>표준지</t>
    <phoneticPr fontId="3" type="noConversion"/>
  </si>
  <si>
    <t>표준지아님</t>
    <phoneticPr fontId="3" type="noConversion"/>
  </si>
  <si>
    <t>죄표계: Bessel.Katec</t>
    <phoneticPr fontId="3" type="noConversion"/>
  </si>
  <si>
    <t>SIDO_NM</t>
    <phoneticPr fontId="3" type="noConversion"/>
  </si>
  <si>
    <t>SIGNGU_NM</t>
    <phoneticPr fontId="3" type="noConversion"/>
  </si>
  <si>
    <t>LDGRFL_CD</t>
    <phoneticPr fontId="3" type="noConversion"/>
  </si>
  <si>
    <t>대장구분코드</t>
    <phoneticPr fontId="3" type="noConversion"/>
  </si>
  <si>
    <t>LNCT_CD</t>
    <phoneticPr fontId="3" type="noConversion"/>
  </si>
  <si>
    <t>SUSAR_CD_ONE</t>
    <phoneticPr fontId="3" type="noConversion"/>
  </si>
  <si>
    <t>SUSAR_CD_TWO</t>
    <phoneticPr fontId="3" type="noConversion"/>
  </si>
  <si>
    <t>TPGRP_HGHT_CD</t>
    <phoneticPr fontId="3" type="noConversion"/>
  </si>
  <si>
    <t>TPGRP_STTN_CD</t>
    <phoneticPr fontId="3" type="noConversion"/>
  </si>
  <si>
    <t>Y</t>
    <phoneticPr fontId="3" type="noConversion"/>
  </si>
  <si>
    <t>N</t>
    <phoneticPr fontId="3" type="noConversion"/>
  </si>
  <si>
    <t>ROAD_COPL_CD</t>
    <phoneticPr fontId="3" type="noConversion"/>
  </si>
  <si>
    <t>도로접면코드</t>
    <phoneticPr fontId="3" type="noConversion"/>
  </si>
  <si>
    <t>광역시도명='세종'인 경우만 NULL</t>
    <phoneticPr fontId="3" type="noConversion"/>
  </si>
  <si>
    <t>(출처: 국가공간정보포털) 법정동코드(10)+대장구분코드(1)+본번지(4)+부번지(4)</t>
    <phoneticPr fontId="3" type="noConversion"/>
  </si>
  <si>
    <t>법정동명이 '읍', '면'인 경우만 값 존재 ('리'), 나머지 Null</t>
    <phoneticPr fontId="3" type="noConversion"/>
  </si>
  <si>
    <t>(출처: 국가공간정보포털) (단위: ㎡) --&gt; 원천인 개별공시지가데이터의 면적 값 그대로 사용</t>
    <phoneticPr fontId="3" type="noConversion"/>
  </si>
  <si>
    <t>(출처: 국가공간정보포털) (단위: 원) --&gt; 원천인 개별공시지가데이터의 개별공시지가 값 그대로 사용</t>
    <phoneticPr fontId="3" type="noConversion"/>
  </si>
  <si>
    <t>11,4</t>
    <phoneticPr fontId="3" type="noConversion"/>
  </si>
  <si>
    <t>(출처: 국가공간정보포털) (날자형식: YYYY-MM-DD)</t>
    <phoneticPr fontId="3" type="noConversion"/>
  </si>
  <si>
    <t>(출처: 국토정보플랫폼), 노령화지수 = 유소년인구 100명당 노인인구
(유소년인구=0 and 노인인구=0 이면 노령화지수 = 0, 유소년인구=0 and 노인인구&gt;0 이면 노령화지수 = Null)</t>
    <phoneticPr fontId="3" type="noConversion"/>
  </si>
  <si>
    <t>Y</t>
  </si>
  <si>
    <t>10,2</t>
    <phoneticPr fontId="3" type="noConversion"/>
  </si>
  <si>
    <t>LVCNS_ELESCH_CNT_FVHD_METER</t>
  </si>
  <si>
    <t>LVCNS_MSKUL_CNT_FVHD_METER</t>
  </si>
  <si>
    <t>LVCNS_HGSCHL_CNT_FVHD_METER</t>
  </si>
  <si>
    <t>LVCNS_INSTUT_CNT_FVHD_METER</t>
  </si>
  <si>
    <t>LVCNS_CLNCHSPTL_CNT_FVHD_METER</t>
  </si>
  <si>
    <t>LVCNS_BANK_CNT_FVHD_METER</t>
  </si>
  <si>
    <t>LVCNS_MARTDMST_CNT_FVHD_METER</t>
  </si>
  <si>
    <t>LVCNS_PBPACFCT_CNT_FVHD_METER</t>
  </si>
  <si>
    <t>LVCNS_CVST_CNT_FVHD_METER</t>
  </si>
  <si>
    <t>TOTPUL_CNT_FVHD_METER</t>
  </si>
  <si>
    <t>TOTPUL_CNT_THREE_KM</t>
  </si>
  <si>
    <t>SNCTPUL_CNT_FVHD_METER</t>
  </si>
  <si>
    <t>YUPUL_CNT_FVHD_METER</t>
  </si>
  <si>
    <t>AGDX_FVHD_METER</t>
  </si>
  <si>
    <t>WKAGEPUL_CNT_FVHD_METER</t>
  </si>
  <si>
    <t>WKAGEPUL_CNT_THREE_KM</t>
  </si>
  <si>
    <t>TOTHOHLD_CNT_FVHD_METER</t>
  </si>
  <si>
    <t>TOTHOHLD_CNT_THREE_KM</t>
  </si>
  <si>
    <t>TOTBS_CNT_FVHD_METER</t>
  </si>
  <si>
    <t>TOTBS_CNT_THREE_KM</t>
  </si>
  <si>
    <t>TOTENFSN_CNT_FVHD_METER</t>
  </si>
  <si>
    <t>TOTENFSN_CNT_THREE_KM</t>
  </si>
  <si>
    <t>ENFSN_CNT_WHRTBS_THREE_KM</t>
  </si>
  <si>
    <t>ENFSN_CNT_RSTLDBS_THREE_KM</t>
  </si>
  <si>
    <t>BULD_CNT_FVHD_METER</t>
  </si>
  <si>
    <t>HOUSE_CNT_FVHD_METER</t>
  </si>
  <si>
    <t>OLDBLD_CNT_FVHD_METER</t>
  </si>
  <si>
    <t>OLDHS_CNT_FVHD_METER</t>
  </si>
  <si>
    <t>BULD_GRFA_FVHD_METER</t>
  </si>
  <si>
    <t>LDUSE_BULD_CMPDGR_FVHD_METER</t>
  </si>
  <si>
    <t>LDUSE_BULD_CMPLXDGR_FVHD_METER</t>
  </si>
  <si>
    <t>총인구수_500m</t>
  </si>
  <si>
    <t>노인인구수_500m</t>
  </si>
  <si>
    <t>유소년인구수_500m</t>
  </si>
  <si>
    <t>생산가능인구수_500m</t>
  </si>
  <si>
    <t>총가구수_500m</t>
  </si>
  <si>
    <t>총사업체수_500m</t>
  </si>
  <si>
    <t>총종사자수_500m</t>
  </si>
  <si>
    <t>사업체수_음식숙박업_3km</t>
  </si>
  <si>
    <t>종사자수_음식숙박업_3km</t>
  </si>
  <si>
    <t>건물수_500m</t>
  </si>
  <si>
    <t>주택수_500m</t>
  </si>
  <si>
    <t>노후건물수_500m</t>
  </si>
  <si>
    <t>노후주택수_500m</t>
  </si>
  <si>
    <t>건물연면적_500m</t>
  </si>
  <si>
    <t>토지이용_건물_압축도_500m</t>
  </si>
  <si>
    <t>토지이용_건물_복합도_500m</t>
  </si>
  <si>
    <t>(출처: 도로명주소 전자지도) 500m 반경 내 도로위계 상 고속도로 개수</t>
    <phoneticPr fontId="3" type="noConversion"/>
  </si>
  <si>
    <t>(출처: 도로명주소 전자지도) 500m 반경 내 도로위계 상 대로 개수</t>
    <phoneticPr fontId="3" type="noConversion"/>
  </si>
  <si>
    <t>(출처: 도로명주소 전자지도) 500m 반경 내 도로위계 상 로 개수</t>
    <phoneticPr fontId="3" type="noConversion"/>
  </si>
  <si>
    <t>(출처: 도로명주소 전자지도) 500m 반경 내 도로위계 상 길 개수</t>
    <phoneticPr fontId="3" type="noConversion"/>
  </si>
  <si>
    <t>TFCVN_BSTP_SHRTDST</t>
    <phoneticPr fontId="3" type="noConversion"/>
  </si>
  <si>
    <t>TFCVN_STATN_SHRTDST</t>
    <phoneticPr fontId="3" type="noConversion"/>
  </si>
  <si>
    <t>TFCVN_HWIC_SHRTDST</t>
    <phoneticPr fontId="3" type="noConversion"/>
  </si>
  <si>
    <t>교통편의성_역_최단거리</t>
    <phoneticPr fontId="3" type="noConversion"/>
  </si>
  <si>
    <t>교통편의성_정류장_최단거리</t>
    <phoneticPr fontId="3" type="noConversion"/>
  </si>
  <si>
    <t>교통편의성_고속도로IC_최단거리</t>
    <phoneticPr fontId="3" type="noConversion"/>
  </si>
  <si>
    <t>생활편의시설_초등학교_최단거리</t>
    <phoneticPr fontId="3" type="noConversion"/>
  </si>
  <si>
    <t>생활편의시설_중학교_최단거리</t>
    <phoneticPr fontId="3" type="noConversion"/>
  </si>
  <si>
    <t>생활편의시설_고등학교_최단거리</t>
    <phoneticPr fontId="3" type="noConversion"/>
  </si>
  <si>
    <t>생활편의시설_학원_최단거리</t>
    <phoneticPr fontId="3" type="noConversion"/>
  </si>
  <si>
    <t>생활편의시설_병의원_최단거리</t>
    <phoneticPr fontId="3" type="noConversion"/>
  </si>
  <si>
    <t>생활편의시설_은행_최단거리</t>
    <phoneticPr fontId="3" type="noConversion"/>
  </si>
  <si>
    <t>생활편의시설_마트백화점_최단거리</t>
    <phoneticPr fontId="3" type="noConversion"/>
  </si>
  <si>
    <t>생활편의시설_치안시설_최단거리</t>
    <phoneticPr fontId="3" type="noConversion"/>
  </si>
  <si>
    <t>생활편의시설_편의점_최단거리</t>
    <phoneticPr fontId="3" type="noConversion"/>
  </si>
  <si>
    <t>유해시설_발전소_최단거리</t>
    <phoneticPr fontId="3" type="noConversion"/>
  </si>
  <si>
    <t>유해시설_화장시설_최단거리</t>
    <phoneticPr fontId="3" type="noConversion"/>
  </si>
  <si>
    <t>유해시설_봉안시설_최단거리</t>
    <phoneticPr fontId="3" type="noConversion"/>
  </si>
  <si>
    <t>유해시설_폐기물시설_최단거리</t>
    <phoneticPr fontId="3" type="noConversion"/>
  </si>
  <si>
    <t>LVCNS_ELESCH_SHRTDST</t>
    <phoneticPr fontId="3" type="noConversion"/>
  </si>
  <si>
    <t>LVCNS_MSKUL_SHRTDST</t>
    <phoneticPr fontId="3" type="noConversion"/>
  </si>
  <si>
    <t>LVCNS_HGSCHL_SHRTDST</t>
    <phoneticPr fontId="3" type="noConversion"/>
  </si>
  <si>
    <t>LVCNS_INSTUT_SHRTDST</t>
    <phoneticPr fontId="3" type="noConversion"/>
  </si>
  <si>
    <t>LVCNS_CLNCHSPTL_SHRTDST</t>
    <phoneticPr fontId="3" type="noConversion"/>
  </si>
  <si>
    <t>LVCNS_BANK_SHRTDST</t>
    <phoneticPr fontId="3" type="noConversion"/>
  </si>
  <si>
    <t>LVCNS_MARTDMST_SHRTDST</t>
    <phoneticPr fontId="3" type="noConversion"/>
  </si>
  <si>
    <t>LVCNS_PBPACFCT_SHRTDST</t>
    <phoneticPr fontId="3" type="noConversion"/>
  </si>
  <si>
    <t>LVCNS_CVST_SHRTDST</t>
    <phoneticPr fontId="3" type="noConversion"/>
  </si>
  <si>
    <t>HMFNFCT_PWPLNT_SHRTDST</t>
    <phoneticPr fontId="3" type="noConversion"/>
  </si>
  <si>
    <t>HMFNFCT_CMTYFCT_SHRTDST</t>
    <phoneticPr fontId="3" type="noConversion"/>
  </si>
  <si>
    <t>HMFNFCT_ESRNFCT_SHRTDST</t>
    <phoneticPr fontId="3" type="noConversion"/>
  </si>
  <si>
    <t>HMFNFCT_WSTFCT_SHRTDST</t>
    <phoneticPr fontId="3" type="noConversion"/>
  </si>
  <si>
    <t>(출처: 국가공간정보포털) 50Km 내 철도, 지하철 최인접 역명 (50Km 내 역이 없는 경우 Null)</t>
    <phoneticPr fontId="3" type="noConversion"/>
  </si>
  <si>
    <t>(출처: 국가공간정보포털) 50Km 내 철도, 지하철과의 최단 직선거리 (50Km 내 역이 없는 경우 Null)</t>
    <phoneticPr fontId="3" type="noConversion"/>
  </si>
  <si>
    <t>(출처: 국가공간정보포털) 100Km 내 고속도로 최인접 IC명 (100Km 내 IC가 없는 경우 Null)</t>
    <phoneticPr fontId="3" type="noConversion"/>
  </si>
  <si>
    <t>(출처: 국가공간정보포털) 100Km 내 고속도로 IC와의 최단 직선거리 (100Km 내 IC가 없는 경우 Null)</t>
    <phoneticPr fontId="3" type="noConversion"/>
  </si>
  <si>
    <t>(출처: 공공데이터포털) 5Km 내 버스 인접 정류장과의 최단 직선거리 (5Km 내 정류장이 없는 경우 Null)</t>
    <phoneticPr fontId="3" type="noConversion"/>
  </si>
  <si>
    <t>(출처: 국가POI) 10Km 내 최단 직선거리 (10Km 내 해당 시설이 없는 경우 Null)</t>
    <phoneticPr fontId="3" type="noConversion"/>
  </si>
  <si>
    <t>(출처: 직접수집) 10Km 내 최단 직선거리 (10Km 내 해당 시설이 없는 경우 Null)</t>
    <phoneticPr fontId="3" type="noConversion"/>
  </si>
  <si>
    <t>Column ID</t>
    <phoneticPr fontId="3" type="noConversion"/>
  </si>
  <si>
    <t>(출처: 도로명주소 전자지도) 500m 반경 내 도로위계 상 고속도로와의 최단 직선거리
(500내 해당 도로위계가 존재하지 않는 경우 Null)</t>
    <phoneticPr fontId="3" type="noConversion"/>
  </si>
  <si>
    <t>(출처: 도로명주소 전자지도) 500m 반경 내 도로위계 상 대로와의 최단 직선거리
(500내 해당 도로위계가 존재하지 않는 경우 Null)</t>
    <phoneticPr fontId="3" type="noConversion"/>
  </si>
  <si>
    <t>(출처: 도로명주소 전자지도) 500m 반경 내 도로위계 상 로와의 최단 직선거리
(500내 해당 도로위계가 존재하지 않는 경우 Null)</t>
    <phoneticPr fontId="3" type="noConversion"/>
  </si>
  <si>
    <t>(출처: 도로명주소 전자지도) 500m 반경 내 도로위계 상 길과의 최단 직선거리
(500내 해당 도로위계가 존재하지 않는 경우 Null)</t>
    <phoneticPr fontId="3" type="noConversion"/>
  </si>
  <si>
    <t>총사업체수_3km</t>
    <phoneticPr fontId="3" type="noConversion"/>
  </si>
  <si>
    <t>LDGRFL_CD</t>
  </si>
  <si>
    <t>LDAR</t>
  </si>
  <si>
    <t>LAND_USE_STTN_CD</t>
  </si>
  <si>
    <t>ROAD_COPL_CD</t>
  </si>
  <si>
    <t>LEGALLI_NM</t>
  </si>
  <si>
    <t>HMNO</t>
  </si>
  <si>
    <t>VCNO</t>
  </si>
  <si>
    <t>OSILP_STRD_PNTM</t>
  </si>
  <si>
    <t>BSNS_CNT_WHRTBS_THREE_KM</t>
  </si>
  <si>
    <t>BSNS_CNT_RSTLDBS_THREE_KM</t>
  </si>
  <si>
    <t>LEGALLI_NM</t>
    <phoneticPr fontId="3" type="noConversion"/>
  </si>
  <si>
    <t>HMNO</t>
    <phoneticPr fontId="3" type="noConversion"/>
  </si>
  <si>
    <t>VCNO</t>
    <phoneticPr fontId="3" type="noConversion"/>
  </si>
  <si>
    <t>STD_YN</t>
    <phoneticPr fontId="3" type="noConversion"/>
  </si>
  <si>
    <t>OSILP_STRD_PNTM</t>
    <phoneticPr fontId="3" type="noConversion"/>
  </si>
  <si>
    <t>Table_NO</t>
    <phoneticPr fontId="3" type="noConversion"/>
  </si>
  <si>
    <t>Table 한글명</t>
    <phoneticPr fontId="3" type="noConversion"/>
  </si>
  <si>
    <t>Table 영문명</t>
    <phoneticPr fontId="3" type="noConversion"/>
  </si>
  <si>
    <t>주택수_3km</t>
    <phoneticPr fontId="3" type="noConversion"/>
  </si>
  <si>
    <t>HOUSE_CNT_THREE_KM</t>
  </si>
  <si>
    <t>LEGALDONG_NM</t>
  </si>
  <si>
    <t>TFCVN_NRBHW_ECNT_FVHD_METER</t>
  </si>
  <si>
    <t>TFCVN_HIWY_SHRTDST</t>
  </si>
  <si>
    <t>TFCVN_HWIC_SHRTDST</t>
  </si>
  <si>
    <t>TFCVN_STATN_SHRTDST</t>
  </si>
  <si>
    <t>SIDO_NM</t>
  </si>
  <si>
    <t>SIGNGU_NM</t>
  </si>
  <si>
    <t>STD_YN</t>
  </si>
  <si>
    <t>TFCVN_NRBMARD_ECNT_FVHD_METER</t>
  </si>
  <si>
    <t>TFCVN_MARD_SHRTDST</t>
  </si>
  <si>
    <t>TFCVN_NRBSMRD_ECNT_FVHD_METER</t>
  </si>
  <si>
    <t>TFCVN_SMRD_SHRTDST</t>
  </si>
  <si>
    <t>TFCVN_NRBSRT_ECNT_FVHD_METER</t>
  </si>
  <si>
    <t>TFCVN_STRT_SHRTDST</t>
  </si>
  <si>
    <t>TFCVN_BSTP_SHRTDST</t>
  </si>
  <si>
    <t>TFCVN_BSTP_CNT_FVHD_METER</t>
  </si>
  <si>
    <t>TFCVN_BSTP_CNT_THREE_KM</t>
  </si>
  <si>
    <t>TFCVN_NRBSTATN</t>
  </si>
  <si>
    <t>TFCVN_NRBHWIC</t>
  </si>
  <si>
    <t>생활편의시설_초등학교_수_500m</t>
    <phoneticPr fontId="3" type="noConversion"/>
  </si>
  <si>
    <t>생활편의시설_중학교_수_500m</t>
    <phoneticPr fontId="3" type="noConversion"/>
  </si>
  <si>
    <t>생활편의시설_고등학교_수_500m</t>
    <phoneticPr fontId="3" type="noConversion"/>
  </si>
  <si>
    <t>생활편의시설_학원_수_500m</t>
    <phoneticPr fontId="3" type="noConversion"/>
  </si>
  <si>
    <t>생활편의시설_병의원_수_500m</t>
    <phoneticPr fontId="3" type="noConversion"/>
  </si>
  <si>
    <t>생활편의시설_은행_수_500m</t>
    <phoneticPr fontId="3" type="noConversion"/>
  </si>
  <si>
    <t>생활편의시설_마트백화점_수_500m</t>
    <phoneticPr fontId="3" type="noConversion"/>
  </si>
  <si>
    <t>생활편의시설_치안시설_수_500m</t>
    <phoneticPr fontId="3" type="noConversion"/>
  </si>
  <si>
    <t>생활편의시설_편의점_수_500m</t>
    <phoneticPr fontId="3" type="noConversion"/>
  </si>
  <si>
    <t>BSNS_CNT_WHRTBS_THREE_KM</t>
    <phoneticPr fontId="3" type="noConversion"/>
  </si>
  <si>
    <t>사업체수_도소매업_3km</t>
    <phoneticPr fontId="3" type="noConversion"/>
  </si>
  <si>
    <t>종사자수_도소매업_3km</t>
    <phoneticPr fontId="3" type="noConversion"/>
  </si>
  <si>
    <t>LAND_CHARTR_INFO</t>
    <phoneticPr fontId="3" type="noConversion"/>
  </si>
  <si>
    <t>지번별토지특성정보</t>
    <phoneticPr fontId="3" type="noConversion"/>
  </si>
  <si>
    <t>a</t>
    <phoneticPr fontId="3" type="noConversion"/>
  </si>
  <si>
    <t>4311110100100020001</t>
    <phoneticPr fontId="3" type="noConversion"/>
  </si>
  <si>
    <t>충북</t>
  </si>
  <si>
    <t>청주시 상당구</t>
  </si>
  <si>
    <t>상당구영동</t>
  </si>
  <si>
    <t>N</t>
  </si>
  <si>
    <t>b</t>
    <phoneticPr fontId="3" type="noConversion"/>
  </si>
  <si>
    <t>TOTPUL_CNT_ONE_KM</t>
  </si>
  <si>
    <t>TOTPUL_CNT_FIVE_KM</t>
  </si>
  <si>
    <t>SNCTPUL_CNT_ONE_KM</t>
  </si>
  <si>
    <t>SNCTPUL_CNT_THREE_KM</t>
  </si>
  <si>
    <t>SNCTPUL_CNT_FIVE_KM</t>
  </si>
  <si>
    <t>YUPUL_CNT_ONE_KM</t>
  </si>
  <si>
    <t>YUPUL_CNT_THREE_KM</t>
  </si>
  <si>
    <t>YUPUL_CNT_FIVE_KM</t>
  </si>
  <si>
    <t>AGDX_ONE_KM</t>
  </si>
  <si>
    <t>AGDX_THREE_KM</t>
  </si>
  <si>
    <t>AGDX_FIVE_KM</t>
  </si>
  <si>
    <t>WKAGEPUL_CNT_ONE_KM</t>
  </si>
  <si>
    <t>WKAGEPUL_CNT_FIVE_KM</t>
  </si>
  <si>
    <t>c</t>
    <phoneticPr fontId="3" type="noConversion"/>
  </si>
  <si>
    <t>TOTHOHLD_CNT_ONE_KM</t>
  </si>
  <si>
    <t>TOTHOHLD_CNT_FIVE_KM</t>
  </si>
  <si>
    <t>TOTBS_CNT_ONE_KM</t>
  </si>
  <si>
    <t>TOTBS_CNT_FIVE_KM</t>
  </si>
  <si>
    <t>TOTENFSN_CNT_ONE_KM</t>
  </si>
  <si>
    <t>TOTENFSN_CNT_FIVE_KM</t>
  </si>
  <si>
    <t>BSNS_CNT_WHRTBS_FIVE_KM</t>
  </si>
  <si>
    <t>BSNS_CNT_RSTLDBS_FIVE_KM</t>
  </si>
  <si>
    <t>ENFSN_CNT_WHRTBS_FIVE_KM</t>
  </si>
  <si>
    <t>ENFSN_CNT_RSTLDBS_FIVE_KM</t>
  </si>
  <si>
    <t>TOTHSNO_FVHD_METER</t>
  </si>
  <si>
    <t>TOTHSNO_ONE_KM</t>
  </si>
  <si>
    <t>TOTHSNO_THREE_KM</t>
  </si>
  <si>
    <t>TOTHSNO_FIVE_KM</t>
  </si>
  <si>
    <t>d</t>
    <phoneticPr fontId="3" type="noConversion"/>
  </si>
  <si>
    <t>BULD_CNT_ONE_KM</t>
  </si>
  <si>
    <t>BULD_CNT_THREE_KM</t>
  </si>
  <si>
    <t>BULD_CNT_FIVE_KM</t>
  </si>
  <si>
    <t>HOUSE_CNT_ONE_KM</t>
  </si>
  <si>
    <t>HOUSE_CNT_FIVE_KM</t>
  </si>
  <si>
    <t>OLDBLD_CNT_ONE_KM</t>
  </si>
  <si>
    <t>OLDBLD_CNT_THREE_KM</t>
  </si>
  <si>
    <t>OLDBLD_CNT_FIVE_KM</t>
  </si>
  <si>
    <t>OLDHS_CNT_ONE_KM</t>
  </si>
  <si>
    <t>OLDHS_CNT_THREE_KM</t>
  </si>
  <si>
    <t>OLDHS_CNT_FIVE_KM</t>
  </si>
  <si>
    <t>BULD_GRFA_ONE_KM</t>
  </si>
  <si>
    <t>BULD_GRFA_THREE_KM</t>
  </si>
  <si>
    <t>BULD_GRFA_FIVE_KM</t>
  </si>
  <si>
    <t>LDUSE_BULD_CMPDGR_ONE_KM</t>
  </si>
  <si>
    <t>LDUSE_BULD_CMPDGR_THREE_KM</t>
  </si>
  <si>
    <t>LDUSE_BULD_CMPDGR_FIVE_KM</t>
  </si>
  <si>
    <t>LDUSE_BULD_CMPLXDGR_ONE_KM</t>
  </si>
  <si>
    <t>LDUSE_BULD_CMPLXDGR_THREE_KM</t>
  </si>
  <si>
    <t>LDUSE_BULD_CMPLXDGR_FIVE_KM</t>
  </si>
  <si>
    <t>e</t>
    <phoneticPr fontId="3" type="noConversion"/>
  </si>
  <si>
    <t>.</t>
  </si>
  <si>
    <t>f</t>
    <phoneticPr fontId="3" type="noConversion"/>
  </si>
  <si>
    <t>TFCVN_BSTP_CNT_ONE_KM</t>
  </si>
  <si>
    <t>TFCVN_BSTP_CNT_FIVE_KM</t>
  </si>
  <si>
    <t>g</t>
    <phoneticPr fontId="3" type="noConversion"/>
  </si>
  <si>
    <t>오근장역</t>
  </si>
  <si>
    <t>h</t>
    <phoneticPr fontId="3" type="noConversion"/>
  </si>
  <si>
    <t>서청주나들목</t>
  </si>
  <si>
    <t>i</t>
    <phoneticPr fontId="3" type="noConversion"/>
  </si>
  <si>
    <t>LVCNS_ELESCH_SHRTDST</t>
  </si>
  <si>
    <t>LVCNS_ELESCH_CNT_ONE_KM</t>
  </si>
  <si>
    <t>LVCNS_ELESCH_CNT_THREE_KM</t>
  </si>
  <si>
    <t>LVCNS_ELESCH_CNT_FIVE_KM</t>
  </si>
  <si>
    <t>LVCNS_MSKUL_SHRTDST</t>
  </si>
  <si>
    <t>LVCNS_MSKUL_CNT_ONE_KM</t>
  </si>
  <si>
    <t>LVCNS_MSKUL_CNT_THREE_KM</t>
  </si>
  <si>
    <t>LVCNS_MSKUL_CNT_FIVE_KM</t>
  </si>
  <si>
    <t>LVCNS_HGSCHL_SHRTDST</t>
  </si>
  <si>
    <t>LVCNS_HGSCHL_CNT_ONE_KM</t>
  </si>
  <si>
    <t>LVCNS_HGSCHL_CNT_THREE_KM</t>
  </si>
  <si>
    <t>LVCNS_HGSCHL_CNT_FIVE_KM</t>
  </si>
  <si>
    <t>LVCNS_INSTUT_SHRTDST</t>
  </si>
  <si>
    <t>LVCNS_INSTUT_CNT_ONE_KM</t>
  </si>
  <si>
    <t>LVCNS_INSTUT_CNT_THREE_KM</t>
  </si>
  <si>
    <t>LVCNS_INSTUT_CNT_FIVE_KM</t>
  </si>
  <si>
    <t>LVCNS_CLNCHSPTL_SHRTDST</t>
  </si>
  <si>
    <t>LVCNS_CLNCHSPTL_CNT_ONE_KM</t>
  </si>
  <si>
    <t>LVCNS_CLNCHSPTL_CNT_THREE_KM</t>
  </si>
  <si>
    <t>LVCNS_CLNCHSPTL_CNT_FIVE_KM</t>
  </si>
  <si>
    <t>LVCNS_BANK_SHRTDST</t>
  </si>
  <si>
    <t>LVCNS_BANK_CNT_ONE_KM</t>
  </si>
  <si>
    <t>LVCNS_BANK_CNT_THREE_KM</t>
  </si>
  <si>
    <t>LVCNS_BANK_CNT_FIVE_KM</t>
  </si>
  <si>
    <t>LVCNS_MARTDMST_SHRTDST</t>
  </si>
  <si>
    <t>LVCNS_MARTDMST_CNT_ONE_KM</t>
  </si>
  <si>
    <t>LVCNS_MARTDMST_CNT_THREE_KM</t>
  </si>
  <si>
    <t>LVCNS_MARTDMST_CNT_FIVE_KM</t>
  </si>
  <si>
    <t>LVCNS_PBPACFCT_SHRTDST</t>
  </si>
  <si>
    <t>LVCNS_PBPACFCT_CNT_ONE_KM</t>
  </si>
  <si>
    <t>LVCNS_PBPACFCT_CNT_THREE_KM</t>
  </si>
  <si>
    <t>LVCNS_PBPACFCT_CNT_FIVE_KM</t>
  </si>
  <si>
    <t>LVCNS_CVST_SHRTDST</t>
  </si>
  <si>
    <t>LVCNS_CVST_CNT_ONE_KM</t>
  </si>
  <si>
    <t>LVCNS_CVST_CNT_THREE_KM</t>
  </si>
  <si>
    <t>LVCNS_CVST_CNT_FIVE_KM</t>
  </si>
  <si>
    <t>HMFNFCT_PWPLNT_SHRTDST</t>
  </si>
  <si>
    <t>HMFNFCT_CMTYFCT_SHRTDST</t>
  </si>
  <si>
    <t>HMFNFCT_ESRNFCT_SHRTDST</t>
  </si>
  <si>
    <t>HMFNFCT_WSTFCT_SHRTDST</t>
  </si>
  <si>
    <t>총인구수_1km</t>
    <phoneticPr fontId="3" type="noConversion"/>
  </si>
  <si>
    <t>총인구수_3km</t>
    <phoneticPr fontId="3" type="noConversion"/>
  </si>
  <si>
    <t>총인구수_5km</t>
    <phoneticPr fontId="3" type="noConversion"/>
  </si>
  <si>
    <t>노인인구수_1km</t>
    <phoneticPr fontId="3" type="noConversion"/>
  </si>
  <si>
    <t>노인인구수_3km</t>
    <phoneticPr fontId="3" type="noConversion"/>
  </si>
  <si>
    <t>노인인구수_5km</t>
    <phoneticPr fontId="3" type="noConversion"/>
  </si>
  <si>
    <t>유소년인구수_1km</t>
    <phoneticPr fontId="3" type="noConversion"/>
  </si>
  <si>
    <t>유소년인구수_3km</t>
    <phoneticPr fontId="3" type="noConversion"/>
  </si>
  <si>
    <t>유소년인구수_5km</t>
    <phoneticPr fontId="3" type="noConversion"/>
  </si>
  <si>
    <t>노령화지수_500m</t>
    <phoneticPr fontId="3" type="noConversion"/>
  </si>
  <si>
    <t>노령화지수_1km</t>
    <phoneticPr fontId="3" type="noConversion"/>
  </si>
  <si>
    <t>노령화지수_3km</t>
    <phoneticPr fontId="3" type="noConversion"/>
  </si>
  <si>
    <t>노령화지수_5km</t>
    <phoneticPr fontId="3" type="noConversion"/>
  </si>
  <si>
    <t>생산가능인구수_1km</t>
    <phoneticPr fontId="3" type="noConversion"/>
  </si>
  <si>
    <t>생산가능인구수_3km</t>
    <phoneticPr fontId="3" type="noConversion"/>
  </si>
  <si>
    <t>생산가능인구수_5km</t>
    <phoneticPr fontId="3" type="noConversion"/>
  </si>
  <si>
    <t>총가구수_1km</t>
    <phoneticPr fontId="3" type="noConversion"/>
  </si>
  <si>
    <t>총가구수_3km</t>
    <phoneticPr fontId="3" type="noConversion"/>
  </si>
  <si>
    <t>총가구수_5km</t>
    <phoneticPr fontId="3" type="noConversion"/>
  </si>
  <si>
    <t>총사업체수_1km</t>
    <phoneticPr fontId="3" type="noConversion"/>
  </si>
  <si>
    <t>총사업체수_5km</t>
    <phoneticPr fontId="3" type="noConversion"/>
  </si>
  <si>
    <t>총종사자수_1km</t>
    <phoneticPr fontId="3" type="noConversion"/>
  </si>
  <si>
    <t>총종사자수_3km</t>
    <phoneticPr fontId="3" type="noConversion"/>
  </si>
  <si>
    <t>총종사자수_5km</t>
    <phoneticPr fontId="3" type="noConversion"/>
  </si>
  <si>
    <t>사업체수_도소매업_5km</t>
    <phoneticPr fontId="3" type="noConversion"/>
  </si>
  <si>
    <t>사업체수_음식숙박업_5km</t>
    <phoneticPr fontId="3" type="noConversion"/>
  </si>
  <si>
    <t>종사자수_도소매업_5km</t>
    <phoneticPr fontId="3" type="noConversion"/>
  </si>
  <si>
    <t>종사자수_음식숙박업_5km</t>
    <phoneticPr fontId="3" type="noConversion"/>
  </si>
  <si>
    <t>건물수_1km</t>
    <phoneticPr fontId="3" type="noConversion"/>
  </si>
  <si>
    <t>건물수_3km</t>
    <phoneticPr fontId="3" type="noConversion"/>
  </si>
  <si>
    <t>건물수_5km</t>
    <phoneticPr fontId="3" type="noConversion"/>
  </si>
  <si>
    <t>주택수_1km</t>
    <phoneticPr fontId="3" type="noConversion"/>
  </si>
  <si>
    <t>주택수_5km</t>
    <phoneticPr fontId="3" type="noConversion"/>
  </si>
  <si>
    <t>노후건물수_1km</t>
    <phoneticPr fontId="3" type="noConversion"/>
  </si>
  <si>
    <t>노후건물수_3km</t>
    <phoneticPr fontId="3" type="noConversion"/>
  </si>
  <si>
    <t>노후건물수_5km</t>
    <phoneticPr fontId="3" type="noConversion"/>
  </si>
  <si>
    <t>노후주택수_1km</t>
    <phoneticPr fontId="3" type="noConversion"/>
  </si>
  <si>
    <t>노후주택수_3km</t>
    <phoneticPr fontId="3" type="noConversion"/>
  </si>
  <si>
    <t>노후주택수_5km</t>
    <phoneticPr fontId="3" type="noConversion"/>
  </si>
  <si>
    <t>건물연면적_1km</t>
    <phoneticPr fontId="3" type="noConversion"/>
  </si>
  <si>
    <t>건물연면적_3km</t>
    <phoneticPr fontId="3" type="noConversion"/>
  </si>
  <si>
    <t>건물연면적_5km</t>
    <phoneticPr fontId="3" type="noConversion"/>
  </si>
  <si>
    <t>토지이용_건물_압축도_1km</t>
    <phoneticPr fontId="3" type="noConversion"/>
  </si>
  <si>
    <t>토지이용_건물_압축도_3km</t>
    <phoneticPr fontId="3" type="noConversion"/>
  </si>
  <si>
    <t>토지이용_건물_압축도_5km</t>
    <phoneticPr fontId="3" type="noConversion"/>
  </si>
  <si>
    <t>토지이용_건물_복합도_1km</t>
    <phoneticPr fontId="3" type="noConversion"/>
  </si>
  <si>
    <t>토지이용_건물_복합도_3km</t>
    <phoneticPr fontId="3" type="noConversion"/>
  </si>
  <si>
    <t>토지이용_건물_복합도_5km</t>
    <phoneticPr fontId="3" type="noConversion"/>
  </si>
  <si>
    <t>교통편의성_정류장수_1km</t>
    <phoneticPr fontId="3" type="noConversion"/>
  </si>
  <si>
    <t>교통편의성_정류장수_3km</t>
    <phoneticPr fontId="3" type="noConversion"/>
  </si>
  <si>
    <t>교통편의성_정류장수_5km</t>
    <phoneticPr fontId="3" type="noConversion"/>
  </si>
  <si>
    <t>생활편의시설_초등학교_수_1km</t>
    <phoneticPr fontId="3" type="noConversion"/>
  </si>
  <si>
    <t>생활편의시설_초등학교_수_3km</t>
    <phoneticPr fontId="3" type="noConversion"/>
  </si>
  <si>
    <t>생활편의시설_초등학교_수_5km</t>
    <phoneticPr fontId="3" type="noConversion"/>
  </si>
  <si>
    <t>생활편의시설_중학교_수_1km</t>
    <phoneticPr fontId="3" type="noConversion"/>
  </si>
  <si>
    <t>생활편의시설_중학교_수_3km</t>
    <phoneticPr fontId="3" type="noConversion"/>
  </si>
  <si>
    <t>생활편의시설_중학교_수_5km</t>
    <phoneticPr fontId="3" type="noConversion"/>
  </si>
  <si>
    <t>생활편의시설_고등학교_수_1km</t>
    <phoneticPr fontId="3" type="noConversion"/>
  </si>
  <si>
    <t>생활편의시설_고등학교_수_3km</t>
    <phoneticPr fontId="3" type="noConversion"/>
  </si>
  <si>
    <t>생활편의시설_고등학교_수_5km</t>
    <phoneticPr fontId="3" type="noConversion"/>
  </si>
  <si>
    <t>생활편의시설_학원_수_1km</t>
    <phoneticPr fontId="3" type="noConversion"/>
  </si>
  <si>
    <t>생활편의시설_학원_수_3km</t>
    <phoneticPr fontId="3" type="noConversion"/>
  </si>
  <si>
    <t>생활편의시설_학원_수_5km</t>
    <phoneticPr fontId="3" type="noConversion"/>
  </si>
  <si>
    <t>생활편의시설_병의원_수_1km</t>
    <phoneticPr fontId="3" type="noConversion"/>
  </si>
  <si>
    <t>생활편의시설_병의원_수_3km</t>
    <phoneticPr fontId="3" type="noConversion"/>
  </si>
  <si>
    <t>생활편의시설_병의원_수_5km</t>
    <phoneticPr fontId="3" type="noConversion"/>
  </si>
  <si>
    <t>생활편의시설_은행_수_1km</t>
    <phoneticPr fontId="3" type="noConversion"/>
  </si>
  <si>
    <t>생활편의시설_은행_수_3km</t>
    <phoneticPr fontId="3" type="noConversion"/>
  </si>
  <si>
    <t>생활편의시설_은행_수_5km</t>
    <phoneticPr fontId="3" type="noConversion"/>
  </si>
  <si>
    <t>생활편의시설_마트백화점_수_1km</t>
    <phoneticPr fontId="3" type="noConversion"/>
  </si>
  <si>
    <t>생활편의시설_마트백화점_수_3km</t>
    <phoneticPr fontId="3" type="noConversion"/>
  </si>
  <si>
    <t>생활편의시설_마트백화점_수_5km</t>
    <phoneticPr fontId="3" type="noConversion"/>
  </si>
  <si>
    <t>생활편의시설_치안시설_수_1km</t>
    <phoneticPr fontId="3" type="noConversion"/>
  </si>
  <si>
    <t>생활편의시설_치안시설_수_3km</t>
    <phoneticPr fontId="3" type="noConversion"/>
  </si>
  <si>
    <t>생활편의시설_치안시설_수_5km</t>
    <phoneticPr fontId="3" type="noConversion"/>
  </si>
  <si>
    <t>생활편의시설_편의점_수_1km</t>
    <phoneticPr fontId="3" type="noConversion"/>
  </si>
  <si>
    <t>생활편의시설_편의점_수_3km</t>
    <phoneticPr fontId="3" type="noConversion"/>
  </si>
  <si>
    <t>생활편의시설_편의점_수_5km</t>
    <phoneticPr fontId="3" type="noConversion"/>
  </si>
  <si>
    <t>값예시</t>
    <phoneticPr fontId="6" type="noConversion"/>
  </si>
  <si>
    <t>청주</t>
    <phoneticPr fontId="3" type="noConversion"/>
  </si>
  <si>
    <t>※ 제공파일 참고사항</t>
    <phoneticPr fontId="3" type="noConversion"/>
  </si>
  <si>
    <t xml:space="preserve">  - 첫라인에 컬럼명(영문명) 있음</t>
    <phoneticPr fontId="3" type="noConversion"/>
  </si>
  <si>
    <t xml:space="preserve">  - 구분자 : '|' (파이프라인)</t>
    <phoneticPr fontId="3" type="noConversion"/>
  </si>
  <si>
    <t xml:space="preserve">  - 건수 : 25,363,491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</si>
</sst>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&quot; GB&quot;"/>
    <numFmt numFmtId="178" formatCode="#,##0.00&quot; GB&quot;"/>
    <numFmt numFmtId="179" formatCode="0_ "/>
    <numFmt numFmtId="180" formatCode="#,##0_ "/>
  </numFmts>
  <fonts count="18">
    <font>
      <sz val="11"/>
      <color theme="1"/>
      <name val="맑은 고딕"/>
      <family val="2"/>
      <charset val="129"/>
      <scheme val="minor"/>
    </font>
    <font>
      <u/>
      <sz val="9"/>
      <color indexed="12"/>
      <name val="굴림"/>
      <family val="3"/>
      <charset val="129"/>
    </font>
    <font>
      <b/>
      <sz val="9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2"/>
      <color indexed="8"/>
      <name val="굴림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3366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9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2" fillId="2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>
      <alignment vertical="center"/>
    </xf>
    <xf numFmtId="0" fontId="5" fillId="0" borderId="1" xfId="2" quotePrefix="1" applyFont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5" fillId="4" borderId="1" xfId="7" applyFont="1" applyFill="1" applyBorder="1">
      <alignment vertical="center"/>
    </xf>
    <xf numFmtId="0" fontId="12" fillId="5" borderId="1" xfId="4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4" xfId="2" applyFont="1" applyFill="1" applyBorder="1">
      <alignment vertical="center"/>
    </xf>
    <xf numFmtId="0" fontId="5" fillId="3" borderId="4" xfId="2" applyFont="1" applyFill="1" applyBorder="1" applyAlignment="1">
      <alignment horizontal="left" vertical="center"/>
    </xf>
    <xf numFmtId="0" fontId="0" fillId="0" borderId="5" xfId="0" applyBorder="1">
      <alignment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6" xfId="2" applyFont="1" applyFill="1" applyBorder="1">
      <alignment vertical="center"/>
    </xf>
    <xf numFmtId="0" fontId="5" fillId="3" borderId="6" xfId="2" applyFont="1" applyFill="1" applyBorder="1" applyAlignment="1">
      <alignment horizontal="left" vertical="center"/>
    </xf>
    <xf numFmtId="0" fontId="12" fillId="5" borderId="1" xfId="4" applyFont="1" applyFill="1" applyBorder="1" applyAlignment="1">
      <alignment horizontal="center" vertical="center" wrapText="1"/>
    </xf>
    <xf numFmtId="0" fontId="5" fillId="3" borderId="4" xfId="7" applyFont="1" applyFill="1" applyBorder="1">
      <alignment vertical="center"/>
    </xf>
    <xf numFmtId="0" fontId="5" fillId="3" borderId="4" xfId="7" applyFont="1" applyFill="1" applyBorder="1" applyAlignment="1">
      <alignment horizontal="center" vertical="center"/>
    </xf>
    <xf numFmtId="0" fontId="5" fillId="3" borderId="4" xfId="7" applyFont="1" applyFill="1" applyBorder="1" applyAlignment="1">
      <alignment horizontal="left" vertical="center"/>
    </xf>
    <xf numFmtId="0" fontId="5" fillId="3" borderId="6" xfId="7" applyFont="1" applyFill="1" applyBorder="1">
      <alignment vertical="center"/>
    </xf>
    <xf numFmtId="0" fontId="5" fillId="3" borderId="6" xfId="7" applyFont="1" applyFill="1" applyBorder="1" applyAlignment="1">
      <alignment horizontal="center" vertical="center"/>
    </xf>
    <xf numFmtId="0" fontId="5" fillId="3" borderId="6" xfId="7" applyFont="1" applyFill="1" applyBorder="1" applyAlignment="1">
      <alignment horizontal="left" vertical="center"/>
    </xf>
    <xf numFmtId="176" fontId="5" fillId="4" borderId="1" xfId="7" applyNumberFormat="1" applyFont="1" applyFill="1" applyBorder="1">
      <alignment vertical="center"/>
    </xf>
    <xf numFmtId="0" fontId="10" fillId="0" borderId="1" xfId="4" applyFont="1" applyBorder="1" applyAlignment="1">
      <alignment horizontal="left" vertical="center"/>
    </xf>
    <xf numFmtId="0" fontId="10" fillId="4" borderId="1" xfId="4" applyFont="1" applyFill="1" applyBorder="1" applyAlignment="1">
      <alignment horizontal="left" vertical="center"/>
    </xf>
    <xf numFmtId="0" fontId="0" fillId="0" borderId="6" xfId="0" applyBorder="1">
      <alignment vertical="center"/>
    </xf>
    <xf numFmtId="176" fontId="5" fillId="3" borderId="4" xfId="7" applyNumberFormat="1" applyFont="1" applyFill="1" applyBorder="1">
      <alignment vertical="center"/>
    </xf>
    <xf numFmtId="49" fontId="5" fillId="3" borderId="6" xfId="7" applyNumberFormat="1" applyFont="1" applyFill="1" applyBorder="1" applyAlignment="1">
      <alignment horizontal="left" vertical="center"/>
    </xf>
    <xf numFmtId="49" fontId="12" fillId="5" borderId="1" xfId="4" applyNumberFormat="1" applyFont="1" applyFill="1" applyBorder="1" applyAlignment="1">
      <alignment horizontal="center" vertical="center"/>
    </xf>
    <xf numFmtId="49" fontId="5" fillId="4" borderId="1" xfId="7" applyNumberFormat="1" applyFont="1" applyFill="1" applyBorder="1" applyAlignment="1">
      <alignment horizontal="center" vertical="center"/>
    </xf>
    <xf numFmtId="49" fontId="5" fillId="3" borderId="4" xfId="7" applyNumberFormat="1" applyFont="1" applyFill="1" applyBorder="1" applyAlignment="1">
      <alignment horizontal="left" vertical="center"/>
    </xf>
    <xf numFmtId="176" fontId="5" fillId="4" borderId="1" xfId="7" applyNumberFormat="1" applyFont="1" applyFill="1" applyBorder="1" applyAlignment="1">
      <alignment horizontal="center" vertical="center" wrapText="1"/>
    </xf>
    <xf numFmtId="178" fontId="5" fillId="4" borderId="1" xfId="7" applyNumberFormat="1" applyFont="1" applyFill="1" applyBorder="1">
      <alignment vertical="center"/>
    </xf>
    <xf numFmtId="0" fontId="5" fillId="4" borderId="1" xfId="7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4" borderId="1" xfId="4" applyFont="1" applyFill="1" applyBorder="1" applyAlignment="1">
      <alignment horizontal="center" vertical="center"/>
    </xf>
    <xf numFmtId="177" fontId="13" fillId="0" borderId="4" xfId="0" applyNumberFormat="1" applyFont="1" applyBorder="1">
      <alignment vertical="center"/>
    </xf>
    <xf numFmtId="0" fontId="11" fillId="3" borderId="10" xfId="7" applyFont="1" applyFill="1" applyBorder="1">
      <alignment vertical="center"/>
    </xf>
    <xf numFmtId="0" fontId="5" fillId="3" borderId="10" xfId="7" applyFont="1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14" fillId="3" borderId="1" xfId="8" applyNumberFormat="1" applyFill="1" applyBorder="1" applyAlignment="1" applyProtection="1">
      <alignment horizontal="center"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5" fillId="0" borderId="1" xfId="0" applyFont="1" applyBorder="1" applyAlignment="1">
      <alignment horizontal="center" vertical="top" wrapText="1"/>
    </xf>
    <xf numFmtId="180" fontId="15" fillId="0" borderId="1" xfId="0" applyNumberFormat="1" applyFont="1" applyBorder="1" applyAlignment="1">
      <alignment horizontal="center" vertical="top" wrapText="1"/>
    </xf>
    <xf numFmtId="180" fontId="0" fillId="0" borderId="1" xfId="0" applyNumberFormat="1" applyBorder="1" applyAlignment="1">
      <alignment vertical="top" wrapText="1"/>
    </xf>
    <xf numFmtId="49" fontId="16" fillId="0" borderId="0" xfId="0" applyNumberFormat="1" applyFont="1">
      <alignment vertical="center"/>
    </xf>
    <xf numFmtId="179" fontId="16" fillId="0" borderId="0" xfId="0" applyNumberFormat="1" applyFont="1">
      <alignment vertical="center"/>
    </xf>
    <xf numFmtId="0" fontId="16" fillId="0" borderId="4" xfId="0" applyFont="1" applyBorder="1">
      <alignment vertical="center"/>
    </xf>
    <xf numFmtId="49" fontId="5" fillId="3" borderId="6" xfId="7" applyNumberFormat="1" applyFont="1" applyFill="1" applyBorder="1" applyAlignment="1">
      <alignment horizontal="center" vertical="center"/>
    </xf>
    <xf numFmtId="49" fontId="5" fillId="3" borderId="4" xfId="7" applyNumberFormat="1" applyFont="1" applyFill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176" fontId="5" fillId="0" borderId="1" xfId="7" applyNumberFormat="1" applyFont="1" applyBorder="1">
      <alignment vertical="center"/>
    </xf>
    <xf numFmtId="0" fontId="0" fillId="0" borderId="1" xfId="0" applyBorder="1" applyAlignment="1">
      <alignment vertical="top" wrapText="1"/>
    </xf>
    <xf numFmtId="49" fontId="0" fillId="0" borderId="0" xfId="0" applyNumberFormat="1" applyAlignment="1">
      <alignment horizontal="right" vertical="center"/>
    </xf>
    <xf numFmtId="0" fontId="17" fillId="0" borderId="1" xfId="2" applyFont="1" applyBorder="1" applyAlignment="1">
      <alignment vertical="center" wrapText="1"/>
    </xf>
    <xf numFmtId="0" fontId="17" fillId="0" borderId="1" xfId="2" applyFont="1" applyBorder="1">
      <alignment vertical="center"/>
    </xf>
    <xf numFmtId="0" fontId="17" fillId="0" borderId="1" xfId="2" applyFont="1" applyBorder="1" applyAlignment="1">
      <alignment horizontal="center" vertical="center"/>
    </xf>
    <xf numFmtId="0" fontId="17" fillId="0" borderId="1" xfId="2" quotePrefix="1" applyFont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/>
    </xf>
    <xf numFmtId="0" fontId="17" fillId="4" borderId="1" xfId="5" applyFont="1" applyFill="1" applyBorder="1">
      <alignment vertical="center"/>
    </xf>
    <xf numFmtId="0" fontId="17" fillId="4" borderId="1" xfId="6" applyFont="1" applyFill="1" applyBorder="1">
      <alignment vertical="center"/>
    </xf>
    <xf numFmtId="49" fontId="12" fillId="5" borderId="1" xfId="4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right" vertical="center"/>
    </xf>
    <xf numFmtId="0" fontId="16" fillId="0" borderId="5" xfId="0" applyFont="1" applyBorder="1">
      <alignment vertical="center"/>
    </xf>
    <xf numFmtId="49" fontId="0" fillId="0" borderId="6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49" fontId="16" fillId="0" borderId="1" xfId="0" applyNumberFormat="1" applyFont="1" applyBorder="1" applyAlignment="1">
      <alignment horizontal="right" vertical="center"/>
    </xf>
    <xf numFmtId="0" fontId="10" fillId="0" borderId="1" xfId="4" applyFont="1" applyBorder="1" applyAlignment="1">
      <alignment vertical="center"/>
    </xf>
    <xf numFmtId="0" fontId="12" fillId="5" borderId="1" xfId="4" applyFont="1" applyFill="1" applyBorder="1" applyAlignment="1">
      <alignment horizontal="center" vertical="center"/>
    </xf>
    <xf numFmtId="177" fontId="13" fillId="0" borderId="7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177" fontId="13" fillId="0" borderId="7" xfId="0" quotePrefix="1" applyNumberFormat="1" applyFont="1" applyBorder="1" applyAlignment="1">
      <alignment horizontal="center" vertical="center"/>
    </xf>
    <xf numFmtId="49" fontId="5" fillId="4" borderId="7" xfId="7" applyNumberFormat="1" applyFont="1" applyFill="1" applyBorder="1" applyAlignment="1">
      <alignment horizontal="center" vertical="center" wrapText="1"/>
    </xf>
    <xf numFmtId="49" fontId="5" fillId="4" borderId="9" xfId="7" applyNumberFormat="1" applyFont="1" applyFill="1" applyBorder="1" applyAlignment="1">
      <alignment horizontal="center" vertical="center" wrapText="1"/>
    </xf>
    <xf numFmtId="49" fontId="5" fillId="4" borderId="8" xfId="7" applyNumberFormat="1" applyFont="1" applyFill="1" applyBorder="1" applyAlignment="1">
      <alignment horizontal="center" vertical="center" wrapText="1"/>
    </xf>
    <xf numFmtId="176" fontId="5" fillId="4" borderId="7" xfId="7" applyNumberFormat="1" applyFont="1" applyFill="1" applyBorder="1" applyAlignment="1">
      <alignment horizontal="center" vertical="center" wrapText="1"/>
    </xf>
    <xf numFmtId="176" fontId="5" fillId="4" borderId="9" xfId="7" applyNumberFormat="1" applyFont="1" applyFill="1" applyBorder="1" applyAlignment="1">
      <alignment horizontal="center" vertical="center" wrapText="1"/>
    </xf>
    <xf numFmtId="176" fontId="5" fillId="4" borderId="8" xfId="7" applyNumberFormat="1" applyFont="1" applyFill="1" applyBorder="1" applyAlignment="1">
      <alignment horizontal="center" vertical="center" wrapText="1"/>
    </xf>
    <xf numFmtId="49" fontId="5" fillId="4" borderId="1" xfId="7" applyNumberFormat="1" applyFont="1" applyFill="1" applyBorder="1" applyAlignment="1">
      <alignment horizontal="center" vertical="center" wrapText="1"/>
    </xf>
    <xf numFmtId="177" fontId="5" fillId="4" borderId="7" xfId="7" applyNumberFormat="1" applyFont="1" applyFill="1" applyBorder="1" applyAlignment="1">
      <alignment horizontal="center" vertical="center"/>
    </xf>
    <xf numFmtId="177" fontId="5" fillId="4" borderId="9" xfId="7" applyNumberFormat="1" applyFont="1" applyFill="1" applyBorder="1" applyAlignment="1">
      <alignment horizontal="center" vertical="center"/>
    </xf>
    <xf numFmtId="177" fontId="5" fillId="4" borderId="8" xfId="7" applyNumberFormat="1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176" fontId="5" fillId="4" borderId="8" xfId="7" applyNumberFormat="1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left" vertical="center" wrapText="1"/>
    </xf>
    <xf numFmtId="0" fontId="17" fillId="4" borderId="3" xfId="2" applyFont="1" applyFill="1" applyBorder="1" applyAlignment="1">
      <alignment horizontal="left" vertical="center"/>
    </xf>
    <xf numFmtId="0" fontId="17" fillId="4" borderId="3" xfId="2" applyFont="1" applyFill="1" applyBorder="1" applyAlignment="1">
      <alignment horizontal="left" vertical="center" wrapText="1"/>
    </xf>
    <xf numFmtId="0" fontId="2" fillId="5" borderId="1" xfId="1" applyFont="1" applyFill="1" applyBorder="1" applyAlignment="1" applyProtection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12" fillId="5" borderId="2" xfId="4" applyFont="1" applyFill="1" applyBorder="1" applyAlignment="1">
      <alignment horizontal="center" vertical="center"/>
    </xf>
    <xf numFmtId="0" fontId="12" fillId="5" borderId="3" xfId="4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left" vertical="center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17" fillId="0" borderId="2" xfId="2" applyFont="1" applyBorder="1" applyAlignment="1">
      <alignment horizontal="left" vertical="center" wrapText="1"/>
    </xf>
    <xf numFmtId="0" fontId="17" fillId="0" borderId="3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/>
    </xf>
  </cellXfs>
  <cellStyles count="9">
    <cellStyle name="표준" xfId="0" builtinId="0"/>
    <cellStyle name="표준 10" xfId="7" xr:uid="{00000000-0005-0000-0000-000001000000}"/>
    <cellStyle name="표준 2" xfId="5" xr:uid="{00000000-0005-0000-0000-000002000000}"/>
    <cellStyle name="표준_DE_APTDANJI" xfId="6" xr:uid="{00000000-0005-0000-0000-000003000000}"/>
    <cellStyle name="표준_Sheet1" xfId="4" xr:uid="{00000000-0005-0000-0000-000004000000}"/>
    <cellStyle name="표준_테이블 정의서_마케팅" xfId="2" xr:uid="{00000000-0005-0000-0000-000005000000}"/>
    <cellStyle name="하이퍼링크" xfId="8" builtinId="8"/>
    <cellStyle name="하이퍼링크 2" xfId="3" xr:uid="{00000000-0005-0000-0000-000007000000}"/>
    <cellStyle name="하이퍼링크_(DE)테이블레이아웃(카드폼)_외부DB_040315" xfId="1" xr:uid="{00000000-0005-0000-0000-000008000000}"/>
  </cellStyles>
  <dxfs count="0"/>
  <tableStyles count="0" defaultTableStyle="TableStyleMedium2" defaultPivotStyle="PivotStyleLight16"/>
  <colors>
    <mruColors>
      <color rgb="FF33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1" name="Text Box 2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3" name="Text Box 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7" name="Text Box 2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1" name="Text Box 2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5" name="Text Box 2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69" name="Text Box 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3" name="Text Box 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7" name="Text Box 2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3" name="Text Box 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4" name="Text Box 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5" name="Text Box 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7" name="Text Box 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499" name="Text Box 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3" name="Text Box 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7" name="Text Box 2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5" name="Text Box 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19" name="Text Box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5" name="Text Box 2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29" name="Text Box 2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1" name="Text Box 2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3" name="Text Box 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5" name="Text Box 2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7" name="Text Box 2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39" name="Text Box 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1" name="Text Box 2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3" name="Text Box 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5" name="Text Box 2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49" name="Text Box 2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3" name="Text Box 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7" name="Text Box 2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1" name="Text Box 2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5" name="Text Box 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69" name="Text Box 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0" name="Text Box 1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1" name="Text Box 2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3" name="Text Box 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4" name="Text Box 1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5" name="Text Box 2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7" name="Text Box 2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8" name="Text Box 1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79" name="Text Box 2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1" name="Text Box 2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2" name="Text Box 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3" name="Text Box 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5" name="Text Box 2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7" name="Text Box 2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89" name="Text Box 2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1" name="Text Box 2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5" name="Text Box 2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599" name="Text Box 2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3" name="Text Box 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7" name="Text Box 2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1" name="Text Box 2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5" name="Text Box 2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7" name="Text Box 2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19" name="Text Box 2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1" name="Text Box 2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3" name="Text Box 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4" name="Text Box 1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5" name="Text Box 2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7" name="Text Box 2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29" name="Text Box 2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1" name="Text Box 2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2" name="Text Box 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3" name="Text Box 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5" name="Text Box 2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6" name="Text Box 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7" name="Text Box 2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1" name="Text Box 2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5" name="Text Box 2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49" name="Text Box 2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3" name="Text Box 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7" name="Text Box 2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1" name="Text Box 2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3" name="Text Box 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5" name="Text Box 2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7" name="Text Box 2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69" name="Text Box 2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0" name="Text Box 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1" name="Text Box 2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3" name="Text Box 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4" name="Text Box 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5" name="Text Box 2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7" name="Text Box 2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79" name="Text Box 2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1" name="Text Box 2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3" name="Text Box 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7" name="Text Box 2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1" name="Text Box 2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5" name="Text Box 2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699" name="Text Box 2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3" name="Text Box 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7" name="Text Box 2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09" name="Text Box 2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1" name="Text Box 2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3" name="Text Box 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5" name="Text Box 2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7" name="Text Box 2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19" name="Text Box 2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1" name="Text Box 2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3" name="Text Box 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5" name="Text Box 2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7" name="Text Box 2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29" name="Text Box 2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1" name="Text Box 2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3" name="Text Box 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5" name="Text Box 2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7" name="Text Box 2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39" name="Text Box 2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1" name="Text Box 2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3" name="Text Box 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5" name="Text Box 2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49" name="Text Box 2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1" name="Text Box 2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3" name="Text Box 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5" name="Text Box 2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7" name="Text Box 2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59" name="Text Box 2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1" name="Text Box 2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2" name="Text Box 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3" name="Text Box 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5" name="Text Box 2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6" name="Text Box 1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7" name="Text Box 2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69" name="Text Box 2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0" name="Text Box 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1" name="Text Box 2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3" name="Text Box 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4" name="Text Box 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5" name="Text Box 2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7" name="Text Box 2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79" name="Text Box 2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1" name="Text Box 2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3" name="Text Box 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5" name="Text Box 2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7" name="Text Box 2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89" name="Text Box 2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1" name="Text Box 2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3" name="Text Box 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5" name="Text Box 2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7" name="Text Box 2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799" name="Text Box 2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1" name="Text Box 2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3" name="Text Box 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5" name="Text Box 2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7" name="Text Box 2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8" name="Text Box 1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09" name="Text Box 2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1" name="Text Box 2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2" name="Text Box 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3" name="Text Box 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5" name="Text Box 2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6" name="Text Box 1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7" name="Text Box 2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19" name="Text Box 2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0" name="Text Box 1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1" name="Text Box 2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3" name="Text Box 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5" name="Text Box 2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7" name="Text Box 2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29" name="Text Box 2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1" name="Text Box 2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3" name="Text Box 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5" name="Text Box 2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7" name="Text Box 2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39" name="Text Box 2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1" name="Text Box 2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3" name="Text Box 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5" name="Text Box 2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6" name="Text Box 1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7" name="Text Box 2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49" name="Text Box 2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0" name="Text Box 1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1" name="Text Box 2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3" name="Text Box 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5" name="Text Box 2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7" name="Text Box 2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8" name="Text Box 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59" name="Text Box 2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1" name="Text Box 2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2" name="Text Box 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3" name="Text Box 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5" name="Text Box 2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7" name="Text Box 2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69" name="Text Box 2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1" name="Text Box 2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3" name="Text Box 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5" name="Text Box 2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7" name="Text Box 2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79" name="Text Box 2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1" name="Text Box 2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3" name="Text Box 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5" name="Text Box 2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7" name="Text Box 2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89" name="Text Box 2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1" name="Text Box 2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2" name="Text Box 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3" name="Text Box 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5" name="Text Box 2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7" name="Text Box 2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899" name="Text Box 2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1" name="Text Box 2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2" name="Text Box 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3" name="Text Box 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4" name="Text Box 1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5" name="Text Box 2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6" name="Text Box 1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7" name="Text Box 2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8" name="Text Box 1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09" name="Text Box 2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1" name="Text Box 2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2" name="Text Box 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3" name="Text Box 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4" name="Text Box 1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5" name="Text Box 2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6" name="Text Box 1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7" name="Text Box 2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0" name="Text Box 1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1" name="Text Box 2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2" name="Text Box 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5" name="Text Box 2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7" name="Text Box 2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29" name="Text Box 2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0" name="Text Box 1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2" name="Text Box 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3" name="Text Box 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4" name="Text Box 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5" name="Text Box 2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6" name="Text Box 1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7" name="Text Box 2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8" name="Text Box 1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39" name="Text Box 2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0" name="Text Box 1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1" name="Text Box 2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2" name="Text Box 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3" name="Text Box 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4" name="Text Box 1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5" name="Text Box 2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6" name="Text Box 1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7" name="Text Box 2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49" name="Text Box 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0" name="Text Box 1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1" name="Text Box 2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2" name="Text Box 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3" name="Text Box 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4" name="Text Box 1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5" name="Text Box 2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6" name="Text Box 1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7" name="Text Box 2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8" name="Text Box 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59" name="Text Box 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1" name="Text Box 2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2" name="Text Box 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3" name="Text Box 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4" name="Text Box 1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7" name="Text Box 2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69" name="Text Box 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1" name="Text Box 2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3" name="Text Box 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5" name="Text Box 2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7" name="Text Box 2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79" name="Text Box 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3" name="Text Box 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4" name="Text Box 1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5" name="Text Box 2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7" name="Text Box 2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8" name="Text Box 1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89" name="Text Box 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1" name="Text Box 2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2" name="Text Box 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3" name="Text Box 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5" name="Text Box 2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6" name="Text Box 1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7" name="Text Box 2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999" name="Text Box 2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0" name="Text Box 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1" name="Text Box 2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3" name="Text Box 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4" name="Text Box 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5" name="Text Box 2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6" name="Text Box 1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09" name="Text Box 2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0" name="Text Box 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1" name="Text Box 2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2" name="Text Box 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4" name="Text Box 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7" name="Text Box 2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8" name="Text Box 1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0" name="Text Box 1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1" name="Text Box 2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3" name="Text Box 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6" name="Text Box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7" name="Text Box 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8" name="Text Box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29" name="Text Box 2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0" name="Text Box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1" name="Text Box 2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2" name="Text Box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4" name="Text Box 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5" name="Text Box 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6" name="Text Box 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7" name="Text Box 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8" name="Text Box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39" name="Text Box 2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0" name="Text Box 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1" name="Text Box 2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2" name="Text Box 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3" name="Text Box 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4" name="Text Box 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5" name="Text Box 2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6" name="Text Box 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7" name="Text Box 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8" name="Text Box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49" name="Text Box 2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0" name="Text Box 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1" name="Text Box 2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2" name="Text Box 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3" name="Text Box 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4" name="Text Box 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5" name="Text Box 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6" name="Text Box 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7" name="Text Box 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59" name="Text Box 2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0" name="Text Box 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1" name="Text Box 2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2" name="Text Box 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3" name="Text Box 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4" name="Text Box 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5" name="Text Box 2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7" name="Text Box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69" name="Text Box 2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0" name="Text Box 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1" name="Text Box 2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2" name="Text Box 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3" name="Text Box 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4" name="Text Box 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5" name="Text Box 2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6" name="Text Box 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7" name="Text Box 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79" name="Text Box 2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0" name="Text Box 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1" name="Text Box 2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2" name="Text Box 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3" name="Text Box 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4" name="Text Box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5" name="Text Box 2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7" name="Text Box 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8" name="Text Box 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89" name="Text Box 2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0" name="Text Box 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1" name="Text Box 2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2" name="Text Box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3" name="Text Box 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5" name="Text Box 2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6" name="Text Box 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7" name="Text Box 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099" name="Text Box 2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0" name="Text Box 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1" name="Text Box 2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2" name="Text Box 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3" name="Text Box 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5" name="Text Box 2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6" name="Text Box 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7" name="Text Box 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8" name="Text Box 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09" name="Text Box 2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0" name="Text Box 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1" name="Text Box 2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2" name="Text Box 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3" name="Text Box 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4" name="Text Box 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5" name="Text Box 2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6" name="Text Box 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7" name="Text Box 2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8" name="Text Box 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19" name="Text Box 2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0" name="Text Box 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1" name="Text Box 2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2" name="Text Box 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3" name="Text Box 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4" name="Text Box 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5" name="Text Box 2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6" name="Text Box 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7" name="Text Box 2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8" name="Text Box 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29" name="Text Box 2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0" name="Text Box 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1" name="Text Box 2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3" name="Text Box 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4" name="Text Box 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5" name="Text Box 2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7" name="Text Box 2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8" name="Text Box 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39" name="Text Box 2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1" name="Text Box 2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2" name="Text Box 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3" name="Text Box 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5" name="Text Box 2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7" name="Text Box 2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49" name="Text Box 2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1" name="Text Box 2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5" name="Text Box 2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7" name="Text Box 2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59" name="Text Box 2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3" name="Text Box 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5" name="Text Box 2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7" name="Text Box 2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8" name="Text Box 1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69" name="Text Box 2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1" name="Text Box 2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2" name="Text Box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3" name="Text Box 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5" name="Text Box 2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6" name="Text Box 1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7" name="Text Box 2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79" name="Text Box 2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0" name="Text Box 1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1" name="Text Box 2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3" name="Text Box 2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5" name="Text Box 2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7" name="Text Box 2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89" name="Text Box 2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1" name="Text Box 2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3" name="Text Box 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5" name="Text Box 2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7" name="Text Box 2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199" name="Text Box 2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1" name="Text Box 2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3" name="Text Box 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5" name="Text Box 2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7" name="Text Box 2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09" name="Text Box 2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1" name="Text Box 2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3" name="Text Box 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5" name="Text Box 2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7" name="Text Box 2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8" name="Text Box 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19" name="Text Box 2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1" name="Text Box 2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3" name="Text Box 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5" name="Text Box 2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6" name="Text Box 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7" name="Text Box 2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29" name="Text Box 2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0" name="Text Box 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1" name="Text Box 2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3" name="Text Box 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4" name="Text Box 1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5" name="Text Box 2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7" name="Text Box 2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39" name="Text Box 2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3" name="Text Box 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5" name="Text Box 2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7" name="Text Box 2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49" name="Text Box 2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1" name="Text Box 2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3" name="Text Box 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5" name="Text Box 2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7" name="Text Box 2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59" name="Text Box 2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0" name="Text Box 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1" name="Text Box 2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3" name="Text Box 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5" name="Text Box 2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7" name="Text Box 2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69" name="Text Box 2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1" name="Text Box 2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3" name="Text Box 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5" name="Text Box 2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7" name="Text Box 2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79" name="Text Box 2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1" name="Text Box 2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3" name="Text Box 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5" name="Text Box 2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7" name="Text Box 2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89" name="Text Box 2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1" name="Text Box 2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3" name="Text Box 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5" name="Text Box 2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7" name="Text Box 2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299" name="Text Box 2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1" name="Text Box 2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3" name="Text Box 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5" name="Text Box 2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6" name="Text Box 1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7" name="Text Box 2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09" name="Text Box 2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0" name="Text Box 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1" name="Text Box 2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3" name="Text Box 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4" name="Text Box 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5" name="Text Box 2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7" name="Text Box 2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8" name="Text Box 1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19" name="Text Box 2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1" name="Text Box 2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2" name="Text Box 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3" name="Text Box 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5" name="Text Box 2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6" name="Text Box 1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7" name="Text Box 2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29" name="Text Box 2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1" name="Text Box 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3" name="Text Box 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5" name="Text Box 2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6" name="Text Box 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7" name="Text Box 2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8" name="Text Box 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39" name="Text Box 2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0" name="Text Box 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1" name="Text Box 2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2" name="Text Box 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3" name="Text Box 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4" name="Text Box 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5" name="Text Box 2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7" name="Text Box 2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8" name="Text Box 1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49" name="Text Box 2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0" name="Text Box 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1" name="Text Box 2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2" name="Text Box 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3" name="Text Box 2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4" name="Text Box 1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5" name="Text Box 2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6" name="Text Box 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7" name="Text Box 2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8" name="Text Box 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59" name="Text Box 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0" name="Text Box 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1" name="Text Box 2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2" name="Text Box 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3" name="Text Box 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4" name="Text Box 1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5" name="Text Box 2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6" name="Text Box 1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7" name="Text Box 2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8" name="Text Box 1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69" name="Text Box 2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1" name="Text Box 2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2" name="Text Box 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3" name="Text Box 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5" name="Text Box 2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6" name="Text Box 1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7" name="Text Box 2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8" name="Text Box 1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79" name="Text Box 2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1" name="Text Box 2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2" name="Text Box 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3" name="Text Box 2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4" name="Text Box 1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5" name="Text Box 2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6" name="Text Box 1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7" name="Text Box 2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8" name="Text Box 1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89" name="Text Box 2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0" name="Text Box 1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1" name="Text Box 2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3" name="Text Box 2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5" name="Text Box 2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6" name="Text Box 1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7" name="Text Box 2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8" name="Text Box 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399" name="Text Box 2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0" name="Text Box 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1" name="Text Box 2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2" name="Text Box 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3" name="Text Box 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4" name="Text Box 1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5" name="Text Box 2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6" name="Text Box 1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7" name="Text Box 2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8" name="Text Box 1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09" name="Text Box 2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0" name="Text Box 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1" name="Text Box 2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2" name="Text Box 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3" name="Text Box 2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4" name="Text Box 1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5" name="Text Box 2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6" name="Text Box 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7" name="Text Box 2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8" name="Text Box 1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19" name="Text Box 2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0" name="Text Box 1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1" name="Text Box 2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2" name="Text Box 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3" name="Text Box 2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4" name="Text Box 1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5" name="Text Box 2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6" name="Text Box 1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7" name="Text Box 2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8" name="Text Box 1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29" name="Text Box 2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0" name="Text Box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1" name="Text Box 2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2" name="Text Box 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3" name="Text Box 2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4" name="Text Box 1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5" name="Text Box 2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6" name="Text Box 1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7" name="Text Box 2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8" name="Text Box 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39" name="Text Box 2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1" name="Text Box 2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2" name="Text Box 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3" name="Text Box 2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4" name="Text Box 1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5" name="Text Box 2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6" name="Text Box 1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7" name="Text Box 2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8" name="Text Box 1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49" name="Text Box 2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0" name="Text Box 1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1" name="Text Box 2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2" name="Text Box 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3" name="Text Box 2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4" name="Text Box 1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5" name="Text Box 2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6" name="Text Box 1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7" name="Text Box 2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8" name="Text Box 1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59" name="Text Box 2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0" name="Text Box 1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1" name="Text Box 2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2" name="Text Box 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3" name="Text Box 2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4" name="Text Box 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5" name="Text Box 2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6" name="Text Box 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7" name="Text Box 2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8" name="Text Box 1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69" name="Text Box 2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0" name="Text Box 1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1" name="Text Box 2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2" name="Text Box 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3" name="Text Box 2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4" name="Text Box 1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5" name="Text Box 2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6" name="Text Box 1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7" name="Text Box 2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8" name="Text Box 1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79" name="Text Box 2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0" name="Text Box 1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1" name="Text Box 2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2" name="Text Box 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3" name="Text Box 2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5" name="Text Box 2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6" name="Text Box 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7" name="Text Box 2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8" name="Text Box 1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89" name="Text Box 2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0" name="Text Box 1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1" name="Text Box 2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2" name="Text Box 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3" name="Text Box 2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4" name="Text Box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5" name="Text Box 2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6" name="Text Box 1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7" name="Text Box 2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8" name="Text Box 1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499" name="Text Box 2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0" name="Text Box 1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1" name="Text Box 2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2" name="Text Box 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3" name="Text Box 2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4" name="Text Box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5" name="Text Box 2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6" name="Text Box 1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7" name="Text Box 2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8" name="Text Box 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09" name="Text Box 2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0" name="Text Box 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1" name="Text Box 2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2" name="Text Box 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3" name="Text Box 2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4" name="Text Box 1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5" name="Text Box 2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6" name="Text Box 1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7" name="Text Box 2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8" name="Text Box 1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19" name="Text Box 2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0" name="Text Box 1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1" name="Text Box 2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2" name="Text Box 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3" name="Text Box 2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4" name="Text Box 1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5" name="Text Box 2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6" name="Text Box 1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7" name="Text Box 2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29" name="Text Box 2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1" name="Text Box 2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2" name="Text Box 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3" name="Text Box 2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4" name="Text Box 1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5" name="Text Box 2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6" name="Text Box 1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7" name="Text Box 2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8" name="Text Box 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39" name="Text Box 2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0" name="Text Box 1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1" name="Text Box 2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2" name="Text Box 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3" name="Text Box 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4" name="Text Box 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5" name="Text Box 2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6" name="Text Box 1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7" name="Text Box 2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8" name="Text Box 1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49" name="Text Box 2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0" name="Text Box 1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1" name="Text Box 2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2" name="Text Box 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3" name="Text Box 2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5" name="Text Box 2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6" name="Text Box 1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7" name="Text Box 2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8" name="Text Box 1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59" name="Text Box 2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0" name="Text Box 1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1" name="Text Box 2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2" name="Text Box 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3" name="Text Box 2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4" name="Text Box 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5" name="Text Box 2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6" name="Text Box 1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7" name="Text Box 2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8" name="Text Box 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69" name="Text Box 2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0" name="Text Box 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1" name="Text Box 2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2" name="Text Box 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3" name="Text Box 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4" name="Text Box 1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5" name="Text Box 2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7" name="Text Box 2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79" name="Text Box 2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0" name="Text Box 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1" name="Text Box 2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2" name="Text Box 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3" name="Text Box 2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4" name="Text Box 1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5" name="Text Box 2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6" name="Text Box 1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7" name="Text Box 2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89" name="Text Box 2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0" name="Text Box 1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1" name="Text Box 2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2" name="Text Box 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3" name="Text Box 2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4" name="Text Box 1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5" name="Text Box 2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6" name="Text Box 1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7" name="Text Box 2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8" name="Text Box 1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599" name="Text Box 2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1" name="Text Box 2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2" name="Text Box 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3" name="Text Box 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4" name="Text Box 1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5" name="Text Box 2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7" name="Text Box 2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8" name="Text Box 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09" name="Text Box 2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0" name="Text Box 1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1" name="Text Box 2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2" name="Text Box 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3" name="Text Box 2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4" name="Text Box 1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5" name="Text Box 2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6" name="Text Box 1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7" name="Text Box 2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8" name="Text Box 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19" name="Text Box 2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0" name="Text Box 1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1" name="Text Box 2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2" name="Text Box 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3" name="Text Box 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4" name="Text Box 1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5" name="Text Box 2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6" name="Text Box 1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7" name="Text Box 2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8" name="Text Box 1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29" name="Text Box 2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0" name="Text Box 1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1" name="Text Box 2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2" name="Text Box 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3" name="Text Box 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4" name="Text Box 1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5" name="Text Box 2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6" name="Text Box 1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7" name="Text Box 2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8" name="Text Box 1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39" name="Text Box 2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0" name="Text Box 1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1" name="Text Box 2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2" name="Text Box 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3" name="Text Box 2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4" name="Text Box 1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5" name="Text Box 2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6" name="Text Box 1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7" name="Text Box 2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8" name="Text Box 1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49" name="Text Box 2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0" name="Text Box 1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1" name="Text Box 2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2" name="Text Box 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3" name="Text Box 2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4" name="Text Box 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5" name="Text Box 2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6" name="Text Box 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7" name="Text Box 2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8" name="Text Box 1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59" name="Text Box 2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1" name="Text Box 2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2" name="Text Box 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3" name="Text Box 2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4" name="Text Box 1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5" name="Text Box 2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6" name="Text Box 1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7" name="Text Box 2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8" name="Text Box 1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69" name="Text Box 2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0" name="Text Box 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1" name="Text Box 2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2" name="Text Box 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3" name="Text Box 2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4" name="Text Box 1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5" name="Text Box 2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6" name="Text Box 1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7" name="Text Box 2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8" name="Text Box 1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79" name="Text Box 2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0" name="Text Box 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1" name="Text Box 2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2" name="Text Box 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3" name="Text Box 2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4" name="Text Box 1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5" name="Text Box 2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6" name="Text Box 1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7" name="Text Box 2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8" name="Text Box 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89" name="Text Box 2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0" name="Text Box 1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1" name="Text Box 2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2" name="Text Box 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3" name="Text Box 2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4" name="Text Box 1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5" name="Text Box 2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6" name="Text Box 1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7" name="Text Box 2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8" name="Text Box 1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699" name="Text Box 2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0" name="Text Box 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1" name="Text Box 2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2" name="Text Box 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3" name="Text Box 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4" name="Text Box 1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5" name="Text Box 2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6" name="Text Box 1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7" name="Text Box 2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8" name="Text Box 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09" name="Text Box 2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0" name="Text Box 1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1" name="Text Box 2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2" name="Text Box 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3" name="Text Box 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4" name="Text Box 1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5" name="Text Box 2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6" name="Text Box 1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7" name="Text Box 2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8" name="Text Box 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19" name="Text Box 2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0" name="Text Box 1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1" name="Text Box 2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2" name="Text Box 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3" name="Text Box 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4" name="Text Box 1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5" name="Text Box 2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6" name="Text Box 1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7" name="Text Box 2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8" name="Text Box 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29" name="Text Box 2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0" name="Text Box 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1" name="Text Box 2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2" name="Text Box 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3" name="Text Box 2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4" name="Text Box 1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5" name="Text Box 2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6" name="Text Box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7" name="Text Box 2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8" name="Text Box 1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39" name="Text Box 2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0" name="Text Box 1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1" name="Text Box 2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2" name="Text Box 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3" name="Text Box 2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4" name="Text Box 1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5" name="Text Box 2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6" name="Text Box 1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7" name="Text Box 2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8" name="Text Box 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49" name="Text Box 2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0" name="Text Box 1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1" name="Text Box 2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2" name="Text Box 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3" name="Text Box 2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4" name="Text Box 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5" name="Text Box 2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6" name="Text Box 1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7" name="Text Box 2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8" name="Text Box 1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59" name="Text Box 2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60" name="Text Box 1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 txBox="1">
          <a:spLocks noChangeArrowheads="1"/>
        </xdr:cNvSpPr>
      </xdr:nvSpPr>
      <xdr:spPr bwMode="auto">
        <a:xfrm>
          <a:off x="2219325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sp macro="" textlink="">
      <xdr:nvSpPr>
        <xdr:cNvPr id="1761" name="Text Box 2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 txBox="1">
          <a:spLocks noChangeArrowheads="1"/>
        </xdr:cNvSpPr>
      </xdr:nvSpPr>
      <xdr:spPr bwMode="auto">
        <a:xfrm>
          <a:off x="1905000" y="0"/>
          <a:ext cx="95250" cy="2400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9373686-B9FD-4762-983D-058FBEDFFD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C310216-6F50-4ECC-8F9A-C4EA64B3E2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FAFF7B9-8FF5-4C9A-9A30-398ED31155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A868D13E-BC98-4839-99E8-06E88DFF41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9F1F5D9C-18FB-4228-B610-103389E548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62F135C5-E572-4BD6-9B76-35A404A895F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6D8CCF3B-9B80-4705-83CF-3844AC6002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8353982D-00A7-467F-9346-AE20190AC4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5D7C4DF-6C12-4BD3-90A5-3E3033AA070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F04733F-F382-45D4-899F-4F9C2E23A22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6E75B8FE-C3E4-4B33-8E1E-4E0B7201BE2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E3CFB1A-DA7F-4AE5-96E1-9B0C9767A1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72FF8BAD-7CD1-47DD-92D4-B5031DFFD1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B5298F86-0584-4605-B272-1D4C391F812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5356B9F-CEE5-4A76-B749-C4C96A12EB0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387BC88E-D7D5-48DA-9D00-B0E03469152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E484FA9-DE5D-4C6F-A26D-8647DE78F1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D78EF28C-20B9-4A12-8950-6CCB9C4246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20BD8ECC-4D1A-468E-A16F-28800D19C4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CE5C321F-CDAC-4A47-A15C-3A97BCDF92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2382B51D-AC9F-4B9D-8FB3-AD2E1106C92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C3FCDEAB-387F-4BDB-9DDF-B9E080ADCA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49D0CC3F-C10E-469E-A880-AE6B523944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3284E0B3-D2F9-400C-97BC-58B875658C4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24C0E00F-3DAC-42DC-9AB1-2D81581D52C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1F8FC35F-16F0-4DF5-92F8-4CA7B2E2F5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17B5D6FE-7A11-4168-8051-5A3F2ADE83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B43602AF-470F-4570-9425-AF8008748A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218F2A23-78A1-458A-8EFA-F9CC1205BA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C0EF9E2B-3448-4ED2-99BA-179ADA1845B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8EA54AE5-9C71-4B3E-B5F2-6F73F6BFC5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A760D02D-0D62-46C0-B118-34BF3E4062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BAC127F9-B130-4571-8880-8AA815D551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55C56CFF-E31B-48E5-88E6-6B35FAEE56B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2DD98E0C-ED64-48E5-81BA-9D488D51E1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1807CD4E-B621-4A55-8096-17B4A1D86A2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9A0B77F0-6DD8-49DF-8A7F-0BEC318599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40013056-29C8-483F-B90E-DDCD5B0C0E9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8C2D0A82-EAD6-4F65-89DC-0A335526C2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7C8FBABD-B547-4CEF-AF6F-65ADCE607E5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4ABB2D07-03C4-4D08-9C6D-1EA70EA039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B12EFB6D-C8F7-4C34-A5FF-BA83C18482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EE112CA5-6648-4B31-A7C6-D8A42BAC9F1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B3B08EEE-80BE-434D-A3E3-FCFF9EF9D5E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2B1B3DEB-B7E1-43C9-B50D-384493C649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79613A68-96DE-487F-AB9E-051B34BDF5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D6FBACD-DE33-47D2-9F00-3CC52D278A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886D0C50-3D83-47D7-9893-80BA19FF2D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139B5DBD-1C9D-437B-A65E-E0EE03172A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2ACFDA1B-766E-4043-B557-6B1EA10175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6742F04A-DAFA-4EBF-8B52-FF793585BB2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20062304-EBB8-43E0-AE3B-DB22FD90CB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342F9DF0-67C4-4917-990D-B7C7BCFCDE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3C2A6650-F79D-49C1-8D66-8623F55383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2025C939-5BB1-4251-A971-39A152824C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22ACA21E-FD7A-4D42-A3A5-4C326BDEAB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1F013255-FE4A-4215-BE55-71BBB43803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986353DB-91DB-4FD7-8A8B-23EB3CAEAFE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EF488891-5CEC-419D-9B4E-F89B4A71FF0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9A2C414F-D761-4B95-AD6C-4833157F66E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5C894C45-AD48-4587-BA1C-BCDB46E302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A2D198BA-C00E-4BCD-980D-FFBA578D0C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7F0D3BFB-325D-4AA3-A260-F7A45DC725B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A26EBE8A-D74D-4E27-916F-61975382CE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8AE5EE8D-19FA-4AB6-A764-8C08F7263D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84C7A097-1C16-4C32-BD04-1A224A8EA1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CCAA477E-E759-4CDC-92AC-E00918C4A4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507DA994-2F2C-45A0-9AF3-389BF58A86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BAC22C50-C152-442C-904C-882980A424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626E4377-A68C-4504-9CD9-F0B1738724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55177ED5-1F83-4601-8734-9FFC7185D0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337EA611-A936-45C4-95ED-CD6DD231C9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5E15E839-10B2-4C7F-AEB1-73FA3A82165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B777DC87-EDDA-4D6E-8142-A7D0A45CBB5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69822154-1ECD-4087-91E9-0384EE43615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06ADB67C-3867-42EB-BC3D-8DB24FF0AC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A59315FF-D8CC-46CF-9EE8-21F2A9E110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4BB33A76-5482-4C89-9AD5-B7CE034F217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7BE586EE-E6C8-464D-9C46-6FC48E3BE4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D10CABA6-C0D4-4A5D-8D4B-E1ABB5D685E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53912B1B-7386-41E6-9685-1AF259FD43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89E37EBD-1BE2-4788-A1E3-6678659966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1F87D303-828E-466F-A950-81FC9A68CF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436D2890-EAB2-443F-8A4E-78016F7B415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411F1949-0179-409A-8A31-464519383A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4AB6EF81-5C1E-451A-80BD-08D883A67C0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63086379-E226-4002-AF3B-A437B77622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599F8ED4-F070-4043-9034-A0D2913D6F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EC72EB66-9D63-4B2E-8227-960CA0E8BA1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1A33E1A2-57C0-4A2A-9FBB-6957295A5E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7D99C0D-9C47-45D2-8E9A-65044CD958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82EADD9A-3DE0-4E0C-802C-94B4A79123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D908B957-88F1-4247-A3BB-2FBD733803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8651B3D6-1B19-45C8-9407-22F1D62913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F0693BF7-3DC7-4997-BB83-F19EF6C5C9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92E073B4-2629-4378-A8B2-84BC95C9794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C58465FE-4165-4E78-9DD9-14A2C2807FE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DE6426CB-974C-432E-83F0-87194DD399A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48E70F07-CC26-4611-9BA9-20601C108F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4278CB55-1318-4DC4-B42D-15C2B108ED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9D91D725-CB72-454C-B763-64353597210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AFA6E7FD-3D97-4F10-9F55-AE2E0489A5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9673B739-97F8-4148-9FD7-933C71BFC0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823FA573-9F96-4BF0-B723-40A69312D7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C1BE1AF3-3C89-4D24-93E4-7AADF3EDD6B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6E56E365-2630-4CAF-B857-893C44B3C42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8AADCBDB-301D-4ECD-85BF-04E63AB277D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CBAE58B4-F537-42B0-B68D-D8C03314C5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2E74A903-7F15-43B8-A669-DC2C035BD1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4404C745-F69D-4B8A-B8EA-0258D5DAE8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7882FE32-9E54-42D7-853F-0016699C85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0FB25143-7571-4DDB-8C52-384362ACFD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7E10632C-11A6-4C20-86C7-D7E3162C000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FFAEBADD-53CC-48D8-B9B6-8735F02BDA4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DE532287-A146-4282-B797-C17A5BC36D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3417030A-FD65-4FDB-A015-212B45AD7F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B88FA30B-0BCE-48C5-A050-E1F7679A70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1758DC73-BD4E-482F-919F-B7F1C8B585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3A58E080-D628-4807-AB8E-D0810B1B38E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5C417697-C6FA-4B79-BFF9-046CFD1762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DE58A30B-4077-4D35-A4E6-13983AE02AD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DFF0A76C-BCE9-474A-9C43-5AA45D28F5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71E3122E-5F32-4436-A606-B01CA7734B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8EE88CC0-C5A2-4F8D-A1B9-EA90E10237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C13E68BE-4ADB-41FA-9451-8BB3D10E8B9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13FFF40B-EBC3-47E1-80F4-83A244A9B45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799368A5-E52E-4025-B873-0546C08F02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D9BBF625-1E53-468A-8F12-B10DADC7E9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45687FDD-6335-482E-AE7C-0EF048D19A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B7AA3817-7D79-425A-8FF7-62F517C327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CC18143-87C6-45BD-90F3-4E8A603AA6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448A70FB-6E28-4DAB-8295-19CB919A28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D6A0F79F-5D04-4F58-95A4-CC6FFA347E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500518F7-2981-47A5-A46B-27128D4233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3D4A9112-5FA9-4612-AF48-DB9A5B5724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E1907954-F384-417B-AE2D-BAEB797289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EC70F35C-B789-497E-B14F-BA46899CE2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8FC2808B-F6B3-40E7-A8FD-F3495EBA01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FA217621-2EEF-4015-BFCA-2A2FCB4B28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D68A5734-EB68-4AE3-8134-2EEA0803618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DDB09874-5883-465D-AC96-35922982BD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947D9F49-246E-4460-BD16-168039CEA15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D802A4F1-8A2B-48F6-81F1-4A81D48999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B18F049B-3E73-4CF3-BC0D-0DB7222D69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5E29D040-DC94-4C68-8FF9-298446B0E6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D4A12A3E-3B2D-4A62-AC70-C92DCF5A99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FD647667-6C83-46AE-B41D-BF89384584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F46CF166-ABF8-4AAC-9013-CDCD606EEC0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A0239A25-B35D-4C68-9E8B-4F42F8D2B7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E6EB920D-4024-4715-A23A-89E7FD9A88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39A650EC-1385-4222-8F0A-F27EDCBC648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94E50489-A459-42EB-B3A6-1F956E4732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94149071-4AEB-41A7-ADF9-7039F7B421B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EE1C1B75-31BB-4883-AB1D-5591B689D8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38937027-5DCD-477D-83D6-0D117712FD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E9B9A72D-F2F9-42A2-835D-20300B34B4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7546D101-FCBB-43BD-94AE-13100FD6B9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BBFD3608-B3F3-4980-9688-4020B2ED218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181584BE-67D9-45A3-8437-580AA5F98F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C4586BC8-5957-4AC5-B92D-8F307B7AFB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91593475-3ED5-47EC-8ED7-6090F8EC44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1CAE8174-DB84-45A2-A786-8CD0528FE2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DB1ADDFC-7716-4FD0-B155-603E8FCB59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4B8B65F8-73D0-4148-B6AA-8450FF4526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B34ED205-7631-43B1-9D95-D6C39A9ACF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6039B146-5ED4-404E-82CA-E5138BFDAE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58327AC8-E1E9-4480-9379-F3B691CB1D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7DEF5B8C-44B9-4696-8B49-6383E03867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213060A7-B5C0-4F31-B728-D617802FC2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A2E01F23-7712-4640-97C9-42ECA6A0F8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D28700AC-76BD-41B5-A64C-0E8D63DA8C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0C4A4CE1-A232-40D1-BC1A-1A50FCD831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1C7548EA-CF1F-4489-A249-595CD2CBAA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EA071F30-2802-4842-96A2-9EB905F18F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D3A9DFF9-62E8-4FF0-985A-247CFA7A43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ECBD0E10-41A5-44D0-B763-E21D4DF3BC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3D056F9E-3F98-45B9-AC99-3B1960AC056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B8366033-138F-418E-91F7-6693337BE1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A9F10CD8-2063-4B63-A4CF-783950A6DC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DFE03E48-B674-4F57-B987-34E567F57E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5683377C-B522-472F-89EE-7A2C153526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68076176-C839-4699-98BD-34870E4FAC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2B014370-18D8-4211-A8D2-892D3A25FA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E872EB01-C85E-4C2C-86F9-72AFDFCBAF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5419F7C7-9B85-447D-85AF-321EDAC030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AD0AD2E1-19EC-4888-8920-4397A7A0C2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CEE3B937-F83E-4C16-B673-D870C06365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4DF723D3-7CAA-4DC2-9C05-0824019FA9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A925C68C-02E2-4014-8E1B-870FC8A085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D55954D0-346F-44A9-BF95-6D62447471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C00C61C7-4E5B-4E46-A674-E713E185B8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16C02E46-B2D5-4DCB-8EEE-2DDB428BEC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A6B1966D-EE66-4BDB-896D-5373E4B867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17D6271F-0350-421D-A5EC-884F2344EB6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5BC39966-E85B-4FF4-830A-8E754EFE8A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E29D1A2C-BD14-47F1-B6E5-DC7A0970C4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65B79522-6B8E-4758-A118-FAE4C74671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29157A5E-26BC-46EF-B5EF-440DB44E38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EF2FFE97-B76F-48CB-8E65-99A6D9614F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6D2297DF-0153-4A76-B6FB-616625443F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1F87A024-C165-4FAB-8314-953DF26F4F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4A93EF7C-F4E9-400E-9B99-4F85E225F1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4EAFA56B-67D6-4324-8E42-26720CCC08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A484889C-81DE-4954-979A-D10AC74D03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CA1392FB-97E4-4916-B439-D87B58DF70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F5295E80-779E-4D1C-A4BB-388F37C730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7A5360E4-FF55-4176-8612-974BAD936E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1F6D163A-8AF0-4CA0-B1F2-75AD5E4BEE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0C7CF264-A01D-4197-ABE7-0C3C9CAE1D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B1DFF153-8710-4C42-885D-6663D05CF6C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389FC956-1E8C-4032-B301-1082B88A3C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4E0F4033-F750-4354-AF7E-5C0F8376F5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5FA9B888-4D58-4EB0-9637-D2852A5072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138CB314-C28C-4E5C-9DA8-54DA2C5BD8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8607AEEA-34A1-43F1-AE2F-373AEDDA41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93A8671E-F8F5-4F67-8E87-5722CA1BB1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D68FF80D-9B28-4884-BB65-CE77AFD8DE3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AB112C67-AD42-473E-9580-D57D135CFE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B4871D35-CB85-4430-95F2-8D82331056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5A34C435-B222-4DB6-ACB8-810D999285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629751EB-F753-4F0D-8CC5-BF8500AFC3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FFFD4810-9573-409C-BEDB-25138E5B00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2F22BBD6-92C2-4AA5-9572-AF814ED3E2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DBF27CF1-4188-4158-BF5E-F3BCA89A17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082B356D-13B9-491D-8D25-1FD26E6F17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B8A1DFE2-4A31-4482-9FB6-BA2A40293B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F60CBB59-DC65-46BB-9D3D-DA27C34231C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130F3DB2-1FD2-46B5-BD84-EFD5C7B605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0F9B48AE-1F66-447F-9A5F-953079FC948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BE936A00-EAEA-45B0-A148-D36E8FFFE1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70A1817C-F53D-4F68-AC81-FC9DFC6D044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65FF25C7-9622-4631-A862-FC6B3BF2F1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DE6E884A-CC05-4406-9EB3-39F1569AD9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7548ACC1-8797-40C2-93CE-E90782E0889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F6B0685F-C052-42A0-9883-FFADC368F6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CB6F37F9-3421-4EED-9AF1-4DBFBF3BD9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8E57766B-2CCF-4F27-B692-061E0C6A23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F2EE2104-1213-44E5-83BD-33596625F0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2ED0E324-3F0B-4BB4-9B38-BCC8B3EE7A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D04E11EF-97FE-418E-B9C1-56E8C4B40B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8EECA5EF-27AB-4281-8525-3602B3B161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1641194F-751E-4180-8558-D798B5EA73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A301B713-0D87-4E71-A5A1-47F35B1B2C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10C3A1F8-C2BA-4300-8C32-1C13FD3737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C31BBC1F-B87E-4B3C-BE15-9DFD2C8666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BEB345D4-01A2-4218-BB37-E18CBE5187D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9FECB435-0D47-459E-B8D2-68477CB3D3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48B48408-256E-4303-9574-6F3D726B06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E9FC756A-6189-43BB-B60C-51A234D592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AEE31D0E-EF6E-49BD-B98D-BDA157B44C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8E9C2B50-3885-4E17-B609-53168A3B56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AAEC1D13-8B82-4F83-9815-C85E913298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D8847C00-6D5D-4C5F-979F-E55E9CDBF3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12377A9E-822C-4115-BBE2-1ECACF34DC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5AED47F2-B5B3-4EE6-91F3-D023454CE7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379FA8F6-F020-4AE6-B469-1F974DF2F6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E96E8551-69ED-487C-A495-003F8A3A26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05F81196-3A63-4A11-A4B0-9754E3DD66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7EA1A506-B617-4773-B526-16EAE06936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3E9C9DB4-A954-4684-89C3-20BB5F319A0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B6CC706B-EFC1-435A-8C91-8B1AE4D8B0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E4F3FBD9-A270-4E72-B5CE-BF6CFB0DB14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BD0F695C-DE5B-4793-B47A-A2ACD3826F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6BB8ED59-FD03-4A9A-B8F9-047C06230A4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3D6FCF67-A405-4F5C-9695-C004CD8310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F27F16D9-E9D5-4AB5-A36F-E47E3C9A5D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7436C5FA-C308-40A3-8C42-FFAD337E8E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1BD9D1E4-7B9B-433E-B009-F52135B92B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C2EA47DC-CEA5-44E9-A159-8D01193299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FC156BF5-0C71-4291-9FA5-AA499E42FA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E5C2A67E-FD74-47B0-A0CF-158BAA6C43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ECB09EE1-DEE2-41FB-BA87-1A4B128DC2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330B4CE2-F510-44AA-A0D1-74AAAAF1A00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AC9A39C0-EF6D-47B9-B1DB-ED0CEE9CB9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94CEFC7A-9FE7-4D2E-92D8-C5B9C6FBFB4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1A48A65E-9DAE-46EF-B493-CA92CCBEF2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6187389A-26D7-4245-99F0-7273DF4087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CB7EB80D-DDE2-4F90-99A4-8E4FE91692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7A056A79-5844-4AC3-81C5-DE8EAFE182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2927FB0F-E1FD-44A3-89F5-8465D352D2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36BFE25A-3837-4337-9697-3EF6144FE3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C4B0D4DE-303F-459F-A26D-23C3A44C7D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F322C530-B070-4FFC-85DA-269C7C6D70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CDCA669F-3D98-43C8-8A82-55BB08F4FE0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698E74B6-0FBB-47AF-9597-D0926FDBA3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C6B86B6B-BA68-4146-B67F-32BCDB13EA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CA5655C0-BB6C-483E-B016-9C189C60A4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03CA91D9-0380-4F54-ACED-699D78B13D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854CCD10-A007-467D-B504-10BD81CE7B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A7342FA8-4980-473A-9DF6-6A34DC2071C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A3F9C942-A9B7-4ED8-BC09-86EBD5F6EF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ED038169-808B-4620-82F1-2F20956255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8C55BCFA-8D97-4065-8537-8723A7E873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F1D9BC52-6428-4ADD-B93B-1C37959A8A0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94782EC5-88A5-4F25-B65B-C211E2E95F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24E4AA98-3C76-4DD6-AD11-4DC9B2C132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FB0CA37D-5A78-4103-986A-D5824A7B9B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A724BAA8-D4AB-4CC5-9801-4AE9B5DAEA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0360A9A0-7090-4BB0-BC50-53FE5A2A28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50A9834B-5BFF-4916-A3A0-FC3B0161CD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677EE936-574A-48D2-8F1F-D1DBBFD585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F09A66D4-A8F0-4883-A7CE-424D85A461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774C660D-EBE0-4FC2-A240-12DC0B6DA6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5106D83C-877F-4023-9079-534235C010B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FCDAD1CA-574A-4289-8090-2B2152730F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A1167B58-D037-4FD5-800C-C0153B8B79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1112EFEC-9A52-48BE-B2DC-771CEAA9449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2F35DD5C-3950-40F8-9AF3-D3996237F2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27665439-C2AE-4AD9-8332-8A7D9986AF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48DCA120-C9E9-4EFE-AD93-AB9B9ED452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B7E67E1D-BA11-430F-AA73-CF97BC362B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AC6AB851-42A2-4579-AB04-B55241DA81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AC656C92-91E3-4D07-B779-46BBAA70B95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FA9FDCDE-BC9A-4B62-B0CC-32C3A657A6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B89FDD06-491C-4CF5-9AAA-E6DADE2CBA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2FC327DB-2866-48F5-B418-25F94480C7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8F05DBD1-508A-44C3-843E-08F68107D2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38B4ACD0-7D73-4512-9056-6309DA2099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9275C198-EF4B-438B-B6A8-C1EF7D29D1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CE92061A-8E35-4947-9E03-434DFE66DA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33A85A21-A008-4833-A38E-5C2AE45DDC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A899EE0A-D7BA-4DA7-8026-2300BD4C4C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F7AAB00C-95E1-4446-ABC0-F6816FDCDF8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7B87CDC5-2D21-418F-BCAF-A1AD7F7F81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59C52317-E3B5-4370-8E77-E5E20E50F6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B554B603-2889-4394-BF1F-399B674003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8C99A7A8-A047-44D4-97EE-503EAABEF44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B90A525B-9552-44D7-893F-6B9317BBAD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F7B2D8DF-416A-41E1-BE59-D104A2E25B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35823DD5-178D-4E07-9E04-2E8A48C668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C2C48822-1F4F-4735-9E4F-5E3B37E6D9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6F5D0E92-7B05-4A08-ADFF-802878B65A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CA373E56-919B-49D9-AEE6-A3F9290FB9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E3E7E94A-F1DA-461C-AFC2-7AD7024F3F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FFEDD8F0-D2A4-44A3-BA1F-B14B72B394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796872A5-D8EE-4550-B9A5-3ACCC64DA4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7C1C91BB-F50A-4A6F-8EA0-9E18576632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064CFADA-0F12-434F-83B9-F71761D98F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7519478F-CB64-4413-932D-44CB571FBF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EDDC7996-3608-4CA6-995D-353375114B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88DFF05D-D526-4BE0-9EDA-88455ECFEC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D1BBD317-5B4E-44C9-A5A4-EA1813463F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id="{5F7B092D-2F49-4543-AB3F-1DE7F8A235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FB295E8E-A019-4A63-8B4B-4C0F1B63A46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7FABA841-9968-4F46-ADCF-B2BBDD4CCD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30144592-BF46-4E07-A61B-A752F2E2F4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141CAB4C-1CDE-414E-8203-393C1B3F48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12259103-A3F6-45F0-B1F8-548B8A36DEA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DA8928FB-AA4D-4B29-A6B4-A8D8BAAE904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40A74FEA-EFC5-472E-BBA2-344427F886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986482C9-074D-4A16-8381-2C5DA76B5EE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11C6B675-8967-426B-BC47-7E10B5CDC8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75A499A2-268D-407E-9622-C4E78C1E37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7EBBB56E-2175-4A86-84DD-704B148F20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id="{F8C9A1AA-4130-4868-BD6D-95C08078A3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E9DC7A25-AF9D-4F74-98C8-CBDD9ADF094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0F894876-20A3-499D-807D-C148B104470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B148FD99-0EE0-4231-830B-F51F6D4EF6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id="{570726BE-18E6-48C3-ACDB-55F8159648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675906AF-64F9-4C48-990B-BCCEE38937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79ED94F8-9BE9-4D9B-B2E9-0AF0690EBD6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2049ED68-E65A-4192-899F-3B253F02B3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A252A71C-2455-4130-B1C5-68E5BE3358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87E5986E-EB82-4F4E-8324-FFB11CFF6E4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67D43EA1-6C8C-4391-85BB-094237C210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AE6E3AC6-9AC0-44EA-91D3-9DEAD9EECAE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67196092-2EA4-4974-947A-15212A1778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85B45626-308B-4FDB-A2A3-594D6F7C32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691F75C9-51EA-469B-91B3-BCD1C683AB2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1CF68059-6A67-4A45-B532-4A7A6CA013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53D0ECED-662E-47F0-AE76-8DA27F78684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D2D888BF-2350-4565-B466-F1498C9132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91D7FC85-3CF9-402D-9F5B-434A830263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2D27CD9B-F92F-440A-93B6-A18A4957A8C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B9E3D38C-6442-43EE-8D91-58ABE4DB3E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05B6970B-1EF1-4A61-8B88-EBC00944F0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EB9A8726-BB81-47B0-9CED-EAD3B6F390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B17DDC5-033F-451C-937D-414EECCF96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A432FF14-D39C-4040-9553-CB47D0C05B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F7352702-E15D-4095-8890-206E825F65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C36E5804-6BE8-4CFA-8623-A4410885AE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B71957B2-F8F4-488F-B899-A7AABFC6A1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AB167719-BBFF-4CB6-B217-0E855070E6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9A790769-D65F-41F4-97DD-F84320CF94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25C5C2E9-F384-40FE-A08E-6DC163D30C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92F3483C-09CB-4489-977F-DC4BCD79AC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4C701A6F-7221-446A-AEB2-1C49B207DD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8AB400D6-2EC2-44B5-82BE-F5851E4332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id="{2AD7D513-227F-4D60-85B9-63E1DFC137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ED6DE77D-3F60-444D-BE3E-33780549001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1966B3F0-0168-40C6-823C-C58C898151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0AD9803B-AA82-413C-91E7-F8D4797898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41A1A0D1-1893-445A-9231-5066AE674B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3F75DC73-9DCE-452A-A150-83828385C09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62B43B8A-A53F-46EF-8EBB-3BFB0DF017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F9B146EB-FCAD-4D70-ABCB-51DC8178D5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B4181352-2281-4440-AE4F-1911596597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00904878-B8EB-42E3-A0B7-AA1869F6A14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1D84C79E-B848-45C6-9470-83C60DEB84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BFA5DE1A-31F0-4C12-AA9A-CFBD7B2F72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85747D80-157B-4DD9-8DC3-5188EF5EFF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5B8677FB-17D4-4BFF-8774-84EADB1CF5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BF1C7ED9-9F25-409C-9725-A269A2D4D4A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DE270F2C-873C-408B-AA83-C6FF8388ED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CAD1C5F6-8F40-4C6D-B646-A8CFBE9FBA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4D973E63-A6B1-4647-82B4-BD0311D466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99FBB26D-D4EF-476A-8667-324F750DE38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BBD6C0B6-4838-42F7-9708-F4E029F437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E9F517A7-C3CD-4D74-AF8F-7356C30C50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09076043-B9E4-4CF6-8D52-74FD7B6F8D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0FBCD138-DB03-4C5C-949A-D7D356D1BC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1FEEEFAD-B9BE-4830-B076-A2291680AA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E8DAAD40-9E74-4F42-A351-BFF0836EFA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8E0BCAAB-F297-4C1D-B4F1-4DE1FB6CAF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1D01064C-A268-433D-80D5-1B3D1C53963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528A93EA-84AA-4A22-AD77-FF98165BF5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21449957-5CEA-48BF-A2C4-5A14F7FA8F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56BDA591-59C7-407B-A1AA-9331EEED9C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D8B6A613-DD04-4598-A3CC-DECB10C2A6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1A57E58-38C6-44CC-98E5-C9CBD95C9A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3252DF4B-BC44-41D6-BB58-F726E5CD35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2F43F398-CA69-4ED9-AB8B-35E93D309D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3C48896D-B21C-4595-B696-1A201F6E88E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6E06DDB0-1ABF-4332-8852-2F276E4FAE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FA8B6998-4B58-4496-ADA7-5DD766B20BB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CB16E10A-EB31-414C-A2C2-9BA2971303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58F5CDC6-FCB6-4B2F-B6EB-70003F68A0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7D5DB318-DF3E-4D68-80AE-7A251644B4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312D2DC4-215E-49FE-81F8-77957C8AC72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6FDC1EC5-C86D-44F7-AAA2-E312757AF2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81A19A91-B313-4CAA-8EF6-5DA478D6CC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FD82ABE5-4E57-4ACC-B2BD-112ABF717E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A107ECEF-39C9-4256-A7F7-B0E8FE5027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3FCD1405-7D8B-4884-BCDF-E31C5B63C7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8ACBF810-FE54-4EE1-9C9A-1258DADCBA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913935E7-992C-4040-8BB6-17A815EF0F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B2EB15A8-D942-4C59-8BBB-82A1E6F7600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BFF302F5-5E12-4B50-B3C0-AF0F044B13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B2A3FB6B-F1A5-4EAA-80AB-0B79C1677D4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1CC203F8-1ADE-4F50-9F5A-AC6AA12BDF2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4ABE13FF-F20C-4A48-A51C-1609C89D15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F8B1D7E5-1D54-4CE9-ABEE-EB54B75E13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E25F459C-C94F-47BE-B106-C848A888EF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8350D2EF-846D-472E-AE43-DC37367DBA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306C430B-6470-44CC-8652-E36DAE0FE23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A0DA0E7E-881F-4859-A476-B7ECC540F63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id="{F8B59F65-960B-4DAC-98FE-A7EE99C3EB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55953849-FC7C-4712-8B29-97E58381D7F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60B6D9C4-0DF7-4BCC-8026-0281E1F3B1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1" name="Text Box 2">
          <a:extLst>
            <a:ext uri="{FF2B5EF4-FFF2-40B4-BE49-F238E27FC236}">
              <a16:creationId xmlns:a16="http://schemas.microsoft.com/office/drawing/2014/main" id="{222D5CB9-19A5-4AB6-A8FC-CD9D284BBB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id="{DEF51B3C-611C-446B-8CE5-CDA33D9A5EB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3" name="Text Box 2">
          <a:extLst>
            <a:ext uri="{FF2B5EF4-FFF2-40B4-BE49-F238E27FC236}">
              <a16:creationId xmlns:a16="http://schemas.microsoft.com/office/drawing/2014/main" id="{52B7F9A6-C36F-467B-A874-02D64C8D71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FB6863CE-B47B-462E-84F8-62413C93A7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6B78E2B0-A650-4318-A0B2-DC3B40F7B9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99EF9478-D84E-4FEA-97F5-13BED06DCD8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7" name="Text Box 2">
          <a:extLst>
            <a:ext uri="{FF2B5EF4-FFF2-40B4-BE49-F238E27FC236}">
              <a16:creationId xmlns:a16="http://schemas.microsoft.com/office/drawing/2014/main" id="{D936A00F-9990-4D0A-90EF-0BB1BCDE0F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9AB5B6B1-FF69-4247-A50A-9442928E38F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ACE780FF-69A9-452B-A3CE-E07E66D337E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9573D34F-79E4-4474-88FE-9AAB969E5EC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1" name="Text Box 2">
          <a:extLst>
            <a:ext uri="{FF2B5EF4-FFF2-40B4-BE49-F238E27FC236}">
              <a16:creationId xmlns:a16="http://schemas.microsoft.com/office/drawing/2014/main" id="{5B728BFD-B32F-4E14-B1D2-3740183E00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B8E4B790-A34C-4D8A-AA4A-A423EBA03A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BF4BAA06-39F8-4026-9375-437E72AF6A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EFD9021F-0FDD-45F7-A728-6C5563A1AD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5" name="Text Box 2">
          <a:extLst>
            <a:ext uri="{FF2B5EF4-FFF2-40B4-BE49-F238E27FC236}">
              <a16:creationId xmlns:a16="http://schemas.microsoft.com/office/drawing/2014/main" id="{EAE3466A-4425-4002-9A18-97ECB506166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83D270CC-72AE-4028-BF67-C38802625B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962C1FCF-AABF-4DAE-8ACE-B56120460F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49F5DD5C-C80A-430B-9F56-B2FF8A65FF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69" name="Text Box 2">
          <a:extLst>
            <a:ext uri="{FF2B5EF4-FFF2-40B4-BE49-F238E27FC236}">
              <a16:creationId xmlns:a16="http://schemas.microsoft.com/office/drawing/2014/main" id="{5D26EBB1-A9F7-490C-8028-A6FFAC86B4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C4B215B8-25F8-46E2-B4DB-8656D75121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92AC90A0-6E75-4008-9DF9-DF75064D902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6E0EE3D8-DCDE-4681-AF3B-D0D61D485B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3" name="Text Box 2">
          <a:extLst>
            <a:ext uri="{FF2B5EF4-FFF2-40B4-BE49-F238E27FC236}">
              <a16:creationId xmlns:a16="http://schemas.microsoft.com/office/drawing/2014/main" id="{B2BC5D11-CEAD-4668-AAAF-B54A98F0C2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637E1866-261F-4C26-A216-9972A23195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48303CE2-53AD-45C1-8351-61E84B0020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623D548E-6E64-4D28-A3D6-5C23DBFBA7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7" name="Text Box 2">
          <a:extLst>
            <a:ext uri="{FF2B5EF4-FFF2-40B4-BE49-F238E27FC236}">
              <a16:creationId xmlns:a16="http://schemas.microsoft.com/office/drawing/2014/main" id="{B81FE589-5F02-43B2-951C-90886454EC3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D9BBBA9A-99D9-4344-8819-1AA2F101E9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7B0123AF-54CF-46E5-9287-0B97308BDD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3D301E8A-8087-427C-88A1-0F8272EA91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0465006A-259D-4012-A640-66FD424EC6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id="{9A3A378C-1129-4E36-A4BB-C35E85B505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2A387574-27A3-4446-811C-FE47416254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B692EC18-3210-4037-800C-962CBD11BE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E3CF7227-C59C-4927-8883-FA953BC9B36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3DA5D99C-87FB-41A1-808D-1DCA2DFC415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AEF035E9-808F-4673-83B1-16FD1AB0BD5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B54A6063-F9F8-4D49-96B8-837854567D1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1340763F-4DF0-4BEE-BD44-9EF945E1FB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id="{02B2FD89-DFF2-44AB-B12A-90F78E8DA3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EF198917-A900-42E3-8622-81AD0EF5A5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ECB40B8C-9285-43BC-907C-947E3F5778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3" name="Text Box 2">
          <a:extLst>
            <a:ext uri="{FF2B5EF4-FFF2-40B4-BE49-F238E27FC236}">
              <a16:creationId xmlns:a16="http://schemas.microsoft.com/office/drawing/2014/main" id="{E04FE950-C53B-482E-96A5-9B3A2C9A04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4" name="Text Box 1">
          <a:extLst>
            <a:ext uri="{FF2B5EF4-FFF2-40B4-BE49-F238E27FC236}">
              <a16:creationId xmlns:a16="http://schemas.microsoft.com/office/drawing/2014/main" id="{280F41B9-827D-46F7-B22C-66715A00D1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5" name="Text Box 2">
          <a:extLst>
            <a:ext uri="{FF2B5EF4-FFF2-40B4-BE49-F238E27FC236}">
              <a16:creationId xmlns:a16="http://schemas.microsoft.com/office/drawing/2014/main" id="{A6E134FC-4833-4516-8895-212EAA17AD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167B4CC4-D912-498E-B883-FE951C8854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7" name="Text Box 2">
          <a:extLst>
            <a:ext uri="{FF2B5EF4-FFF2-40B4-BE49-F238E27FC236}">
              <a16:creationId xmlns:a16="http://schemas.microsoft.com/office/drawing/2014/main" id="{ED4F4DE4-EE24-4BD5-B38E-41F22CCE02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845BC61F-9DB7-46E7-AADB-88A0FDAC1C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499" name="Text Box 2">
          <a:extLst>
            <a:ext uri="{FF2B5EF4-FFF2-40B4-BE49-F238E27FC236}">
              <a16:creationId xmlns:a16="http://schemas.microsoft.com/office/drawing/2014/main" id="{F5C866D5-94E3-4D08-859F-B030FBBB79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5EF7CE3B-211A-4966-9532-3FE6FBFDAD0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AA4EF055-EC5B-4F8D-AF5D-F292D53FF5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4F2EB183-C6D3-4A84-A614-4E5EE1A1705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3" name="Text Box 2">
          <a:extLst>
            <a:ext uri="{FF2B5EF4-FFF2-40B4-BE49-F238E27FC236}">
              <a16:creationId xmlns:a16="http://schemas.microsoft.com/office/drawing/2014/main" id="{0C7171C0-AB89-4AC7-9A47-1045D5E622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937C790C-2668-4D7E-A321-2326B8FB25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994EAF9F-52E5-44A4-9996-EDBEF42B57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D990370E-EB16-495C-A0A2-2A6B09EA31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7" name="Text Box 2">
          <a:extLst>
            <a:ext uri="{FF2B5EF4-FFF2-40B4-BE49-F238E27FC236}">
              <a16:creationId xmlns:a16="http://schemas.microsoft.com/office/drawing/2014/main" id="{9F353323-188B-4758-BC27-A2F0217109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DC4757FC-B788-4278-B746-7278B311006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C238966D-975A-4AAE-B717-BCFBBED25A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95AD83CE-21AE-4DB5-B104-E53D376B53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5E78AF8F-14B8-433E-AB4F-0AC9A24192B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5DEB76FE-FCB5-4D15-B618-1727F03E4E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CF710B5A-41A5-4DF9-8C48-0E9E24992B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1B2887CE-E896-4868-953C-9D45638030C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5" name="Text Box 2">
          <a:extLst>
            <a:ext uri="{FF2B5EF4-FFF2-40B4-BE49-F238E27FC236}">
              <a16:creationId xmlns:a16="http://schemas.microsoft.com/office/drawing/2014/main" id="{1622970B-CAEB-46E6-BDF7-9EBE5EF0DF5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E28D8B7C-7321-4B8B-AD0D-4F2E42BDCA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FC5862C3-13AA-4674-B021-2C1E3C7693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736952D6-D066-4476-BDBC-0987C4D605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19" name="Text Box 2">
          <a:extLst>
            <a:ext uri="{FF2B5EF4-FFF2-40B4-BE49-F238E27FC236}">
              <a16:creationId xmlns:a16="http://schemas.microsoft.com/office/drawing/2014/main" id="{0A13D293-692C-49E4-BC9B-51C01CCF10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B75B3553-95EC-4D47-8DB6-DEFB8D4DD2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D489E697-C961-4AE0-9C65-97B3CA3FE7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B8228A00-F06F-483B-8B4A-4E0D5B7800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78CD5801-86BA-46C4-955F-D317C38440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037F70A9-D9C9-46B7-A7D8-060D2050CF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5" name="Text Box 2">
          <a:extLst>
            <a:ext uri="{FF2B5EF4-FFF2-40B4-BE49-F238E27FC236}">
              <a16:creationId xmlns:a16="http://schemas.microsoft.com/office/drawing/2014/main" id="{E756C1E1-130B-4B69-8494-A759F783717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02E34467-AF85-4343-9E50-7C578F9BBF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08F59A0D-A52A-4577-851D-6F808FB093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id="{92A98E05-A5E0-41EF-AE37-76DFA842E0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29" name="Text Box 2">
          <a:extLst>
            <a:ext uri="{FF2B5EF4-FFF2-40B4-BE49-F238E27FC236}">
              <a16:creationId xmlns:a16="http://schemas.microsoft.com/office/drawing/2014/main" id="{5BE97230-637D-4572-A8B9-AEFF4514DA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75C681A7-D022-4BF4-8AEC-1ECBB8242F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1" name="Text Box 2">
          <a:extLst>
            <a:ext uri="{FF2B5EF4-FFF2-40B4-BE49-F238E27FC236}">
              <a16:creationId xmlns:a16="http://schemas.microsoft.com/office/drawing/2014/main" id="{DBE770E0-C772-41C4-9B41-90A9C86A69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id="{F09271DF-8504-4C0B-B016-5A53CBE91B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3" name="Text Box 2">
          <a:extLst>
            <a:ext uri="{FF2B5EF4-FFF2-40B4-BE49-F238E27FC236}">
              <a16:creationId xmlns:a16="http://schemas.microsoft.com/office/drawing/2014/main" id="{727C3A09-5A92-404A-B04B-D80A61A05B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3BA5EA50-ECAB-4FAB-93C1-6CBFE903FC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5" name="Text Box 2">
          <a:extLst>
            <a:ext uri="{FF2B5EF4-FFF2-40B4-BE49-F238E27FC236}">
              <a16:creationId xmlns:a16="http://schemas.microsoft.com/office/drawing/2014/main" id="{CC21263A-376B-4968-913F-6D8F3B07786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id="{BB4C75F7-8507-4201-8C77-A3CF431C75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7" name="Text Box 2">
          <a:extLst>
            <a:ext uri="{FF2B5EF4-FFF2-40B4-BE49-F238E27FC236}">
              <a16:creationId xmlns:a16="http://schemas.microsoft.com/office/drawing/2014/main" id="{02BD0ADA-E358-4355-98DE-AC6C0D3573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C124A32B-BD2A-4A63-A186-E52A6BFC14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39" name="Text Box 2">
          <a:extLst>
            <a:ext uri="{FF2B5EF4-FFF2-40B4-BE49-F238E27FC236}">
              <a16:creationId xmlns:a16="http://schemas.microsoft.com/office/drawing/2014/main" id="{A4229D20-F743-4B58-819C-6A36BE1B29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id="{FDBE06BF-4B25-4250-841C-B1245F82F3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1" name="Text Box 2">
          <a:extLst>
            <a:ext uri="{FF2B5EF4-FFF2-40B4-BE49-F238E27FC236}">
              <a16:creationId xmlns:a16="http://schemas.microsoft.com/office/drawing/2014/main" id="{1018E0BC-BFF9-4B9B-BCAC-496E0F88FF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24912EC2-7CF1-460D-945E-B9FD0401CC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3" name="Text Box 2">
          <a:extLst>
            <a:ext uri="{FF2B5EF4-FFF2-40B4-BE49-F238E27FC236}">
              <a16:creationId xmlns:a16="http://schemas.microsoft.com/office/drawing/2014/main" id="{7D66820F-F119-4FE2-99D5-1E7EBC990B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id="{C3EFF906-A1FE-4BC0-A8BA-0DA59A38A5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5" name="Text Box 2">
          <a:extLst>
            <a:ext uri="{FF2B5EF4-FFF2-40B4-BE49-F238E27FC236}">
              <a16:creationId xmlns:a16="http://schemas.microsoft.com/office/drawing/2014/main" id="{4095E001-FB35-4A53-9809-4BF4CCB891F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87F2B488-35E7-4A41-A1E1-BA5CD3559B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C9DDD376-CD8E-47BF-8F78-FF14C9B58AC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B118E7E4-E9F2-451D-A0CB-95BC5714F2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49" name="Text Box 2">
          <a:extLst>
            <a:ext uri="{FF2B5EF4-FFF2-40B4-BE49-F238E27FC236}">
              <a16:creationId xmlns:a16="http://schemas.microsoft.com/office/drawing/2014/main" id="{335B6290-A0F3-4DFF-BB05-AC1BAEF098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8F1E9367-876E-4E5B-BEE8-FAF9891FEA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994A1438-C5E3-4B88-BCF5-9C9BB84A546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325752F0-E4C9-4AC6-A81D-E2AA2768D9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3" name="Text Box 2">
          <a:extLst>
            <a:ext uri="{FF2B5EF4-FFF2-40B4-BE49-F238E27FC236}">
              <a16:creationId xmlns:a16="http://schemas.microsoft.com/office/drawing/2014/main" id="{3E814995-3BE1-4F73-A7DD-73474D1A78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FF3877C3-8994-4EC9-9359-C4866681F0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9C461D38-FBEC-4A9E-8BEC-7847F1569F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CF6D85AE-D0A6-45B7-8170-1DE4C2B676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7" name="Text Box 2">
          <a:extLst>
            <a:ext uri="{FF2B5EF4-FFF2-40B4-BE49-F238E27FC236}">
              <a16:creationId xmlns:a16="http://schemas.microsoft.com/office/drawing/2014/main" id="{9A414393-1C0D-4C06-8500-476C9DFDA4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72A1672C-5FC3-4672-BE98-F034ABEE4A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D7813E36-46E0-466B-A1E4-92453DB850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C611EF96-70EF-4E81-AB27-83FB21AF96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1" name="Text Box 2">
          <a:extLst>
            <a:ext uri="{FF2B5EF4-FFF2-40B4-BE49-F238E27FC236}">
              <a16:creationId xmlns:a16="http://schemas.microsoft.com/office/drawing/2014/main" id="{FEB96777-3FD6-4AED-9536-8D3B7ABD1B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C69D99E5-F9A0-42F3-99D7-8AFF011848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F7FD0B4B-7BFA-4A05-8E75-0CE9D46907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1AA9FAB1-2CB6-48FF-B4F0-E63A1268A8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5" name="Text Box 2">
          <a:extLst>
            <a:ext uri="{FF2B5EF4-FFF2-40B4-BE49-F238E27FC236}">
              <a16:creationId xmlns:a16="http://schemas.microsoft.com/office/drawing/2014/main" id="{3D668CC9-4743-44C3-9E41-BD3C07F624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EF366F0C-94F4-47E5-B86D-D0ABEB78CE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8760BF88-B159-426A-940A-A767E6064A3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72B4A3E3-47A9-4369-AD6A-F7ABEF8848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69" name="Text Box 2">
          <a:extLst>
            <a:ext uri="{FF2B5EF4-FFF2-40B4-BE49-F238E27FC236}">
              <a16:creationId xmlns:a16="http://schemas.microsoft.com/office/drawing/2014/main" id="{5A7D50A9-8624-43A8-9AAB-CDCE969095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0" name="Text Box 1">
          <a:extLst>
            <a:ext uri="{FF2B5EF4-FFF2-40B4-BE49-F238E27FC236}">
              <a16:creationId xmlns:a16="http://schemas.microsoft.com/office/drawing/2014/main" id="{01475037-9795-48F6-BDD0-FA6F78E85E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1" name="Text Box 2">
          <a:extLst>
            <a:ext uri="{FF2B5EF4-FFF2-40B4-BE49-F238E27FC236}">
              <a16:creationId xmlns:a16="http://schemas.microsoft.com/office/drawing/2014/main" id="{F0AC89AB-04AD-4D0F-969A-AA16DF51C8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F7183F69-FFE2-4550-B841-9BF599C53A5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3" name="Text Box 2">
          <a:extLst>
            <a:ext uri="{FF2B5EF4-FFF2-40B4-BE49-F238E27FC236}">
              <a16:creationId xmlns:a16="http://schemas.microsoft.com/office/drawing/2014/main" id="{E8C94E54-EBA5-4579-A6ED-6CCD52C21AE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4" name="Text Box 1">
          <a:extLst>
            <a:ext uri="{FF2B5EF4-FFF2-40B4-BE49-F238E27FC236}">
              <a16:creationId xmlns:a16="http://schemas.microsoft.com/office/drawing/2014/main" id="{3A1EA005-257C-4828-9C99-0EB855B6D6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5" name="Text Box 2">
          <a:extLst>
            <a:ext uri="{FF2B5EF4-FFF2-40B4-BE49-F238E27FC236}">
              <a16:creationId xmlns:a16="http://schemas.microsoft.com/office/drawing/2014/main" id="{9C479FC3-85FE-4468-A0A9-4E4228EE16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70712901-7CBC-4055-B465-0067D81ACB4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7" name="Text Box 2">
          <a:extLst>
            <a:ext uri="{FF2B5EF4-FFF2-40B4-BE49-F238E27FC236}">
              <a16:creationId xmlns:a16="http://schemas.microsoft.com/office/drawing/2014/main" id="{9B7B91F1-2843-4EAD-B94B-2104F02776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8" name="Text Box 1">
          <a:extLst>
            <a:ext uri="{FF2B5EF4-FFF2-40B4-BE49-F238E27FC236}">
              <a16:creationId xmlns:a16="http://schemas.microsoft.com/office/drawing/2014/main" id="{E982541E-79F5-447D-9140-DF5592AD3B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79" name="Text Box 2">
          <a:extLst>
            <a:ext uri="{FF2B5EF4-FFF2-40B4-BE49-F238E27FC236}">
              <a16:creationId xmlns:a16="http://schemas.microsoft.com/office/drawing/2014/main" id="{A82E1FF7-6AA3-45C3-9C9B-5A69991247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C54A0FFE-8AB3-4C42-B523-1CCEA09254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1" name="Text Box 2">
          <a:extLst>
            <a:ext uri="{FF2B5EF4-FFF2-40B4-BE49-F238E27FC236}">
              <a16:creationId xmlns:a16="http://schemas.microsoft.com/office/drawing/2014/main" id="{3B3E7BDC-3A32-473C-989F-FE8A1EF842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2" name="Text Box 1">
          <a:extLst>
            <a:ext uri="{FF2B5EF4-FFF2-40B4-BE49-F238E27FC236}">
              <a16:creationId xmlns:a16="http://schemas.microsoft.com/office/drawing/2014/main" id="{668ABC34-B23B-49E0-B49A-E5861E3DF2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3" name="Text Box 2">
          <a:extLst>
            <a:ext uri="{FF2B5EF4-FFF2-40B4-BE49-F238E27FC236}">
              <a16:creationId xmlns:a16="http://schemas.microsoft.com/office/drawing/2014/main" id="{6B8CB96D-5455-439B-B78E-E859AD40275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0F67BBCD-B684-4FFC-A59B-2085E00E21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5" name="Text Box 2">
          <a:extLst>
            <a:ext uri="{FF2B5EF4-FFF2-40B4-BE49-F238E27FC236}">
              <a16:creationId xmlns:a16="http://schemas.microsoft.com/office/drawing/2014/main" id="{FFA0B412-E783-43BA-9345-39276F6A976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id="{C2F4A5E9-E009-4EA8-A567-056821F0A8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7" name="Text Box 2">
          <a:extLst>
            <a:ext uri="{FF2B5EF4-FFF2-40B4-BE49-F238E27FC236}">
              <a16:creationId xmlns:a16="http://schemas.microsoft.com/office/drawing/2014/main" id="{ACED5E09-C406-4CCE-9A61-4789697A2D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AF0F8C91-C7C0-4259-8E79-39A3DE9D3E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89" name="Text Box 2">
          <a:extLst>
            <a:ext uri="{FF2B5EF4-FFF2-40B4-BE49-F238E27FC236}">
              <a16:creationId xmlns:a16="http://schemas.microsoft.com/office/drawing/2014/main" id="{F0769134-6A43-48D3-9A8B-6B2F51B609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0E0EC10D-E7AE-4FE5-8349-7B923022CF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1" name="Text Box 2">
          <a:extLst>
            <a:ext uri="{FF2B5EF4-FFF2-40B4-BE49-F238E27FC236}">
              <a16:creationId xmlns:a16="http://schemas.microsoft.com/office/drawing/2014/main" id="{3B7AF0CF-2A6B-4AF9-A448-44DADE59D8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FDFB9985-EF6A-4F5F-ABA1-A60EE7929A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F0F77109-47F0-4572-8420-849DEC4A6D3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4563A616-007D-47E6-8D7E-449FC78EB7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5" name="Text Box 2">
          <a:extLst>
            <a:ext uri="{FF2B5EF4-FFF2-40B4-BE49-F238E27FC236}">
              <a16:creationId xmlns:a16="http://schemas.microsoft.com/office/drawing/2014/main" id="{C8B5150B-DECA-4077-9B2B-871902B018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05BFFBB3-814B-4777-A65A-7D40B4D6EE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B84D7EC0-8DE3-4BC6-A230-128112AA7E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F2DD6E38-1CAB-4608-B293-0B4AF84A10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599" name="Text Box 2">
          <a:extLst>
            <a:ext uri="{FF2B5EF4-FFF2-40B4-BE49-F238E27FC236}">
              <a16:creationId xmlns:a16="http://schemas.microsoft.com/office/drawing/2014/main" id="{B2AC076A-7CCB-407B-8FE3-EFC8CD2B3D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AB2060B3-F980-4B54-B330-6046C55E50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0881C927-BC10-4C5C-A5C6-67E2A38037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AC57612E-A0C8-4A6D-BCBC-41D6AEB52A0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3" name="Text Box 2">
          <a:extLst>
            <a:ext uri="{FF2B5EF4-FFF2-40B4-BE49-F238E27FC236}">
              <a16:creationId xmlns:a16="http://schemas.microsoft.com/office/drawing/2014/main" id="{AA46362A-E8FA-4CC4-A16B-E3F0E408E7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50C841BA-0562-447A-91D6-07D41AE518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477CB3CB-FAFF-44B4-95F9-CDA9F8106F6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E43C6DC4-B2BE-437F-8CEE-AADA00B00B6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7" name="Text Box 2">
          <a:extLst>
            <a:ext uri="{FF2B5EF4-FFF2-40B4-BE49-F238E27FC236}">
              <a16:creationId xmlns:a16="http://schemas.microsoft.com/office/drawing/2014/main" id="{687F30EF-F0ED-4A91-9D0B-0546FAA031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5A0F607D-6AA9-4766-B86A-4BB86942E1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D43F9374-FD0D-4AE2-8EB2-01AF631030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022C08C3-B0BC-4665-8DA6-0B734621C23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1" name="Text Box 2">
          <a:extLst>
            <a:ext uri="{FF2B5EF4-FFF2-40B4-BE49-F238E27FC236}">
              <a16:creationId xmlns:a16="http://schemas.microsoft.com/office/drawing/2014/main" id="{A6EE6677-A7EA-4BC1-B8E9-39FBE31C7C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0ACB5B69-2060-493B-9E70-A9F51D6D8E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080DE270-DBF0-4A2C-968A-886008A75A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BB83A278-8EEF-4F91-BD99-537F7D8E430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5" name="Text Box 2">
          <a:extLst>
            <a:ext uri="{FF2B5EF4-FFF2-40B4-BE49-F238E27FC236}">
              <a16:creationId xmlns:a16="http://schemas.microsoft.com/office/drawing/2014/main" id="{722A1367-CA7D-4467-934B-76DAB4E6AF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id="{1DCC741B-B8C2-4BBA-8D56-671F47A826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7" name="Text Box 2">
          <a:extLst>
            <a:ext uri="{FF2B5EF4-FFF2-40B4-BE49-F238E27FC236}">
              <a16:creationId xmlns:a16="http://schemas.microsoft.com/office/drawing/2014/main" id="{D9174B9F-E7B8-4126-80C7-F7D0EBFCDF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721E819C-BF0A-4F1B-ABB7-7988A0B4895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19" name="Text Box 2">
          <a:extLst>
            <a:ext uri="{FF2B5EF4-FFF2-40B4-BE49-F238E27FC236}">
              <a16:creationId xmlns:a16="http://schemas.microsoft.com/office/drawing/2014/main" id="{EB113475-A33D-4CCE-8437-41078C3D5F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id="{C74D736F-1B69-4DEF-9B12-7E79B9F271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1" name="Text Box 2">
          <a:extLst>
            <a:ext uri="{FF2B5EF4-FFF2-40B4-BE49-F238E27FC236}">
              <a16:creationId xmlns:a16="http://schemas.microsoft.com/office/drawing/2014/main" id="{54595D88-88A3-4CC5-91B2-FB2D8E21A3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976EE2CD-6771-405B-9D86-622AA6FE63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3" name="Text Box 2">
          <a:extLst>
            <a:ext uri="{FF2B5EF4-FFF2-40B4-BE49-F238E27FC236}">
              <a16:creationId xmlns:a16="http://schemas.microsoft.com/office/drawing/2014/main" id="{BAB193FB-8FC5-4CA2-8335-F65BE4D17CB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4" name="Text Box 1">
          <a:extLst>
            <a:ext uri="{FF2B5EF4-FFF2-40B4-BE49-F238E27FC236}">
              <a16:creationId xmlns:a16="http://schemas.microsoft.com/office/drawing/2014/main" id="{619831AD-40EC-4075-8C39-34EEE2485A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5" name="Text Box 2">
          <a:extLst>
            <a:ext uri="{FF2B5EF4-FFF2-40B4-BE49-F238E27FC236}">
              <a16:creationId xmlns:a16="http://schemas.microsoft.com/office/drawing/2014/main" id="{E65FC2C7-1971-463F-9184-419F9FC02F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686DA29D-0DEF-4C99-8FE4-C57E448F15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7" name="Text Box 2">
          <a:extLst>
            <a:ext uri="{FF2B5EF4-FFF2-40B4-BE49-F238E27FC236}">
              <a16:creationId xmlns:a16="http://schemas.microsoft.com/office/drawing/2014/main" id="{794633C3-8A38-4AE8-92CB-54002751FC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id="{1D3E5B8B-E214-43FB-8AF3-D641547BCBF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29" name="Text Box 2">
          <a:extLst>
            <a:ext uri="{FF2B5EF4-FFF2-40B4-BE49-F238E27FC236}">
              <a16:creationId xmlns:a16="http://schemas.microsoft.com/office/drawing/2014/main" id="{E0755189-96CB-4E56-8BA4-A4070ABC1C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40D7163A-4C21-4E48-A116-239DE4409F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1" name="Text Box 2">
          <a:extLst>
            <a:ext uri="{FF2B5EF4-FFF2-40B4-BE49-F238E27FC236}">
              <a16:creationId xmlns:a16="http://schemas.microsoft.com/office/drawing/2014/main" id="{2E27B390-0447-42A0-841D-70E717EAB3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2" name="Text Box 1">
          <a:extLst>
            <a:ext uri="{FF2B5EF4-FFF2-40B4-BE49-F238E27FC236}">
              <a16:creationId xmlns:a16="http://schemas.microsoft.com/office/drawing/2014/main" id="{280EC534-32A8-4138-8A0C-C7D8CBFE4C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3" name="Text Box 2">
          <a:extLst>
            <a:ext uri="{FF2B5EF4-FFF2-40B4-BE49-F238E27FC236}">
              <a16:creationId xmlns:a16="http://schemas.microsoft.com/office/drawing/2014/main" id="{6CCFD5D6-B7AD-4DFA-8441-D53AD12A83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04D250A7-3151-4528-AF52-3A6EEE6A17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5" name="Text Box 2">
          <a:extLst>
            <a:ext uri="{FF2B5EF4-FFF2-40B4-BE49-F238E27FC236}">
              <a16:creationId xmlns:a16="http://schemas.microsoft.com/office/drawing/2014/main" id="{C35D1434-9FAF-4409-B56C-5CA17EC0993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6" name="Text Box 1">
          <a:extLst>
            <a:ext uri="{FF2B5EF4-FFF2-40B4-BE49-F238E27FC236}">
              <a16:creationId xmlns:a16="http://schemas.microsoft.com/office/drawing/2014/main" id="{BCB40C50-4347-4B3F-BC35-466F4A2AE0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7" name="Text Box 2">
          <a:extLst>
            <a:ext uri="{FF2B5EF4-FFF2-40B4-BE49-F238E27FC236}">
              <a16:creationId xmlns:a16="http://schemas.microsoft.com/office/drawing/2014/main" id="{8945BFA7-C35E-4EDC-98BF-EAB61BC7C1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132BBB0C-76A7-42E5-B895-5166B931BB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26BB7C65-53AD-4EC2-8ADC-A76EC65910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81E521F6-AF5B-4343-AFE1-C15CC9648F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1" name="Text Box 2">
          <a:extLst>
            <a:ext uri="{FF2B5EF4-FFF2-40B4-BE49-F238E27FC236}">
              <a16:creationId xmlns:a16="http://schemas.microsoft.com/office/drawing/2014/main" id="{075170D1-FE22-41EF-8492-A9D8689397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12C44D4A-FDF1-4C80-AA53-76993D4AE2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892FC544-FCF6-46A1-91E5-F12FABFFB4C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E4B533F8-65E4-41A1-B3B8-C78FEFECA1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5" name="Text Box 2">
          <a:extLst>
            <a:ext uri="{FF2B5EF4-FFF2-40B4-BE49-F238E27FC236}">
              <a16:creationId xmlns:a16="http://schemas.microsoft.com/office/drawing/2014/main" id="{2A1D7900-0553-4FCA-9256-55DABBDAA9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C937429F-C4F9-4C56-82DA-E7BEC21BA34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11667322-220C-4158-8AD4-87972A9F66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F9568096-F392-4E4D-9F38-BC6D3FB60BB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49" name="Text Box 2">
          <a:extLst>
            <a:ext uri="{FF2B5EF4-FFF2-40B4-BE49-F238E27FC236}">
              <a16:creationId xmlns:a16="http://schemas.microsoft.com/office/drawing/2014/main" id="{79E67B05-B44B-400B-9A40-685143A8A3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ABFF399D-B6C4-4641-B88D-BEF9FBB04E6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3763581B-330C-4590-93DF-701B1D5696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7B5002CB-FD4D-408F-B261-F3C6224E62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3" name="Text Box 2">
          <a:extLst>
            <a:ext uri="{FF2B5EF4-FFF2-40B4-BE49-F238E27FC236}">
              <a16:creationId xmlns:a16="http://schemas.microsoft.com/office/drawing/2014/main" id="{4A8A6636-515F-4306-BC7A-13E50500BB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80F8C8DE-3938-43C7-821D-B2B1EAE579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636AB09B-F12A-4848-93F2-9C3BF3DB23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EAEAAB65-834E-4160-9AAD-B93C5A19CD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7" name="Text Box 2">
          <a:extLst>
            <a:ext uri="{FF2B5EF4-FFF2-40B4-BE49-F238E27FC236}">
              <a16:creationId xmlns:a16="http://schemas.microsoft.com/office/drawing/2014/main" id="{3B13B2AD-63D8-41A9-9228-8FCB583BE8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40826F35-1A7E-47F7-A402-83D82C1525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7FF8CDB8-FB3D-47A0-B816-CC34ADE13D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98EF7DF3-70D2-4634-9D36-DEE2990110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1" name="Text Box 2">
          <a:extLst>
            <a:ext uri="{FF2B5EF4-FFF2-40B4-BE49-F238E27FC236}">
              <a16:creationId xmlns:a16="http://schemas.microsoft.com/office/drawing/2014/main" id="{CEBEC5C9-E1CC-445B-B124-0F5E8B57564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id="{B66BCDB9-8D01-41F3-91FB-1B60DE329B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3" name="Text Box 2">
          <a:extLst>
            <a:ext uri="{FF2B5EF4-FFF2-40B4-BE49-F238E27FC236}">
              <a16:creationId xmlns:a16="http://schemas.microsoft.com/office/drawing/2014/main" id="{3BD80449-3500-4C63-AA3D-5342179E49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0DBE1D90-6620-42C1-89DC-E19189D24F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5" name="Text Box 2">
          <a:extLst>
            <a:ext uri="{FF2B5EF4-FFF2-40B4-BE49-F238E27FC236}">
              <a16:creationId xmlns:a16="http://schemas.microsoft.com/office/drawing/2014/main" id="{9A057E98-BE82-4D2F-A6B6-22F4B163DA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8178F91B-5351-439C-B28A-41D60CA311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7" name="Text Box 2">
          <a:extLst>
            <a:ext uri="{FF2B5EF4-FFF2-40B4-BE49-F238E27FC236}">
              <a16:creationId xmlns:a16="http://schemas.microsoft.com/office/drawing/2014/main" id="{5AACE4A1-983F-48E3-B1F0-FE06949CB4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6941C46E-1167-43DD-80E2-12CEBEEC78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69" name="Text Box 2">
          <a:extLst>
            <a:ext uri="{FF2B5EF4-FFF2-40B4-BE49-F238E27FC236}">
              <a16:creationId xmlns:a16="http://schemas.microsoft.com/office/drawing/2014/main" id="{93BE31B4-20A2-4AB1-BB11-3191E52304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0" name="Text Box 1">
          <a:extLst>
            <a:ext uri="{FF2B5EF4-FFF2-40B4-BE49-F238E27FC236}">
              <a16:creationId xmlns:a16="http://schemas.microsoft.com/office/drawing/2014/main" id="{895B2D41-7D0A-4A11-BDB1-8F3FBAEEDD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1" name="Text Box 2">
          <a:extLst>
            <a:ext uri="{FF2B5EF4-FFF2-40B4-BE49-F238E27FC236}">
              <a16:creationId xmlns:a16="http://schemas.microsoft.com/office/drawing/2014/main" id="{79930DE8-4D3C-46BC-B604-1A362582A6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00486110-F1DD-4C57-9063-99A5B7F158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3" name="Text Box 2">
          <a:extLst>
            <a:ext uri="{FF2B5EF4-FFF2-40B4-BE49-F238E27FC236}">
              <a16:creationId xmlns:a16="http://schemas.microsoft.com/office/drawing/2014/main" id="{E9A80EF8-E505-4B11-B8BD-64B6CE9102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4" name="Text Box 1">
          <a:extLst>
            <a:ext uri="{FF2B5EF4-FFF2-40B4-BE49-F238E27FC236}">
              <a16:creationId xmlns:a16="http://schemas.microsoft.com/office/drawing/2014/main" id="{6C97EC68-897B-453A-B9E9-3A141C260E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5" name="Text Box 2">
          <a:extLst>
            <a:ext uri="{FF2B5EF4-FFF2-40B4-BE49-F238E27FC236}">
              <a16:creationId xmlns:a16="http://schemas.microsoft.com/office/drawing/2014/main" id="{3AA69554-EAA2-490D-AD00-B420BA1334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E51F6A3B-08C6-4CA5-866F-8C2BC385BC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7" name="Text Box 2">
          <a:extLst>
            <a:ext uri="{FF2B5EF4-FFF2-40B4-BE49-F238E27FC236}">
              <a16:creationId xmlns:a16="http://schemas.microsoft.com/office/drawing/2014/main" id="{822AC6B3-5D40-4F4F-A9FA-024B0128AA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id="{765F5BA6-9D5B-4A42-A20F-0F6375808B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79" name="Text Box 2">
          <a:extLst>
            <a:ext uri="{FF2B5EF4-FFF2-40B4-BE49-F238E27FC236}">
              <a16:creationId xmlns:a16="http://schemas.microsoft.com/office/drawing/2014/main" id="{812CAAC5-97FB-48B2-876C-7DD458D052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37683D8B-8B0C-4AFA-9DAF-563A160108C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1" name="Text Box 2">
          <a:extLst>
            <a:ext uri="{FF2B5EF4-FFF2-40B4-BE49-F238E27FC236}">
              <a16:creationId xmlns:a16="http://schemas.microsoft.com/office/drawing/2014/main" id="{9E3ACC53-EDE9-405A-A09B-9716B4BABA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3B777375-5996-41B2-84A9-A044D154F8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3" name="Text Box 2">
          <a:extLst>
            <a:ext uri="{FF2B5EF4-FFF2-40B4-BE49-F238E27FC236}">
              <a16:creationId xmlns:a16="http://schemas.microsoft.com/office/drawing/2014/main" id="{B910AB35-BC6B-4440-925B-10B09D6205A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695FE7B8-9B3C-4370-8F2F-0A2ACA7683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F7B381E3-1E72-460F-BB2E-20DB91E95B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912A5789-BE66-4284-AFB8-09C22518C54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7" name="Text Box 2">
          <a:extLst>
            <a:ext uri="{FF2B5EF4-FFF2-40B4-BE49-F238E27FC236}">
              <a16:creationId xmlns:a16="http://schemas.microsoft.com/office/drawing/2014/main" id="{1DF6C361-3B43-482C-9482-BE7E555CE2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2C1E4ACF-2BC7-4E6F-951C-7EDE9E8CDF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EDFA406C-05D6-4289-8538-5175EB65A1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1E6077AB-C522-474D-9DDE-AB329BDCB2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1" name="Text Box 2">
          <a:extLst>
            <a:ext uri="{FF2B5EF4-FFF2-40B4-BE49-F238E27FC236}">
              <a16:creationId xmlns:a16="http://schemas.microsoft.com/office/drawing/2014/main" id="{FAF5F4D9-00AD-4521-9EE3-CA189B764E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E33C63EE-DA08-445A-A21A-4380919790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AD3FB6B2-1EF8-4D20-BA5C-A134E4FFF6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DE43C53F-89DF-44AD-9B88-B322BC6AF6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5" name="Text Box 2">
          <a:extLst>
            <a:ext uri="{FF2B5EF4-FFF2-40B4-BE49-F238E27FC236}">
              <a16:creationId xmlns:a16="http://schemas.microsoft.com/office/drawing/2014/main" id="{EB60A86E-DB39-4B4C-B8E9-28B40692EE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D036F023-B5B5-464C-8932-56E2820DFA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C4617E54-CE44-4CC2-8D10-11BEFEDE99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27CA92C1-8486-41DE-8FEA-45CBE08711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699" name="Text Box 2">
          <a:extLst>
            <a:ext uri="{FF2B5EF4-FFF2-40B4-BE49-F238E27FC236}">
              <a16:creationId xmlns:a16="http://schemas.microsoft.com/office/drawing/2014/main" id="{5AE58885-19F6-48DF-8682-6870EE29DCB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D775E25D-5E67-4C18-8ECE-8BB0D43177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F33EFA04-7E0E-4479-A6EE-43D882B7D3F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CE7D428D-37D7-47CB-B656-8BC662A4AA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3" name="Text Box 2">
          <a:extLst>
            <a:ext uri="{FF2B5EF4-FFF2-40B4-BE49-F238E27FC236}">
              <a16:creationId xmlns:a16="http://schemas.microsoft.com/office/drawing/2014/main" id="{56501CF7-1079-4731-9C85-715C4D0374B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34363B12-9F17-40C0-AC69-CB4B32BF2FF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51BB2756-F9AD-49E9-B353-2F85DB78A4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143B57FD-5C00-49B2-9630-68B2BDD738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7" name="Text Box 2">
          <a:extLst>
            <a:ext uri="{FF2B5EF4-FFF2-40B4-BE49-F238E27FC236}">
              <a16:creationId xmlns:a16="http://schemas.microsoft.com/office/drawing/2014/main" id="{C0A0AF7B-7831-4803-9700-901B186430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573B17BE-7A18-4438-BC41-CB0D48CA9C0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09" name="Text Box 2">
          <a:extLst>
            <a:ext uri="{FF2B5EF4-FFF2-40B4-BE49-F238E27FC236}">
              <a16:creationId xmlns:a16="http://schemas.microsoft.com/office/drawing/2014/main" id="{F1675487-71A2-4EAF-8CB7-96C1D8B04D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ABED4046-7C4C-4B19-B4FA-9C8A86C466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1" name="Text Box 2">
          <a:extLst>
            <a:ext uri="{FF2B5EF4-FFF2-40B4-BE49-F238E27FC236}">
              <a16:creationId xmlns:a16="http://schemas.microsoft.com/office/drawing/2014/main" id="{9C0FE85C-1336-4B7A-BA17-AD38460F83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670F767F-28F8-4BEE-A841-73F15423908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3" name="Text Box 2">
          <a:extLst>
            <a:ext uri="{FF2B5EF4-FFF2-40B4-BE49-F238E27FC236}">
              <a16:creationId xmlns:a16="http://schemas.microsoft.com/office/drawing/2014/main" id="{0FDDDB03-3C59-4107-A54F-62823208C0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562484DB-70AC-439E-BFA0-514A4CE017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5" name="Text Box 2">
          <a:extLst>
            <a:ext uri="{FF2B5EF4-FFF2-40B4-BE49-F238E27FC236}">
              <a16:creationId xmlns:a16="http://schemas.microsoft.com/office/drawing/2014/main" id="{3806867A-6E60-46BD-8EC0-CE89FC0074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F7BC521A-64F5-4398-951D-F7EDEA8259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7" name="Text Box 2">
          <a:extLst>
            <a:ext uri="{FF2B5EF4-FFF2-40B4-BE49-F238E27FC236}">
              <a16:creationId xmlns:a16="http://schemas.microsoft.com/office/drawing/2014/main" id="{3323A97C-11C3-4049-8992-32F22FF691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B0365C33-C535-41C5-85ED-A496F05FB3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19" name="Text Box 2">
          <a:extLst>
            <a:ext uri="{FF2B5EF4-FFF2-40B4-BE49-F238E27FC236}">
              <a16:creationId xmlns:a16="http://schemas.microsoft.com/office/drawing/2014/main" id="{63B3E691-AF79-4C8A-AD7B-C1B4665DC2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7935A136-9A4F-4E24-8C4A-961E186485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1" name="Text Box 2">
          <a:extLst>
            <a:ext uri="{FF2B5EF4-FFF2-40B4-BE49-F238E27FC236}">
              <a16:creationId xmlns:a16="http://schemas.microsoft.com/office/drawing/2014/main" id="{393DB06F-2EE2-4AD9-AABE-5344285F58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BC8255CC-8B69-41C6-9DB0-EA259E42EF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3" name="Text Box 2">
          <a:extLst>
            <a:ext uri="{FF2B5EF4-FFF2-40B4-BE49-F238E27FC236}">
              <a16:creationId xmlns:a16="http://schemas.microsoft.com/office/drawing/2014/main" id="{C9442982-48D2-4C74-97F6-80EDC5BD56C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B47E07CB-71A1-4EEF-9990-FDC9D852FC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5" name="Text Box 2">
          <a:extLst>
            <a:ext uri="{FF2B5EF4-FFF2-40B4-BE49-F238E27FC236}">
              <a16:creationId xmlns:a16="http://schemas.microsoft.com/office/drawing/2014/main" id="{1D972EA5-9846-445F-B795-94210F16D8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BF1CBEBC-2E69-4EFA-8B6C-543192EE492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7" name="Text Box 2">
          <a:extLst>
            <a:ext uri="{FF2B5EF4-FFF2-40B4-BE49-F238E27FC236}">
              <a16:creationId xmlns:a16="http://schemas.microsoft.com/office/drawing/2014/main" id="{2F0F847C-78FF-4E54-A9A7-F8D2C48CEE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id="{3B1856D5-DA37-45F2-BBCB-A39BF79746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29" name="Text Box 2">
          <a:extLst>
            <a:ext uri="{FF2B5EF4-FFF2-40B4-BE49-F238E27FC236}">
              <a16:creationId xmlns:a16="http://schemas.microsoft.com/office/drawing/2014/main" id="{5C2D564F-44BC-4545-82F3-0D46CEECEA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DC3A9FBE-51DD-452E-89DD-2BCB1D9C56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1" name="Text Box 2">
          <a:extLst>
            <a:ext uri="{FF2B5EF4-FFF2-40B4-BE49-F238E27FC236}">
              <a16:creationId xmlns:a16="http://schemas.microsoft.com/office/drawing/2014/main" id="{922080AA-660E-4E66-B5C6-77D5A977CB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75840ACF-28DC-4FCA-B866-EC50B5ADDD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3" name="Text Box 2">
          <a:extLst>
            <a:ext uri="{FF2B5EF4-FFF2-40B4-BE49-F238E27FC236}">
              <a16:creationId xmlns:a16="http://schemas.microsoft.com/office/drawing/2014/main" id="{843A4D35-23F0-496B-904F-19960220DC2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0520F899-8AF5-40E0-8219-4332840E6A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5" name="Text Box 2">
          <a:extLst>
            <a:ext uri="{FF2B5EF4-FFF2-40B4-BE49-F238E27FC236}">
              <a16:creationId xmlns:a16="http://schemas.microsoft.com/office/drawing/2014/main" id="{86A86294-C93A-43D3-B824-709B55A3C9D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7F9DBB90-F85B-4947-8D89-473D93EF0BA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7" name="Text Box 2">
          <a:extLst>
            <a:ext uri="{FF2B5EF4-FFF2-40B4-BE49-F238E27FC236}">
              <a16:creationId xmlns:a16="http://schemas.microsoft.com/office/drawing/2014/main" id="{B0D2CC8B-DE41-4416-8513-B512244AD1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226AC55C-88AA-4E03-B290-8F152CBD82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39" name="Text Box 2">
          <a:extLst>
            <a:ext uri="{FF2B5EF4-FFF2-40B4-BE49-F238E27FC236}">
              <a16:creationId xmlns:a16="http://schemas.microsoft.com/office/drawing/2014/main" id="{B4D53AFF-D1FF-45A3-A609-57F0EE0793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67AA45BA-33D5-4391-935D-897B575227E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1" name="Text Box 2">
          <a:extLst>
            <a:ext uri="{FF2B5EF4-FFF2-40B4-BE49-F238E27FC236}">
              <a16:creationId xmlns:a16="http://schemas.microsoft.com/office/drawing/2014/main" id="{FAC56329-9B2B-4CC7-8F0B-4930C36727B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7F714935-9887-4C91-8B64-F4BE464B96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3" name="Text Box 2">
          <a:extLst>
            <a:ext uri="{FF2B5EF4-FFF2-40B4-BE49-F238E27FC236}">
              <a16:creationId xmlns:a16="http://schemas.microsoft.com/office/drawing/2014/main" id="{0F8978BF-1C5C-42B5-979F-E888BF8FAD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331AC57F-5840-4BAA-BA28-860911E1D16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5" name="Text Box 2">
          <a:extLst>
            <a:ext uri="{FF2B5EF4-FFF2-40B4-BE49-F238E27FC236}">
              <a16:creationId xmlns:a16="http://schemas.microsoft.com/office/drawing/2014/main" id="{1CD779BD-0547-4B28-9E48-E9265E40D6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DB45A785-788F-4510-818C-319D21A9A9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101E5320-8661-4059-A121-30C53ED697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742A26CA-D8FB-4374-AAC1-9DDA22E5D4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49" name="Text Box 2">
          <a:extLst>
            <a:ext uri="{FF2B5EF4-FFF2-40B4-BE49-F238E27FC236}">
              <a16:creationId xmlns:a16="http://schemas.microsoft.com/office/drawing/2014/main" id="{C41DF894-CF4B-4B88-9291-81587ED291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97451B8E-70D7-46AA-A0B7-BE36518D5D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1" name="Text Box 2">
          <a:extLst>
            <a:ext uri="{FF2B5EF4-FFF2-40B4-BE49-F238E27FC236}">
              <a16:creationId xmlns:a16="http://schemas.microsoft.com/office/drawing/2014/main" id="{75BE7868-4307-4371-8EB7-B22BB5302F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id="{BFEA18B0-8D7D-45C3-9135-3D946A9062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3" name="Text Box 2">
          <a:extLst>
            <a:ext uri="{FF2B5EF4-FFF2-40B4-BE49-F238E27FC236}">
              <a16:creationId xmlns:a16="http://schemas.microsoft.com/office/drawing/2014/main" id="{56904B8D-E38D-40A6-8A74-60320FCFFC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id="{76BA9DE5-23FA-4A9F-99DA-1C43673D61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5" name="Text Box 2">
          <a:extLst>
            <a:ext uri="{FF2B5EF4-FFF2-40B4-BE49-F238E27FC236}">
              <a16:creationId xmlns:a16="http://schemas.microsoft.com/office/drawing/2014/main" id="{446E5AE7-C1AF-460F-9013-23DD5E1025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6639AD00-AFDB-4CF9-AE74-5CE1F2B84F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7" name="Text Box 2">
          <a:extLst>
            <a:ext uri="{FF2B5EF4-FFF2-40B4-BE49-F238E27FC236}">
              <a16:creationId xmlns:a16="http://schemas.microsoft.com/office/drawing/2014/main" id="{8FCAECB7-CCFD-4EC1-9E32-CDF3C7E274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id="{5BB32972-D07F-4A87-9BF4-C33F7DAC992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59" name="Text Box 2">
          <a:extLst>
            <a:ext uri="{FF2B5EF4-FFF2-40B4-BE49-F238E27FC236}">
              <a16:creationId xmlns:a16="http://schemas.microsoft.com/office/drawing/2014/main" id="{6F32C06F-D344-4A1D-8C73-3A05CF51F6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id="{26A6197F-5CFE-4DD5-85E4-629626213C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1" name="Text Box 2">
          <a:extLst>
            <a:ext uri="{FF2B5EF4-FFF2-40B4-BE49-F238E27FC236}">
              <a16:creationId xmlns:a16="http://schemas.microsoft.com/office/drawing/2014/main" id="{8F20345D-F74F-45D4-9809-C98EB6D584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2" name="Text Box 1">
          <a:extLst>
            <a:ext uri="{FF2B5EF4-FFF2-40B4-BE49-F238E27FC236}">
              <a16:creationId xmlns:a16="http://schemas.microsoft.com/office/drawing/2014/main" id="{8A8BD205-C654-4755-B798-7B0D30DAE2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3" name="Text Box 2">
          <a:extLst>
            <a:ext uri="{FF2B5EF4-FFF2-40B4-BE49-F238E27FC236}">
              <a16:creationId xmlns:a16="http://schemas.microsoft.com/office/drawing/2014/main" id="{354E9814-6085-400D-8F1C-55BB4A158D2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id="{7C840E89-F776-4A8F-9EE0-47321EB09B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5" name="Text Box 2">
          <a:extLst>
            <a:ext uri="{FF2B5EF4-FFF2-40B4-BE49-F238E27FC236}">
              <a16:creationId xmlns:a16="http://schemas.microsoft.com/office/drawing/2014/main" id="{46506C7B-0E66-49BA-8CB0-B4970A6D91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6" name="Text Box 1">
          <a:extLst>
            <a:ext uri="{FF2B5EF4-FFF2-40B4-BE49-F238E27FC236}">
              <a16:creationId xmlns:a16="http://schemas.microsoft.com/office/drawing/2014/main" id="{67D72A46-F489-449B-9080-EEB9E31D9C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7" name="Text Box 2">
          <a:extLst>
            <a:ext uri="{FF2B5EF4-FFF2-40B4-BE49-F238E27FC236}">
              <a16:creationId xmlns:a16="http://schemas.microsoft.com/office/drawing/2014/main" id="{753FFCF3-B7C1-45F6-886D-A0D7DB9BD36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id="{348EF48C-6250-4F92-B2B1-0E4E9593F3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69" name="Text Box 2">
          <a:extLst>
            <a:ext uri="{FF2B5EF4-FFF2-40B4-BE49-F238E27FC236}">
              <a16:creationId xmlns:a16="http://schemas.microsoft.com/office/drawing/2014/main" id="{AF10D3BC-444F-4BBF-9E64-E025214939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0" name="Text Box 1">
          <a:extLst>
            <a:ext uri="{FF2B5EF4-FFF2-40B4-BE49-F238E27FC236}">
              <a16:creationId xmlns:a16="http://schemas.microsoft.com/office/drawing/2014/main" id="{CB4BE3E9-59A9-49EA-9A66-38E225E5CA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1" name="Text Box 2">
          <a:extLst>
            <a:ext uri="{FF2B5EF4-FFF2-40B4-BE49-F238E27FC236}">
              <a16:creationId xmlns:a16="http://schemas.microsoft.com/office/drawing/2014/main" id="{E3CAC1D8-AA3B-4E10-86E7-ADEF37F25D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id="{A47EFB92-7D75-4792-AFF5-0ACE572328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3" name="Text Box 2">
          <a:extLst>
            <a:ext uri="{FF2B5EF4-FFF2-40B4-BE49-F238E27FC236}">
              <a16:creationId xmlns:a16="http://schemas.microsoft.com/office/drawing/2014/main" id="{C31A800F-0C92-4F4D-94CC-C0A9FC4B31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4" name="Text Box 1">
          <a:extLst>
            <a:ext uri="{FF2B5EF4-FFF2-40B4-BE49-F238E27FC236}">
              <a16:creationId xmlns:a16="http://schemas.microsoft.com/office/drawing/2014/main" id="{E21FCE3C-E16F-4160-88DA-5536549705A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5" name="Text Box 2">
          <a:extLst>
            <a:ext uri="{FF2B5EF4-FFF2-40B4-BE49-F238E27FC236}">
              <a16:creationId xmlns:a16="http://schemas.microsoft.com/office/drawing/2014/main" id="{3F56F28A-9DDC-4B94-9286-A8FD64F744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id="{3F47E2BD-4D15-4B7D-96AE-F719FD0CDC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7" name="Text Box 2">
          <a:extLst>
            <a:ext uri="{FF2B5EF4-FFF2-40B4-BE49-F238E27FC236}">
              <a16:creationId xmlns:a16="http://schemas.microsoft.com/office/drawing/2014/main" id="{492CCFB2-300A-4EC4-8EB0-EC2BB6E965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id="{4ABA34B3-5A94-444B-B0C5-074F698B1B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79" name="Text Box 2">
          <a:extLst>
            <a:ext uri="{FF2B5EF4-FFF2-40B4-BE49-F238E27FC236}">
              <a16:creationId xmlns:a16="http://schemas.microsoft.com/office/drawing/2014/main" id="{44C1932B-1FE6-49E7-A614-496AF74F2E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id="{ACD6B4E8-4D6A-4982-AD92-031D786DB7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1" name="Text Box 2">
          <a:extLst>
            <a:ext uri="{FF2B5EF4-FFF2-40B4-BE49-F238E27FC236}">
              <a16:creationId xmlns:a16="http://schemas.microsoft.com/office/drawing/2014/main" id="{E9158285-BED8-4CD3-A90D-59F9503384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id="{F9185D06-F946-49E0-A2DB-2D66E3ECA1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3" name="Text Box 2">
          <a:extLst>
            <a:ext uri="{FF2B5EF4-FFF2-40B4-BE49-F238E27FC236}">
              <a16:creationId xmlns:a16="http://schemas.microsoft.com/office/drawing/2014/main" id="{EBFD5897-8155-444B-963C-0CDEAAEB4C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id="{FAE8619B-B988-4924-956E-B1F2CFF79C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5" name="Text Box 2">
          <a:extLst>
            <a:ext uri="{FF2B5EF4-FFF2-40B4-BE49-F238E27FC236}">
              <a16:creationId xmlns:a16="http://schemas.microsoft.com/office/drawing/2014/main" id="{041E1B83-8EC6-4F8F-9542-A5BF6A32BF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id="{703F08BF-A6A3-4D80-8C8E-B6E2E48A90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7" name="Text Box 2">
          <a:extLst>
            <a:ext uri="{FF2B5EF4-FFF2-40B4-BE49-F238E27FC236}">
              <a16:creationId xmlns:a16="http://schemas.microsoft.com/office/drawing/2014/main" id="{0D92DD39-903A-438C-92DF-F251244D20B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id="{777968E2-DEE7-4754-8A1F-A948FD30F6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89" name="Text Box 2">
          <a:extLst>
            <a:ext uri="{FF2B5EF4-FFF2-40B4-BE49-F238E27FC236}">
              <a16:creationId xmlns:a16="http://schemas.microsoft.com/office/drawing/2014/main" id="{CED383AD-C369-4963-9027-D85CC44CFC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00ABB1F6-4752-4DDF-A6B6-DBCFB9DAE9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1" name="Text Box 2">
          <a:extLst>
            <a:ext uri="{FF2B5EF4-FFF2-40B4-BE49-F238E27FC236}">
              <a16:creationId xmlns:a16="http://schemas.microsoft.com/office/drawing/2014/main" id="{DDFC49E1-A9AD-4FCE-9CD2-9D25BC44D6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F6DB14AD-2A4A-4281-80DA-5D2D327A1D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3" name="Text Box 2">
          <a:extLst>
            <a:ext uri="{FF2B5EF4-FFF2-40B4-BE49-F238E27FC236}">
              <a16:creationId xmlns:a16="http://schemas.microsoft.com/office/drawing/2014/main" id="{1C7E5AF9-4C4A-4A35-9D3E-74F2001624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311C8463-3B45-4231-95D8-678747598D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5" name="Text Box 2">
          <a:extLst>
            <a:ext uri="{FF2B5EF4-FFF2-40B4-BE49-F238E27FC236}">
              <a16:creationId xmlns:a16="http://schemas.microsoft.com/office/drawing/2014/main" id="{8DCB1824-62F4-42C1-97A8-29EFD4303F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1DB2ED8C-A122-421E-9FBF-324FAA5F2E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7" name="Text Box 2">
          <a:extLst>
            <a:ext uri="{FF2B5EF4-FFF2-40B4-BE49-F238E27FC236}">
              <a16:creationId xmlns:a16="http://schemas.microsoft.com/office/drawing/2014/main" id="{907EF390-0676-402F-B07C-3B29EE588F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id="{C5315CC3-4BE9-4391-8BA4-132703E29D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799" name="Text Box 2">
          <a:extLst>
            <a:ext uri="{FF2B5EF4-FFF2-40B4-BE49-F238E27FC236}">
              <a16:creationId xmlns:a16="http://schemas.microsoft.com/office/drawing/2014/main" id="{DF22A3D0-889E-4CED-9989-1140834C4B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id="{BB4EE488-1F8B-49DC-957D-30258C19AD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1" name="Text Box 2">
          <a:extLst>
            <a:ext uri="{FF2B5EF4-FFF2-40B4-BE49-F238E27FC236}">
              <a16:creationId xmlns:a16="http://schemas.microsoft.com/office/drawing/2014/main" id="{1B55E32E-B6AE-4F02-B555-B994F759E4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84E21EB2-6CC2-4280-83D3-E98EBE7AA6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3" name="Text Box 2">
          <a:extLst>
            <a:ext uri="{FF2B5EF4-FFF2-40B4-BE49-F238E27FC236}">
              <a16:creationId xmlns:a16="http://schemas.microsoft.com/office/drawing/2014/main" id="{870D28E0-76CF-473C-B67B-BFF076DE32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id="{9DB41852-8D50-4E0E-8E9D-9C3B085431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5" name="Text Box 2">
          <a:extLst>
            <a:ext uri="{FF2B5EF4-FFF2-40B4-BE49-F238E27FC236}">
              <a16:creationId xmlns:a16="http://schemas.microsoft.com/office/drawing/2014/main" id="{524F3F77-9E69-438B-91E9-F64C7BE5D5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id="{63229961-ABCB-470E-BCB0-C1BB58B866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7" name="Text Box 2">
          <a:extLst>
            <a:ext uri="{FF2B5EF4-FFF2-40B4-BE49-F238E27FC236}">
              <a16:creationId xmlns:a16="http://schemas.microsoft.com/office/drawing/2014/main" id="{86751610-D6AD-4B99-98CA-ED8AD65D36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8" name="Text Box 1">
          <a:extLst>
            <a:ext uri="{FF2B5EF4-FFF2-40B4-BE49-F238E27FC236}">
              <a16:creationId xmlns:a16="http://schemas.microsoft.com/office/drawing/2014/main" id="{C410AE23-17D1-4BE3-A49F-CA6FD4C3304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09" name="Text Box 2">
          <a:extLst>
            <a:ext uri="{FF2B5EF4-FFF2-40B4-BE49-F238E27FC236}">
              <a16:creationId xmlns:a16="http://schemas.microsoft.com/office/drawing/2014/main" id="{2A03F15B-152C-4BD4-BCFF-21098F1476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id="{8A65A371-F1B5-494A-B535-FB4AD414A78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1" name="Text Box 2">
          <a:extLst>
            <a:ext uri="{FF2B5EF4-FFF2-40B4-BE49-F238E27FC236}">
              <a16:creationId xmlns:a16="http://schemas.microsoft.com/office/drawing/2014/main" id="{41E3C638-FBE4-47E6-893D-1693C09600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2" name="Text Box 1">
          <a:extLst>
            <a:ext uri="{FF2B5EF4-FFF2-40B4-BE49-F238E27FC236}">
              <a16:creationId xmlns:a16="http://schemas.microsoft.com/office/drawing/2014/main" id="{6BD50298-E83A-4F55-8C20-113499A9683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3" name="Text Box 2">
          <a:extLst>
            <a:ext uri="{FF2B5EF4-FFF2-40B4-BE49-F238E27FC236}">
              <a16:creationId xmlns:a16="http://schemas.microsoft.com/office/drawing/2014/main" id="{F236C1B0-F21E-4BC0-A4C6-2C011B0D12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id="{77A5B719-44C4-4D90-A85A-DE5D3E6E9C8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5" name="Text Box 2">
          <a:extLst>
            <a:ext uri="{FF2B5EF4-FFF2-40B4-BE49-F238E27FC236}">
              <a16:creationId xmlns:a16="http://schemas.microsoft.com/office/drawing/2014/main" id="{D6C36A27-ECDA-45B7-804F-E520820C82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6" name="Text Box 1">
          <a:extLst>
            <a:ext uri="{FF2B5EF4-FFF2-40B4-BE49-F238E27FC236}">
              <a16:creationId xmlns:a16="http://schemas.microsoft.com/office/drawing/2014/main" id="{1DFAA2EC-0EDD-40E0-8E20-4C4A7D637B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7" name="Text Box 2">
          <a:extLst>
            <a:ext uri="{FF2B5EF4-FFF2-40B4-BE49-F238E27FC236}">
              <a16:creationId xmlns:a16="http://schemas.microsoft.com/office/drawing/2014/main" id="{56C85436-E6FB-496A-91D3-D9C30C653D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id="{A16E6A3E-48F5-4654-9FF4-11A1EDCA85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19" name="Text Box 2">
          <a:extLst>
            <a:ext uri="{FF2B5EF4-FFF2-40B4-BE49-F238E27FC236}">
              <a16:creationId xmlns:a16="http://schemas.microsoft.com/office/drawing/2014/main" id="{34A7BB1B-0909-4B5D-B6D4-C8049FADB9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0" name="Text Box 1">
          <a:extLst>
            <a:ext uri="{FF2B5EF4-FFF2-40B4-BE49-F238E27FC236}">
              <a16:creationId xmlns:a16="http://schemas.microsoft.com/office/drawing/2014/main" id="{E999DA3A-C55E-4807-B583-221FCCFADC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1" name="Text Box 2">
          <a:extLst>
            <a:ext uri="{FF2B5EF4-FFF2-40B4-BE49-F238E27FC236}">
              <a16:creationId xmlns:a16="http://schemas.microsoft.com/office/drawing/2014/main" id="{3E349331-B6D2-4C04-AABB-B65AC44C3D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id="{B0F82322-604F-4B71-BC58-9C68034DCD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3" name="Text Box 2">
          <a:extLst>
            <a:ext uri="{FF2B5EF4-FFF2-40B4-BE49-F238E27FC236}">
              <a16:creationId xmlns:a16="http://schemas.microsoft.com/office/drawing/2014/main" id="{B1D122BA-F38B-4DDE-A7E1-38D6C2AFBE6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id="{B0B67D68-FC7F-4426-B2BE-0148341BCF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5" name="Text Box 2">
          <a:extLst>
            <a:ext uri="{FF2B5EF4-FFF2-40B4-BE49-F238E27FC236}">
              <a16:creationId xmlns:a16="http://schemas.microsoft.com/office/drawing/2014/main" id="{4D955582-7326-4501-A8EE-E04D98C916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id="{FAB59A49-E52B-4A1F-AFFD-BF3ADD10173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7" name="Text Box 2">
          <a:extLst>
            <a:ext uri="{FF2B5EF4-FFF2-40B4-BE49-F238E27FC236}">
              <a16:creationId xmlns:a16="http://schemas.microsoft.com/office/drawing/2014/main" id="{D2CA77A1-752A-463F-9171-3AA9E27765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C41F94A9-112E-4C55-9B64-117CA34319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29" name="Text Box 2">
          <a:extLst>
            <a:ext uri="{FF2B5EF4-FFF2-40B4-BE49-F238E27FC236}">
              <a16:creationId xmlns:a16="http://schemas.microsoft.com/office/drawing/2014/main" id="{5A75CE92-9158-4DB3-A6E8-7AFE2C663C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42E9065C-C75B-40D6-813E-D978CAE33D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1" name="Text Box 2">
          <a:extLst>
            <a:ext uri="{FF2B5EF4-FFF2-40B4-BE49-F238E27FC236}">
              <a16:creationId xmlns:a16="http://schemas.microsoft.com/office/drawing/2014/main" id="{8EC48D94-96E5-471D-9D54-39F56AFA84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A6953F87-1B0B-49D7-A44B-842EE8FD70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3" name="Text Box 2">
          <a:extLst>
            <a:ext uri="{FF2B5EF4-FFF2-40B4-BE49-F238E27FC236}">
              <a16:creationId xmlns:a16="http://schemas.microsoft.com/office/drawing/2014/main" id="{B8439953-2379-487D-9CF4-B45F32ACF3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F69F557B-3541-4763-9D9A-D53C99B962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5" name="Text Box 2">
          <a:extLst>
            <a:ext uri="{FF2B5EF4-FFF2-40B4-BE49-F238E27FC236}">
              <a16:creationId xmlns:a16="http://schemas.microsoft.com/office/drawing/2014/main" id="{CACC6680-A44C-45E1-BE40-BBA183D30B1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id="{E729F805-0ED0-4A6C-8502-EB7CCDF665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7" name="Text Box 2">
          <a:extLst>
            <a:ext uri="{FF2B5EF4-FFF2-40B4-BE49-F238E27FC236}">
              <a16:creationId xmlns:a16="http://schemas.microsoft.com/office/drawing/2014/main" id="{8F3CD2A8-C47D-4F86-AFB9-70BDEC062D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7C352887-3B5F-4F76-B9D9-9072BB62436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39" name="Text Box 2">
          <a:extLst>
            <a:ext uri="{FF2B5EF4-FFF2-40B4-BE49-F238E27FC236}">
              <a16:creationId xmlns:a16="http://schemas.microsoft.com/office/drawing/2014/main" id="{51080C49-7FBA-47BD-B8AD-AAE8A90EAA1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23BCE258-A168-48BD-AD4B-DB4FC24DDB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1" name="Text Box 2">
          <a:extLst>
            <a:ext uri="{FF2B5EF4-FFF2-40B4-BE49-F238E27FC236}">
              <a16:creationId xmlns:a16="http://schemas.microsoft.com/office/drawing/2014/main" id="{B96B7241-2317-473F-8FE8-6BEA90D2F4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D2A0CF86-8DFA-432A-99F4-947DE1EC65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3" name="Text Box 2">
          <a:extLst>
            <a:ext uri="{FF2B5EF4-FFF2-40B4-BE49-F238E27FC236}">
              <a16:creationId xmlns:a16="http://schemas.microsoft.com/office/drawing/2014/main" id="{14578E28-BBA3-46B2-8A95-1A2C5B578B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7976797F-C4FA-4996-B220-B23F31CCCF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5" name="Text Box 2">
          <a:extLst>
            <a:ext uri="{FF2B5EF4-FFF2-40B4-BE49-F238E27FC236}">
              <a16:creationId xmlns:a16="http://schemas.microsoft.com/office/drawing/2014/main" id="{1B9543F5-AB00-44A2-8F2A-0FC3E72280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6" name="Text Box 1">
          <a:extLst>
            <a:ext uri="{FF2B5EF4-FFF2-40B4-BE49-F238E27FC236}">
              <a16:creationId xmlns:a16="http://schemas.microsoft.com/office/drawing/2014/main" id="{FCD99A49-AD74-4B82-96ED-1CD5ADEA75B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7" name="Text Box 2">
          <a:extLst>
            <a:ext uri="{FF2B5EF4-FFF2-40B4-BE49-F238E27FC236}">
              <a16:creationId xmlns:a16="http://schemas.microsoft.com/office/drawing/2014/main" id="{5957EB80-B7FB-4DAB-B0B6-921DB773A9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id="{92661A68-0766-4C1C-8FD3-E96831153B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49" name="Text Box 2">
          <a:extLst>
            <a:ext uri="{FF2B5EF4-FFF2-40B4-BE49-F238E27FC236}">
              <a16:creationId xmlns:a16="http://schemas.microsoft.com/office/drawing/2014/main" id="{EF7E448C-1362-4CB7-A88A-B09E9D8935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0" name="Text Box 1">
          <a:extLst>
            <a:ext uri="{FF2B5EF4-FFF2-40B4-BE49-F238E27FC236}">
              <a16:creationId xmlns:a16="http://schemas.microsoft.com/office/drawing/2014/main" id="{E853B457-9F22-4E77-8565-D6B2C8859B2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1" name="Text Box 2">
          <a:extLst>
            <a:ext uri="{FF2B5EF4-FFF2-40B4-BE49-F238E27FC236}">
              <a16:creationId xmlns:a16="http://schemas.microsoft.com/office/drawing/2014/main" id="{6543AB66-A4F3-4203-84ED-92A87D9E9D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id="{904B32C1-88D7-4ACB-B620-0C21DEFDD05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3" name="Text Box 2">
          <a:extLst>
            <a:ext uri="{FF2B5EF4-FFF2-40B4-BE49-F238E27FC236}">
              <a16:creationId xmlns:a16="http://schemas.microsoft.com/office/drawing/2014/main" id="{886F1E4D-B0D6-4BCC-912B-6B5648E4CD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id="{F892D51D-2FF8-40AF-A42E-CA7943AE90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5" name="Text Box 2">
          <a:extLst>
            <a:ext uri="{FF2B5EF4-FFF2-40B4-BE49-F238E27FC236}">
              <a16:creationId xmlns:a16="http://schemas.microsoft.com/office/drawing/2014/main" id="{0F2E0A91-8913-4923-B062-197FD4A009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1FDE0FE0-37BB-4850-BCB8-6AAA235317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7" name="Text Box 2">
          <a:extLst>
            <a:ext uri="{FF2B5EF4-FFF2-40B4-BE49-F238E27FC236}">
              <a16:creationId xmlns:a16="http://schemas.microsoft.com/office/drawing/2014/main" id="{81B958C9-D8FA-4A3F-A950-60109D6502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8" name="Text Box 1">
          <a:extLst>
            <a:ext uri="{FF2B5EF4-FFF2-40B4-BE49-F238E27FC236}">
              <a16:creationId xmlns:a16="http://schemas.microsoft.com/office/drawing/2014/main" id="{F0241973-6CF3-4E8D-9BC4-008115E88D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59" name="Text Box 2">
          <a:extLst>
            <a:ext uri="{FF2B5EF4-FFF2-40B4-BE49-F238E27FC236}">
              <a16:creationId xmlns:a16="http://schemas.microsoft.com/office/drawing/2014/main" id="{B9B66DDE-E646-4B8F-B874-638718ACD6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id="{41CBD847-22DA-440B-8004-094EED3ACE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1" name="Text Box 2">
          <a:extLst>
            <a:ext uri="{FF2B5EF4-FFF2-40B4-BE49-F238E27FC236}">
              <a16:creationId xmlns:a16="http://schemas.microsoft.com/office/drawing/2014/main" id="{D13CD3C7-C340-451E-9DEE-0A3834777F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2" name="Text Box 1">
          <a:extLst>
            <a:ext uri="{FF2B5EF4-FFF2-40B4-BE49-F238E27FC236}">
              <a16:creationId xmlns:a16="http://schemas.microsoft.com/office/drawing/2014/main" id="{D1A3DD10-0CB5-42AA-B110-C296FBEB1E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3" name="Text Box 2">
          <a:extLst>
            <a:ext uri="{FF2B5EF4-FFF2-40B4-BE49-F238E27FC236}">
              <a16:creationId xmlns:a16="http://schemas.microsoft.com/office/drawing/2014/main" id="{572566A6-7026-4D2D-8901-02E0980AC66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50896656-F571-4910-8DA1-529B1B5D95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5" name="Text Box 2">
          <a:extLst>
            <a:ext uri="{FF2B5EF4-FFF2-40B4-BE49-F238E27FC236}">
              <a16:creationId xmlns:a16="http://schemas.microsoft.com/office/drawing/2014/main" id="{7EC18767-F4BD-40F5-847B-C271409F71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id="{0A790A5E-A349-4C46-9B5C-A9C4CE75A3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7" name="Text Box 2">
          <a:extLst>
            <a:ext uri="{FF2B5EF4-FFF2-40B4-BE49-F238E27FC236}">
              <a16:creationId xmlns:a16="http://schemas.microsoft.com/office/drawing/2014/main" id="{22DE3EBA-8C85-4DD0-BB9A-E111EDF9D4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9E92980E-77F4-4F32-924F-BD09FEC5452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69" name="Text Box 2">
          <a:extLst>
            <a:ext uri="{FF2B5EF4-FFF2-40B4-BE49-F238E27FC236}">
              <a16:creationId xmlns:a16="http://schemas.microsoft.com/office/drawing/2014/main" id="{47769BFB-255C-48FE-A0D1-FB3B59FE132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025CF99E-C566-44A7-8E08-3808EE653F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1" name="Text Box 2">
          <a:extLst>
            <a:ext uri="{FF2B5EF4-FFF2-40B4-BE49-F238E27FC236}">
              <a16:creationId xmlns:a16="http://schemas.microsoft.com/office/drawing/2014/main" id="{3BF32DD6-8269-47CB-845F-7E4BACDF6C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1ECD78C0-D48B-4D73-957B-5B8012C05C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3" name="Text Box 2">
          <a:extLst>
            <a:ext uri="{FF2B5EF4-FFF2-40B4-BE49-F238E27FC236}">
              <a16:creationId xmlns:a16="http://schemas.microsoft.com/office/drawing/2014/main" id="{07DC3A48-ECC6-45A5-9B65-D2810B8C62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6219BF49-47C1-44DB-B9B3-D0DE4839E2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5" name="Text Box 2">
          <a:extLst>
            <a:ext uri="{FF2B5EF4-FFF2-40B4-BE49-F238E27FC236}">
              <a16:creationId xmlns:a16="http://schemas.microsoft.com/office/drawing/2014/main" id="{E064EBF0-B730-4303-8907-EFA4994F4E0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B5AC171C-4DF7-4C25-A13C-60A7465CF0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7" name="Text Box 2">
          <a:extLst>
            <a:ext uri="{FF2B5EF4-FFF2-40B4-BE49-F238E27FC236}">
              <a16:creationId xmlns:a16="http://schemas.microsoft.com/office/drawing/2014/main" id="{CAF6659A-1A13-4DC9-951C-D6777AFD33B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0D52FB4D-8B9B-4F90-8428-C9F6C60AF86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79" name="Text Box 2">
          <a:extLst>
            <a:ext uri="{FF2B5EF4-FFF2-40B4-BE49-F238E27FC236}">
              <a16:creationId xmlns:a16="http://schemas.microsoft.com/office/drawing/2014/main" id="{75B3BC0F-9A2A-4CAB-BA29-67FD1D54D2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C7272C3A-F914-43A6-B5C1-5F4AAF74973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1" name="Text Box 2">
          <a:extLst>
            <a:ext uri="{FF2B5EF4-FFF2-40B4-BE49-F238E27FC236}">
              <a16:creationId xmlns:a16="http://schemas.microsoft.com/office/drawing/2014/main" id="{8D4A1A0A-7AB7-4C21-8956-49DB1BB904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A0C9C92E-247E-4ABA-8783-AA89CC6AF5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3" name="Text Box 2">
          <a:extLst>
            <a:ext uri="{FF2B5EF4-FFF2-40B4-BE49-F238E27FC236}">
              <a16:creationId xmlns:a16="http://schemas.microsoft.com/office/drawing/2014/main" id="{D0D9536A-674F-48C3-8C2C-B65666E9EF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id="{6357F1DA-0699-4352-A35E-373E74807D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5" name="Text Box 2">
          <a:extLst>
            <a:ext uri="{FF2B5EF4-FFF2-40B4-BE49-F238E27FC236}">
              <a16:creationId xmlns:a16="http://schemas.microsoft.com/office/drawing/2014/main" id="{8F959C3A-AF00-4700-AC3B-4120800234A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id="{DDA02636-1E55-48DE-AC39-A0C5672A2C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7" name="Text Box 2">
          <a:extLst>
            <a:ext uri="{FF2B5EF4-FFF2-40B4-BE49-F238E27FC236}">
              <a16:creationId xmlns:a16="http://schemas.microsoft.com/office/drawing/2014/main" id="{BAC4B90D-8DA0-4FDE-AC04-2A3EAD6010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3A74E451-BD33-4A9C-B7B3-B2FD07CC8C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89" name="Text Box 2">
          <a:extLst>
            <a:ext uri="{FF2B5EF4-FFF2-40B4-BE49-F238E27FC236}">
              <a16:creationId xmlns:a16="http://schemas.microsoft.com/office/drawing/2014/main" id="{F57A474D-A72A-48E6-ABA1-9CA716F785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id="{1C4B7E72-65F2-4B67-BEEC-D9FE030EA0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1" name="Text Box 2">
          <a:extLst>
            <a:ext uri="{FF2B5EF4-FFF2-40B4-BE49-F238E27FC236}">
              <a16:creationId xmlns:a16="http://schemas.microsoft.com/office/drawing/2014/main" id="{BA808EC9-CC39-40EB-8DC8-8CF4F35719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2" name="Text Box 1">
          <a:extLst>
            <a:ext uri="{FF2B5EF4-FFF2-40B4-BE49-F238E27FC236}">
              <a16:creationId xmlns:a16="http://schemas.microsoft.com/office/drawing/2014/main" id="{8DB5C533-2019-4506-BCF4-8EBB4CF172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3" name="Text Box 2">
          <a:extLst>
            <a:ext uri="{FF2B5EF4-FFF2-40B4-BE49-F238E27FC236}">
              <a16:creationId xmlns:a16="http://schemas.microsoft.com/office/drawing/2014/main" id="{8FEC9B97-4D6B-4E2E-BF1E-BF2D926C4B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id="{651CCEBF-3B96-4574-A41F-7E94E620791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5" name="Text Box 2">
          <a:extLst>
            <a:ext uri="{FF2B5EF4-FFF2-40B4-BE49-F238E27FC236}">
              <a16:creationId xmlns:a16="http://schemas.microsoft.com/office/drawing/2014/main" id="{33398CEE-F300-4507-A0D7-86A6C447BC0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id="{C4E69F72-9467-4A3E-98B2-2C7B90F57C6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7" name="Text Box 2">
          <a:extLst>
            <a:ext uri="{FF2B5EF4-FFF2-40B4-BE49-F238E27FC236}">
              <a16:creationId xmlns:a16="http://schemas.microsoft.com/office/drawing/2014/main" id="{8E493976-B1CB-4BD4-81B5-414C753286F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415F340F-4869-4D0F-A28F-7F274C8C21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899" name="Text Box 2">
          <a:extLst>
            <a:ext uri="{FF2B5EF4-FFF2-40B4-BE49-F238E27FC236}">
              <a16:creationId xmlns:a16="http://schemas.microsoft.com/office/drawing/2014/main" id="{F4E66B06-1F30-4F62-890B-1878C97190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id="{94C0152D-ACA4-4DFC-9233-E2888287DA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1" name="Text Box 2">
          <a:extLst>
            <a:ext uri="{FF2B5EF4-FFF2-40B4-BE49-F238E27FC236}">
              <a16:creationId xmlns:a16="http://schemas.microsoft.com/office/drawing/2014/main" id="{59AA8FE1-8BF6-43ED-B352-CAA0A6CCB9F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2" name="Text Box 1">
          <a:extLst>
            <a:ext uri="{FF2B5EF4-FFF2-40B4-BE49-F238E27FC236}">
              <a16:creationId xmlns:a16="http://schemas.microsoft.com/office/drawing/2014/main" id="{38D74AE2-B699-4CAB-A77E-D47A032F14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3" name="Text Box 2">
          <a:extLst>
            <a:ext uri="{FF2B5EF4-FFF2-40B4-BE49-F238E27FC236}">
              <a16:creationId xmlns:a16="http://schemas.microsoft.com/office/drawing/2014/main" id="{1F97733A-A018-4F6D-84FD-D60B03D45F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4" name="Text Box 1">
          <a:extLst>
            <a:ext uri="{FF2B5EF4-FFF2-40B4-BE49-F238E27FC236}">
              <a16:creationId xmlns:a16="http://schemas.microsoft.com/office/drawing/2014/main" id="{58F765D3-8DFB-46DB-BAEA-1C94274CBC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5" name="Text Box 2">
          <a:extLst>
            <a:ext uri="{FF2B5EF4-FFF2-40B4-BE49-F238E27FC236}">
              <a16:creationId xmlns:a16="http://schemas.microsoft.com/office/drawing/2014/main" id="{4A09AD36-BDAF-4336-8F6E-CC3427CDA28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6" name="Text Box 1">
          <a:extLst>
            <a:ext uri="{FF2B5EF4-FFF2-40B4-BE49-F238E27FC236}">
              <a16:creationId xmlns:a16="http://schemas.microsoft.com/office/drawing/2014/main" id="{97A48B06-1E05-40BB-9268-B4819B4DD2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7" name="Text Box 2">
          <a:extLst>
            <a:ext uri="{FF2B5EF4-FFF2-40B4-BE49-F238E27FC236}">
              <a16:creationId xmlns:a16="http://schemas.microsoft.com/office/drawing/2014/main" id="{F4FF2486-583B-412B-9760-03D56E5847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8" name="Text Box 1">
          <a:extLst>
            <a:ext uri="{FF2B5EF4-FFF2-40B4-BE49-F238E27FC236}">
              <a16:creationId xmlns:a16="http://schemas.microsoft.com/office/drawing/2014/main" id="{9EE38854-F1F3-4491-A11A-EC0588DB204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09" name="Text Box 2">
          <a:extLst>
            <a:ext uri="{FF2B5EF4-FFF2-40B4-BE49-F238E27FC236}">
              <a16:creationId xmlns:a16="http://schemas.microsoft.com/office/drawing/2014/main" id="{729F94E0-946F-4D39-8500-1C8737A9CBC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id="{4520CD50-0F2B-4B8E-BD46-C5BA45CF94F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1" name="Text Box 2">
          <a:extLst>
            <a:ext uri="{FF2B5EF4-FFF2-40B4-BE49-F238E27FC236}">
              <a16:creationId xmlns:a16="http://schemas.microsoft.com/office/drawing/2014/main" id="{1EAC5B7E-4D6A-48DD-9A1D-65D7E660E5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2" name="Text Box 1">
          <a:extLst>
            <a:ext uri="{FF2B5EF4-FFF2-40B4-BE49-F238E27FC236}">
              <a16:creationId xmlns:a16="http://schemas.microsoft.com/office/drawing/2014/main" id="{52526FA3-2306-42C8-899F-B11858F4CCA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3" name="Text Box 2">
          <a:extLst>
            <a:ext uri="{FF2B5EF4-FFF2-40B4-BE49-F238E27FC236}">
              <a16:creationId xmlns:a16="http://schemas.microsoft.com/office/drawing/2014/main" id="{7B444629-FF69-448C-8F0F-6160627C9D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4" name="Text Box 1">
          <a:extLst>
            <a:ext uri="{FF2B5EF4-FFF2-40B4-BE49-F238E27FC236}">
              <a16:creationId xmlns:a16="http://schemas.microsoft.com/office/drawing/2014/main" id="{9094EBD7-4FEE-4590-B745-0BBA512F12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5" name="Text Box 2">
          <a:extLst>
            <a:ext uri="{FF2B5EF4-FFF2-40B4-BE49-F238E27FC236}">
              <a16:creationId xmlns:a16="http://schemas.microsoft.com/office/drawing/2014/main" id="{CBC56879-D7ED-44E8-8A3C-D9791A70BD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6" name="Text Box 1">
          <a:extLst>
            <a:ext uri="{FF2B5EF4-FFF2-40B4-BE49-F238E27FC236}">
              <a16:creationId xmlns:a16="http://schemas.microsoft.com/office/drawing/2014/main" id="{C0955CBC-E6D2-424D-8B39-BD95AA03C94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7" name="Text Box 2">
          <a:extLst>
            <a:ext uri="{FF2B5EF4-FFF2-40B4-BE49-F238E27FC236}">
              <a16:creationId xmlns:a16="http://schemas.microsoft.com/office/drawing/2014/main" id="{D513E386-2EFB-4A49-BDE5-7BA3D9AE7C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id="{B3B204BA-4816-4E71-8B77-4C5F633094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FFFF8ECC-3CF1-4B8E-BF06-848F2345C84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0" name="Text Box 1">
          <a:extLst>
            <a:ext uri="{FF2B5EF4-FFF2-40B4-BE49-F238E27FC236}">
              <a16:creationId xmlns:a16="http://schemas.microsoft.com/office/drawing/2014/main" id="{CE35A1CC-BC81-47E9-AB85-ACC7382DE1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1" name="Text Box 2">
          <a:extLst>
            <a:ext uri="{FF2B5EF4-FFF2-40B4-BE49-F238E27FC236}">
              <a16:creationId xmlns:a16="http://schemas.microsoft.com/office/drawing/2014/main" id="{7C90C693-0653-45A8-BA1C-EBAE24F9AF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2" name="Text Box 1">
          <a:extLst>
            <a:ext uri="{FF2B5EF4-FFF2-40B4-BE49-F238E27FC236}">
              <a16:creationId xmlns:a16="http://schemas.microsoft.com/office/drawing/2014/main" id="{517EFB22-FFC4-4CDA-B47A-3937BF8514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96CBFA08-7D93-4A24-9207-0C3426BBAF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id="{9B8D2D73-7A52-448D-B6B7-E8C1DA2448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5" name="Text Box 2">
          <a:extLst>
            <a:ext uri="{FF2B5EF4-FFF2-40B4-BE49-F238E27FC236}">
              <a16:creationId xmlns:a16="http://schemas.microsoft.com/office/drawing/2014/main" id="{BE88FAE6-7C13-4DFB-B133-63107E5F05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id="{C425D2AD-4726-487B-A205-99AA5C7C23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7" name="Text Box 2">
          <a:extLst>
            <a:ext uri="{FF2B5EF4-FFF2-40B4-BE49-F238E27FC236}">
              <a16:creationId xmlns:a16="http://schemas.microsoft.com/office/drawing/2014/main" id="{8CC90AF8-5553-4059-87C2-FBA08BC3D93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id="{5D5E330A-84ED-4C6E-81C0-73CF509044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29" name="Text Box 2">
          <a:extLst>
            <a:ext uri="{FF2B5EF4-FFF2-40B4-BE49-F238E27FC236}">
              <a16:creationId xmlns:a16="http://schemas.microsoft.com/office/drawing/2014/main" id="{D48F9814-EC6A-443F-A054-E5A8EBA4B93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0" name="Text Box 1">
          <a:extLst>
            <a:ext uri="{FF2B5EF4-FFF2-40B4-BE49-F238E27FC236}">
              <a16:creationId xmlns:a16="http://schemas.microsoft.com/office/drawing/2014/main" id="{C227BAB0-4325-4DB1-A46E-82589D5198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B68ED77C-844D-4CA6-B15A-0DBFB73064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2" name="Text Box 1">
          <a:extLst>
            <a:ext uri="{FF2B5EF4-FFF2-40B4-BE49-F238E27FC236}">
              <a16:creationId xmlns:a16="http://schemas.microsoft.com/office/drawing/2014/main" id="{33D8F588-22DA-4182-B037-1B47236552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3" name="Text Box 2">
          <a:extLst>
            <a:ext uri="{FF2B5EF4-FFF2-40B4-BE49-F238E27FC236}">
              <a16:creationId xmlns:a16="http://schemas.microsoft.com/office/drawing/2014/main" id="{614FE32D-2DA4-43DD-ADED-FF0D8060003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4" name="Text Box 1">
          <a:extLst>
            <a:ext uri="{FF2B5EF4-FFF2-40B4-BE49-F238E27FC236}">
              <a16:creationId xmlns:a16="http://schemas.microsoft.com/office/drawing/2014/main" id="{7B70B20E-92F9-48FF-983D-C9C9A9D1CF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5" name="Text Box 2">
          <a:extLst>
            <a:ext uri="{FF2B5EF4-FFF2-40B4-BE49-F238E27FC236}">
              <a16:creationId xmlns:a16="http://schemas.microsoft.com/office/drawing/2014/main" id="{A25CADA2-6C4F-4A8F-A2E8-81239BBF98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6" name="Text Box 1">
          <a:extLst>
            <a:ext uri="{FF2B5EF4-FFF2-40B4-BE49-F238E27FC236}">
              <a16:creationId xmlns:a16="http://schemas.microsoft.com/office/drawing/2014/main" id="{EE983678-7303-488C-B3C3-4DDA3FCCF2A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7" name="Text Box 2">
          <a:extLst>
            <a:ext uri="{FF2B5EF4-FFF2-40B4-BE49-F238E27FC236}">
              <a16:creationId xmlns:a16="http://schemas.microsoft.com/office/drawing/2014/main" id="{1783191D-EE8D-45B7-84CD-344A26EF17E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8" name="Text Box 1">
          <a:extLst>
            <a:ext uri="{FF2B5EF4-FFF2-40B4-BE49-F238E27FC236}">
              <a16:creationId xmlns:a16="http://schemas.microsoft.com/office/drawing/2014/main" id="{B9540285-2D3A-460A-8336-3930AAF136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39" name="Text Box 2">
          <a:extLst>
            <a:ext uri="{FF2B5EF4-FFF2-40B4-BE49-F238E27FC236}">
              <a16:creationId xmlns:a16="http://schemas.microsoft.com/office/drawing/2014/main" id="{DFB5B280-17BD-4D8A-902E-9E27F101D6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0" name="Text Box 1">
          <a:extLst>
            <a:ext uri="{FF2B5EF4-FFF2-40B4-BE49-F238E27FC236}">
              <a16:creationId xmlns:a16="http://schemas.microsoft.com/office/drawing/2014/main" id="{A0BF05F3-0327-49E0-AB97-EFD069FCB4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1" name="Text Box 2">
          <a:extLst>
            <a:ext uri="{FF2B5EF4-FFF2-40B4-BE49-F238E27FC236}">
              <a16:creationId xmlns:a16="http://schemas.microsoft.com/office/drawing/2014/main" id="{90C53325-3A8B-4955-869E-8CA98D972D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2" name="Text Box 1">
          <a:extLst>
            <a:ext uri="{FF2B5EF4-FFF2-40B4-BE49-F238E27FC236}">
              <a16:creationId xmlns:a16="http://schemas.microsoft.com/office/drawing/2014/main" id="{F574E139-C358-4ED9-AC9D-1626569D990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3" name="Text Box 2">
          <a:extLst>
            <a:ext uri="{FF2B5EF4-FFF2-40B4-BE49-F238E27FC236}">
              <a16:creationId xmlns:a16="http://schemas.microsoft.com/office/drawing/2014/main" id="{A7FB23B8-1199-45F1-86F7-52264C4D669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4" name="Text Box 1">
          <a:extLst>
            <a:ext uri="{FF2B5EF4-FFF2-40B4-BE49-F238E27FC236}">
              <a16:creationId xmlns:a16="http://schemas.microsoft.com/office/drawing/2014/main" id="{8400F911-2100-4FD1-AE3D-B668AC7952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5" name="Text Box 2">
          <a:extLst>
            <a:ext uri="{FF2B5EF4-FFF2-40B4-BE49-F238E27FC236}">
              <a16:creationId xmlns:a16="http://schemas.microsoft.com/office/drawing/2014/main" id="{E3BF6EFD-BBEC-42C6-BED2-53E69A7C3E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6" name="Text Box 1">
          <a:extLst>
            <a:ext uri="{FF2B5EF4-FFF2-40B4-BE49-F238E27FC236}">
              <a16:creationId xmlns:a16="http://schemas.microsoft.com/office/drawing/2014/main" id="{F7EF0A28-F6AE-423F-AE18-0223121EAE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7" name="Text Box 2">
          <a:extLst>
            <a:ext uri="{FF2B5EF4-FFF2-40B4-BE49-F238E27FC236}">
              <a16:creationId xmlns:a16="http://schemas.microsoft.com/office/drawing/2014/main" id="{A6A5A484-9E34-4CF5-A511-7B39079486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id="{FC2979EE-82DE-4672-A643-881A05A582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49" name="Text Box 2">
          <a:extLst>
            <a:ext uri="{FF2B5EF4-FFF2-40B4-BE49-F238E27FC236}">
              <a16:creationId xmlns:a16="http://schemas.microsoft.com/office/drawing/2014/main" id="{503F22D5-E352-4F51-8373-A77F4D2CD3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0" name="Text Box 1">
          <a:extLst>
            <a:ext uri="{FF2B5EF4-FFF2-40B4-BE49-F238E27FC236}">
              <a16:creationId xmlns:a16="http://schemas.microsoft.com/office/drawing/2014/main" id="{096E8F9B-5EC4-43B2-B8AE-E37CAFB685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1" name="Text Box 2">
          <a:extLst>
            <a:ext uri="{FF2B5EF4-FFF2-40B4-BE49-F238E27FC236}">
              <a16:creationId xmlns:a16="http://schemas.microsoft.com/office/drawing/2014/main" id="{8868AB44-562E-453D-AF39-3C837764D6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2" name="Text Box 1">
          <a:extLst>
            <a:ext uri="{FF2B5EF4-FFF2-40B4-BE49-F238E27FC236}">
              <a16:creationId xmlns:a16="http://schemas.microsoft.com/office/drawing/2014/main" id="{3B0184CB-BB09-43E1-BDD0-552A57F4CF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3" name="Text Box 2">
          <a:extLst>
            <a:ext uri="{FF2B5EF4-FFF2-40B4-BE49-F238E27FC236}">
              <a16:creationId xmlns:a16="http://schemas.microsoft.com/office/drawing/2014/main" id="{E886BBFE-3F85-4262-9CAB-C5A2C69D9C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4" name="Text Box 1">
          <a:extLst>
            <a:ext uri="{FF2B5EF4-FFF2-40B4-BE49-F238E27FC236}">
              <a16:creationId xmlns:a16="http://schemas.microsoft.com/office/drawing/2014/main" id="{F4D45050-F704-4F0B-BDA0-C139051D7A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5" name="Text Box 2">
          <a:extLst>
            <a:ext uri="{FF2B5EF4-FFF2-40B4-BE49-F238E27FC236}">
              <a16:creationId xmlns:a16="http://schemas.microsoft.com/office/drawing/2014/main" id="{E7CA5FDA-91E7-4A22-AFED-0EFFF7306C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6" name="Text Box 1">
          <a:extLst>
            <a:ext uri="{FF2B5EF4-FFF2-40B4-BE49-F238E27FC236}">
              <a16:creationId xmlns:a16="http://schemas.microsoft.com/office/drawing/2014/main" id="{BDB70AA4-51A7-4AB0-8EDF-5238885949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7" name="Text Box 2">
          <a:extLst>
            <a:ext uri="{FF2B5EF4-FFF2-40B4-BE49-F238E27FC236}">
              <a16:creationId xmlns:a16="http://schemas.microsoft.com/office/drawing/2014/main" id="{B8DB4EAD-1CEC-47FD-BBC6-DFE6F91947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8" name="Text Box 1">
          <a:extLst>
            <a:ext uri="{FF2B5EF4-FFF2-40B4-BE49-F238E27FC236}">
              <a16:creationId xmlns:a16="http://schemas.microsoft.com/office/drawing/2014/main" id="{F4140FCA-A33A-41BE-BD25-9DCE29D29E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59" name="Text Box 2">
          <a:extLst>
            <a:ext uri="{FF2B5EF4-FFF2-40B4-BE49-F238E27FC236}">
              <a16:creationId xmlns:a16="http://schemas.microsoft.com/office/drawing/2014/main" id="{D4F15F04-AA1A-49C5-B794-0DD8C991CFC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id="{AFAA7433-5DAF-4673-9A22-47424DE772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1" name="Text Box 2">
          <a:extLst>
            <a:ext uri="{FF2B5EF4-FFF2-40B4-BE49-F238E27FC236}">
              <a16:creationId xmlns:a16="http://schemas.microsoft.com/office/drawing/2014/main" id="{4988AE1C-6AB1-4B4E-BC7F-5CF995D7AD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2" name="Text Box 1">
          <a:extLst>
            <a:ext uri="{FF2B5EF4-FFF2-40B4-BE49-F238E27FC236}">
              <a16:creationId xmlns:a16="http://schemas.microsoft.com/office/drawing/2014/main" id="{85937FC5-7F3C-4387-B748-116F5D0DDD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3" name="Text Box 2">
          <a:extLst>
            <a:ext uri="{FF2B5EF4-FFF2-40B4-BE49-F238E27FC236}">
              <a16:creationId xmlns:a16="http://schemas.microsoft.com/office/drawing/2014/main" id="{EBD18D74-2DCC-40BE-85ED-C0CF25E9BA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4" name="Text Box 1">
          <a:extLst>
            <a:ext uri="{FF2B5EF4-FFF2-40B4-BE49-F238E27FC236}">
              <a16:creationId xmlns:a16="http://schemas.microsoft.com/office/drawing/2014/main" id="{909E240C-4D75-4239-A04C-68383CA30AF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4D3DEAEB-C3E8-4158-940B-CEA37F7DD9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id="{F9E78219-A8D8-4018-8ECF-F2B2017FBB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7" name="Text Box 2">
          <a:extLst>
            <a:ext uri="{FF2B5EF4-FFF2-40B4-BE49-F238E27FC236}">
              <a16:creationId xmlns:a16="http://schemas.microsoft.com/office/drawing/2014/main" id="{0B7A6034-138F-4083-974F-6764303B39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id="{ED1D6FB8-93B5-4A2E-AEA4-873FCA768E0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69" name="Text Box 2">
          <a:extLst>
            <a:ext uri="{FF2B5EF4-FFF2-40B4-BE49-F238E27FC236}">
              <a16:creationId xmlns:a16="http://schemas.microsoft.com/office/drawing/2014/main" id="{6CB354F8-8614-4053-89FE-8AF251E98F4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id="{B72E3D78-2365-4B89-9BEE-F3BE034FE3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1" name="Text Box 2">
          <a:extLst>
            <a:ext uri="{FF2B5EF4-FFF2-40B4-BE49-F238E27FC236}">
              <a16:creationId xmlns:a16="http://schemas.microsoft.com/office/drawing/2014/main" id="{539FE104-3810-4EC9-9077-49FE353B05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id="{0AF5B8EE-C61B-4C16-886F-52956012F6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3" name="Text Box 2">
          <a:extLst>
            <a:ext uri="{FF2B5EF4-FFF2-40B4-BE49-F238E27FC236}">
              <a16:creationId xmlns:a16="http://schemas.microsoft.com/office/drawing/2014/main" id="{6D3FB272-0DB9-4BD0-BAEA-DEE38003F1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55133FAC-ABC5-46CC-B338-79D9A2C89F9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5" name="Text Box 2">
          <a:extLst>
            <a:ext uri="{FF2B5EF4-FFF2-40B4-BE49-F238E27FC236}">
              <a16:creationId xmlns:a16="http://schemas.microsoft.com/office/drawing/2014/main" id="{32750453-6307-4700-A89A-1AAADB04A1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F10AFE35-6308-490A-BF9E-30D44F6F84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7" name="Text Box 2">
          <a:extLst>
            <a:ext uri="{FF2B5EF4-FFF2-40B4-BE49-F238E27FC236}">
              <a16:creationId xmlns:a16="http://schemas.microsoft.com/office/drawing/2014/main" id="{53F338A2-6FD7-4B7D-9CB8-3A1B2ADB99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id="{4422D1CC-058D-4CD5-9B09-FE032CF0874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79" name="Text Box 2">
          <a:extLst>
            <a:ext uri="{FF2B5EF4-FFF2-40B4-BE49-F238E27FC236}">
              <a16:creationId xmlns:a16="http://schemas.microsoft.com/office/drawing/2014/main" id="{194EDA18-1567-447C-A4F5-5B010D1CA8E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96EE1666-D0F1-41FF-AE2D-A2B686BCDA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1AF4125B-781A-45B5-887A-AEC125EA5F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id="{0D58230D-9834-48BE-9654-0CB30648FBE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3" name="Text Box 2">
          <a:extLst>
            <a:ext uri="{FF2B5EF4-FFF2-40B4-BE49-F238E27FC236}">
              <a16:creationId xmlns:a16="http://schemas.microsoft.com/office/drawing/2014/main" id="{C57CFB41-E7FA-48CC-A505-F6BB04A324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4" name="Text Box 1">
          <a:extLst>
            <a:ext uri="{FF2B5EF4-FFF2-40B4-BE49-F238E27FC236}">
              <a16:creationId xmlns:a16="http://schemas.microsoft.com/office/drawing/2014/main" id="{3A16D047-FBA2-4DE4-A4C4-19ED5DFBB1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5" name="Text Box 2">
          <a:extLst>
            <a:ext uri="{FF2B5EF4-FFF2-40B4-BE49-F238E27FC236}">
              <a16:creationId xmlns:a16="http://schemas.microsoft.com/office/drawing/2014/main" id="{AB6429FB-8AD4-48AE-AFC6-E83A19C8F6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id="{92D24032-189B-4E6B-AE81-06A8D01663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7" name="Text Box 2">
          <a:extLst>
            <a:ext uri="{FF2B5EF4-FFF2-40B4-BE49-F238E27FC236}">
              <a16:creationId xmlns:a16="http://schemas.microsoft.com/office/drawing/2014/main" id="{498511F8-1E2B-4A79-99B8-E3A796609C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8" name="Text Box 1">
          <a:extLst>
            <a:ext uri="{FF2B5EF4-FFF2-40B4-BE49-F238E27FC236}">
              <a16:creationId xmlns:a16="http://schemas.microsoft.com/office/drawing/2014/main" id="{D1892B01-3A12-4FBA-B4D8-5628D4B345F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89" name="Text Box 2">
          <a:extLst>
            <a:ext uri="{FF2B5EF4-FFF2-40B4-BE49-F238E27FC236}">
              <a16:creationId xmlns:a16="http://schemas.microsoft.com/office/drawing/2014/main" id="{CAC4252C-C1C2-4E40-8E47-9AB377618C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id="{3FC55943-9E78-4A67-BB18-6A471A01EE5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1" name="Text Box 2">
          <a:extLst>
            <a:ext uri="{FF2B5EF4-FFF2-40B4-BE49-F238E27FC236}">
              <a16:creationId xmlns:a16="http://schemas.microsoft.com/office/drawing/2014/main" id="{3F4C0753-C44A-4930-8790-A33F1A8925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2" name="Text Box 1">
          <a:extLst>
            <a:ext uri="{FF2B5EF4-FFF2-40B4-BE49-F238E27FC236}">
              <a16:creationId xmlns:a16="http://schemas.microsoft.com/office/drawing/2014/main" id="{E05559B9-4CA7-4DA7-90D8-25AE9DE4D04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3" name="Text Box 2">
          <a:extLst>
            <a:ext uri="{FF2B5EF4-FFF2-40B4-BE49-F238E27FC236}">
              <a16:creationId xmlns:a16="http://schemas.microsoft.com/office/drawing/2014/main" id="{9D01A419-D23F-42A6-B555-958D34CB37A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id="{8382B7DB-F295-45C0-92FA-49D06F3615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5" name="Text Box 2">
          <a:extLst>
            <a:ext uri="{FF2B5EF4-FFF2-40B4-BE49-F238E27FC236}">
              <a16:creationId xmlns:a16="http://schemas.microsoft.com/office/drawing/2014/main" id="{9FDC6A48-F252-4862-AD37-E915A05A68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6" name="Text Box 1">
          <a:extLst>
            <a:ext uri="{FF2B5EF4-FFF2-40B4-BE49-F238E27FC236}">
              <a16:creationId xmlns:a16="http://schemas.microsoft.com/office/drawing/2014/main" id="{84C8BC53-665D-4853-A714-C40E852B319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7" name="Text Box 2">
          <a:extLst>
            <a:ext uri="{FF2B5EF4-FFF2-40B4-BE49-F238E27FC236}">
              <a16:creationId xmlns:a16="http://schemas.microsoft.com/office/drawing/2014/main" id="{FF312465-E885-4930-954B-B288F7B091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id="{E98B2980-C569-4F0B-B3F0-788679892B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999" name="Text Box 2">
          <a:extLst>
            <a:ext uri="{FF2B5EF4-FFF2-40B4-BE49-F238E27FC236}">
              <a16:creationId xmlns:a16="http://schemas.microsoft.com/office/drawing/2014/main" id="{750A85FC-C33F-4D18-B267-5AF0FF8FE5E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0" name="Text Box 1">
          <a:extLst>
            <a:ext uri="{FF2B5EF4-FFF2-40B4-BE49-F238E27FC236}">
              <a16:creationId xmlns:a16="http://schemas.microsoft.com/office/drawing/2014/main" id="{C94F1836-B789-407C-B066-F966B52078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1" name="Text Box 2">
          <a:extLst>
            <a:ext uri="{FF2B5EF4-FFF2-40B4-BE49-F238E27FC236}">
              <a16:creationId xmlns:a16="http://schemas.microsoft.com/office/drawing/2014/main" id="{64607DFD-3D2D-42AE-A720-B15D78441F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id="{B7341F1C-2FC4-4C18-9848-DDAD97E4C0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3" name="Text Box 2">
          <a:extLst>
            <a:ext uri="{FF2B5EF4-FFF2-40B4-BE49-F238E27FC236}">
              <a16:creationId xmlns:a16="http://schemas.microsoft.com/office/drawing/2014/main" id="{D9FF1AB6-D064-494D-B3C3-BABB7E6C70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4" name="Text Box 1">
          <a:extLst>
            <a:ext uri="{FF2B5EF4-FFF2-40B4-BE49-F238E27FC236}">
              <a16:creationId xmlns:a16="http://schemas.microsoft.com/office/drawing/2014/main" id="{9A08E922-FC64-4FE1-A975-96A910EB816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5" name="Text Box 2">
          <a:extLst>
            <a:ext uri="{FF2B5EF4-FFF2-40B4-BE49-F238E27FC236}">
              <a16:creationId xmlns:a16="http://schemas.microsoft.com/office/drawing/2014/main" id="{72F6F7AA-00D1-460D-A0AE-5C75CF1375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6" name="Text Box 1">
          <a:extLst>
            <a:ext uri="{FF2B5EF4-FFF2-40B4-BE49-F238E27FC236}">
              <a16:creationId xmlns:a16="http://schemas.microsoft.com/office/drawing/2014/main" id="{80134D91-1F79-43DD-A4F4-972373368F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F86E0332-B247-444E-A43E-F10A4177B9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id="{8790130C-80F5-4F7F-B10E-7410023559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09" name="Text Box 2">
          <a:extLst>
            <a:ext uri="{FF2B5EF4-FFF2-40B4-BE49-F238E27FC236}">
              <a16:creationId xmlns:a16="http://schemas.microsoft.com/office/drawing/2014/main" id="{36B13627-FB2C-4620-9C12-A6DD5C073B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0" name="Text Box 1">
          <a:extLst>
            <a:ext uri="{FF2B5EF4-FFF2-40B4-BE49-F238E27FC236}">
              <a16:creationId xmlns:a16="http://schemas.microsoft.com/office/drawing/2014/main" id="{21D1FF0F-B060-46C5-BF21-3A646C27B6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1" name="Text Box 2">
          <a:extLst>
            <a:ext uri="{FF2B5EF4-FFF2-40B4-BE49-F238E27FC236}">
              <a16:creationId xmlns:a16="http://schemas.microsoft.com/office/drawing/2014/main" id="{6335695F-6285-4F7E-B43C-44C46B5302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2" name="Text Box 1">
          <a:extLst>
            <a:ext uri="{FF2B5EF4-FFF2-40B4-BE49-F238E27FC236}">
              <a16:creationId xmlns:a16="http://schemas.microsoft.com/office/drawing/2014/main" id="{16BB4C8C-FF48-4327-8EB1-F0B76504C9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C64E5285-5674-4650-AF02-88718C047C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4" name="Text Box 1">
          <a:extLst>
            <a:ext uri="{FF2B5EF4-FFF2-40B4-BE49-F238E27FC236}">
              <a16:creationId xmlns:a16="http://schemas.microsoft.com/office/drawing/2014/main" id="{BD7A1A25-0760-4203-962F-33587A4F34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BC8710C6-7D3A-47C8-9A68-17568ACD0E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id="{8C72BE8F-D52C-4B6B-BE97-A3CDEE0C3C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7" name="Text Box 2">
          <a:extLst>
            <a:ext uri="{FF2B5EF4-FFF2-40B4-BE49-F238E27FC236}">
              <a16:creationId xmlns:a16="http://schemas.microsoft.com/office/drawing/2014/main" id="{19603743-0C21-4376-BD8A-4B6106B554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8" name="Text Box 1">
          <a:extLst>
            <a:ext uri="{FF2B5EF4-FFF2-40B4-BE49-F238E27FC236}">
              <a16:creationId xmlns:a16="http://schemas.microsoft.com/office/drawing/2014/main" id="{BDDBF8FD-2705-4CB1-AA5B-027CC4CB1A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CA8007B8-6800-42C9-80FE-C72B4B072C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0" name="Text Box 1">
          <a:extLst>
            <a:ext uri="{FF2B5EF4-FFF2-40B4-BE49-F238E27FC236}">
              <a16:creationId xmlns:a16="http://schemas.microsoft.com/office/drawing/2014/main" id="{DE2A2645-5068-4668-8C62-318EE0764C8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1" name="Text Box 2">
          <a:extLst>
            <a:ext uri="{FF2B5EF4-FFF2-40B4-BE49-F238E27FC236}">
              <a16:creationId xmlns:a16="http://schemas.microsoft.com/office/drawing/2014/main" id="{72BB4052-2969-49FB-870B-FE90523ED4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id="{B5D9C616-2A32-4A3E-A525-A01F728F416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3" name="Text Box 2">
          <a:extLst>
            <a:ext uri="{FF2B5EF4-FFF2-40B4-BE49-F238E27FC236}">
              <a16:creationId xmlns:a16="http://schemas.microsoft.com/office/drawing/2014/main" id="{2E2D9A59-7E83-4FC5-8CE4-182A9AD4E4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id="{8D1A44BE-1B4A-4191-B66B-7E709998CE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5014C9D4-09CA-47BF-B06B-A04D42197F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6" name="Text Box 1">
          <a:extLst>
            <a:ext uri="{FF2B5EF4-FFF2-40B4-BE49-F238E27FC236}">
              <a16:creationId xmlns:a16="http://schemas.microsoft.com/office/drawing/2014/main" id="{9EDD61C0-DC13-4893-BABE-B148C082EB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7" name="Text Box 2">
          <a:extLst>
            <a:ext uri="{FF2B5EF4-FFF2-40B4-BE49-F238E27FC236}">
              <a16:creationId xmlns:a16="http://schemas.microsoft.com/office/drawing/2014/main" id="{CA3E2178-64E3-48DC-81AC-D8C55704D7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8" name="Text Box 1">
          <a:extLst>
            <a:ext uri="{FF2B5EF4-FFF2-40B4-BE49-F238E27FC236}">
              <a16:creationId xmlns:a16="http://schemas.microsoft.com/office/drawing/2014/main" id="{0D1EE783-078C-4651-AAFA-A4964443C4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29" name="Text Box 2">
          <a:extLst>
            <a:ext uri="{FF2B5EF4-FFF2-40B4-BE49-F238E27FC236}">
              <a16:creationId xmlns:a16="http://schemas.microsoft.com/office/drawing/2014/main" id="{85689C3E-6DEC-4057-947B-642B615EE3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0" name="Text Box 1">
          <a:extLst>
            <a:ext uri="{FF2B5EF4-FFF2-40B4-BE49-F238E27FC236}">
              <a16:creationId xmlns:a16="http://schemas.microsoft.com/office/drawing/2014/main" id="{F0A08DD2-598F-4D04-8461-26C97C090D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1" name="Text Box 2">
          <a:extLst>
            <a:ext uri="{FF2B5EF4-FFF2-40B4-BE49-F238E27FC236}">
              <a16:creationId xmlns:a16="http://schemas.microsoft.com/office/drawing/2014/main" id="{517C19FB-7FEE-4360-A2B3-89D89A9B95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2" name="Text Box 1">
          <a:extLst>
            <a:ext uri="{FF2B5EF4-FFF2-40B4-BE49-F238E27FC236}">
              <a16:creationId xmlns:a16="http://schemas.microsoft.com/office/drawing/2014/main" id="{A98BD681-DF9B-4426-BC91-5CE73E4E46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11489F9E-9B93-49AC-B4EA-DBEFC3798B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4" name="Text Box 1">
          <a:extLst>
            <a:ext uri="{FF2B5EF4-FFF2-40B4-BE49-F238E27FC236}">
              <a16:creationId xmlns:a16="http://schemas.microsoft.com/office/drawing/2014/main" id="{78D567CD-A7EE-4BDA-AE57-355BCA5016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5" name="Text Box 2">
          <a:extLst>
            <a:ext uri="{FF2B5EF4-FFF2-40B4-BE49-F238E27FC236}">
              <a16:creationId xmlns:a16="http://schemas.microsoft.com/office/drawing/2014/main" id="{1ACA04D7-F784-40EC-9683-B609F42F1D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6" name="Text Box 1">
          <a:extLst>
            <a:ext uri="{FF2B5EF4-FFF2-40B4-BE49-F238E27FC236}">
              <a16:creationId xmlns:a16="http://schemas.microsoft.com/office/drawing/2014/main" id="{7185557D-6DAF-44C6-ADAB-674FBBB95B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7" name="Text Box 2">
          <a:extLst>
            <a:ext uri="{FF2B5EF4-FFF2-40B4-BE49-F238E27FC236}">
              <a16:creationId xmlns:a16="http://schemas.microsoft.com/office/drawing/2014/main" id="{FE0DBA59-6BDC-44EE-BD05-41D9FD3610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8" name="Text Box 1">
          <a:extLst>
            <a:ext uri="{FF2B5EF4-FFF2-40B4-BE49-F238E27FC236}">
              <a16:creationId xmlns:a16="http://schemas.microsoft.com/office/drawing/2014/main" id="{35379E1F-68ED-4DF6-B5A0-EE730D5F59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39" name="Text Box 2">
          <a:extLst>
            <a:ext uri="{FF2B5EF4-FFF2-40B4-BE49-F238E27FC236}">
              <a16:creationId xmlns:a16="http://schemas.microsoft.com/office/drawing/2014/main" id="{D7AA7925-6CA5-4544-BA10-9E66153483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0" name="Text Box 1">
          <a:extLst>
            <a:ext uri="{FF2B5EF4-FFF2-40B4-BE49-F238E27FC236}">
              <a16:creationId xmlns:a16="http://schemas.microsoft.com/office/drawing/2014/main" id="{44ABEC69-6197-4138-A65D-8CA614C163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1" name="Text Box 2">
          <a:extLst>
            <a:ext uri="{FF2B5EF4-FFF2-40B4-BE49-F238E27FC236}">
              <a16:creationId xmlns:a16="http://schemas.microsoft.com/office/drawing/2014/main" id="{EB55D463-D745-4C0F-B578-69C29B9FF5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2" name="Text Box 1">
          <a:extLst>
            <a:ext uri="{FF2B5EF4-FFF2-40B4-BE49-F238E27FC236}">
              <a16:creationId xmlns:a16="http://schemas.microsoft.com/office/drawing/2014/main" id="{5DE4B35F-72EA-4AA0-AA28-4E1329A675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3" name="Text Box 2">
          <a:extLst>
            <a:ext uri="{FF2B5EF4-FFF2-40B4-BE49-F238E27FC236}">
              <a16:creationId xmlns:a16="http://schemas.microsoft.com/office/drawing/2014/main" id="{06F562E3-AD4D-4A9B-AAAA-9EBF64F788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4" name="Text Box 1">
          <a:extLst>
            <a:ext uri="{FF2B5EF4-FFF2-40B4-BE49-F238E27FC236}">
              <a16:creationId xmlns:a16="http://schemas.microsoft.com/office/drawing/2014/main" id="{5B824E33-71FD-4F2D-8E66-79E8796102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5" name="Text Box 2">
          <a:extLst>
            <a:ext uri="{FF2B5EF4-FFF2-40B4-BE49-F238E27FC236}">
              <a16:creationId xmlns:a16="http://schemas.microsoft.com/office/drawing/2014/main" id="{4B28318A-9E24-4200-AFB6-BAD4B58324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6" name="Text Box 1">
          <a:extLst>
            <a:ext uri="{FF2B5EF4-FFF2-40B4-BE49-F238E27FC236}">
              <a16:creationId xmlns:a16="http://schemas.microsoft.com/office/drawing/2014/main" id="{7B1AE8FA-8995-4A99-AB08-91AC78CAC5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7" name="Text Box 2">
          <a:extLst>
            <a:ext uri="{FF2B5EF4-FFF2-40B4-BE49-F238E27FC236}">
              <a16:creationId xmlns:a16="http://schemas.microsoft.com/office/drawing/2014/main" id="{2BE8DD92-BF5E-4B76-8910-2AD708B0CF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8" name="Text Box 1">
          <a:extLst>
            <a:ext uri="{FF2B5EF4-FFF2-40B4-BE49-F238E27FC236}">
              <a16:creationId xmlns:a16="http://schemas.microsoft.com/office/drawing/2014/main" id="{5F164439-8D72-40E5-8030-837992B444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49" name="Text Box 2">
          <a:extLst>
            <a:ext uri="{FF2B5EF4-FFF2-40B4-BE49-F238E27FC236}">
              <a16:creationId xmlns:a16="http://schemas.microsoft.com/office/drawing/2014/main" id="{EBEEE327-A60A-400C-BB09-CBBA9D8909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0" name="Text Box 1">
          <a:extLst>
            <a:ext uri="{FF2B5EF4-FFF2-40B4-BE49-F238E27FC236}">
              <a16:creationId xmlns:a16="http://schemas.microsoft.com/office/drawing/2014/main" id="{7F0DBF0B-D9DC-4875-B23D-DF2191F8DA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1" name="Text Box 2">
          <a:extLst>
            <a:ext uri="{FF2B5EF4-FFF2-40B4-BE49-F238E27FC236}">
              <a16:creationId xmlns:a16="http://schemas.microsoft.com/office/drawing/2014/main" id="{4E7F98FB-690F-47D1-8E79-379CC4F43E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2" name="Text Box 1">
          <a:extLst>
            <a:ext uri="{FF2B5EF4-FFF2-40B4-BE49-F238E27FC236}">
              <a16:creationId xmlns:a16="http://schemas.microsoft.com/office/drawing/2014/main" id="{DEBB1294-9CA1-427B-A453-0AD0B809332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3" name="Text Box 2">
          <a:extLst>
            <a:ext uri="{FF2B5EF4-FFF2-40B4-BE49-F238E27FC236}">
              <a16:creationId xmlns:a16="http://schemas.microsoft.com/office/drawing/2014/main" id="{207CED03-DEF3-49EA-B118-394B27FCD2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4" name="Text Box 1">
          <a:extLst>
            <a:ext uri="{FF2B5EF4-FFF2-40B4-BE49-F238E27FC236}">
              <a16:creationId xmlns:a16="http://schemas.microsoft.com/office/drawing/2014/main" id="{C460603D-7ABE-4886-93B8-134DA13F30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5" name="Text Box 2">
          <a:extLst>
            <a:ext uri="{FF2B5EF4-FFF2-40B4-BE49-F238E27FC236}">
              <a16:creationId xmlns:a16="http://schemas.microsoft.com/office/drawing/2014/main" id="{80A164B7-D359-4593-8B94-0F846460BE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6" name="Text Box 1">
          <a:extLst>
            <a:ext uri="{FF2B5EF4-FFF2-40B4-BE49-F238E27FC236}">
              <a16:creationId xmlns:a16="http://schemas.microsoft.com/office/drawing/2014/main" id="{45DB8852-AC6F-4A69-8B97-E61DDAF4A9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7" name="Text Box 2">
          <a:extLst>
            <a:ext uri="{FF2B5EF4-FFF2-40B4-BE49-F238E27FC236}">
              <a16:creationId xmlns:a16="http://schemas.microsoft.com/office/drawing/2014/main" id="{CD76FBAA-55B2-44D4-BB2E-F3C6436C00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id="{8F937900-E1D6-433F-8A06-75CF6DAEE0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59" name="Text Box 2">
          <a:extLst>
            <a:ext uri="{FF2B5EF4-FFF2-40B4-BE49-F238E27FC236}">
              <a16:creationId xmlns:a16="http://schemas.microsoft.com/office/drawing/2014/main" id="{A25597E6-BFEB-46C9-83B1-A40889F4D3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0" name="Text Box 1">
          <a:extLst>
            <a:ext uri="{FF2B5EF4-FFF2-40B4-BE49-F238E27FC236}">
              <a16:creationId xmlns:a16="http://schemas.microsoft.com/office/drawing/2014/main" id="{876C3AEC-5E22-4DC9-B00A-D75308C08D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1" name="Text Box 2">
          <a:extLst>
            <a:ext uri="{FF2B5EF4-FFF2-40B4-BE49-F238E27FC236}">
              <a16:creationId xmlns:a16="http://schemas.microsoft.com/office/drawing/2014/main" id="{C2FEAE79-B1ED-4851-BB20-376D645B055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2" name="Text Box 1">
          <a:extLst>
            <a:ext uri="{FF2B5EF4-FFF2-40B4-BE49-F238E27FC236}">
              <a16:creationId xmlns:a16="http://schemas.microsoft.com/office/drawing/2014/main" id="{16232CBB-932E-418D-A7B8-FD3575B408C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3" name="Text Box 2">
          <a:extLst>
            <a:ext uri="{FF2B5EF4-FFF2-40B4-BE49-F238E27FC236}">
              <a16:creationId xmlns:a16="http://schemas.microsoft.com/office/drawing/2014/main" id="{D85A1F00-7C33-4527-90C1-4DF50C73DD3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4" name="Text Box 1">
          <a:extLst>
            <a:ext uri="{FF2B5EF4-FFF2-40B4-BE49-F238E27FC236}">
              <a16:creationId xmlns:a16="http://schemas.microsoft.com/office/drawing/2014/main" id="{97294017-3031-4ABE-9761-FA3304A2AC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5" name="Text Box 2">
          <a:extLst>
            <a:ext uri="{FF2B5EF4-FFF2-40B4-BE49-F238E27FC236}">
              <a16:creationId xmlns:a16="http://schemas.microsoft.com/office/drawing/2014/main" id="{390267A8-8C89-415E-A9DB-6BE62766C11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C6A02CA1-7A9E-4BDF-B101-983F0CB843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7" name="Text Box 2">
          <a:extLst>
            <a:ext uri="{FF2B5EF4-FFF2-40B4-BE49-F238E27FC236}">
              <a16:creationId xmlns:a16="http://schemas.microsoft.com/office/drawing/2014/main" id="{2369BD27-6E3F-453B-972F-1BF3A3F40A0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id="{C1AF134C-2329-4E46-B534-8D2DE0D27D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69" name="Text Box 2">
          <a:extLst>
            <a:ext uri="{FF2B5EF4-FFF2-40B4-BE49-F238E27FC236}">
              <a16:creationId xmlns:a16="http://schemas.microsoft.com/office/drawing/2014/main" id="{74DD9250-0816-4879-AA64-55BBC01985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0" name="Text Box 1">
          <a:extLst>
            <a:ext uri="{FF2B5EF4-FFF2-40B4-BE49-F238E27FC236}">
              <a16:creationId xmlns:a16="http://schemas.microsoft.com/office/drawing/2014/main" id="{C1E6472B-781B-4CB4-B19F-62A08CCA63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1" name="Text Box 2">
          <a:extLst>
            <a:ext uri="{FF2B5EF4-FFF2-40B4-BE49-F238E27FC236}">
              <a16:creationId xmlns:a16="http://schemas.microsoft.com/office/drawing/2014/main" id="{52085C3D-A0D7-4B7C-A27B-A24B17E415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2" name="Text Box 1">
          <a:extLst>
            <a:ext uri="{FF2B5EF4-FFF2-40B4-BE49-F238E27FC236}">
              <a16:creationId xmlns:a16="http://schemas.microsoft.com/office/drawing/2014/main" id="{58821A6A-ACE9-4077-B862-CD79CBC496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3" name="Text Box 2">
          <a:extLst>
            <a:ext uri="{FF2B5EF4-FFF2-40B4-BE49-F238E27FC236}">
              <a16:creationId xmlns:a16="http://schemas.microsoft.com/office/drawing/2014/main" id="{EDAB7D2F-CBE4-405F-B062-CB80AEEB15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4" name="Text Box 1">
          <a:extLst>
            <a:ext uri="{FF2B5EF4-FFF2-40B4-BE49-F238E27FC236}">
              <a16:creationId xmlns:a16="http://schemas.microsoft.com/office/drawing/2014/main" id="{5662E8DD-F3C1-4A8C-A8F2-42E2553288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5" name="Text Box 2">
          <a:extLst>
            <a:ext uri="{FF2B5EF4-FFF2-40B4-BE49-F238E27FC236}">
              <a16:creationId xmlns:a16="http://schemas.microsoft.com/office/drawing/2014/main" id="{9EAF8067-6D50-4F05-9704-FD84DA9351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6" name="Text Box 1">
          <a:extLst>
            <a:ext uri="{FF2B5EF4-FFF2-40B4-BE49-F238E27FC236}">
              <a16:creationId xmlns:a16="http://schemas.microsoft.com/office/drawing/2014/main" id="{2B38C449-2FBE-442E-93B5-58E80E7214A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7" name="Text Box 2">
          <a:extLst>
            <a:ext uri="{FF2B5EF4-FFF2-40B4-BE49-F238E27FC236}">
              <a16:creationId xmlns:a16="http://schemas.microsoft.com/office/drawing/2014/main" id="{6DDD0AEF-8B08-4E38-A284-EDB9E86357B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id="{3C2D1598-3BB3-4673-B5E3-392638496C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79" name="Text Box 2">
          <a:extLst>
            <a:ext uri="{FF2B5EF4-FFF2-40B4-BE49-F238E27FC236}">
              <a16:creationId xmlns:a16="http://schemas.microsoft.com/office/drawing/2014/main" id="{D12EDFE0-9E94-4E0A-811D-18D78C756B8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0" name="Text Box 1">
          <a:extLst>
            <a:ext uri="{FF2B5EF4-FFF2-40B4-BE49-F238E27FC236}">
              <a16:creationId xmlns:a16="http://schemas.microsoft.com/office/drawing/2014/main" id="{1A922EFD-6139-448D-8E5A-9C1053C497A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1" name="Text Box 2">
          <a:extLst>
            <a:ext uri="{FF2B5EF4-FFF2-40B4-BE49-F238E27FC236}">
              <a16:creationId xmlns:a16="http://schemas.microsoft.com/office/drawing/2014/main" id="{DAA9FD02-E67C-443F-8187-F9EF22800A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2" name="Text Box 1">
          <a:extLst>
            <a:ext uri="{FF2B5EF4-FFF2-40B4-BE49-F238E27FC236}">
              <a16:creationId xmlns:a16="http://schemas.microsoft.com/office/drawing/2014/main" id="{C5C24DD0-630E-487E-B8A7-C4E020526D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3" name="Text Box 2">
          <a:extLst>
            <a:ext uri="{FF2B5EF4-FFF2-40B4-BE49-F238E27FC236}">
              <a16:creationId xmlns:a16="http://schemas.microsoft.com/office/drawing/2014/main" id="{1D4C61E9-EFED-449E-9594-C0047CD68D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4" name="Text Box 1">
          <a:extLst>
            <a:ext uri="{FF2B5EF4-FFF2-40B4-BE49-F238E27FC236}">
              <a16:creationId xmlns:a16="http://schemas.microsoft.com/office/drawing/2014/main" id="{BD3FB872-A89A-4A4C-9F99-6678A41BF6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5" name="Text Box 2">
          <a:extLst>
            <a:ext uri="{FF2B5EF4-FFF2-40B4-BE49-F238E27FC236}">
              <a16:creationId xmlns:a16="http://schemas.microsoft.com/office/drawing/2014/main" id="{F3E855B7-7B11-456A-B79F-5CB2A2A13AB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id="{B29FC12C-4702-44F2-A978-ED70B88F10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7" name="Text Box 2">
          <a:extLst>
            <a:ext uri="{FF2B5EF4-FFF2-40B4-BE49-F238E27FC236}">
              <a16:creationId xmlns:a16="http://schemas.microsoft.com/office/drawing/2014/main" id="{082FADDC-5DAA-4F17-951E-6604C7259A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8" name="Text Box 1">
          <a:extLst>
            <a:ext uri="{FF2B5EF4-FFF2-40B4-BE49-F238E27FC236}">
              <a16:creationId xmlns:a16="http://schemas.microsoft.com/office/drawing/2014/main" id="{C47D5758-59C3-4843-BF3D-795A46FEC20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89" name="Text Box 2">
          <a:extLst>
            <a:ext uri="{FF2B5EF4-FFF2-40B4-BE49-F238E27FC236}">
              <a16:creationId xmlns:a16="http://schemas.microsoft.com/office/drawing/2014/main" id="{1BEE2FE4-466B-4D13-9EF0-CA34280C9F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0" name="Text Box 1">
          <a:extLst>
            <a:ext uri="{FF2B5EF4-FFF2-40B4-BE49-F238E27FC236}">
              <a16:creationId xmlns:a16="http://schemas.microsoft.com/office/drawing/2014/main" id="{C00ADADE-181D-457A-B88E-9212E642CCA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1" name="Text Box 2">
          <a:extLst>
            <a:ext uri="{FF2B5EF4-FFF2-40B4-BE49-F238E27FC236}">
              <a16:creationId xmlns:a16="http://schemas.microsoft.com/office/drawing/2014/main" id="{189A1815-390D-43E9-B27C-168C27D458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2" name="Text Box 1">
          <a:extLst>
            <a:ext uri="{FF2B5EF4-FFF2-40B4-BE49-F238E27FC236}">
              <a16:creationId xmlns:a16="http://schemas.microsoft.com/office/drawing/2014/main" id="{6FFFE772-966B-4E79-AEA7-7D73482E36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3" name="Text Box 2">
          <a:extLst>
            <a:ext uri="{FF2B5EF4-FFF2-40B4-BE49-F238E27FC236}">
              <a16:creationId xmlns:a16="http://schemas.microsoft.com/office/drawing/2014/main" id="{7ECB177A-2369-4F84-8B1A-D1CFAA355A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id="{4C8E3B5F-7ED2-4AB7-926E-9B5F6D9942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5" name="Text Box 2">
          <a:extLst>
            <a:ext uri="{FF2B5EF4-FFF2-40B4-BE49-F238E27FC236}">
              <a16:creationId xmlns:a16="http://schemas.microsoft.com/office/drawing/2014/main" id="{B852080D-2901-4E9E-AE37-BE15F7FB8E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6" name="Text Box 1">
          <a:extLst>
            <a:ext uri="{FF2B5EF4-FFF2-40B4-BE49-F238E27FC236}">
              <a16:creationId xmlns:a16="http://schemas.microsoft.com/office/drawing/2014/main" id="{B2194C89-0711-4015-BBB6-B32B302C9F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7" name="Text Box 2">
          <a:extLst>
            <a:ext uri="{FF2B5EF4-FFF2-40B4-BE49-F238E27FC236}">
              <a16:creationId xmlns:a16="http://schemas.microsoft.com/office/drawing/2014/main" id="{2C8EA42E-0A91-4A17-B6CB-97F7DCCFDF4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id="{139F3070-04C4-422A-9287-A5E30CF848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099" name="Text Box 2">
          <a:extLst>
            <a:ext uri="{FF2B5EF4-FFF2-40B4-BE49-F238E27FC236}">
              <a16:creationId xmlns:a16="http://schemas.microsoft.com/office/drawing/2014/main" id="{E9E44E0A-A6A8-4DFE-B4CB-4ACE14B2D0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0" name="Text Box 1">
          <a:extLst>
            <a:ext uri="{FF2B5EF4-FFF2-40B4-BE49-F238E27FC236}">
              <a16:creationId xmlns:a16="http://schemas.microsoft.com/office/drawing/2014/main" id="{768DE00B-1FEB-4BCA-9E23-71F806F9CAC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1" name="Text Box 2">
          <a:extLst>
            <a:ext uri="{FF2B5EF4-FFF2-40B4-BE49-F238E27FC236}">
              <a16:creationId xmlns:a16="http://schemas.microsoft.com/office/drawing/2014/main" id="{1825788F-03A6-4124-BAF5-353AD74883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2" name="Text Box 1">
          <a:extLst>
            <a:ext uri="{FF2B5EF4-FFF2-40B4-BE49-F238E27FC236}">
              <a16:creationId xmlns:a16="http://schemas.microsoft.com/office/drawing/2014/main" id="{C384A989-5748-4CB0-A628-2E3467CB47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3" name="Text Box 2">
          <a:extLst>
            <a:ext uri="{FF2B5EF4-FFF2-40B4-BE49-F238E27FC236}">
              <a16:creationId xmlns:a16="http://schemas.microsoft.com/office/drawing/2014/main" id="{B26A2E9C-5B10-44A5-9040-06E73B705A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id="{F8EA97A1-21B0-47AD-9922-F7906B3C01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5" name="Text Box 2">
          <a:extLst>
            <a:ext uri="{FF2B5EF4-FFF2-40B4-BE49-F238E27FC236}">
              <a16:creationId xmlns:a16="http://schemas.microsoft.com/office/drawing/2014/main" id="{77231B8E-2426-4B19-B3DD-7587377914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6" name="Text Box 1">
          <a:extLst>
            <a:ext uri="{FF2B5EF4-FFF2-40B4-BE49-F238E27FC236}">
              <a16:creationId xmlns:a16="http://schemas.microsoft.com/office/drawing/2014/main" id="{84D4BD6A-3E51-4FA6-8868-0A25D9ED40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7" name="Text Box 2">
          <a:extLst>
            <a:ext uri="{FF2B5EF4-FFF2-40B4-BE49-F238E27FC236}">
              <a16:creationId xmlns:a16="http://schemas.microsoft.com/office/drawing/2014/main" id="{CE6F8CE5-6873-4303-BD52-2E037CBCF0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8" name="Text Box 1">
          <a:extLst>
            <a:ext uri="{FF2B5EF4-FFF2-40B4-BE49-F238E27FC236}">
              <a16:creationId xmlns:a16="http://schemas.microsoft.com/office/drawing/2014/main" id="{3A5896D6-3AD1-44EB-B688-0CC5295E70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09" name="Text Box 2">
          <a:extLst>
            <a:ext uri="{FF2B5EF4-FFF2-40B4-BE49-F238E27FC236}">
              <a16:creationId xmlns:a16="http://schemas.microsoft.com/office/drawing/2014/main" id="{DCCBC13C-4FD2-4F7F-9E21-FB96B6D4300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0" name="Text Box 1">
          <a:extLst>
            <a:ext uri="{FF2B5EF4-FFF2-40B4-BE49-F238E27FC236}">
              <a16:creationId xmlns:a16="http://schemas.microsoft.com/office/drawing/2014/main" id="{6D367D69-841E-45B3-8597-A672008C31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1" name="Text Box 2">
          <a:extLst>
            <a:ext uri="{FF2B5EF4-FFF2-40B4-BE49-F238E27FC236}">
              <a16:creationId xmlns:a16="http://schemas.microsoft.com/office/drawing/2014/main" id="{F6FD4263-5969-4786-91A5-E8D29242E9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2" name="Text Box 1">
          <a:extLst>
            <a:ext uri="{FF2B5EF4-FFF2-40B4-BE49-F238E27FC236}">
              <a16:creationId xmlns:a16="http://schemas.microsoft.com/office/drawing/2014/main" id="{D226631A-684F-4BFF-9C8B-C50F9D354B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3" name="Text Box 2">
          <a:extLst>
            <a:ext uri="{FF2B5EF4-FFF2-40B4-BE49-F238E27FC236}">
              <a16:creationId xmlns:a16="http://schemas.microsoft.com/office/drawing/2014/main" id="{89764E5D-570D-4455-A9B7-271C8BC6D6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4" name="Text Box 1">
          <a:extLst>
            <a:ext uri="{FF2B5EF4-FFF2-40B4-BE49-F238E27FC236}">
              <a16:creationId xmlns:a16="http://schemas.microsoft.com/office/drawing/2014/main" id="{49B6547A-AF7B-4F76-B4AD-3A53269DBEC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5" name="Text Box 2">
          <a:extLst>
            <a:ext uri="{FF2B5EF4-FFF2-40B4-BE49-F238E27FC236}">
              <a16:creationId xmlns:a16="http://schemas.microsoft.com/office/drawing/2014/main" id="{9BC247A2-6BBB-4DBF-A72E-723FE413EC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6" name="Text Box 1">
          <a:extLst>
            <a:ext uri="{FF2B5EF4-FFF2-40B4-BE49-F238E27FC236}">
              <a16:creationId xmlns:a16="http://schemas.microsoft.com/office/drawing/2014/main" id="{9C1DC824-4164-433F-9253-A4FD64EA34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7" name="Text Box 2">
          <a:extLst>
            <a:ext uri="{FF2B5EF4-FFF2-40B4-BE49-F238E27FC236}">
              <a16:creationId xmlns:a16="http://schemas.microsoft.com/office/drawing/2014/main" id="{ECEC6A22-C8F3-44A7-BB93-359767FCA9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8" name="Text Box 1">
          <a:extLst>
            <a:ext uri="{FF2B5EF4-FFF2-40B4-BE49-F238E27FC236}">
              <a16:creationId xmlns:a16="http://schemas.microsoft.com/office/drawing/2014/main" id="{D71E1E43-C75F-4155-8608-0AECD01AF86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19" name="Text Box 2">
          <a:extLst>
            <a:ext uri="{FF2B5EF4-FFF2-40B4-BE49-F238E27FC236}">
              <a16:creationId xmlns:a16="http://schemas.microsoft.com/office/drawing/2014/main" id="{7D20256F-2402-49B0-AE3D-2AE62E5F7C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0" name="Text Box 1">
          <a:extLst>
            <a:ext uri="{FF2B5EF4-FFF2-40B4-BE49-F238E27FC236}">
              <a16:creationId xmlns:a16="http://schemas.microsoft.com/office/drawing/2014/main" id="{DC88B6E7-E465-4354-B4FA-7EC0F763355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1" name="Text Box 2">
          <a:extLst>
            <a:ext uri="{FF2B5EF4-FFF2-40B4-BE49-F238E27FC236}">
              <a16:creationId xmlns:a16="http://schemas.microsoft.com/office/drawing/2014/main" id="{3C854686-A654-49FF-874B-1703AE54DA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2" name="Text Box 1">
          <a:extLst>
            <a:ext uri="{FF2B5EF4-FFF2-40B4-BE49-F238E27FC236}">
              <a16:creationId xmlns:a16="http://schemas.microsoft.com/office/drawing/2014/main" id="{ADB96F53-F9F0-46B1-9DC7-EA27DD630E7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3" name="Text Box 2">
          <a:extLst>
            <a:ext uri="{FF2B5EF4-FFF2-40B4-BE49-F238E27FC236}">
              <a16:creationId xmlns:a16="http://schemas.microsoft.com/office/drawing/2014/main" id="{30ADD3B8-59C9-44FA-9B1C-3B8205111BC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4" name="Text Box 1">
          <a:extLst>
            <a:ext uri="{FF2B5EF4-FFF2-40B4-BE49-F238E27FC236}">
              <a16:creationId xmlns:a16="http://schemas.microsoft.com/office/drawing/2014/main" id="{BF8A2658-4E0B-42B6-B8B4-70608625D3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5" name="Text Box 2">
          <a:extLst>
            <a:ext uri="{FF2B5EF4-FFF2-40B4-BE49-F238E27FC236}">
              <a16:creationId xmlns:a16="http://schemas.microsoft.com/office/drawing/2014/main" id="{E1F9F361-C470-468E-BE08-644E797A3F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6" name="Text Box 1">
          <a:extLst>
            <a:ext uri="{FF2B5EF4-FFF2-40B4-BE49-F238E27FC236}">
              <a16:creationId xmlns:a16="http://schemas.microsoft.com/office/drawing/2014/main" id="{121E23AE-9945-4B4A-95A7-06B2599208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7" name="Text Box 2">
          <a:extLst>
            <a:ext uri="{FF2B5EF4-FFF2-40B4-BE49-F238E27FC236}">
              <a16:creationId xmlns:a16="http://schemas.microsoft.com/office/drawing/2014/main" id="{35F94D15-12F1-4D06-94EE-23F508F7FB8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8" name="Text Box 1">
          <a:extLst>
            <a:ext uri="{FF2B5EF4-FFF2-40B4-BE49-F238E27FC236}">
              <a16:creationId xmlns:a16="http://schemas.microsoft.com/office/drawing/2014/main" id="{FA9CA438-6812-40EE-9AA0-09BA974456E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29" name="Text Box 2">
          <a:extLst>
            <a:ext uri="{FF2B5EF4-FFF2-40B4-BE49-F238E27FC236}">
              <a16:creationId xmlns:a16="http://schemas.microsoft.com/office/drawing/2014/main" id="{4CA6393A-CBC2-4432-B418-B556AB0BCE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0" name="Text Box 1">
          <a:extLst>
            <a:ext uri="{FF2B5EF4-FFF2-40B4-BE49-F238E27FC236}">
              <a16:creationId xmlns:a16="http://schemas.microsoft.com/office/drawing/2014/main" id="{83E0F7E3-B4E9-43CD-83DA-24F5DAFBAF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1" name="Text Box 2">
          <a:extLst>
            <a:ext uri="{FF2B5EF4-FFF2-40B4-BE49-F238E27FC236}">
              <a16:creationId xmlns:a16="http://schemas.microsoft.com/office/drawing/2014/main" id="{486E41EF-1583-4930-8931-F3648B16AE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id="{DE5F8E5F-1C79-489A-A8EB-E6714630BA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3" name="Text Box 2">
          <a:extLst>
            <a:ext uri="{FF2B5EF4-FFF2-40B4-BE49-F238E27FC236}">
              <a16:creationId xmlns:a16="http://schemas.microsoft.com/office/drawing/2014/main" id="{06202B68-136F-4802-951A-17CE6BE8F3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4" name="Text Box 1">
          <a:extLst>
            <a:ext uri="{FF2B5EF4-FFF2-40B4-BE49-F238E27FC236}">
              <a16:creationId xmlns:a16="http://schemas.microsoft.com/office/drawing/2014/main" id="{B7B8E07C-1374-4F2A-A159-0EC1827E5E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5" name="Text Box 2">
          <a:extLst>
            <a:ext uri="{FF2B5EF4-FFF2-40B4-BE49-F238E27FC236}">
              <a16:creationId xmlns:a16="http://schemas.microsoft.com/office/drawing/2014/main" id="{05ECAE71-BA11-434D-A405-EBEB0151D9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id="{D59B06C2-77C2-4410-A282-E98B8B6C39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7" name="Text Box 2">
          <a:extLst>
            <a:ext uri="{FF2B5EF4-FFF2-40B4-BE49-F238E27FC236}">
              <a16:creationId xmlns:a16="http://schemas.microsoft.com/office/drawing/2014/main" id="{9EB9C45D-2153-46AC-B63F-8F183AFE30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8" name="Text Box 1">
          <a:extLst>
            <a:ext uri="{FF2B5EF4-FFF2-40B4-BE49-F238E27FC236}">
              <a16:creationId xmlns:a16="http://schemas.microsoft.com/office/drawing/2014/main" id="{E4EC2FA1-0813-4E90-BA41-873C763B2F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39" name="Text Box 2">
          <a:extLst>
            <a:ext uri="{FF2B5EF4-FFF2-40B4-BE49-F238E27FC236}">
              <a16:creationId xmlns:a16="http://schemas.microsoft.com/office/drawing/2014/main" id="{92EC930E-317C-4FD0-B1E0-3F7EC9F7A2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id="{52252302-DCC6-4E1B-95FF-4257C12D5B3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1" name="Text Box 2">
          <a:extLst>
            <a:ext uri="{FF2B5EF4-FFF2-40B4-BE49-F238E27FC236}">
              <a16:creationId xmlns:a16="http://schemas.microsoft.com/office/drawing/2014/main" id="{D309628C-00E2-410B-B805-D10754A591A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2" name="Text Box 1">
          <a:extLst>
            <a:ext uri="{FF2B5EF4-FFF2-40B4-BE49-F238E27FC236}">
              <a16:creationId xmlns:a16="http://schemas.microsoft.com/office/drawing/2014/main" id="{D9771679-A830-4767-A4E5-C4B0159062C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3" name="Text Box 2">
          <a:extLst>
            <a:ext uri="{FF2B5EF4-FFF2-40B4-BE49-F238E27FC236}">
              <a16:creationId xmlns:a16="http://schemas.microsoft.com/office/drawing/2014/main" id="{DA013902-2A50-489E-880A-F9FC10F2EC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26011FC2-512E-4CDB-96E7-B91A26EFBA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5" name="Text Box 2">
          <a:extLst>
            <a:ext uri="{FF2B5EF4-FFF2-40B4-BE49-F238E27FC236}">
              <a16:creationId xmlns:a16="http://schemas.microsoft.com/office/drawing/2014/main" id="{977D2EDA-4968-429D-9A8B-3BB362AF4E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id="{19680B30-D53D-428E-B252-3980468F37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7" name="Text Box 2">
          <a:extLst>
            <a:ext uri="{FF2B5EF4-FFF2-40B4-BE49-F238E27FC236}">
              <a16:creationId xmlns:a16="http://schemas.microsoft.com/office/drawing/2014/main" id="{B2F82FA3-DD96-4040-9741-6D2F1073255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id="{F092438E-E505-4B72-91AB-19062343F24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49" name="Text Box 2">
          <a:extLst>
            <a:ext uri="{FF2B5EF4-FFF2-40B4-BE49-F238E27FC236}">
              <a16:creationId xmlns:a16="http://schemas.microsoft.com/office/drawing/2014/main" id="{59A48685-5F3B-4125-AC08-B0AE543D96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id="{DF324216-86D2-4305-9361-448D016995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1" name="Text Box 2">
          <a:extLst>
            <a:ext uri="{FF2B5EF4-FFF2-40B4-BE49-F238E27FC236}">
              <a16:creationId xmlns:a16="http://schemas.microsoft.com/office/drawing/2014/main" id="{A5F0E1DE-C6BC-4F3E-AF14-CB3916EDBE6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id="{9BFA6AAF-D3A5-4BED-9D9F-38015DE9BC4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6656B05D-D800-402D-9842-BC113FF2FA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id="{9DEC73D5-25B5-42AC-85BC-27FAC5B67F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5" name="Text Box 2">
          <a:extLst>
            <a:ext uri="{FF2B5EF4-FFF2-40B4-BE49-F238E27FC236}">
              <a16:creationId xmlns:a16="http://schemas.microsoft.com/office/drawing/2014/main" id="{33DD6633-35CE-4108-9914-592ED39DBD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id="{E5BDCD72-2DD2-4CD0-AC6E-41AAA093A0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7" name="Text Box 2">
          <a:extLst>
            <a:ext uri="{FF2B5EF4-FFF2-40B4-BE49-F238E27FC236}">
              <a16:creationId xmlns:a16="http://schemas.microsoft.com/office/drawing/2014/main" id="{84266F65-3664-49EC-8A27-C19311B3DE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id="{A190957D-241A-4EA1-ABB0-B9DD4A09E7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59" name="Text Box 2">
          <a:extLst>
            <a:ext uri="{FF2B5EF4-FFF2-40B4-BE49-F238E27FC236}">
              <a16:creationId xmlns:a16="http://schemas.microsoft.com/office/drawing/2014/main" id="{2103ADF3-6D2F-45AD-95EF-EE8CF06042E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id="{331E5010-0A79-419D-839F-94468D4A247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316634FF-1D9F-4AF6-8007-AF2C462263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id="{BAA73A18-801D-451B-B717-224F324937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3" name="Text Box 2">
          <a:extLst>
            <a:ext uri="{FF2B5EF4-FFF2-40B4-BE49-F238E27FC236}">
              <a16:creationId xmlns:a16="http://schemas.microsoft.com/office/drawing/2014/main" id="{36DF3518-CBBF-4636-A2B0-3D31BE0B4E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id="{5FD85FE8-2AD8-4DE7-96CE-C3D405CE9F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5" name="Text Box 2">
          <a:extLst>
            <a:ext uri="{FF2B5EF4-FFF2-40B4-BE49-F238E27FC236}">
              <a16:creationId xmlns:a16="http://schemas.microsoft.com/office/drawing/2014/main" id="{2519E4ED-8E2B-4EBC-A7D2-14B4000C90E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id="{D9883119-D16E-4486-845D-0314C8BAF8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7" name="Text Box 2">
          <a:extLst>
            <a:ext uri="{FF2B5EF4-FFF2-40B4-BE49-F238E27FC236}">
              <a16:creationId xmlns:a16="http://schemas.microsoft.com/office/drawing/2014/main" id="{EA119082-A3CE-41B1-90AB-5F3B8D596F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8" name="Text Box 1">
          <a:extLst>
            <a:ext uri="{FF2B5EF4-FFF2-40B4-BE49-F238E27FC236}">
              <a16:creationId xmlns:a16="http://schemas.microsoft.com/office/drawing/2014/main" id="{CF6B25AE-CFA0-4626-84F4-ADBBB2364F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69" name="Text Box 2">
          <a:extLst>
            <a:ext uri="{FF2B5EF4-FFF2-40B4-BE49-F238E27FC236}">
              <a16:creationId xmlns:a16="http://schemas.microsoft.com/office/drawing/2014/main" id="{C21D3078-9FAB-491C-96CF-9881F220A8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id="{C316D625-5703-435F-BD64-C6E7A5E1B7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1" name="Text Box 2">
          <a:extLst>
            <a:ext uri="{FF2B5EF4-FFF2-40B4-BE49-F238E27FC236}">
              <a16:creationId xmlns:a16="http://schemas.microsoft.com/office/drawing/2014/main" id="{900D8BDB-7DE7-41B1-8482-317AAFBF2E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2" name="Text Box 1">
          <a:extLst>
            <a:ext uri="{FF2B5EF4-FFF2-40B4-BE49-F238E27FC236}">
              <a16:creationId xmlns:a16="http://schemas.microsoft.com/office/drawing/2014/main" id="{4D20AA8E-C51D-4C57-9BE4-E422AFBC7A2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3" name="Text Box 2">
          <a:extLst>
            <a:ext uri="{FF2B5EF4-FFF2-40B4-BE49-F238E27FC236}">
              <a16:creationId xmlns:a16="http://schemas.microsoft.com/office/drawing/2014/main" id="{5C23B4B1-6E56-439A-8AD6-4E40D2980D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id="{7C04EC1E-5C74-4665-AFD6-AC83D837DC5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5" name="Text Box 2">
          <a:extLst>
            <a:ext uri="{FF2B5EF4-FFF2-40B4-BE49-F238E27FC236}">
              <a16:creationId xmlns:a16="http://schemas.microsoft.com/office/drawing/2014/main" id="{9FC1CBF4-1555-45EA-94FE-1E3CD210F02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6" name="Text Box 1">
          <a:extLst>
            <a:ext uri="{FF2B5EF4-FFF2-40B4-BE49-F238E27FC236}">
              <a16:creationId xmlns:a16="http://schemas.microsoft.com/office/drawing/2014/main" id="{74C7EFE4-F06C-4149-AA3D-710FBDA3B6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7" name="Text Box 2">
          <a:extLst>
            <a:ext uri="{FF2B5EF4-FFF2-40B4-BE49-F238E27FC236}">
              <a16:creationId xmlns:a16="http://schemas.microsoft.com/office/drawing/2014/main" id="{0081A29B-287D-47AC-BCAF-94F0F0DE379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id="{D7EFC5FA-AC40-43E9-97D5-971BF35C50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79" name="Text Box 2">
          <a:extLst>
            <a:ext uri="{FF2B5EF4-FFF2-40B4-BE49-F238E27FC236}">
              <a16:creationId xmlns:a16="http://schemas.microsoft.com/office/drawing/2014/main" id="{B20BBB5B-2A84-47B3-A0BF-5A6864AFD6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0" name="Text Box 1">
          <a:extLst>
            <a:ext uri="{FF2B5EF4-FFF2-40B4-BE49-F238E27FC236}">
              <a16:creationId xmlns:a16="http://schemas.microsoft.com/office/drawing/2014/main" id="{E68E8296-D438-44B3-BB67-C7AA7DDFF4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1" name="Text Box 2">
          <a:extLst>
            <a:ext uri="{FF2B5EF4-FFF2-40B4-BE49-F238E27FC236}">
              <a16:creationId xmlns:a16="http://schemas.microsoft.com/office/drawing/2014/main" id="{A85C9858-4CA8-4D7D-A50E-C2E7DE3421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4B0D7E73-38BD-41D8-833D-02A93EF742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3" name="Text Box 2">
          <a:extLst>
            <a:ext uri="{FF2B5EF4-FFF2-40B4-BE49-F238E27FC236}">
              <a16:creationId xmlns:a16="http://schemas.microsoft.com/office/drawing/2014/main" id="{F3206F2F-79CF-4700-B074-DF774B58A0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id="{3E3A1F34-20D2-4361-B95C-1C940995A5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5" name="Text Box 2">
          <a:extLst>
            <a:ext uri="{FF2B5EF4-FFF2-40B4-BE49-F238E27FC236}">
              <a16:creationId xmlns:a16="http://schemas.microsoft.com/office/drawing/2014/main" id="{7281FFA8-59ED-446F-9AA3-3972B4E9190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6E45B487-6ECC-4010-9517-C091EF667A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7" name="Text Box 2">
          <a:extLst>
            <a:ext uri="{FF2B5EF4-FFF2-40B4-BE49-F238E27FC236}">
              <a16:creationId xmlns:a16="http://schemas.microsoft.com/office/drawing/2014/main" id="{5452998C-4739-49D0-9EE0-98CFC07C379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id="{8F868425-6C5A-47BD-BAFB-5B9060530E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89" name="Text Box 2">
          <a:extLst>
            <a:ext uri="{FF2B5EF4-FFF2-40B4-BE49-F238E27FC236}">
              <a16:creationId xmlns:a16="http://schemas.microsoft.com/office/drawing/2014/main" id="{26F71354-93A8-46AE-BC94-121ACE00010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18D7D5DD-170F-451A-BCCE-4D8F0B2D59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1" name="Text Box 2">
          <a:extLst>
            <a:ext uri="{FF2B5EF4-FFF2-40B4-BE49-F238E27FC236}">
              <a16:creationId xmlns:a16="http://schemas.microsoft.com/office/drawing/2014/main" id="{2C4FA275-AB0E-42A4-9983-C602B9E0DD9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7E6C4DCA-024B-414E-9155-18604DB9DC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3" name="Text Box 2">
          <a:extLst>
            <a:ext uri="{FF2B5EF4-FFF2-40B4-BE49-F238E27FC236}">
              <a16:creationId xmlns:a16="http://schemas.microsoft.com/office/drawing/2014/main" id="{8F0EFB41-304F-42FF-B7F9-FFB1856ACE9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1240D39A-AB76-440B-8B4D-329A6F7CB95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5" name="Text Box 2">
          <a:extLst>
            <a:ext uri="{FF2B5EF4-FFF2-40B4-BE49-F238E27FC236}">
              <a16:creationId xmlns:a16="http://schemas.microsoft.com/office/drawing/2014/main" id="{E6C2337F-B045-4C9A-BA1A-9EE0A141AC8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B5C82E3E-3C18-42E4-B84C-8D78EFD6584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7" name="Text Box 2">
          <a:extLst>
            <a:ext uri="{FF2B5EF4-FFF2-40B4-BE49-F238E27FC236}">
              <a16:creationId xmlns:a16="http://schemas.microsoft.com/office/drawing/2014/main" id="{59C3D53E-FC98-4366-B610-34F6A4DADA6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2587763F-C022-474C-B464-089AD8AC1A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199" name="Text Box 2">
          <a:extLst>
            <a:ext uri="{FF2B5EF4-FFF2-40B4-BE49-F238E27FC236}">
              <a16:creationId xmlns:a16="http://schemas.microsoft.com/office/drawing/2014/main" id="{805EB457-CC0C-442E-A9CA-34E90B5498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83598AEC-CA5D-4DBC-B847-6D7662B228C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1" name="Text Box 2">
          <a:extLst>
            <a:ext uri="{FF2B5EF4-FFF2-40B4-BE49-F238E27FC236}">
              <a16:creationId xmlns:a16="http://schemas.microsoft.com/office/drawing/2014/main" id="{1888909D-E26F-43A3-93D7-13D5D33FF5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3F5640F3-B456-45AD-97C7-B6B4DDB940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3" name="Text Box 2">
          <a:extLst>
            <a:ext uri="{FF2B5EF4-FFF2-40B4-BE49-F238E27FC236}">
              <a16:creationId xmlns:a16="http://schemas.microsoft.com/office/drawing/2014/main" id="{F3E9F105-9506-41C8-941D-CA85FB6309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54BE78C2-B9F3-4107-9C78-D8C00D4B88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5" name="Text Box 2">
          <a:extLst>
            <a:ext uri="{FF2B5EF4-FFF2-40B4-BE49-F238E27FC236}">
              <a16:creationId xmlns:a16="http://schemas.microsoft.com/office/drawing/2014/main" id="{ED731C4F-6E8E-4310-B906-B93339A834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7280A26D-42D9-4EAB-B852-731919D19F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7" name="Text Box 2">
          <a:extLst>
            <a:ext uri="{FF2B5EF4-FFF2-40B4-BE49-F238E27FC236}">
              <a16:creationId xmlns:a16="http://schemas.microsoft.com/office/drawing/2014/main" id="{6EC3D90B-2BD6-4D9F-BA8E-E5B7D9D06D8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7862A302-FDF5-4A17-A440-2F4F3566F7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09" name="Text Box 2">
          <a:extLst>
            <a:ext uri="{FF2B5EF4-FFF2-40B4-BE49-F238E27FC236}">
              <a16:creationId xmlns:a16="http://schemas.microsoft.com/office/drawing/2014/main" id="{14478710-A4A8-444D-865B-795E39F435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B2C1182F-F57D-4FF7-9250-182C165C47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1" name="Text Box 2">
          <a:extLst>
            <a:ext uri="{FF2B5EF4-FFF2-40B4-BE49-F238E27FC236}">
              <a16:creationId xmlns:a16="http://schemas.microsoft.com/office/drawing/2014/main" id="{8BB33D97-ED9E-40B5-B856-FC1C17D61D3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CF2FC0DF-9AEE-4B2B-AD27-83795B349D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3" name="Text Box 2">
          <a:extLst>
            <a:ext uri="{FF2B5EF4-FFF2-40B4-BE49-F238E27FC236}">
              <a16:creationId xmlns:a16="http://schemas.microsoft.com/office/drawing/2014/main" id="{D9B9F87F-E085-4021-9050-75309CC272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id="{58F9E5EE-B877-4DE6-B21B-84ADB52C18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5" name="Text Box 2">
          <a:extLst>
            <a:ext uri="{FF2B5EF4-FFF2-40B4-BE49-F238E27FC236}">
              <a16:creationId xmlns:a16="http://schemas.microsoft.com/office/drawing/2014/main" id="{1B3C7646-D4BD-44D2-A8F2-8E5E82AAF2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24141534-14DD-493D-99F3-56A9451F38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7" name="Text Box 2">
          <a:extLst>
            <a:ext uri="{FF2B5EF4-FFF2-40B4-BE49-F238E27FC236}">
              <a16:creationId xmlns:a16="http://schemas.microsoft.com/office/drawing/2014/main" id="{8B59388B-E5BF-486E-9202-63ADF47ACD2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8" name="Text Box 1">
          <a:extLst>
            <a:ext uri="{FF2B5EF4-FFF2-40B4-BE49-F238E27FC236}">
              <a16:creationId xmlns:a16="http://schemas.microsoft.com/office/drawing/2014/main" id="{09E2F981-D2A3-4B39-A5BC-31EBDAC89A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19" name="Text Box 2">
          <a:extLst>
            <a:ext uri="{FF2B5EF4-FFF2-40B4-BE49-F238E27FC236}">
              <a16:creationId xmlns:a16="http://schemas.microsoft.com/office/drawing/2014/main" id="{29A7829F-A4A3-42D2-849A-7E7888026B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id="{0F7C09A8-13C5-4DE1-AC6F-2EACDCAD73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1" name="Text Box 2">
          <a:extLst>
            <a:ext uri="{FF2B5EF4-FFF2-40B4-BE49-F238E27FC236}">
              <a16:creationId xmlns:a16="http://schemas.microsoft.com/office/drawing/2014/main" id="{9CBC79F8-74F9-4772-9018-598B013D77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id="{F413A9D2-984B-43A4-9044-C024476CAD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3" name="Text Box 2">
          <a:extLst>
            <a:ext uri="{FF2B5EF4-FFF2-40B4-BE49-F238E27FC236}">
              <a16:creationId xmlns:a16="http://schemas.microsoft.com/office/drawing/2014/main" id="{180212C7-00CD-4FEC-BE82-F4F086F6F03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id="{2F797580-7806-4F90-A0A8-3F5A38F278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5" name="Text Box 2">
          <a:extLst>
            <a:ext uri="{FF2B5EF4-FFF2-40B4-BE49-F238E27FC236}">
              <a16:creationId xmlns:a16="http://schemas.microsoft.com/office/drawing/2014/main" id="{CB120CA3-8224-4070-B677-A4FD4641A0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6" name="Text Box 1">
          <a:extLst>
            <a:ext uri="{FF2B5EF4-FFF2-40B4-BE49-F238E27FC236}">
              <a16:creationId xmlns:a16="http://schemas.microsoft.com/office/drawing/2014/main" id="{0EE45372-743E-458B-B2AA-1A6B63759F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7" name="Text Box 2">
          <a:extLst>
            <a:ext uri="{FF2B5EF4-FFF2-40B4-BE49-F238E27FC236}">
              <a16:creationId xmlns:a16="http://schemas.microsoft.com/office/drawing/2014/main" id="{BAB8741F-AACD-4777-9725-D97FA28F16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id="{0ED685E2-F47D-4E2F-91AB-1F50DF8FCC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29" name="Text Box 2">
          <a:extLst>
            <a:ext uri="{FF2B5EF4-FFF2-40B4-BE49-F238E27FC236}">
              <a16:creationId xmlns:a16="http://schemas.microsoft.com/office/drawing/2014/main" id="{90D5D591-72EB-4BF5-9B1A-01AD5CCFE4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0" name="Text Box 1">
          <a:extLst>
            <a:ext uri="{FF2B5EF4-FFF2-40B4-BE49-F238E27FC236}">
              <a16:creationId xmlns:a16="http://schemas.microsoft.com/office/drawing/2014/main" id="{EC2401BF-3682-46C5-8DEE-7329260DA3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1" name="Text Box 2">
          <a:extLst>
            <a:ext uri="{FF2B5EF4-FFF2-40B4-BE49-F238E27FC236}">
              <a16:creationId xmlns:a16="http://schemas.microsoft.com/office/drawing/2014/main" id="{C94C68D6-CB8C-4529-9525-0BA81562CF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id="{219CBA23-8978-4E7D-A7D1-6F249F672F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3" name="Text Box 2">
          <a:extLst>
            <a:ext uri="{FF2B5EF4-FFF2-40B4-BE49-F238E27FC236}">
              <a16:creationId xmlns:a16="http://schemas.microsoft.com/office/drawing/2014/main" id="{C9A48393-4AB1-403B-BFF8-AB0D435C71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4" name="Text Box 1">
          <a:extLst>
            <a:ext uri="{FF2B5EF4-FFF2-40B4-BE49-F238E27FC236}">
              <a16:creationId xmlns:a16="http://schemas.microsoft.com/office/drawing/2014/main" id="{2CA45F76-7F98-456F-8747-1906E330F8B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5" name="Text Box 2">
          <a:extLst>
            <a:ext uri="{FF2B5EF4-FFF2-40B4-BE49-F238E27FC236}">
              <a16:creationId xmlns:a16="http://schemas.microsoft.com/office/drawing/2014/main" id="{B25F8E67-6E82-4E38-B287-C934DC9EAB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id="{168AA24E-F6A5-457D-A380-F35CFF926A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7" name="Text Box 2">
          <a:extLst>
            <a:ext uri="{FF2B5EF4-FFF2-40B4-BE49-F238E27FC236}">
              <a16:creationId xmlns:a16="http://schemas.microsoft.com/office/drawing/2014/main" id="{838CC1E9-2274-4E7B-B5E4-D8AD4F9B83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id="{8D224A02-8856-4349-8C14-B90BE56FBA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39" name="Text Box 2">
          <a:extLst>
            <a:ext uri="{FF2B5EF4-FFF2-40B4-BE49-F238E27FC236}">
              <a16:creationId xmlns:a16="http://schemas.microsoft.com/office/drawing/2014/main" id="{D5605C9F-021E-426B-9E79-83F2EC5A8F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id="{09F1A6E8-190B-4199-BB54-60386A2223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8B8B14EA-3F4D-41B1-ABAD-01AAAC7B9B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id="{9C799109-B9BF-4C42-AA96-B4A7B7056C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3" name="Text Box 2">
          <a:extLst>
            <a:ext uri="{FF2B5EF4-FFF2-40B4-BE49-F238E27FC236}">
              <a16:creationId xmlns:a16="http://schemas.microsoft.com/office/drawing/2014/main" id="{0EB42754-73AA-49C3-8F75-8E19AFC189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id="{022E63F0-5C54-46AC-8565-6131B2C7C8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5" name="Text Box 2">
          <a:extLst>
            <a:ext uri="{FF2B5EF4-FFF2-40B4-BE49-F238E27FC236}">
              <a16:creationId xmlns:a16="http://schemas.microsoft.com/office/drawing/2014/main" id="{E35F23B5-33C6-4C92-AEEB-4496EEDCC2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id="{1037E4E9-502A-48E2-82D7-327831173C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7" name="Text Box 2">
          <a:extLst>
            <a:ext uri="{FF2B5EF4-FFF2-40B4-BE49-F238E27FC236}">
              <a16:creationId xmlns:a16="http://schemas.microsoft.com/office/drawing/2014/main" id="{1E8CA579-5A1D-4848-8D5E-797254844E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9331D244-05FC-4D1D-B204-EE24AEBAD8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49" name="Text Box 2">
          <a:extLst>
            <a:ext uri="{FF2B5EF4-FFF2-40B4-BE49-F238E27FC236}">
              <a16:creationId xmlns:a16="http://schemas.microsoft.com/office/drawing/2014/main" id="{EA4BDDC1-8F4D-43DD-BAB2-1B44E57F53C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85EA4E11-22DE-4508-AC18-77CA0767D6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1" name="Text Box 2">
          <a:extLst>
            <a:ext uri="{FF2B5EF4-FFF2-40B4-BE49-F238E27FC236}">
              <a16:creationId xmlns:a16="http://schemas.microsoft.com/office/drawing/2014/main" id="{F0C397F2-F6C7-4502-AD78-E005EE77A0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BD8BF922-B9CE-478A-AA0B-8949D9C9581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3" name="Text Box 2">
          <a:extLst>
            <a:ext uri="{FF2B5EF4-FFF2-40B4-BE49-F238E27FC236}">
              <a16:creationId xmlns:a16="http://schemas.microsoft.com/office/drawing/2014/main" id="{585842CB-6001-4256-84FA-980217842D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D2F54154-26DD-486A-B06D-693B09AFAD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5" name="Text Box 2">
          <a:extLst>
            <a:ext uri="{FF2B5EF4-FFF2-40B4-BE49-F238E27FC236}">
              <a16:creationId xmlns:a16="http://schemas.microsoft.com/office/drawing/2014/main" id="{539D57A2-BA82-4F45-9073-2042475E27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id="{88E79742-28E1-4814-9FE6-0827AB48A0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7" name="Text Box 2">
          <a:extLst>
            <a:ext uri="{FF2B5EF4-FFF2-40B4-BE49-F238E27FC236}">
              <a16:creationId xmlns:a16="http://schemas.microsoft.com/office/drawing/2014/main" id="{620ECCB8-6C42-4ECB-8A83-5E31F6C153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55C61FAB-9866-4418-BC65-B85ECD2A675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59" name="Text Box 2">
          <a:extLst>
            <a:ext uri="{FF2B5EF4-FFF2-40B4-BE49-F238E27FC236}">
              <a16:creationId xmlns:a16="http://schemas.microsoft.com/office/drawing/2014/main" id="{E108CA99-C810-4531-8ACA-F386960DF5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0" name="Text Box 1">
          <a:extLst>
            <a:ext uri="{FF2B5EF4-FFF2-40B4-BE49-F238E27FC236}">
              <a16:creationId xmlns:a16="http://schemas.microsoft.com/office/drawing/2014/main" id="{7F617CE0-BB05-403E-9800-7E1DB47CD3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1" name="Text Box 2">
          <a:extLst>
            <a:ext uri="{FF2B5EF4-FFF2-40B4-BE49-F238E27FC236}">
              <a16:creationId xmlns:a16="http://schemas.microsoft.com/office/drawing/2014/main" id="{80AB5BBC-E05B-48A6-8086-7B3C09AC2E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id="{4A69AAFB-D912-4E1D-AF85-6A17AA3E3E3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3" name="Text Box 2">
          <a:extLst>
            <a:ext uri="{FF2B5EF4-FFF2-40B4-BE49-F238E27FC236}">
              <a16:creationId xmlns:a16="http://schemas.microsoft.com/office/drawing/2014/main" id="{0ADB2271-29DC-43A1-8DF6-666B309B88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id="{0BE9110E-9E9E-4252-A093-23E90EE927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5" name="Text Box 2">
          <a:extLst>
            <a:ext uri="{FF2B5EF4-FFF2-40B4-BE49-F238E27FC236}">
              <a16:creationId xmlns:a16="http://schemas.microsoft.com/office/drawing/2014/main" id="{21136260-43FC-4C81-B179-955976D227F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id="{B5A95747-BDDF-4C46-8442-8EF2B2CEF5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7" name="Text Box 2">
          <a:extLst>
            <a:ext uri="{FF2B5EF4-FFF2-40B4-BE49-F238E27FC236}">
              <a16:creationId xmlns:a16="http://schemas.microsoft.com/office/drawing/2014/main" id="{A3DD674E-8D35-4532-9411-EC9D8E0046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id="{E537AAFD-66AA-4684-B822-9105CC5B9B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69" name="Text Box 2">
          <a:extLst>
            <a:ext uri="{FF2B5EF4-FFF2-40B4-BE49-F238E27FC236}">
              <a16:creationId xmlns:a16="http://schemas.microsoft.com/office/drawing/2014/main" id="{04B83DDC-6A72-437A-AB6C-3B9892CE46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ADA82EB5-3CDD-4745-AA93-0925FAE4BD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1" name="Text Box 2">
          <a:extLst>
            <a:ext uri="{FF2B5EF4-FFF2-40B4-BE49-F238E27FC236}">
              <a16:creationId xmlns:a16="http://schemas.microsoft.com/office/drawing/2014/main" id="{7FCBB635-0664-420D-AC49-0D66184D45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id="{16F573DE-C011-4B50-9314-643CD40A45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3" name="Text Box 2">
          <a:extLst>
            <a:ext uri="{FF2B5EF4-FFF2-40B4-BE49-F238E27FC236}">
              <a16:creationId xmlns:a16="http://schemas.microsoft.com/office/drawing/2014/main" id="{80A474DA-6A14-487A-B03D-962F09A484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id="{349223FC-C8FC-4EB1-9D38-39F53B4011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5" name="Text Box 2">
          <a:extLst>
            <a:ext uri="{FF2B5EF4-FFF2-40B4-BE49-F238E27FC236}">
              <a16:creationId xmlns:a16="http://schemas.microsoft.com/office/drawing/2014/main" id="{664DF7AA-2A83-47D8-B6E4-5C780A8E5EE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B78C102D-F8BC-4507-90DA-5BEAC51A406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7" name="Text Box 2">
          <a:extLst>
            <a:ext uri="{FF2B5EF4-FFF2-40B4-BE49-F238E27FC236}">
              <a16:creationId xmlns:a16="http://schemas.microsoft.com/office/drawing/2014/main" id="{82767EEE-F97C-4161-A700-F089436896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AE9E1FD6-5612-4C4B-B8E7-C376527477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79" name="Text Box 2">
          <a:extLst>
            <a:ext uri="{FF2B5EF4-FFF2-40B4-BE49-F238E27FC236}">
              <a16:creationId xmlns:a16="http://schemas.microsoft.com/office/drawing/2014/main" id="{3A9DA5B9-0964-4CF7-90C4-6694E59A88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id="{89530C16-8989-4527-8B7D-6B31932752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1" name="Text Box 2">
          <a:extLst>
            <a:ext uri="{FF2B5EF4-FFF2-40B4-BE49-F238E27FC236}">
              <a16:creationId xmlns:a16="http://schemas.microsoft.com/office/drawing/2014/main" id="{47E18B77-FE24-4117-A20D-DF4D0F7E4E2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BD97941C-04A0-4925-973A-3AC5A1DB32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3" name="Text Box 2">
          <a:extLst>
            <a:ext uri="{FF2B5EF4-FFF2-40B4-BE49-F238E27FC236}">
              <a16:creationId xmlns:a16="http://schemas.microsoft.com/office/drawing/2014/main" id="{8BAA8FC4-B55B-43D9-96FF-2494444A43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id="{2DCE5281-04ED-4DBC-BC19-B1CF44113CF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5" name="Text Box 2">
          <a:extLst>
            <a:ext uri="{FF2B5EF4-FFF2-40B4-BE49-F238E27FC236}">
              <a16:creationId xmlns:a16="http://schemas.microsoft.com/office/drawing/2014/main" id="{E32C2958-36D8-475F-9B60-7391E1F80B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0373AEDB-5B97-4756-B056-83FCE50CD1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7" name="Text Box 2">
          <a:extLst>
            <a:ext uri="{FF2B5EF4-FFF2-40B4-BE49-F238E27FC236}">
              <a16:creationId xmlns:a16="http://schemas.microsoft.com/office/drawing/2014/main" id="{8392CC1A-E5AC-4F9F-B31E-DFF3A475E2D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D3838DD0-9A4B-477F-B579-A6C5A05D42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89" name="Text Box 2">
          <a:extLst>
            <a:ext uri="{FF2B5EF4-FFF2-40B4-BE49-F238E27FC236}">
              <a16:creationId xmlns:a16="http://schemas.microsoft.com/office/drawing/2014/main" id="{CFB5339D-A68B-4F29-B156-0F0E776CFFD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5DA31F72-CF2C-4FE6-9C1A-BA061C9562C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1" name="Text Box 2">
          <a:extLst>
            <a:ext uri="{FF2B5EF4-FFF2-40B4-BE49-F238E27FC236}">
              <a16:creationId xmlns:a16="http://schemas.microsoft.com/office/drawing/2014/main" id="{BFB1B7BF-F69B-4251-83EC-10683C379F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4B588348-1019-4E5D-8289-630CA6409F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3" name="Text Box 2">
          <a:extLst>
            <a:ext uri="{FF2B5EF4-FFF2-40B4-BE49-F238E27FC236}">
              <a16:creationId xmlns:a16="http://schemas.microsoft.com/office/drawing/2014/main" id="{79A493C3-C1A4-4EBF-AAF3-466FD60EF61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id="{F582AC57-0C74-48DB-8266-CAC9E4B70BE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5" name="Text Box 2">
          <a:extLst>
            <a:ext uri="{FF2B5EF4-FFF2-40B4-BE49-F238E27FC236}">
              <a16:creationId xmlns:a16="http://schemas.microsoft.com/office/drawing/2014/main" id="{22F64DB0-EDE3-4D52-AE4B-7C017F6B1F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8C07830F-6732-4E4B-AF02-C411F9C6C0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7" name="Text Box 2">
          <a:extLst>
            <a:ext uri="{FF2B5EF4-FFF2-40B4-BE49-F238E27FC236}">
              <a16:creationId xmlns:a16="http://schemas.microsoft.com/office/drawing/2014/main" id="{D83A31F5-F2AC-4DF3-B411-6E4FF18550A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B277267F-91B5-4D05-97CF-BCB6993916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299" name="Text Box 2">
          <a:extLst>
            <a:ext uri="{FF2B5EF4-FFF2-40B4-BE49-F238E27FC236}">
              <a16:creationId xmlns:a16="http://schemas.microsoft.com/office/drawing/2014/main" id="{8D2CAB6B-4C2C-4712-8227-A004D0C712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4661C720-77C5-405E-A064-C4BB4CEBAA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1" name="Text Box 2">
          <a:extLst>
            <a:ext uri="{FF2B5EF4-FFF2-40B4-BE49-F238E27FC236}">
              <a16:creationId xmlns:a16="http://schemas.microsoft.com/office/drawing/2014/main" id="{BC1FB867-6FA6-4540-9A02-6D36D541575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id="{252803B6-3D3C-4F7E-A837-E1DA583E67A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3" name="Text Box 2">
          <a:extLst>
            <a:ext uri="{FF2B5EF4-FFF2-40B4-BE49-F238E27FC236}">
              <a16:creationId xmlns:a16="http://schemas.microsoft.com/office/drawing/2014/main" id="{165E6210-5513-4789-B425-4782058CE1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id="{5E8CDF90-AB8A-41C0-942D-FEB3E5AB32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5" name="Text Box 2">
          <a:extLst>
            <a:ext uri="{FF2B5EF4-FFF2-40B4-BE49-F238E27FC236}">
              <a16:creationId xmlns:a16="http://schemas.microsoft.com/office/drawing/2014/main" id="{453DA30B-2F44-4942-A780-1B5F485E368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6" name="Text Box 1">
          <a:extLst>
            <a:ext uri="{FF2B5EF4-FFF2-40B4-BE49-F238E27FC236}">
              <a16:creationId xmlns:a16="http://schemas.microsoft.com/office/drawing/2014/main" id="{1B251C56-40C1-4991-8CAD-4F736C2DFF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7" name="Text Box 2">
          <a:extLst>
            <a:ext uri="{FF2B5EF4-FFF2-40B4-BE49-F238E27FC236}">
              <a16:creationId xmlns:a16="http://schemas.microsoft.com/office/drawing/2014/main" id="{7AD2F02B-8F4D-4CB0-84CD-A98D70456C5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id="{320A78AB-3BD8-43E2-839E-EA367727D1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09" name="Text Box 2">
          <a:extLst>
            <a:ext uri="{FF2B5EF4-FFF2-40B4-BE49-F238E27FC236}">
              <a16:creationId xmlns:a16="http://schemas.microsoft.com/office/drawing/2014/main" id="{559B3CC5-B123-4B61-B08C-CD3D78DB45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0" name="Text Box 1">
          <a:extLst>
            <a:ext uri="{FF2B5EF4-FFF2-40B4-BE49-F238E27FC236}">
              <a16:creationId xmlns:a16="http://schemas.microsoft.com/office/drawing/2014/main" id="{3883B8B1-A355-43D7-BD40-0414F4462E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1" name="Text Box 2">
          <a:extLst>
            <a:ext uri="{FF2B5EF4-FFF2-40B4-BE49-F238E27FC236}">
              <a16:creationId xmlns:a16="http://schemas.microsoft.com/office/drawing/2014/main" id="{93C3B3E1-B3FA-4617-87A6-C44967D373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id="{2C630E55-8074-48BB-BB30-2E7AE43CBD4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3" name="Text Box 2">
          <a:extLst>
            <a:ext uri="{FF2B5EF4-FFF2-40B4-BE49-F238E27FC236}">
              <a16:creationId xmlns:a16="http://schemas.microsoft.com/office/drawing/2014/main" id="{4D79232C-5B5B-4ABB-8A0B-13AAE488FC6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4" name="Text Box 1">
          <a:extLst>
            <a:ext uri="{FF2B5EF4-FFF2-40B4-BE49-F238E27FC236}">
              <a16:creationId xmlns:a16="http://schemas.microsoft.com/office/drawing/2014/main" id="{8E99FE3D-88C0-499E-80E0-3D608842A0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5" name="Text Box 2">
          <a:extLst>
            <a:ext uri="{FF2B5EF4-FFF2-40B4-BE49-F238E27FC236}">
              <a16:creationId xmlns:a16="http://schemas.microsoft.com/office/drawing/2014/main" id="{A4A72D20-7C98-4A2B-BCCC-84C10C6342B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id="{18A97449-231A-44B8-9B29-10375214BF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7" name="Text Box 2">
          <a:extLst>
            <a:ext uri="{FF2B5EF4-FFF2-40B4-BE49-F238E27FC236}">
              <a16:creationId xmlns:a16="http://schemas.microsoft.com/office/drawing/2014/main" id="{27E0632D-9A0E-4C96-A45D-BA7DA6FB47F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8" name="Text Box 1">
          <a:extLst>
            <a:ext uri="{FF2B5EF4-FFF2-40B4-BE49-F238E27FC236}">
              <a16:creationId xmlns:a16="http://schemas.microsoft.com/office/drawing/2014/main" id="{A06E85FD-A67B-4F83-8DD7-8F20C3A7002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19" name="Text Box 2">
          <a:extLst>
            <a:ext uri="{FF2B5EF4-FFF2-40B4-BE49-F238E27FC236}">
              <a16:creationId xmlns:a16="http://schemas.microsoft.com/office/drawing/2014/main" id="{969F0360-04AB-430F-B419-7280C1BC864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id="{5A5C1608-EAED-444A-93A8-72DA24974C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1" name="Text Box 2">
          <a:extLst>
            <a:ext uri="{FF2B5EF4-FFF2-40B4-BE49-F238E27FC236}">
              <a16:creationId xmlns:a16="http://schemas.microsoft.com/office/drawing/2014/main" id="{B67FB61C-5C01-4169-9D24-0DA9BF8A1B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2" name="Text Box 1">
          <a:extLst>
            <a:ext uri="{FF2B5EF4-FFF2-40B4-BE49-F238E27FC236}">
              <a16:creationId xmlns:a16="http://schemas.microsoft.com/office/drawing/2014/main" id="{04B40859-26D2-4976-84CD-B8B4E541CC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3" name="Text Box 2">
          <a:extLst>
            <a:ext uri="{FF2B5EF4-FFF2-40B4-BE49-F238E27FC236}">
              <a16:creationId xmlns:a16="http://schemas.microsoft.com/office/drawing/2014/main" id="{00044093-FF19-4084-947F-458B2AAFA6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id="{3CB48915-10EE-471F-AB7D-06D0E72C772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5" name="Text Box 2">
          <a:extLst>
            <a:ext uri="{FF2B5EF4-FFF2-40B4-BE49-F238E27FC236}">
              <a16:creationId xmlns:a16="http://schemas.microsoft.com/office/drawing/2014/main" id="{0D472743-94F6-44D5-BDF4-667D96FFA9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6" name="Text Box 1">
          <a:extLst>
            <a:ext uri="{FF2B5EF4-FFF2-40B4-BE49-F238E27FC236}">
              <a16:creationId xmlns:a16="http://schemas.microsoft.com/office/drawing/2014/main" id="{878C553C-FA7C-4AA2-AC5B-B71A22D704F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7" name="Text Box 2">
          <a:extLst>
            <a:ext uri="{FF2B5EF4-FFF2-40B4-BE49-F238E27FC236}">
              <a16:creationId xmlns:a16="http://schemas.microsoft.com/office/drawing/2014/main" id="{29B8EC99-57D5-4106-9E23-8DD7993CF9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id="{387B8930-B6A6-4A06-9553-A3B4494E45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29" name="Text Box 2">
          <a:extLst>
            <a:ext uri="{FF2B5EF4-FFF2-40B4-BE49-F238E27FC236}">
              <a16:creationId xmlns:a16="http://schemas.microsoft.com/office/drawing/2014/main" id="{B87FAA0B-AF9D-45D5-BD39-67F824BDFE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id="{0AE66F2B-0395-4F2D-A363-94EA700FC2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1" name="Text Box 2">
          <a:extLst>
            <a:ext uri="{FF2B5EF4-FFF2-40B4-BE49-F238E27FC236}">
              <a16:creationId xmlns:a16="http://schemas.microsoft.com/office/drawing/2014/main" id="{16B7F86F-5AFD-41B4-A777-371C10F509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id="{C4E30089-45A6-4311-B3AC-250651AE3C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3" name="Text Box 2">
          <a:extLst>
            <a:ext uri="{FF2B5EF4-FFF2-40B4-BE49-F238E27FC236}">
              <a16:creationId xmlns:a16="http://schemas.microsoft.com/office/drawing/2014/main" id="{B8A5B83A-395D-4702-B07C-4833A76B72B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id="{496D8D98-D95B-4462-8E96-A639F31ACF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5" name="Text Box 2">
          <a:extLst>
            <a:ext uri="{FF2B5EF4-FFF2-40B4-BE49-F238E27FC236}">
              <a16:creationId xmlns:a16="http://schemas.microsoft.com/office/drawing/2014/main" id="{32B059E4-82B2-4F9E-9A7A-EDB4D90867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6" name="Text Box 1">
          <a:extLst>
            <a:ext uri="{FF2B5EF4-FFF2-40B4-BE49-F238E27FC236}">
              <a16:creationId xmlns:a16="http://schemas.microsoft.com/office/drawing/2014/main" id="{6B2422E4-D192-4FAE-AE11-55FD6175A2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7" name="Text Box 2">
          <a:extLst>
            <a:ext uri="{FF2B5EF4-FFF2-40B4-BE49-F238E27FC236}">
              <a16:creationId xmlns:a16="http://schemas.microsoft.com/office/drawing/2014/main" id="{B94D0DE7-712B-416A-97B4-891D690BA1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8" name="Text Box 1">
          <a:extLst>
            <a:ext uri="{FF2B5EF4-FFF2-40B4-BE49-F238E27FC236}">
              <a16:creationId xmlns:a16="http://schemas.microsoft.com/office/drawing/2014/main" id="{456C9902-2408-4DB9-BBCA-736F4DB857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39" name="Text Box 2">
          <a:extLst>
            <a:ext uri="{FF2B5EF4-FFF2-40B4-BE49-F238E27FC236}">
              <a16:creationId xmlns:a16="http://schemas.microsoft.com/office/drawing/2014/main" id="{9AD4C901-00F5-4EB1-84D0-54528573D6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0" name="Text Box 1">
          <a:extLst>
            <a:ext uri="{FF2B5EF4-FFF2-40B4-BE49-F238E27FC236}">
              <a16:creationId xmlns:a16="http://schemas.microsoft.com/office/drawing/2014/main" id="{DFC38A1D-059B-435B-BB66-50C00864B66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1" name="Text Box 2">
          <a:extLst>
            <a:ext uri="{FF2B5EF4-FFF2-40B4-BE49-F238E27FC236}">
              <a16:creationId xmlns:a16="http://schemas.microsoft.com/office/drawing/2014/main" id="{752437F5-5596-49BC-BD94-C07DAEE2F5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2" name="Text Box 1">
          <a:extLst>
            <a:ext uri="{FF2B5EF4-FFF2-40B4-BE49-F238E27FC236}">
              <a16:creationId xmlns:a16="http://schemas.microsoft.com/office/drawing/2014/main" id="{029E8DDB-D65D-4BE1-B158-DA693FBE75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3" name="Text Box 2">
          <a:extLst>
            <a:ext uri="{FF2B5EF4-FFF2-40B4-BE49-F238E27FC236}">
              <a16:creationId xmlns:a16="http://schemas.microsoft.com/office/drawing/2014/main" id="{22343B24-561E-4A0B-909F-A1F3262263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4" name="Text Box 1">
          <a:extLst>
            <a:ext uri="{FF2B5EF4-FFF2-40B4-BE49-F238E27FC236}">
              <a16:creationId xmlns:a16="http://schemas.microsoft.com/office/drawing/2014/main" id="{57D515B0-445E-4445-8BAC-95E8D5669F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5" name="Text Box 2">
          <a:extLst>
            <a:ext uri="{FF2B5EF4-FFF2-40B4-BE49-F238E27FC236}">
              <a16:creationId xmlns:a16="http://schemas.microsoft.com/office/drawing/2014/main" id="{1056791B-577B-4CF5-B4EC-6BF281B7B57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id="{D61126F5-C682-406E-8B33-8FE3A680F1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7" name="Text Box 2">
          <a:extLst>
            <a:ext uri="{FF2B5EF4-FFF2-40B4-BE49-F238E27FC236}">
              <a16:creationId xmlns:a16="http://schemas.microsoft.com/office/drawing/2014/main" id="{94F1C377-B153-499E-BDBD-C25EA82273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8" name="Text Box 1">
          <a:extLst>
            <a:ext uri="{FF2B5EF4-FFF2-40B4-BE49-F238E27FC236}">
              <a16:creationId xmlns:a16="http://schemas.microsoft.com/office/drawing/2014/main" id="{C5FBD845-3357-47B7-A0F2-156F77D86C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49" name="Text Box 2">
          <a:extLst>
            <a:ext uri="{FF2B5EF4-FFF2-40B4-BE49-F238E27FC236}">
              <a16:creationId xmlns:a16="http://schemas.microsoft.com/office/drawing/2014/main" id="{E2E5FA63-C5C2-4288-A21E-0B6BC4310C4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0" name="Text Box 1">
          <a:extLst>
            <a:ext uri="{FF2B5EF4-FFF2-40B4-BE49-F238E27FC236}">
              <a16:creationId xmlns:a16="http://schemas.microsoft.com/office/drawing/2014/main" id="{2647DEE5-41DB-4849-9804-B3103EC4AB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1" name="Text Box 2">
          <a:extLst>
            <a:ext uri="{FF2B5EF4-FFF2-40B4-BE49-F238E27FC236}">
              <a16:creationId xmlns:a16="http://schemas.microsoft.com/office/drawing/2014/main" id="{4AB7184D-1ED1-4DAB-8C1D-11E08F0C917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2" name="Text Box 1">
          <a:extLst>
            <a:ext uri="{FF2B5EF4-FFF2-40B4-BE49-F238E27FC236}">
              <a16:creationId xmlns:a16="http://schemas.microsoft.com/office/drawing/2014/main" id="{1DD7FCA0-1A20-452F-A6BA-69AA8A9D6A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3" name="Text Box 2">
          <a:extLst>
            <a:ext uri="{FF2B5EF4-FFF2-40B4-BE49-F238E27FC236}">
              <a16:creationId xmlns:a16="http://schemas.microsoft.com/office/drawing/2014/main" id="{7CBD8F2C-B924-4561-A0DA-6EDCF632571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4" name="Text Box 1">
          <a:extLst>
            <a:ext uri="{FF2B5EF4-FFF2-40B4-BE49-F238E27FC236}">
              <a16:creationId xmlns:a16="http://schemas.microsoft.com/office/drawing/2014/main" id="{3ECF4794-B953-4B3C-829A-2098B7CD1B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5" name="Text Box 2">
          <a:extLst>
            <a:ext uri="{FF2B5EF4-FFF2-40B4-BE49-F238E27FC236}">
              <a16:creationId xmlns:a16="http://schemas.microsoft.com/office/drawing/2014/main" id="{DC0A6984-9959-4034-AD5A-5BE4876A964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6" name="Text Box 1">
          <a:extLst>
            <a:ext uri="{FF2B5EF4-FFF2-40B4-BE49-F238E27FC236}">
              <a16:creationId xmlns:a16="http://schemas.microsoft.com/office/drawing/2014/main" id="{4F6452FC-20B6-4DBE-9A7C-58F50B9792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7" name="Text Box 2">
          <a:extLst>
            <a:ext uri="{FF2B5EF4-FFF2-40B4-BE49-F238E27FC236}">
              <a16:creationId xmlns:a16="http://schemas.microsoft.com/office/drawing/2014/main" id="{76423719-3BFA-4777-953B-2A7D02E4E76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8" name="Text Box 1">
          <a:extLst>
            <a:ext uri="{FF2B5EF4-FFF2-40B4-BE49-F238E27FC236}">
              <a16:creationId xmlns:a16="http://schemas.microsoft.com/office/drawing/2014/main" id="{82453A6F-6BFF-4A0F-A48D-EA68DA27D2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59" name="Text Box 2">
          <a:extLst>
            <a:ext uri="{FF2B5EF4-FFF2-40B4-BE49-F238E27FC236}">
              <a16:creationId xmlns:a16="http://schemas.microsoft.com/office/drawing/2014/main" id="{73F97C92-E386-482E-87F4-B03C7A4AD7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0" name="Text Box 1">
          <a:extLst>
            <a:ext uri="{FF2B5EF4-FFF2-40B4-BE49-F238E27FC236}">
              <a16:creationId xmlns:a16="http://schemas.microsoft.com/office/drawing/2014/main" id="{79762E11-6271-4B59-B0A3-E3C431E5BE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1" name="Text Box 2">
          <a:extLst>
            <a:ext uri="{FF2B5EF4-FFF2-40B4-BE49-F238E27FC236}">
              <a16:creationId xmlns:a16="http://schemas.microsoft.com/office/drawing/2014/main" id="{C5A55C05-59B6-4114-8E78-DFC27F81A5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2" name="Text Box 1">
          <a:extLst>
            <a:ext uri="{FF2B5EF4-FFF2-40B4-BE49-F238E27FC236}">
              <a16:creationId xmlns:a16="http://schemas.microsoft.com/office/drawing/2014/main" id="{F23CDE29-56D5-4895-BAC1-76F78D0340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3" name="Text Box 2">
          <a:extLst>
            <a:ext uri="{FF2B5EF4-FFF2-40B4-BE49-F238E27FC236}">
              <a16:creationId xmlns:a16="http://schemas.microsoft.com/office/drawing/2014/main" id="{3BCBF9A3-E0F8-44B5-9A67-5A01AE3BC92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4" name="Text Box 1">
          <a:extLst>
            <a:ext uri="{FF2B5EF4-FFF2-40B4-BE49-F238E27FC236}">
              <a16:creationId xmlns:a16="http://schemas.microsoft.com/office/drawing/2014/main" id="{AFE40710-878E-4231-999E-A7B9F32A7B1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5" name="Text Box 2">
          <a:extLst>
            <a:ext uri="{FF2B5EF4-FFF2-40B4-BE49-F238E27FC236}">
              <a16:creationId xmlns:a16="http://schemas.microsoft.com/office/drawing/2014/main" id="{5D3E3DEA-E14B-4961-9B68-7E7E8868CB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6" name="Text Box 1">
          <a:extLst>
            <a:ext uri="{FF2B5EF4-FFF2-40B4-BE49-F238E27FC236}">
              <a16:creationId xmlns:a16="http://schemas.microsoft.com/office/drawing/2014/main" id="{E6005B13-B86F-4CB9-A624-985FF6783D1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7" name="Text Box 2">
          <a:extLst>
            <a:ext uri="{FF2B5EF4-FFF2-40B4-BE49-F238E27FC236}">
              <a16:creationId xmlns:a16="http://schemas.microsoft.com/office/drawing/2014/main" id="{F7286210-B0CD-420C-A1BB-A1BF8428A0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8" name="Text Box 1">
          <a:extLst>
            <a:ext uri="{FF2B5EF4-FFF2-40B4-BE49-F238E27FC236}">
              <a16:creationId xmlns:a16="http://schemas.microsoft.com/office/drawing/2014/main" id="{4FE274C2-08A5-4E6E-B1BF-469164841E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69" name="Text Box 2">
          <a:extLst>
            <a:ext uri="{FF2B5EF4-FFF2-40B4-BE49-F238E27FC236}">
              <a16:creationId xmlns:a16="http://schemas.microsoft.com/office/drawing/2014/main" id="{50951B53-7BC9-4464-ACBA-073D968EF0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id="{0224FFC0-F397-427A-8406-EDF49BBAF4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1" name="Text Box 2">
          <a:extLst>
            <a:ext uri="{FF2B5EF4-FFF2-40B4-BE49-F238E27FC236}">
              <a16:creationId xmlns:a16="http://schemas.microsoft.com/office/drawing/2014/main" id="{789D84F2-3C06-4948-97DF-6636CDEE02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2" name="Text Box 1">
          <a:extLst>
            <a:ext uri="{FF2B5EF4-FFF2-40B4-BE49-F238E27FC236}">
              <a16:creationId xmlns:a16="http://schemas.microsoft.com/office/drawing/2014/main" id="{EE17BA61-832E-4ABC-A62F-326398DAF02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3" name="Text Box 2">
          <a:extLst>
            <a:ext uri="{FF2B5EF4-FFF2-40B4-BE49-F238E27FC236}">
              <a16:creationId xmlns:a16="http://schemas.microsoft.com/office/drawing/2014/main" id="{A7CFFF0B-A950-423E-9628-F692808C4B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id="{3BCF5F94-EDE5-42D5-97C2-C757C6E58C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5" name="Text Box 2">
          <a:extLst>
            <a:ext uri="{FF2B5EF4-FFF2-40B4-BE49-F238E27FC236}">
              <a16:creationId xmlns:a16="http://schemas.microsoft.com/office/drawing/2014/main" id="{8B298938-F3D4-44B5-83D0-306F94E800E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6" name="Text Box 1">
          <a:extLst>
            <a:ext uri="{FF2B5EF4-FFF2-40B4-BE49-F238E27FC236}">
              <a16:creationId xmlns:a16="http://schemas.microsoft.com/office/drawing/2014/main" id="{389A5BB3-175C-4204-BF9B-838A6CB2A52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7" name="Text Box 2">
          <a:extLst>
            <a:ext uri="{FF2B5EF4-FFF2-40B4-BE49-F238E27FC236}">
              <a16:creationId xmlns:a16="http://schemas.microsoft.com/office/drawing/2014/main" id="{0BCB30BB-6E53-49F3-A444-4C801FD5915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8" name="Text Box 1">
          <a:extLst>
            <a:ext uri="{FF2B5EF4-FFF2-40B4-BE49-F238E27FC236}">
              <a16:creationId xmlns:a16="http://schemas.microsoft.com/office/drawing/2014/main" id="{0415EE85-24F9-4A30-B3FA-2128C717F31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79" name="Text Box 2">
          <a:extLst>
            <a:ext uri="{FF2B5EF4-FFF2-40B4-BE49-F238E27FC236}">
              <a16:creationId xmlns:a16="http://schemas.microsoft.com/office/drawing/2014/main" id="{BCB0D817-0FCC-4DD2-8F04-ED1D78B083E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id="{21E28F52-58E3-4577-980B-9F583888A1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1" name="Text Box 2">
          <a:extLst>
            <a:ext uri="{FF2B5EF4-FFF2-40B4-BE49-F238E27FC236}">
              <a16:creationId xmlns:a16="http://schemas.microsoft.com/office/drawing/2014/main" id="{AACF8589-AC4B-4BEF-B2D2-4C1C7604609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2" name="Text Box 1">
          <a:extLst>
            <a:ext uri="{FF2B5EF4-FFF2-40B4-BE49-F238E27FC236}">
              <a16:creationId xmlns:a16="http://schemas.microsoft.com/office/drawing/2014/main" id="{E3001B2A-7772-47BA-A041-FE34EF196C3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3" name="Text Box 2">
          <a:extLst>
            <a:ext uri="{FF2B5EF4-FFF2-40B4-BE49-F238E27FC236}">
              <a16:creationId xmlns:a16="http://schemas.microsoft.com/office/drawing/2014/main" id="{2F3107EA-0E21-4AFB-8C21-4048CBEF2E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4" name="Text Box 1">
          <a:extLst>
            <a:ext uri="{FF2B5EF4-FFF2-40B4-BE49-F238E27FC236}">
              <a16:creationId xmlns:a16="http://schemas.microsoft.com/office/drawing/2014/main" id="{727D5DA7-27E6-4C24-90A3-DA17ED62E7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5" name="Text Box 2">
          <a:extLst>
            <a:ext uri="{FF2B5EF4-FFF2-40B4-BE49-F238E27FC236}">
              <a16:creationId xmlns:a16="http://schemas.microsoft.com/office/drawing/2014/main" id="{8813B367-2D75-4C89-B178-1C82DF39339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6" name="Text Box 1">
          <a:extLst>
            <a:ext uri="{FF2B5EF4-FFF2-40B4-BE49-F238E27FC236}">
              <a16:creationId xmlns:a16="http://schemas.microsoft.com/office/drawing/2014/main" id="{C3BFFE50-59E5-4B3A-A631-B3759273348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7" name="Text Box 2">
          <a:extLst>
            <a:ext uri="{FF2B5EF4-FFF2-40B4-BE49-F238E27FC236}">
              <a16:creationId xmlns:a16="http://schemas.microsoft.com/office/drawing/2014/main" id="{33895C17-B8CB-4357-B5A4-BD67347CEF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8" name="Text Box 1">
          <a:extLst>
            <a:ext uri="{FF2B5EF4-FFF2-40B4-BE49-F238E27FC236}">
              <a16:creationId xmlns:a16="http://schemas.microsoft.com/office/drawing/2014/main" id="{9F876873-8A21-425B-B4C5-0DBFE5CA42B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89" name="Text Box 2">
          <a:extLst>
            <a:ext uri="{FF2B5EF4-FFF2-40B4-BE49-F238E27FC236}">
              <a16:creationId xmlns:a16="http://schemas.microsoft.com/office/drawing/2014/main" id="{24DF8BE2-3484-49C0-84D0-AEB24FEC5B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0" name="Text Box 1">
          <a:extLst>
            <a:ext uri="{FF2B5EF4-FFF2-40B4-BE49-F238E27FC236}">
              <a16:creationId xmlns:a16="http://schemas.microsoft.com/office/drawing/2014/main" id="{19B8ADAE-5ECE-4B03-8E5E-47A2615AEF0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1" name="Text Box 2">
          <a:extLst>
            <a:ext uri="{FF2B5EF4-FFF2-40B4-BE49-F238E27FC236}">
              <a16:creationId xmlns:a16="http://schemas.microsoft.com/office/drawing/2014/main" id="{4EB13FE0-89AF-4236-A492-2AEE2088F0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id="{797A3978-C200-4EFB-8D80-C680B63A180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3" name="Text Box 2">
          <a:extLst>
            <a:ext uri="{FF2B5EF4-FFF2-40B4-BE49-F238E27FC236}">
              <a16:creationId xmlns:a16="http://schemas.microsoft.com/office/drawing/2014/main" id="{1BFA6B6B-DEB0-4D3B-858F-4EB3183E04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id="{A25945A3-8305-4D01-85EF-1CDC867799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5" name="Text Box 2">
          <a:extLst>
            <a:ext uri="{FF2B5EF4-FFF2-40B4-BE49-F238E27FC236}">
              <a16:creationId xmlns:a16="http://schemas.microsoft.com/office/drawing/2014/main" id="{253D7D60-4BC7-4782-9A07-4726DBD81CC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6" name="Text Box 1">
          <a:extLst>
            <a:ext uri="{FF2B5EF4-FFF2-40B4-BE49-F238E27FC236}">
              <a16:creationId xmlns:a16="http://schemas.microsoft.com/office/drawing/2014/main" id="{B393AF29-7660-4033-B3C5-BCAED310C83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7" name="Text Box 2">
          <a:extLst>
            <a:ext uri="{FF2B5EF4-FFF2-40B4-BE49-F238E27FC236}">
              <a16:creationId xmlns:a16="http://schemas.microsoft.com/office/drawing/2014/main" id="{EA6A551D-8A93-4DD9-8AE9-2CAC754DEF6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8" name="Text Box 1">
          <a:extLst>
            <a:ext uri="{FF2B5EF4-FFF2-40B4-BE49-F238E27FC236}">
              <a16:creationId xmlns:a16="http://schemas.microsoft.com/office/drawing/2014/main" id="{9F7CA9ED-C9E0-4F0C-A391-8A7A585292F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399" name="Text Box 2">
          <a:extLst>
            <a:ext uri="{FF2B5EF4-FFF2-40B4-BE49-F238E27FC236}">
              <a16:creationId xmlns:a16="http://schemas.microsoft.com/office/drawing/2014/main" id="{B7BFEA9D-4941-4B29-9D02-DDF851BE18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0" name="Text Box 1">
          <a:extLst>
            <a:ext uri="{FF2B5EF4-FFF2-40B4-BE49-F238E27FC236}">
              <a16:creationId xmlns:a16="http://schemas.microsoft.com/office/drawing/2014/main" id="{0BD55FAA-5AFE-4FF2-9837-7DD2E740BB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1" name="Text Box 2">
          <a:extLst>
            <a:ext uri="{FF2B5EF4-FFF2-40B4-BE49-F238E27FC236}">
              <a16:creationId xmlns:a16="http://schemas.microsoft.com/office/drawing/2014/main" id="{3DE8FA72-A0BE-4A06-9EDB-CE901B6508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2" name="Text Box 1">
          <a:extLst>
            <a:ext uri="{FF2B5EF4-FFF2-40B4-BE49-F238E27FC236}">
              <a16:creationId xmlns:a16="http://schemas.microsoft.com/office/drawing/2014/main" id="{369292C5-2023-4060-A166-AF5DF58883A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3" name="Text Box 2">
          <a:extLst>
            <a:ext uri="{FF2B5EF4-FFF2-40B4-BE49-F238E27FC236}">
              <a16:creationId xmlns:a16="http://schemas.microsoft.com/office/drawing/2014/main" id="{993E4BE5-86A2-4726-BD65-8A543775B8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4" name="Text Box 1">
          <a:extLst>
            <a:ext uri="{FF2B5EF4-FFF2-40B4-BE49-F238E27FC236}">
              <a16:creationId xmlns:a16="http://schemas.microsoft.com/office/drawing/2014/main" id="{702E365C-CD0D-4C79-A20B-2874A63B4D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5" name="Text Box 2">
          <a:extLst>
            <a:ext uri="{FF2B5EF4-FFF2-40B4-BE49-F238E27FC236}">
              <a16:creationId xmlns:a16="http://schemas.microsoft.com/office/drawing/2014/main" id="{0BF2304B-B6D5-4EFD-A920-C0BC58DD5C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6" name="Text Box 1">
          <a:extLst>
            <a:ext uri="{FF2B5EF4-FFF2-40B4-BE49-F238E27FC236}">
              <a16:creationId xmlns:a16="http://schemas.microsoft.com/office/drawing/2014/main" id="{B047E4F6-5450-493E-9401-B7A5ACB16C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7" name="Text Box 2">
          <a:extLst>
            <a:ext uri="{FF2B5EF4-FFF2-40B4-BE49-F238E27FC236}">
              <a16:creationId xmlns:a16="http://schemas.microsoft.com/office/drawing/2014/main" id="{1460050B-D968-4B23-9CA6-F0A765AF5D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8" name="Text Box 1">
          <a:extLst>
            <a:ext uri="{FF2B5EF4-FFF2-40B4-BE49-F238E27FC236}">
              <a16:creationId xmlns:a16="http://schemas.microsoft.com/office/drawing/2014/main" id="{06FA4251-60A7-4259-B660-CDAB129704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09" name="Text Box 2">
          <a:extLst>
            <a:ext uri="{FF2B5EF4-FFF2-40B4-BE49-F238E27FC236}">
              <a16:creationId xmlns:a16="http://schemas.microsoft.com/office/drawing/2014/main" id="{A9426832-FAC6-40E3-BDC6-B82DCDFE6D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0" name="Text Box 1">
          <a:extLst>
            <a:ext uri="{FF2B5EF4-FFF2-40B4-BE49-F238E27FC236}">
              <a16:creationId xmlns:a16="http://schemas.microsoft.com/office/drawing/2014/main" id="{30E68CD1-5FAE-4446-9B2E-026F8A320D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1" name="Text Box 2">
          <a:extLst>
            <a:ext uri="{FF2B5EF4-FFF2-40B4-BE49-F238E27FC236}">
              <a16:creationId xmlns:a16="http://schemas.microsoft.com/office/drawing/2014/main" id="{4221472F-D8CE-4867-B583-01BFF9CC89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2" name="Text Box 1">
          <a:extLst>
            <a:ext uri="{FF2B5EF4-FFF2-40B4-BE49-F238E27FC236}">
              <a16:creationId xmlns:a16="http://schemas.microsoft.com/office/drawing/2014/main" id="{F89A247D-27C6-4AC9-BEE1-C657E5BBFA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3" name="Text Box 2">
          <a:extLst>
            <a:ext uri="{FF2B5EF4-FFF2-40B4-BE49-F238E27FC236}">
              <a16:creationId xmlns:a16="http://schemas.microsoft.com/office/drawing/2014/main" id="{5ECCD153-BA07-4139-BA5D-75AFEB0B571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4" name="Text Box 1">
          <a:extLst>
            <a:ext uri="{FF2B5EF4-FFF2-40B4-BE49-F238E27FC236}">
              <a16:creationId xmlns:a16="http://schemas.microsoft.com/office/drawing/2014/main" id="{09C8AF9F-7608-46D4-A87F-D907975CE9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5" name="Text Box 2">
          <a:extLst>
            <a:ext uri="{FF2B5EF4-FFF2-40B4-BE49-F238E27FC236}">
              <a16:creationId xmlns:a16="http://schemas.microsoft.com/office/drawing/2014/main" id="{3B22C59D-1408-41D9-ACC9-30C1C19976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6" name="Text Box 1">
          <a:extLst>
            <a:ext uri="{FF2B5EF4-FFF2-40B4-BE49-F238E27FC236}">
              <a16:creationId xmlns:a16="http://schemas.microsoft.com/office/drawing/2014/main" id="{9D70558C-F8BF-4387-84E2-8E8C65F9A8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7" name="Text Box 2">
          <a:extLst>
            <a:ext uri="{FF2B5EF4-FFF2-40B4-BE49-F238E27FC236}">
              <a16:creationId xmlns:a16="http://schemas.microsoft.com/office/drawing/2014/main" id="{E84EDFB2-9892-476C-9C5B-6EB97F0F22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8" name="Text Box 1">
          <a:extLst>
            <a:ext uri="{FF2B5EF4-FFF2-40B4-BE49-F238E27FC236}">
              <a16:creationId xmlns:a16="http://schemas.microsoft.com/office/drawing/2014/main" id="{1F28E28C-E318-4200-9AE1-5CDB82A33A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19" name="Text Box 2">
          <a:extLst>
            <a:ext uri="{FF2B5EF4-FFF2-40B4-BE49-F238E27FC236}">
              <a16:creationId xmlns:a16="http://schemas.microsoft.com/office/drawing/2014/main" id="{7247C508-C861-4816-8351-1F3F63068A9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0" name="Text Box 1">
          <a:extLst>
            <a:ext uri="{FF2B5EF4-FFF2-40B4-BE49-F238E27FC236}">
              <a16:creationId xmlns:a16="http://schemas.microsoft.com/office/drawing/2014/main" id="{E55685CF-7844-4DEE-8B2F-F83E2A762A5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1" name="Text Box 2">
          <a:extLst>
            <a:ext uri="{FF2B5EF4-FFF2-40B4-BE49-F238E27FC236}">
              <a16:creationId xmlns:a16="http://schemas.microsoft.com/office/drawing/2014/main" id="{4A015A31-3F8B-4B25-BD12-AA1718BED8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2" name="Text Box 1">
          <a:extLst>
            <a:ext uri="{FF2B5EF4-FFF2-40B4-BE49-F238E27FC236}">
              <a16:creationId xmlns:a16="http://schemas.microsoft.com/office/drawing/2014/main" id="{7870E156-8D78-4AB1-BD79-239250AD09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3" name="Text Box 2">
          <a:extLst>
            <a:ext uri="{FF2B5EF4-FFF2-40B4-BE49-F238E27FC236}">
              <a16:creationId xmlns:a16="http://schemas.microsoft.com/office/drawing/2014/main" id="{B8407C95-975E-4721-8356-FC2004282F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4" name="Text Box 1">
          <a:extLst>
            <a:ext uri="{FF2B5EF4-FFF2-40B4-BE49-F238E27FC236}">
              <a16:creationId xmlns:a16="http://schemas.microsoft.com/office/drawing/2014/main" id="{B8321C30-7683-4532-AC90-D9FC79FB77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5" name="Text Box 2">
          <a:extLst>
            <a:ext uri="{FF2B5EF4-FFF2-40B4-BE49-F238E27FC236}">
              <a16:creationId xmlns:a16="http://schemas.microsoft.com/office/drawing/2014/main" id="{4B582698-AE9D-47B5-8C22-5F936C94C03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6" name="Text Box 1">
          <a:extLst>
            <a:ext uri="{FF2B5EF4-FFF2-40B4-BE49-F238E27FC236}">
              <a16:creationId xmlns:a16="http://schemas.microsoft.com/office/drawing/2014/main" id="{F7274E50-9707-4E5E-AEFB-8E7B9428AB4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7" name="Text Box 2">
          <a:extLst>
            <a:ext uri="{FF2B5EF4-FFF2-40B4-BE49-F238E27FC236}">
              <a16:creationId xmlns:a16="http://schemas.microsoft.com/office/drawing/2014/main" id="{5F721C2A-45EB-49D8-A180-5F1C08566C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8" name="Text Box 1">
          <a:extLst>
            <a:ext uri="{FF2B5EF4-FFF2-40B4-BE49-F238E27FC236}">
              <a16:creationId xmlns:a16="http://schemas.microsoft.com/office/drawing/2014/main" id="{403070B7-6B18-4C41-9122-5981D44D47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29" name="Text Box 2">
          <a:extLst>
            <a:ext uri="{FF2B5EF4-FFF2-40B4-BE49-F238E27FC236}">
              <a16:creationId xmlns:a16="http://schemas.microsoft.com/office/drawing/2014/main" id="{BF4E83FD-4B4A-4A64-833F-1E7492ABEE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0" name="Text Box 1">
          <a:extLst>
            <a:ext uri="{FF2B5EF4-FFF2-40B4-BE49-F238E27FC236}">
              <a16:creationId xmlns:a16="http://schemas.microsoft.com/office/drawing/2014/main" id="{38B5BB0F-B20F-46AB-9793-4CA6142134D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1" name="Text Box 2">
          <a:extLst>
            <a:ext uri="{FF2B5EF4-FFF2-40B4-BE49-F238E27FC236}">
              <a16:creationId xmlns:a16="http://schemas.microsoft.com/office/drawing/2014/main" id="{5300C522-37F4-48EE-9E44-957C0191B4A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2" name="Text Box 1">
          <a:extLst>
            <a:ext uri="{FF2B5EF4-FFF2-40B4-BE49-F238E27FC236}">
              <a16:creationId xmlns:a16="http://schemas.microsoft.com/office/drawing/2014/main" id="{AA2A5AFC-CD94-442B-AF44-145F9BB5F5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3" name="Text Box 2">
          <a:extLst>
            <a:ext uri="{FF2B5EF4-FFF2-40B4-BE49-F238E27FC236}">
              <a16:creationId xmlns:a16="http://schemas.microsoft.com/office/drawing/2014/main" id="{09B4D541-02CB-44E4-B729-6A9805A00A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4" name="Text Box 1">
          <a:extLst>
            <a:ext uri="{FF2B5EF4-FFF2-40B4-BE49-F238E27FC236}">
              <a16:creationId xmlns:a16="http://schemas.microsoft.com/office/drawing/2014/main" id="{7A2EC4AB-6D4B-424E-8437-2A0684DF0A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5" name="Text Box 2">
          <a:extLst>
            <a:ext uri="{FF2B5EF4-FFF2-40B4-BE49-F238E27FC236}">
              <a16:creationId xmlns:a16="http://schemas.microsoft.com/office/drawing/2014/main" id="{6CFC3D22-50B5-4C47-825D-D8B7F50751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6" name="Text Box 1">
          <a:extLst>
            <a:ext uri="{FF2B5EF4-FFF2-40B4-BE49-F238E27FC236}">
              <a16:creationId xmlns:a16="http://schemas.microsoft.com/office/drawing/2014/main" id="{5782028B-2E7E-4115-B46F-494D594B47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7" name="Text Box 2">
          <a:extLst>
            <a:ext uri="{FF2B5EF4-FFF2-40B4-BE49-F238E27FC236}">
              <a16:creationId xmlns:a16="http://schemas.microsoft.com/office/drawing/2014/main" id="{7F28F677-9B73-4A32-B735-BF8D0F641C0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8" name="Text Box 1">
          <a:extLst>
            <a:ext uri="{FF2B5EF4-FFF2-40B4-BE49-F238E27FC236}">
              <a16:creationId xmlns:a16="http://schemas.microsoft.com/office/drawing/2014/main" id="{6FC8CA6F-C6F3-4DF2-AF66-0D14FF496E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39" name="Text Box 2">
          <a:extLst>
            <a:ext uri="{FF2B5EF4-FFF2-40B4-BE49-F238E27FC236}">
              <a16:creationId xmlns:a16="http://schemas.microsoft.com/office/drawing/2014/main" id="{35C6EE60-5C3B-4BC9-A850-44718601C0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id="{72B4CDCA-2E77-4916-A676-B4C94160773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1" name="Text Box 2">
          <a:extLst>
            <a:ext uri="{FF2B5EF4-FFF2-40B4-BE49-F238E27FC236}">
              <a16:creationId xmlns:a16="http://schemas.microsoft.com/office/drawing/2014/main" id="{7DB1EBF3-DFCD-4497-A48B-F6BD208443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2" name="Text Box 1">
          <a:extLst>
            <a:ext uri="{FF2B5EF4-FFF2-40B4-BE49-F238E27FC236}">
              <a16:creationId xmlns:a16="http://schemas.microsoft.com/office/drawing/2014/main" id="{24B2FD38-75E2-4CCC-ABD4-C51A763BAE0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3" name="Text Box 2">
          <a:extLst>
            <a:ext uri="{FF2B5EF4-FFF2-40B4-BE49-F238E27FC236}">
              <a16:creationId xmlns:a16="http://schemas.microsoft.com/office/drawing/2014/main" id="{56F4C683-B87A-49B0-BA29-5A803C1C9E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4" name="Text Box 1">
          <a:extLst>
            <a:ext uri="{FF2B5EF4-FFF2-40B4-BE49-F238E27FC236}">
              <a16:creationId xmlns:a16="http://schemas.microsoft.com/office/drawing/2014/main" id="{8594E292-EB44-42E8-8FF1-11B50F93CEF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5" name="Text Box 2">
          <a:extLst>
            <a:ext uri="{FF2B5EF4-FFF2-40B4-BE49-F238E27FC236}">
              <a16:creationId xmlns:a16="http://schemas.microsoft.com/office/drawing/2014/main" id="{74758335-D540-4FDD-8C31-96B12142CB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6" name="Text Box 1">
          <a:extLst>
            <a:ext uri="{FF2B5EF4-FFF2-40B4-BE49-F238E27FC236}">
              <a16:creationId xmlns:a16="http://schemas.microsoft.com/office/drawing/2014/main" id="{13F5DE2F-B96B-4F02-A10B-98FE087FBAC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7" name="Text Box 2">
          <a:extLst>
            <a:ext uri="{FF2B5EF4-FFF2-40B4-BE49-F238E27FC236}">
              <a16:creationId xmlns:a16="http://schemas.microsoft.com/office/drawing/2014/main" id="{835E58FD-A656-4D15-9FF7-4DAE9A2CC0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8" name="Text Box 1">
          <a:extLst>
            <a:ext uri="{FF2B5EF4-FFF2-40B4-BE49-F238E27FC236}">
              <a16:creationId xmlns:a16="http://schemas.microsoft.com/office/drawing/2014/main" id="{432926EA-D6FE-410D-8934-AF7DCD77C2E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49" name="Text Box 2">
          <a:extLst>
            <a:ext uri="{FF2B5EF4-FFF2-40B4-BE49-F238E27FC236}">
              <a16:creationId xmlns:a16="http://schemas.microsoft.com/office/drawing/2014/main" id="{6CBF5696-353F-4E04-A1DA-13102CCF36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0" name="Text Box 1">
          <a:extLst>
            <a:ext uri="{FF2B5EF4-FFF2-40B4-BE49-F238E27FC236}">
              <a16:creationId xmlns:a16="http://schemas.microsoft.com/office/drawing/2014/main" id="{1BEF7EC6-075F-4A1A-8DB7-E35133E534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1" name="Text Box 2">
          <a:extLst>
            <a:ext uri="{FF2B5EF4-FFF2-40B4-BE49-F238E27FC236}">
              <a16:creationId xmlns:a16="http://schemas.microsoft.com/office/drawing/2014/main" id="{8EAAF37E-99AB-45B0-8CEE-51EE9602BEB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2" name="Text Box 1">
          <a:extLst>
            <a:ext uri="{FF2B5EF4-FFF2-40B4-BE49-F238E27FC236}">
              <a16:creationId xmlns:a16="http://schemas.microsoft.com/office/drawing/2014/main" id="{E5709767-2751-443D-99CD-4205893F915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3" name="Text Box 2">
          <a:extLst>
            <a:ext uri="{FF2B5EF4-FFF2-40B4-BE49-F238E27FC236}">
              <a16:creationId xmlns:a16="http://schemas.microsoft.com/office/drawing/2014/main" id="{6779AFC7-967D-4635-B0E2-6639560C431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4" name="Text Box 1">
          <a:extLst>
            <a:ext uri="{FF2B5EF4-FFF2-40B4-BE49-F238E27FC236}">
              <a16:creationId xmlns:a16="http://schemas.microsoft.com/office/drawing/2014/main" id="{07B25577-51A6-4172-8F6A-3178C6153D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5" name="Text Box 2">
          <a:extLst>
            <a:ext uri="{FF2B5EF4-FFF2-40B4-BE49-F238E27FC236}">
              <a16:creationId xmlns:a16="http://schemas.microsoft.com/office/drawing/2014/main" id="{ECACFCFA-F0E1-47F5-B05B-173B5C3D7F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6" name="Text Box 1">
          <a:extLst>
            <a:ext uri="{FF2B5EF4-FFF2-40B4-BE49-F238E27FC236}">
              <a16:creationId xmlns:a16="http://schemas.microsoft.com/office/drawing/2014/main" id="{6E7AD6DC-10CF-42A6-B4C5-AED49191F45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7" name="Text Box 2">
          <a:extLst>
            <a:ext uri="{FF2B5EF4-FFF2-40B4-BE49-F238E27FC236}">
              <a16:creationId xmlns:a16="http://schemas.microsoft.com/office/drawing/2014/main" id="{7058B799-17C4-42C0-8806-71C45735022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8" name="Text Box 1">
          <a:extLst>
            <a:ext uri="{FF2B5EF4-FFF2-40B4-BE49-F238E27FC236}">
              <a16:creationId xmlns:a16="http://schemas.microsoft.com/office/drawing/2014/main" id="{B33000C5-451B-4198-AB94-71DF12B902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59" name="Text Box 2">
          <a:extLst>
            <a:ext uri="{FF2B5EF4-FFF2-40B4-BE49-F238E27FC236}">
              <a16:creationId xmlns:a16="http://schemas.microsoft.com/office/drawing/2014/main" id="{C2384715-F3C5-42DC-9123-87AE0A1C32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0" name="Text Box 1">
          <a:extLst>
            <a:ext uri="{FF2B5EF4-FFF2-40B4-BE49-F238E27FC236}">
              <a16:creationId xmlns:a16="http://schemas.microsoft.com/office/drawing/2014/main" id="{4A6D2BED-9CAB-4B58-80A6-1F806FE0F0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1" name="Text Box 2">
          <a:extLst>
            <a:ext uri="{FF2B5EF4-FFF2-40B4-BE49-F238E27FC236}">
              <a16:creationId xmlns:a16="http://schemas.microsoft.com/office/drawing/2014/main" id="{12BFBC92-613F-4120-B8D8-E46C65E359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2" name="Text Box 1">
          <a:extLst>
            <a:ext uri="{FF2B5EF4-FFF2-40B4-BE49-F238E27FC236}">
              <a16:creationId xmlns:a16="http://schemas.microsoft.com/office/drawing/2014/main" id="{EDB80D33-BBF1-49FA-A443-539F82E905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3" name="Text Box 2">
          <a:extLst>
            <a:ext uri="{FF2B5EF4-FFF2-40B4-BE49-F238E27FC236}">
              <a16:creationId xmlns:a16="http://schemas.microsoft.com/office/drawing/2014/main" id="{8A05E762-A1DA-4EAE-BA2D-167BBE1BBE2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4" name="Text Box 1">
          <a:extLst>
            <a:ext uri="{FF2B5EF4-FFF2-40B4-BE49-F238E27FC236}">
              <a16:creationId xmlns:a16="http://schemas.microsoft.com/office/drawing/2014/main" id="{DCE9DAAF-D742-4450-BF6C-A11545F3D2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5" name="Text Box 2">
          <a:extLst>
            <a:ext uri="{FF2B5EF4-FFF2-40B4-BE49-F238E27FC236}">
              <a16:creationId xmlns:a16="http://schemas.microsoft.com/office/drawing/2014/main" id="{3B9B95F9-B646-4BEB-972D-9A3C16AD40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6" name="Text Box 1">
          <a:extLst>
            <a:ext uri="{FF2B5EF4-FFF2-40B4-BE49-F238E27FC236}">
              <a16:creationId xmlns:a16="http://schemas.microsoft.com/office/drawing/2014/main" id="{1E00471F-59B5-4021-A045-E7FC3A7BE3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7" name="Text Box 2">
          <a:extLst>
            <a:ext uri="{FF2B5EF4-FFF2-40B4-BE49-F238E27FC236}">
              <a16:creationId xmlns:a16="http://schemas.microsoft.com/office/drawing/2014/main" id="{E0F65F10-9D11-4E2F-BEA2-3096536A97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8" name="Text Box 1">
          <a:extLst>
            <a:ext uri="{FF2B5EF4-FFF2-40B4-BE49-F238E27FC236}">
              <a16:creationId xmlns:a16="http://schemas.microsoft.com/office/drawing/2014/main" id="{DB27F99E-C67E-4342-8245-EE21A831A2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69" name="Text Box 2">
          <a:extLst>
            <a:ext uri="{FF2B5EF4-FFF2-40B4-BE49-F238E27FC236}">
              <a16:creationId xmlns:a16="http://schemas.microsoft.com/office/drawing/2014/main" id="{5A2A7699-F19A-4CDB-8E59-FB8B93421A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0" name="Text Box 1">
          <a:extLst>
            <a:ext uri="{FF2B5EF4-FFF2-40B4-BE49-F238E27FC236}">
              <a16:creationId xmlns:a16="http://schemas.microsoft.com/office/drawing/2014/main" id="{ABDDA520-C3F8-42A5-AFF1-DF4999DA5CB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1" name="Text Box 2">
          <a:extLst>
            <a:ext uri="{FF2B5EF4-FFF2-40B4-BE49-F238E27FC236}">
              <a16:creationId xmlns:a16="http://schemas.microsoft.com/office/drawing/2014/main" id="{5D7FEAD6-8DCB-40CE-A8E9-2C5E9D5816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2" name="Text Box 1">
          <a:extLst>
            <a:ext uri="{FF2B5EF4-FFF2-40B4-BE49-F238E27FC236}">
              <a16:creationId xmlns:a16="http://schemas.microsoft.com/office/drawing/2014/main" id="{6E21DACF-865D-4F30-AA53-BE4F2FB7A8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3" name="Text Box 2">
          <a:extLst>
            <a:ext uri="{FF2B5EF4-FFF2-40B4-BE49-F238E27FC236}">
              <a16:creationId xmlns:a16="http://schemas.microsoft.com/office/drawing/2014/main" id="{39BCB2AD-B15B-4D04-BBC4-4F90D68FFA7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4" name="Text Box 1">
          <a:extLst>
            <a:ext uri="{FF2B5EF4-FFF2-40B4-BE49-F238E27FC236}">
              <a16:creationId xmlns:a16="http://schemas.microsoft.com/office/drawing/2014/main" id="{DE693839-06B0-4B41-881B-D7645435F8D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5" name="Text Box 2">
          <a:extLst>
            <a:ext uri="{FF2B5EF4-FFF2-40B4-BE49-F238E27FC236}">
              <a16:creationId xmlns:a16="http://schemas.microsoft.com/office/drawing/2014/main" id="{0D8FB867-783A-4A77-BFE0-4B5817D0361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6" name="Text Box 1">
          <a:extLst>
            <a:ext uri="{FF2B5EF4-FFF2-40B4-BE49-F238E27FC236}">
              <a16:creationId xmlns:a16="http://schemas.microsoft.com/office/drawing/2014/main" id="{5C5AFF71-D674-4EA1-AD12-872B001BCDD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7" name="Text Box 2">
          <a:extLst>
            <a:ext uri="{FF2B5EF4-FFF2-40B4-BE49-F238E27FC236}">
              <a16:creationId xmlns:a16="http://schemas.microsoft.com/office/drawing/2014/main" id="{42DE4389-F68B-43FE-AEF3-0CBA86F3BB8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8" name="Text Box 1">
          <a:extLst>
            <a:ext uri="{FF2B5EF4-FFF2-40B4-BE49-F238E27FC236}">
              <a16:creationId xmlns:a16="http://schemas.microsoft.com/office/drawing/2014/main" id="{C61123AB-265B-4B2D-8E98-11C6CAD074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79" name="Text Box 2">
          <a:extLst>
            <a:ext uri="{FF2B5EF4-FFF2-40B4-BE49-F238E27FC236}">
              <a16:creationId xmlns:a16="http://schemas.microsoft.com/office/drawing/2014/main" id="{FA33DE43-0FE7-48AF-B402-346A9A268B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0" name="Text Box 1">
          <a:extLst>
            <a:ext uri="{FF2B5EF4-FFF2-40B4-BE49-F238E27FC236}">
              <a16:creationId xmlns:a16="http://schemas.microsoft.com/office/drawing/2014/main" id="{68BDDBD9-D4E0-4999-B62D-3856F2D139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1" name="Text Box 2">
          <a:extLst>
            <a:ext uri="{FF2B5EF4-FFF2-40B4-BE49-F238E27FC236}">
              <a16:creationId xmlns:a16="http://schemas.microsoft.com/office/drawing/2014/main" id="{F5C9165D-D4B9-461B-9792-AC6C206D53F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2" name="Text Box 1">
          <a:extLst>
            <a:ext uri="{FF2B5EF4-FFF2-40B4-BE49-F238E27FC236}">
              <a16:creationId xmlns:a16="http://schemas.microsoft.com/office/drawing/2014/main" id="{311A66B7-67C0-44E9-9538-BB6420CD9DF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3" name="Text Box 2">
          <a:extLst>
            <a:ext uri="{FF2B5EF4-FFF2-40B4-BE49-F238E27FC236}">
              <a16:creationId xmlns:a16="http://schemas.microsoft.com/office/drawing/2014/main" id="{E199EC04-2B40-4D8F-8345-7462EA2714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id="{9BD28386-8B99-4F54-93A0-41FEC569C7E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5" name="Text Box 2">
          <a:extLst>
            <a:ext uri="{FF2B5EF4-FFF2-40B4-BE49-F238E27FC236}">
              <a16:creationId xmlns:a16="http://schemas.microsoft.com/office/drawing/2014/main" id="{46AE2ADD-5A5A-4729-95ED-6E85EF27C6F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6" name="Text Box 1">
          <a:extLst>
            <a:ext uri="{FF2B5EF4-FFF2-40B4-BE49-F238E27FC236}">
              <a16:creationId xmlns:a16="http://schemas.microsoft.com/office/drawing/2014/main" id="{B8F83D2E-730A-4EF2-BBB0-6C6A6B9721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7" name="Text Box 2">
          <a:extLst>
            <a:ext uri="{FF2B5EF4-FFF2-40B4-BE49-F238E27FC236}">
              <a16:creationId xmlns:a16="http://schemas.microsoft.com/office/drawing/2014/main" id="{8062B039-DEFF-474F-8578-DC54CB2A89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8" name="Text Box 1">
          <a:extLst>
            <a:ext uri="{FF2B5EF4-FFF2-40B4-BE49-F238E27FC236}">
              <a16:creationId xmlns:a16="http://schemas.microsoft.com/office/drawing/2014/main" id="{BE521B5C-4CC1-459B-9C0A-FAB1EFBD38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89" name="Text Box 2">
          <a:extLst>
            <a:ext uri="{FF2B5EF4-FFF2-40B4-BE49-F238E27FC236}">
              <a16:creationId xmlns:a16="http://schemas.microsoft.com/office/drawing/2014/main" id="{D1FF1C90-FBAD-4039-AED1-BFD6843E26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0" name="Text Box 1">
          <a:extLst>
            <a:ext uri="{FF2B5EF4-FFF2-40B4-BE49-F238E27FC236}">
              <a16:creationId xmlns:a16="http://schemas.microsoft.com/office/drawing/2014/main" id="{AAD9C11B-1E13-4FBB-80B9-C583F314D0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1" name="Text Box 2">
          <a:extLst>
            <a:ext uri="{FF2B5EF4-FFF2-40B4-BE49-F238E27FC236}">
              <a16:creationId xmlns:a16="http://schemas.microsoft.com/office/drawing/2014/main" id="{32BCB67F-EC33-4772-AAAB-CD51218783E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2" name="Text Box 1">
          <a:extLst>
            <a:ext uri="{FF2B5EF4-FFF2-40B4-BE49-F238E27FC236}">
              <a16:creationId xmlns:a16="http://schemas.microsoft.com/office/drawing/2014/main" id="{2405C5C2-5A0C-49CA-B203-73B4FCE619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3" name="Text Box 2">
          <a:extLst>
            <a:ext uri="{FF2B5EF4-FFF2-40B4-BE49-F238E27FC236}">
              <a16:creationId xmlns:a16="http://schemas.microsoft.com/office/drawing/2014/main" id="{5DEB7F05-5727-427F-AA31-1DB43E9B1D5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4" name="Text Box 1">
          <a:extLst>
            <a:ext uri="{FF2B5EF4-FFF2-40B4-BE49-F238E27FC236}">
              <a16:creationId xmlns:a16="http://schemas.microsoft.com/office/drawing/2014/main" id="{0EC7DFF4-C78C-4398-ABD8-6677C290049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5" name="Text Box 2">
          <a:extLst>
            <a:ext uri="{FF2B5EF4-FFF2-40B4-BE49-F238E27FC236}">
              <a16:creationId xmlns:a16="http://schemas.microsoft.com/office/drawing/2014/main" id="{8C862E68-F7DE-4090-81AE-939994E505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6" name="Text Box 1">
          <a:extLst>
            <a:ext uri="{FF2B5EF4-FFF2-40B4-BE49-F238E27FC236}">
              <a16:creationId xmlns:a16="http://schemas.microsoft.com/office/drawing/2014/main" id="{779073A8-F26C-4E12-AC98-D4F9BA25CE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7" name="Text Box 2">
          <a:extLst>
            <a:ext uri="{FF2B5EF4-FFF2-40B4-BE49-F238E27FC236}">
              <a16:creationId xmlns:a16="http://schemas.microsoft.com/office/drawing/2014/main" id="{9027E4CA-8DB2-4275-82A7-B8E77880D2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8" name="Text Box 1">
          <a:extLst>
            <a:ext uri="{FF2B5EF4-FFF2-40B4-BE49-F238E27FC236}">
              <a16:creationId xmlns:a16="http://schemas.microsoft.com/office/drawing/2014/main" id="{6D53C8B4-5F69-4CF9-9DA7-C552A6E049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499" name="Text Box 2">
          <a:extLst>
            <a:ext uri="{FF2B5EF4-FFF2-40B4-BE49-F238E27FC236}">
              <a16:creationId xmlns:a16="http://schemas.microsoft.com/office/drawing/2014/main" id="{36B1FC0C-8B3A-4D84-B687-FEA04AD8217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0" name="Text Box 1">
          <a:extLst>
            <a:ext uri="{FF2B5EF4-FFF2-40B4-BE49-F238E27FC236}">
              <a16:creationId xmlns:a16="http://schemas.microsoft.com/office/drawing/2014/main" id="{404F85B3-0956-4A5E-8388-BC8EC0920B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1" name="Text Box 2">
          <a:extLst>
            <a:ext uri="{FF2B5EF4-FFF2-40B4-BE49-F238E27FC236}">
              <a16:creationId xmlns:a16="http://schemas.microsoft.com/office/drawing/2014/main" id="{80F58883-0C16-4BC9-B1CF-C05AFE9D6D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2" name="Text Box 1">
          <a:extLst>
            <a:ext uri="{FF2B5EF4-FFF2-40B4-BE49-F238E27FC236}">
              <a16:creationId xmlns:a16="http://schemas.microsoft.com/office/drawing/2014/main" id="{0EE88727-84A9-461A-9073-200876B585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3" name="Text Box 2">
          <a:extLst>
            <a:ext uri="{FF2B5EF4-FFF2-40B4-BE49-F238E27FC236}">
              <a16:creationId xmlns:a16="http://schemas.microsoft.com/office/drawing/2014/main" id="{A64A1A12-2619-4298-90C1-3A29CF0647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4" name="Text Box 1">
          <a:extLst>
            <a:ext uri="{FF2B5EF4-FFF2-40B4-BE49-F238E27FC236}">
              <a16:creationId xmlns:a16="http://schemas.microsoft.com/office/drawing/2014/main" id="{38D7FE32-8E0C-446F-BAC0-6A9BC37C7D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5" name="Text Box 2">
          <a:extLst>
            <a:ext uri="{FF2B5EF4-FFF2-40B4-BE49-F238E27FC236}">
              <a16:creationId xmlns:a16="http://schemas.microsoft.com/office/drawing/2014/main" id="{932DC9E5-165C-43EF-AA8F-840CC59B6E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6" name="Text Box 1">
          <a:extLst>
            <a:ext uri="{FF2B5EF4-FFF2-40B4-BE49-F238E27FC236}">
              <a16:creationId xmlns:a16="http://schemas.microsoft.com/office/drawing/2014/main" id="{BA4FA1F5-10E0-4D9C-AA0F-30CF7EA22C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7" name="Text Box 2">
          <a:extLst>
            <a:ext uri="{FF2B5EF4-FFF2-40B4-BE49-F238E27FC236}">
              <a16:creationId xmlns:a16="http://schemas.microsoft.com/office/drawing/2014/main" id="{0BA72000-797A-4CC7-8DB0-39509AD0239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8" name="Text Box 1">
          <a:extLst>
            <a:ext uri="{FF2B5EF4-FFF2-40B4-BE49-F238E27FC236}">
              <a16:creationId xmlns:a16="http://schemas.microsoft.com/office/drawing/2014/main" id="{B0033286-221F-41B9-8EEA-DC1698C199F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09" name="Text Box 2">
          <a:extLst>
            <a:ext uri="{FF2B5EF4-FFF2-40B4-BE49-F238E27FC236}">
              <a16:creationId xmlns:a16="http://schemas.microsoft.com/office/drawing/2014/main" id="{A026C281-7AEC-4F24-A401-2EFE33351F7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0" name="Text Box 1">
          <a:extLst>
            <a:ext uri="{FF2B5EF4-FFF2-40B4-BE49-F238E27FC236}">
              <a16:creationId xmlns:a16="http://schemas.microsoft.com/office/drawing/2014/main" id="{3829CEF5-04B3-47D9-9164-7B84B3A10AA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1" name="Text Box 2">
          <a:extLst>
            <a:ext uri="{FF2B5EF4-FFF2-40B4-BE49-F238E27FC236}">
              <a16:creationId xmlns:a16="http://schemas.microsoft.com/office/drawing/2014/main" id="{BABDC3D0-3C45-45FA-94C5-1BB6909015C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2" name="Text Box 1">
          <a:extLst>
            <a:ext uri="{FF2B5EF4-FFF2-40B4-BE49-F238E27FC236}">
              <a16:creationId xmlns:a16="http://schemas.microsoft.com/office/drawing/2014/main" id="{0437D333-DCBA-487A-8828-E259EC4DCC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3" name="Text Box 2">
          <a:extLst>
            <a:ext uri="{FF2B5EF4-FFF2-40B4-BE49-F238E27FC236}">
              <a16:creationId xmlns:a16="http://schemas.microsoft.com/office/drawing/2014/main" id="{6CF50178-A0DE-45A0-B29F-4CF03C9803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4" name="Text Box 1">
          <a:extLst>
            <a:ext uri="{FF2B5EF4-FFF2-40B4-BE49-F238E27FC236}">
              <a16:creationId xmlns:a16="http://schemas.microsoft.com/office/drawing/2014/main" id="{97925385-BD4D-4732-8C82-3A89E578B16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5" name="Text Box 2">
          <a:extLst>
            <a:ext uri="{FF2B5EF4-FFF2-40B4-BE49-F238E27FC236}">
              <a16:creationId xmlns:a16="http://schemas.microsoft.com/office/drawing/2014/main" id="{FE30B415-DEA6-4166-9397-4707C8583D9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6" name="Text Box 1">
          <a:extLst>
            <a:ext uri="{FF2B5EF4-FFF2-40B4-BE49-F238E27FC236}">
              <a16:creationId xmlns:a16="http://schemas.microsoft.com/office/drawing/2014/main" id="{42D6C06A-21CC-44A1-AA4F-36623EA1E7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7" name="Text Box 2">
          <a:extLst>
            <a:ext uri="{FF2B5EF4-FFF2-40B4-BE49-F238E27FC236}">
              <a16:creationId xmlns:a16="http://schemas.microsoft.com/office/drawing/2014/main" id="{1978FED7-001A-44B0-A7CA-5C36EBC9A30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8" name="Text Box 1">
          <a:extLst>
            <a:ext uri="{FF2B5EF4-FFF2-40B4-BE49-F238E27FC236}">
              <a16:creationId xmlns:a16="http://schemas.microsoft.com/office/drawing/2014/main" id="{3E25B8D0-DFA9-451A-8B98-7E75B5D538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19" name="Text Box 2">
          <a:extLst>
            <a:ext uri="{FF2B5EF4-FFF2-40B4-BE49-F238E27FC236}">
              <a16:creationId xmlns:a16="http://schemas.microsoft.com/office/drawing/2014/main" id="{A323201E-7A6B-4939-8698-7D4CCD0936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0" name="Text Box 1">
          <a:extLst>
            <a:ext uri="{FF2B5EF4-FFF2-40B4-BE49-F238E27FC236}">
              <a16:creationId xmlns:a16="http://schemas.microsoft.com/office/drawing/2014/main" id="{013C3EEC-DBCE-4CB0-9679-8498A524E29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1" name="Text Box 2">
          <a:extLst>
            <a:ext uri="{FF2B5EF4-FFF2-40B4-BE49-F238E27FC236}">
              <a16:creationId xmlns:a16="http://schemas.microsoft.com/office/drawing/2014/main" id="{E4A33354-C7AF-4399-8394-B03647BB473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2" name="Text Box 1">
          <a:extLst>
            <a:ext uri="{FF2B5EF4-FFF2-40B4-BE49-F238E27FC236}">
              <a16:creationId xmlns:a16="http://schemas.microsoft.com/office/drawing/2014/main" id="{F351B6D0-B979-4B0D-97D3-FCB876DF45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3" name="Text Box 2">
          <a:extLst>
            <a:ext uri="{FF2B5EF4-FFF2-40B4-BE49-F238E27FC236}">
              <a16:creationId xmlns:a16="http://schemas.microsoft.com/office/drawing/2014/main" id="{052C3768-FDD5-4227-A987-0EC9D55619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4" name="Text Box 1">
          <a:extLst>
            <a:ext uri="{FF2B5EF4-FFF2-40B4-BE49-F238E27FC236}">
              <a16:creationId xmlns:a16="http://schemas.microsoft.com/office/drawing/2014/main" id="{83E2DDEF-329A-4D30-B9C9-DFF7EAC1C8A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5" name="Text Box 2">
          <a:extLst>
            <a:ext uri="{FF2B5EF4-FFF2-40B4-BE49-F238E27FC236}">
              <a16:creationId xmlns:a16="http://schemas.microsoft.com/office/drawing/2014/main" id="{03DF4117-EE7D-4A37-83EE-379419F10D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6" name="Text Box 1">
          <a:extLst>
            <a:ext uri="{FF2B5EF4-FFF2-40B4-BE49-F238E27FC236}">
              <a16:creationId xmlns:a16="http://schemas.microsoft.com/office/drawing/2014/main" id="{2773F0C5-8BC5-41BE-B702-4F13130B126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7" name="Text Box 2">
          <a:extLst>
            <a:ext uri="{FF2B5EF4-FFF2-40B4-BE49-F238E27FC236}">
              <a16:creationId xmlns:a16="http://schemas.microsoft.com/office/drawing/2014/main" id="{CAA03946-FF6E-413A-9D69-B90A501AA4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id="{818E1561-E72B-4E49-9BDE-5B928B7728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29" name="Text Box 2">
          <a:extLst>
            <a:ext uri="{FF2B5EF4-FFF2-40B4-BE49-F238E27FC236}">
              <a16:creationId xmlns:a16="http://schemas.microsoft.com/office/drawing/2014/main" id="{0E395BCE-3A95-4A77-8697-7DD3B973BC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id="{9DD4388E-1957-4D63-8E55-1A3CF7B9537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1" name="Text Box 2">
          <a:extLst>
            <a:ext uri="{FF2B5EF4-FFF2-40B4-BE49-F238E27FC236}">
              <a16:creationId xmlns:a16="http://schemas.microsoft.com/office/drawing/2014/main" id="{4DDB3301-0634-4618-9856-8D50009F3A9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2" name="Text Box 1">
          <a:extLst>
            <a:ext uri="{FF2B5EF4-FFF2-40B4-BE49-F238E27FC236}">
              <a16:creationId xmlns:a16="http://schemas.microsoft.com/office/drawing/2014/main" id="{0E26650A-6959-4C6E-90D0-9F9576F53C1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3" name="Text Box 2">
          <a:extLst>
            <a:ext uri="{FF2B5EF4-FFF2-40B4-BE49-F238E27FC236}">
              <a16:creationId xmlns:a16="http://schemas.microsoft.com/office/drawing/2014/main" id="{BAFC3B95-E7A3-4184-B84E-04532FCA2C3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4" name="Text Box 1">
          <a:extLst>
            <a:ext uri="{FF2B5EF4-FFF2-40B4-BE49-F238E27FC236}">
              <a16:creationId xmlns:a16="http://schemas.microsoft.com/office/drawing/2014/main" id="{9CD222AB-0AED-48B3-94F1-427EC2607FD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5" name="Text Box 2">
          <a:extLst>
            <a:ext uri="{FF2B5EF4-FFF2-40B4-BE49-F238E27FC236}">
              <a16:creationId xmlns:a16="http://schemas.microsoft.com/office/drawing/2014/main" id="{A2B306C7-97B2-44E2-97FE-F5FCD8DF6E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6" name="Text Box 1">
          <a:extLst>
            <a:ext uri="{FF2B5EF4-FFF2-40B4-BE49-F238E27FC236}">
              <a16:creationId xmlns:a16="http://schemas.microsoft.com/office/drawing/2014/main" id="{75C489A7-00AB-4134-9B8C-9861E8D529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7" name="Text Box 2">
          <a:extLst>
            <a:ext uri="{FF2B5EF4-FFF2-40B4-BE49-F238E27FC236}">
              <a16:creationId xmlns:a16="http://schemas.microsoft.com/office/drawing/2014/main" id="{087FFC74-8094-4261-904A-0EED7C982D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8" name="Text Box 1">
          <a:extLst>
            <a:ext uri="{FF2B5EF4-FFF2-40B4-BE49-F238E27FC236}">
              <a16:creationId xmlns:a16="http://schemas.microsoft.com/office/drawing/2014/main" id="{71A582DA-3E3F-4BEC-AB4B-19169E1EA35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39" name="Text Box 2">
          <a:extLst>
            <a:ext uri="{FF2B5EF4-FFF2-40B4-BE49-F238E27FC236}">
              <a16:creationId xmlns:a16="http://schemas.microsoft.com/office/drawing/2014/main" id="{8E92364F-6597-47B2-8063-28D4DB785C2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0" name="Text Box 1">
          <a:extLst>
            <a:ext uri="{FF2B5EF4-FFF2-40B4-BE49-F238E27FC236}">
              <a16:creationId xmlns:a16="http://schemas.microsoft.com/office/drawing/2014/main" id="{583E8C64-48B2-410A-9604-354D897F52E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1" name="Text Box 2">
          <a:extLst>
            <a:ext uri="{FF2B5EF4-FFF2-40B4-BE49-F238E27FC236}">
              <a16:creationId xmlns:a16="http://schemas.microsoft.com/office/drawing/2014/main" id="{11B483F8-8BAD-44AF-A73E-6E61F05D20A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2" name="Text Box 1">
          <a:extLst>
            <a:ext uri="{FF2B5EF4-FFF2-40B4-BE49-F238E27FC236}">
              <a16:creationId xmlns:a16="http://schemas.microsoft.com/office/drawing/2014/main" id="{315F808C-D134-4416-8B2A-8694197C6A8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3" name="Text Box 2">
          <a:extLst>
            <a:ext uri="{FF2B5EF4-FFF2-40B4-BE49-F238E27FC236}">
              <a16:creationId xmlns:a16="http://schemas.microsoft.com/office/drawing/2014/main" id="{8F9428F7-F6C3-47F1-994C-0C2941D745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4" name="Text Box 1">
          <a:extLst>
            <a:ext uri="{FF2B5EF4-FFF2-40B4-BE49-F238E27FC236}">
              <a16:creationId xmlns:a16="http://schemas.microsoft.com/office/drawing/2014/main" id="{8DA713D3-6429-46A4-B1F7-64C50F689BD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5" name="Text Box 2">
          <a:extLst>
            <a:ext uri="{FF2B5EF4-FFF2-40B4-BE49-F238E27FC236}">
              <a16:creationId xmlns:a16="http://schemas.microsoft.com/office/drawing/2014/main" id="{3540ACEA-0F79-4F95-8188-91BDE1A8CA4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6" name="Text Box 1">
          <a:extLst>
            <a:ext uri="{FF2B5EF4-FFF2-40B4-BE49-F238E27FC236}">
              <a16:creationId xmlns:a16="http://schemas.microsoft.com/office/drawing/2014/main" id="{41A2DD28-2551-4995-9331-5BD846D629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7" name="Text Box 2">
          <a:extLst>
            <a:ext uri="{FF2B5EF4-FFF2-40B4-BE49-F238E27FC236}">
              <a16:creationId xmlns:a16="http://schemas.microsoft.com/office/drawing/2014/main" id="{2A4F9BE3-1A45-4272-B59A-4ADF8B04A77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8" name="Text Box 1">
          <a:extLst>
            <a:ext uri="{FF2B5EF4-FFF2-40B4-BE49-F238E27FC236}">
              <a16:creationId xmlns:a16="http://schemas.microsoft.com/office/drawing/2014/main" id="{9288D017-6852-4BFE-9EB8-23D47D7F3D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49" name="Text Box 2">
          <a:extLst>
            <a:ext uri="{FF2B5EF4-FFF2-40B4-BE49-F238E27FC236}">
              <a16:creationId xmlns:a16="http://schemas.microsoft.com/office/drawing/2014/main" id="{DC509FA3-6A9D-4D5D-B085-302635BDDC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0" name="Text Box 1">
          <a:extLst>
            <a:ext uri="{FF2B5EF4-FFF2-40B4-BE49-F238E27FC236}">
              <a16:creationId xmlns:a16="http://schemas.microsoft.com/office/drawing/2014/main" id="{97DBD13D-F28C-4506-B706-E9FF41E372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1" name="Text Box 2">
          <a:extLst>
            <a:ext uri="{FF2B5EF4-FFF2-40B4-BE49-F238E27FC236}">
              <a16:creationId xmlns:a16="http://schemas.microsoft.com/office/drawing/2014/main" id="{0857CE67-25D5-4814-A652-D346B4ECEC8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2" name="Text Box 1">
          <a:extLst>
            <a:ext uri="{FF2B5EF4-FFF2-40B4-BE49-F238E27FC236}">
              <a16:creationId xmlns:a16="http://schemas.microsoft.com/office/drawing/2014/main" id="{BA0E3312-304C-4461-8A1C-7DAEDC29F32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3" name="Text Box 2">
          <a:extLst>
            <a:ext uri="{FF2B5EF4-FFF2-40B4-BE49-F238E27FC236}">
              <a16:creationId xmlns:a16="http://schemas.microsoft.com/office/drawing/2014/main" id="{DD18523B-5153-48A9-B754-30862B7E446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id="{6EE0782A-FCBE-4ED6-9760-EBEE5DEED5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5" name="Text Box 2">
          <a:extLst>
            <a:ext uri="{FF2B5EF4-FFF2-40B4-BE49-F238E27FC236}">
              <a16:creationId xmlns:a16="http://schemas.microsoft.com/office/drawing/2014/main" id="{DF8751F2-F011-4220-A40C-8E99CD530CD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6" name="Text Box 1">
          <a:extLst>
            <a:ext uri="{FF2B5EF4-FFF2-40B4-BE49-F238E27FC236}">
              <a16:creationId xmlns:a16="http://schemas.microsoft.com/office/drawing/2014/main" id="{DFED3F8C-3282-4D52-8972-C4907C8329B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7" name="Text Box 2">
          <a:extLst>
            <a:ext uri="{FF2B5EF4-FFF2-40B4-BE49-F238E27FC236}">
              <a16:creationId xmlns:a16="http://schemas.microsoft.com/office/drawing/2014/main" id="{A9191EC5-7C63-41A8-8F72-941E3368FE7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8" name="Text Box 1">
          <a:extLst>
            <a:ext uri="{FF2B5EF4-FFF2-40B4-BE49-F238E27FC236}">
              <a16:creationId xmlns:a16="http://schemas.microsoft.com/office/drawing/2014/main" id="{6D688344-DB99-45A6-899C-0AD9EA4F7D4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59" name="Text Box 2">
          <a:extLst>
            <a:ext uri="{FF2B5EF4-FFF2-40B4-BE49-F238E27FC236}">
              <a16:creationId xmlns:a16="http://schemas.microsoft.com/office/drawing/2014/main" id="{A4D8CCC8-B040-430B-B1FD-B288E40C87C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0" name="Text Box 1">
          <a:extLst>
            <a:ext uri="{FF2B5EF4-FFF2-40B4-BE49-F238E27FC236}">
              <a16:creationId xmlns:a16="http://schemas.microsoft.com/office/drawing/2014/main" id="{7C60002D-2BF9-445E-9675-7F944B98EB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1" name="Text Box 2">
          <a:extLst>
            <a:ext uri="{FF2B5EF4-FFF2-40B4-BE49-F238E27FC236}">
              <a16:creationId xmlns:a16="http://schemas.microsoft.com/office/drawing/2014/main" id="{8F6A221C-A38C-47BE-8F48-33D848EA8C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2" name="Text Box 1">
          <a:extLst>
            <a:ext uri="{FF2B5EF4-FFF2-40B4-BE49-F238E27FC236}">
              <a16:creationId xmlns:a16="http://schemas.microsoft.com/office/drawing/2014/main" id="{BF6D2985-B0E5-4F0E-AEE5-3FE1128F665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3" name="Text Box 2">
          <a:extLst>
            <a:ext uri="{FF2B5EF4-FFF2-40B4-BE49-F238E27FC236}">
              <a16:creationId xmlns:a16="http://schemas.microsoft.com/office/drawing/2014/main" id="{7CA69B05-AFCA-4206-A374-78A6E03A73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4" name="Text Box 1">
          <a:extLst>
            <a:ext uri="{FF2B5EF4-FFF2-40B4-BE49-F238E27FC236}">
              <a16:creationId xmlns:a16="http://schemas.microsoft.com/office/drawing/2014/main" id="{1D4DEADD-4F47-42D5-8E4A-7E8725DCB6C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5" name="Text Box 2">
          <a:extLst>
            <a:ext uri="{FF2B5EF4-FFF2-40B4-BE49-F238E27FC236}">
              <a16:creationId xmlns:a16="http://schemas.microsoft.com/office/drawing/2014/main" id="{57CA34EA-192C-4CD3-9C89-DC022AC1B4E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6" name="Text Box 1">
          <a:extLst>
            <a:ext uri="{FF2B5EF4-FFF2-40B4-BE49-F238E27FC236}">
              <a16:creationId xmlns:a16="http://schemas.microsoft.com/office/drawing/2014/main" id="{147AA6FE-7FB9-4635-BA6F-67F1679A16E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7" name="Text Box 2">
          <a:extLst>
            <a:ext uri="{FF2B5EF4-FFF2-40B4-BE49-F238E27FC236}">
              <a16:creationId xmlns:a16="http://schemas.microsoft.com/office/drawing/2014/main" id="{B3C47823-E5A4-4F42-8CBC-93C82508611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8" name="Text Box 1">
          <a:extLst>
            <a:ext uri="{FF2B5EF4-FFF2-40B4-BE49-F238E27FC236}">
              <a16:creationId xmlns:a16="http://schemas.microsoft.com/office/drawing/2014/main" id="{57D0BAB3-F46F-49C2-ACC4-3CEE784C28A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69" name="Text Box 2">
          <a:extLst>
            <a:ext uri="{FF2B5EF4-FFF2-40B4-BE49-F238E27FC236}">
              <a16:creationId xmlns:a16="http://schemas.microsoft.com/office/drawing/2014/main" id="{BB698DEF-86FF-449A-93F4-3DE4E1A8A5E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0" name="Text Box 1">
          <a:extLst>
            <a:ext uri="{FF2B5EF4-FFF2-40B4-BE49-F238E27FC236}">
              <a16:creationId xmlns:a16="http://schemas.microsoft.com/office/drawing/2014/main" id="{6F856AC5-70EF-484C-8981-A2BDD2C571E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1" name="Text Box 2">
          <a:extLst>
            <a:ext uri="{FF2B5EF4-FFF2-40B4-BE49-F238E27FC236}">
              <a16:creationId xmlns:a16="http://schemas.microsoft.com/office/drawing/2014/main" id="{1801929F-5651-4F16-A989-7F33A96E08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2" name="Text Box 1">
          <a:extLst>
            <a:ext uri="{FF2B5EF4-FFF2-40B4-BE49-F238E27FC236}">
              <a16:creationId xmlns:a16="http://schemas.microsoft.com/office/drawing/2014/main" id="{A8CA01ED-7224-4F26-8B73-25CEAE276D5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3" name="Text Box 2">
          <a:extLst>
            <a:ext uri="{FF2B5EF4-FFF2-40B4-BE49-F238E27FC236}">
              <a16:creationId xmlns:a16="http://schemas.microsoft.com/office/drawing/2014/main" id="{DB94E87C-6714-4AAF-B2FE-E8CC6A8019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4" name="Text Box 1">
          <a:extLst>
            <a:ext uri="{FF2B5EF4-FFF2-40B4-BE49-F238E27FC236}">
              <a16:creationId xmlns:a16="http://schemas.microsoft.com/office/drawing/2014/main" id="{4B96C849-6EC2-4C07-8C15-DC1D33694CA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5" name="Text Box 2">
          <a:extLst>
            <a:ext uri="{FF2B5EF4-FFF2-40B4-BE49-F238E27FC236}">
              <a16:creationId xmlns:a16="http://schemas.microsoft.com/office/drawing/2014/main" id="{2CD7801B-8845-4D73-91B6-C17226AE93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id="{FFC70CFA-610D-451D-9BD6-C58627BFEA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7" name="Text Box 2">
          <a:extLst>
            <a:ext uri="{FF2B5EF4-FFF2-40B4-BE49-F238E27FC236}">
              <a16:creationId xmlns:a16="http://schemas.microsoft.com/office/drawing/2014/main" id="{81968ABA-DD56-4C98-8176-1B352C3BA4A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id="{A7018064-3694-4F31-8CC2-82AB7810EFE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79" name="Text Box 2">
          <a:extLst>
            <a:ext uri="{FF2B5EF4-FFF2-40B4-BE49-F238E27FC236}">
              <a16:creationId xmlns:a16="http://schemas.microsoft.com/office/drawing/2014/main" id="{2338AACD-0615-4EAD-91E7-B9B4B650E5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0" name="Text Box 1">
          <a:extLst>
            <a:ext uri="{FF2B5EF4-FFF2-40B4-BE49-F238E27FC236}">
              <a16:creationId xmlns:a16="http://schemas.microsoft.com/office/drawing/2014/main" id="{A3491490-77FD-4288-93C3-D06A62815D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1" name="Text Box 2">
          <a:extLst>
            <a:ext uri="{FF2B5EF4-FFF2-40B4-BE49-F238E27FC236}">
              <a16:creationId xmlns:a16="http://schemas.microsoft.com/office/drawing/2014/main" id="{C580A73F-B33B-4846-9162-56C924EC2A9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2" name="Text Box 1">
          <a:extLst>
            <a:ext uri="{FF2B5EF4-FFF2-40B4-BE49-F238E27FC236}">
              <a16:creationId xmlns:a16="http://schemas.microsoft.com/office/drawing/2014/main" id="{82493819-B802-43A2-8459-738969C6FEE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3" name="Text Box 2">
          <a:extLst>
            <a:ext uri="{FF2B5EF4-FFF2-40B4-BE49-F238E27FC236}">
              <a16:creationId xmlns:a16="http://schemas.microsoft.com/office/drawing/2014/main" id="{9D9C6E45-3E00-4734-A78A-17FB21932C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4" name="Text Box 1">
          <a:extLst>
            <a:ext uri="{FF2B5EF4-FFF2-40B4-BE49-F238E27FC236}">
              <a16:creationId xmlns:a16="http://schemas.microsoft.com/office/drawing/2014/main" id="{A07B57B3-CADE-4B77-A2EA-32B342E337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5" name="Text Box 2">
          <a:extLst>
            <a:ext uri="{FF2B5EF4-FFF2-40B4-BE49-F238E27FC236}">
              <a16:creationId xmlns:a16="http://schemas.microsoft.com/office/drawing/2014/main" id="{5B5D9078-94CE-49C8-A29A-EF8A26DF3F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6" name="Text Box 1">
          <a:extLst>
            <a:ext uri="{FF2B5EF4-FFF2-40B4-BE49-F238E27FC236}">
              <a16:creationId xmlns:a16="http://schemas.microsoft.com/office/drawing/2014/main" id="{26A95E39-6C8D-4F60-8158-7B635400E51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7" name="Text Box 2">
          <a:extLst>
            <a:ext uri="{FF2B5EF4-FFF2-40B4-BE49-F238E27FC236}">
              <a16:creationId xmlns:a16="http://schemas.microsoft.com/office/drawing/2014/main" id="{43D9A4F9-701B-4C64-8BBE-99C64BFED4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id="{A66F3245-9711-4F27-A4F4-8D83C61354C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89" name="Text Box 2">
          <a:extLst>
            <a:ext uri="{FF2B5EF4-FFF2-40B4-BE49-F238E27FC236}">
              <a16:creationId xmlns:a16="http://schemas.microsoft.com/office/drawing/2014/main" id="{963CEB31-A4EA-4A4F-8104-FB9CD8AB14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0" name="Text Box 1">
          <a:extLst>
            <a:ext uri="{FF2B5EF4-FFF2-40B4-BE49-F238E27FC236}">
              <a16:creationId xmlns:a16="http://schemas.microsoft.com/office/drawing/2014/main" id="{FD3C5C51-4DCA-4288-ACFD-273E67315A1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1" name="Text Box 2">
          <a:extLst>
            <a:ext uri="{FF2B5EF4-FFF2-40B4-BE49-F238E27FC236}">
              <a16:creationId xmlns:a16="http://schemas.microsoft.com/office/drawing/2014/main" id="{313C6972-F5DA-48F3-9838-B83FDC6F28A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2" name="Text Box 1">
          <a:extLst>
            <a:ext uri="{FF2B5EF4-FFF2-40B4-BE49-F238E27FC236}">
              <a16:creationId xmlns:a16="http://schemas.microsoft.com/office/drawing/2014/main" id="{00F1157C-2C14-4BD1-8817-52E9B25F37C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3" name="Text Box 2">
          <a:extLst>
            <a:ext uri="{FF2B5EF4-FFF2-40B4-BE49-F238E27FC236}">
              <a16:creationId xmlns:a16="http://schemas.microsoft.com/office/drawing/2014/main" id="{67F9DF78-6984-43F3-87E9-725D5886BD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4" name="Text Box 1">
          <a:extLst>
            <a:ext uri="{FF2B5EF4-FFF2-40B4-BE49-F238E27FC236}">
              <a16:creationId xmlns:a16="http://schemas.microsoft.com/office/drawing/2014/main" id="{3B90453A-C622-4510-8277-B357E2F183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5" name="Text Box 2">
          <a:extLst>
            <a:ext uri="{FF2B5EF4-FFF2-40B4-BE49-F238E27FC236}">
              <a16:creationId xmlns:a16="http://schemas.microsoft.com/office/drawing/2014/main" id="{4196EDE3-795B-49AC-AEFE-77EAB7106C6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6" name="Text Box 1">
          <a:extLst>
            <a:ext uri="{FF2B5EF4-FFF2-40B4-BE49-F238E27FC236}">
              <a16:creationId xmlns:a16="http://schemas.microsoft.com/office/drawing/2014/main" id="{1471F423-B25D-459D-B7E2-15710950384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7" name="Text Box 2">
          <a:extLst>
            <a:ext uri="{FF2B5EF4-FFF2-40B4-BE49-F238E27FC236}">
              <a16:creationId xmlns:a16="http://schemas.microsoft.com/office/drawing/2014/main" id="{CC3FDED2-4A5C-4EDB-AFAE-4743BEACA9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8" name="Text Box 1">
          <a:extLst>
            <a:ext uri="{FF2B5EF4-FFF2-40B4-BE49-F238E27FC236}">
              <a16:creationId xmlns:a16="http://schemas.microsoft.com/office/drawing/2014/main" id="{80B7308C-5B52-4A90-BE4B-15A2044B7D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599" name="Text Box 2">
          <a:extLst>
            <a:ext uri="{FF2B5EF4-FFF2-40B4-BE49-F238E27FC236}">
              <a16:creationId xmlns:a16="http://schemas.microsoft.com/office/drawing/2014/main" id="{9999C9A7-5495-406B-89DC-FD10B6A8892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id="{6C9BB1DC-2B49-4F52-90B9-654EC83C4E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1" name="Text Box 2">
          <a:extLst>
            <a:ext uri="{FF2B5EF4-FFF2-40B4-BE49-F238E27FC236}">
              <a16:creationId xmlns:a16="http://schemas.microsoft.com/office/drawing/2014/main" id="{937120A2-E554-412A-9A70-14DB314B28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2" name="Text Box 1">
          <a:extLst>
            <a:ext uri="{FF2B5EF4-FFF2-40B4-BE49-F238E27FC236}">
              <a16:creationId xmlns:a16="http://schemas.microsoft.com/office/drawing/2014/main" id="{F2C17B73-129A-409E-823B-9259B74AC8A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3" name="Text Box 2">
          <a:extLst>
            <a:ext uri="{FF2B5EF4-FFF2-40B4-BE49-F238E27FC236}">
              <a16:creationId xmlns:a16="http://schemas.microsoft.com/office/drawing/2014/main" id="{62314A72-843C-4332-A427-B1A8F8DFAE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4" name="Text Box 1">
          <a:extLst>
            <a:ext uri="{FF2B5EF4-FFF2-40B4-BE49-F238E27FC236}">
              <a16:creationId xmlns:a16="http://schemas.microsoft.com/office/drawing/2014/main" id="{3B413C29-C92B-4B6F-8F73-AF560F68C53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5" name="Text Box 2">
          <a:extLst>
            <a:ext uri="{FF2B5EF4-FFF2-40B4-BE49-F238E27FC236}">
              <a16:creationId xmlns:a16="http://schemas.microsoft.com/office/drawing/2014/main" id="{D0F679B8-6901-44E0-A516-E53EF2EF7B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id="{0FE5546B-6296-4E0F-88AA-43A6956510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7" name="Text Box 2">
          <a:extLst>
            <a:ext uri="{FF2B5EF4-FFF2-40B4-BE49-F238E27FC236}">
              <a16:creationId xmlns:a16="http://schemas.microsoft.com/office/drawing/2014/main" id="{437BB246-22D2-4E4C-A6AC-406F1E6686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8" name="Text Box 1">
          <a:extLst>
            <a:ext uri="{FF2B5EF4-FFF2-40B4-BE49-F238E27FC236}">
              <a16:creationId xmlns:a16="http://schemas.microsoft.com/office/drawing/2014/main" id="{E7B2FA99-FF9C-4ECE-A994-66C65D5EC3E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09" name="Text Box 2">
          <a:extLst>
            <a:ext uri="{FF2B5EF4-FFF2-40B4-BE49-F238E27FC236}">
              <a16:creationId xmlns:a16="http://schemas.microsoft.com/office/drawing/2014/main" id="{9B854844-DDC0-435C-A13F-0DEFD1A7C8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0" name="Text Box 1">
          <a:extLst>
            <a:ext uri="{FF2B5EF4-FFF2-40B4-BE49-F238E27FC236}">
              <a16:creationId xmlns:a16="http://schemas.microsoft.com/office/drawing/2014/main" id="{70A2AF3C-D2BF-4676-98CE-3B6ACC9FA2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1" name="Text Box 2">
          <a:extLst>
            <a:ext uri="{FF2B5EF4-FFF2-40B4-BE49-F238E27FC236}">
              <a16:creationId xmlns:a16="http://schemas.microsoft.com/office/drawing/2014/main" id="{3792621E-48DB-4413-8665-5F565A1C97D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2" name="Text Box 1">
          <a:extLst>
            <a:ext uri="{FF2B5EF4-FFF2-40B4-BE49-F238E27FC236}">
              <a16:creationId xmlns:a16="http://schemas.microsoft.com/office/drawing/2014/main" id="{C6D08FEB-8398-4D26-A5E4-8014C1741A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3" name="Text Box 2">
          <a:extLst>
            <a:ext uri="{FF2B5EF4-FFF2-40B4-BE49-F238E27FC236}">
              <a16:creationId xmlns:a16="http://schemas.microsoft.com/office/drawing/2014/main" id="{5E6415B6-25F5-4CBF-B435-22C8518863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4" name="Text Box 1">
          <a:extLst>
            <a:ext uri="{FF2B5EF4-FFF2-40B4-BE49-F238E27FC236}">
              <a16:creationId xmlns:a16="http://schemas.microsoft.com/office/drawing/2014/main" id="{9B7A31AB-6C5F-4EC6-9747-8879DC548C0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5" name="Text Box 2">
          <a:extLst>
            <a:ext uri="{FF2B5EF4-FFF2-40B4-BE49-F238E27FC236}">
              <a16:creationId xmlns:a16="http://schemas.microsoft.com/office/drawing/2014/main" id="{365E3245-C44E-484F-B7C2-52453B29EC6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6" name="Text Box 1">
          <a:extLst>
            <a:ext uri="{FF2B5EF4-FFF2-40B4-BE49-F238E27FC236}">
              <a16:creationId xmlns:a16="http://schemas.microsoft.com/office/drawing/2014/main" id="{B0D401C6-FBA9-4FC6-8A9A-BF53106978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7" name="Text Box 2">
          <a:extLst>
            <a:ext uri="{FF2B5EF4-FFF2-40B4-BE49-F238E27FC236}">
              <a16:creationId xmlns:a16="http://schemas.microsoft.com/office/drawing/2014/main" id="{F484C973-2A79-48A8-A35C-E8F558B64B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8" name="Text Box 1">
          <a:extLst>
            <a:ext uri="{FF2B5EF4-FFF2-40B4-BE49-F238E27FC236}">
              <a16:creationId xmlns:a16="http://schemas.microsoft.com/office/drawing/2014/main" id="{FA2EB2F1-0C16-467A-BED3-B2509F77EBE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19" name="Text Box 2">
          <a:extLst>
            <a:ext uri="{FF2B5EF4-FFF2-40B4-BE49-F238E27FC236}">
              <a16:creationId xmlns:a16="http://schemas.microsoft.com/office/drawing/2014/main" id="{8AC7E2BE-442B-42EB-A569-21EBD48F2F7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0" name="Text Box 1">
          <a:extLst>
            <a:ext uri="{FF2B5EF4-FFF2-40B4-BE49-F238E27FC236}">
              <a16:creationId xmlns:a16="http://schemas.microsoft.com/office/drawing/2014/main" id="{568CAE11-B9A0-4F54-83DB-970EC2D1DC3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1" name="Text Box 2">
          <a:extLst>
            <a:ext uri="{FF2B5EF4-FFF2-40B4-BE49-F238E27FC236}">
              <a16:creationId xmlns:a16="http://schemas.microsoft.com/office/drawing/2014/main" id="{F224B6ED-E05F-4EF6-B7C6-C93086AF5B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2" name="Text Box 1">
          <a:extLst>
            <a:ext uri="{FF2B5EF4-FFF2-40B4-BE49-F238E27FC236}">
              <a16:creationId xmlns:a16="http://schemas.microsoft.com/office/drawing/2014/main" id="{EB9323A8-6C77-4EEE-8620-7BCA1F209F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3" name="Text Box 2">
          <a:extLst>
            <a:ext uri="{FF2B5EF4-FFF2-40B4-BE49-F238E27FC236}">
              <a16:creationId xmlns:a16="http://schemas.microsoft.com/office/drawing/2014/main" id="{CE8B0E61-3F6B-4F79-8E69-6DB5EAD1238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4" name="Text Box 1">
          <a:extLst>
            <a:ext uri="{FF2B5EF4-FFF2-40B4-BE49-F238E27FC236}">
              <a16:creationId xmlns:a16="http://schemas.microsoft.com/office/drawing/2014/main" id="{FB30DB75-1D76-4301-9CA7-0EB7CB422D6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5" name="Text Box 2">
          <a:extLst>
            <a:ext uri="{FF2B5EF4-FFF2-40B4-BE49-F238E27FC236}">
              <a16:creationId xmlns:a16="http://schemas.microsoft.com/office/drawing/2014/main" id="{F9DD6319-B382-4507-BC65-8937D94DA7D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6" name="Text Box 1">
          <a:extLst>
            <a:ext uri="{FF2B5EF4-FFF2-40B4-BE49-F238E27FC236}">
              <a16:creationId xmlns:a16="http://schemas.microsoft.com/office/drawing/2014/main" id="{46D51B7C-FB43-4128-924F-790AE84301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7" name="Text Box 2">
          <a:extLst>
            <a:ext uri="{FF2B5EF4-FFF2-40B4-BE49-F238E27FC236}">
              <a16:creationId xmlns:a16="http://schemas.microsoft.com/office/drawing/2014/main" id="{650486A1-C07E-43E1-A135-87DD5B67195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8" name="Text Box 1">
          <a:extLst>
            <a:ext uri="{FF2B5EF4-FFF2-40B4-BE49-F238E27FC236}">
              <a16:creationId xmlns:a16="http://schemas.microsoft.com/office/drawing/2014/main" id="{5EF6E4A8-E6C8-4E5B-A5C1-55603E28A2C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29" name="Text Box 2">
          <a:extLst>
            <a:ext uri="{FF2B5EF4-FFF2-40B4-BE49-F238E27FC236}">
              <a16:creationId xmlns:a16="http://schemas.microsoft.com/office/drawing/2014/main" id="{584B880E-20C0-4955-87EE-BD88EFAB613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0" name="Text Box 1">
          <a:extLst>
            <a:ext uri="{FF2B5EF4-FFF2-40B4-BE49-F238E27FC236}">
              <a16:creationId xmlns:a16="http://schemas.microsoft.com/office/drawing/2014/main" id="{C98F4A12-AED9-4D50-81D1-6A9F6901F1F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1" name="Text Box 2">
          <a:extLst>
            <a:ext uri="{FF2B5EF4-FFF2-40B4-BE49-F238E27FC236}">
              <a16:creationId xmlns:a16="http://schemas.microsoft.com/office/drawing/2014/main" id="{8092E9A5-71A5-48F3-8155-ABCE849A51A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2" name="Text Box 1">
          <a:extLst>
            <a:ext uri="{FF2B5EF4-FFF2-40B4-BE49-F238E27FC236}">
              <a16:creationId xmlns:a16="http://schemas.microsoft.com/office/drawing/2014/main" id="{D21B360E-14D8-4CB5-97E5-2A6B0D625E7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3" name="Text Box 2">
          <a:extLst>
            <a:ext uri="{FF2B5EF4-FFF2-40B4-BE49-F238E27FC236}">
              <a16:creationId xmlns:a16="http://schemas.microsoft.com/office/drawing/2014/main" id="{EDB22CA9-9D11-4F7C-A194-B31D6537E59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4" name="Text Box 1">
          <a:extLst>
            <a:ext uri="{FF2B5EF4-FFF2-40B4-BE49-F238E27FC236}">
              <a16:creationId xmlns:a16="http://schemas.microsoft.com/office/drawing/2014/main" id="{61EF7D74-8322-4DDF-B0B1-18188CACB4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5" name="Text Box 2">
          <a:extLst>
            <a:ext uri="{FF2B5EF4-FFF2-40B4-BE49-F238E27FC236}">
              <a16:creationId xmlns:a16="http://schemas.microsoft.com/office/drawing/2014/main" id="{B8C17004-EBA2-4B6A-A3D3-DE579588493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6" name="Text Box 1">
          <a:extLst>
            <a:ext uri="{FF2B5EF4-FFF2-40B4-BE49-F238E27FC236}">
              <a16:creationId xmlns:a16="http://schemas.microsoft.com/office/drawing/2014/main" id="{B73CE6C7-F6BF-4318-98AA-608CAD4E10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7" name="Text Box 2">
          <a:extLst>
            <a:ext uri="{FF2B5EF4-FFF2-40B4-BE49-F238E27FC236}">
              <a16:creationId xmlns:a16="http://schemas.microsoft.com/office/drawing/2014/main" id="{B08E25EE-C14F-445B-9C32-F6FE53FDE7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8" name="Text Box 1">
          <a:extLst>
            <a:ext uri="{FF2B5EF4-FFF2-40B4-BE49-F238E27FC236}">
              <a16:creationId xmlns:a16="http://schemas.microsoft.com/office/drawing/2014/main" id="{5FE40751-6933-4E44-99EC-8DF14CE09F1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39" name="Text Box 2">
          <a:extLst>
            <a:ext uri="{FF2B5EF4-FFF2-40B4-BE49-F238E27FC236}">
              <a16:creationId xmlns:a16="http://schemas.microsoft.com/office/drawing/2014/main" id="{F09912CE-8D40-4E1F-8AF4-CE4B76ED52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0" name="Text Box 1">
          <a:extLst>
            <a:ext uri="{FF2B5EF4-FFF2-40B4-BE49-F238E27FC236}">
              <a16:creationId xmlns:a16="http://schemas.microsoft.com/office/drawing/2014/main" id="{EFD92603-B1BC-4E1C-B0BE-D8F2DCD6612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1" name="Text Box 2">
          <a:extLst>
            <a:ext uri="{FF2B5EF4-FFF2-40B4-BE49-F238E27FC236}">
              <a16:creationId xmlns:a16="http://schemas.microsoft.com/office/drawing/2014/main" id="{912F2180-2E86-47F9-96EE-12A3309791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2" name="Text Box 1">
          <a:extLst>
            <a:ext uri="{FF2B5EF4-FFF2-40B4-BE49-F238E27FC236}">
              <a16:creationId xmlns:a16="http://schemas.microsoft.com/office/drawing/2014/main" id="{F154D7E6-18D1-4DE0-8BAE-9915FC39AFF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3" name="Text Box 2">
          <a:extLst>
            <a:ext uri="{FF2B5EF4-FFF2-40B4-BE49-F238E27FC236}">
              <a16:creationId xmlns:a16="http://schemas.microsoft.com/office/drawing/2014/main" id="{F1FCDFEE-FBF6-49A7-AC1D-80FA7B687E2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4" name="Text Box 1">
          <a:extLst>
            <a:ext uri="{FF2B5EF4-FFF2-40B4-BE49-F238E27FC236}">
              <a16:creationId xmlns:a16="http://schemas.microsoft.com/office/drawing/2014/main" id="{59B375F0-B125-411D-9107-17AA72F0A1D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5" name="Text Box 2">
          <a:extLst>
            <a:ext uri="{FF2B5EF4-FFF2-40B4-BE49-F238E27FC236}">
              <a16:creationId xmlns:a16="http://schemas.microsoft.com/office/drawing/2014/main" id="{F985DFE3-961B-4859-84F8-670D4E7EEE3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6" name="Text Box 1">
          <a:extLst>
            <a:ext uri="{FF2B5EF4-FFF2-40B4-BE49-F238E27FC236}">
              <a16:creationId xmlns:a16="http://schemas.microsoft.com/office/drawing/2014/main" id="{9506DA39-75CB-4721-886A-C79668849D8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7" name="Text Box 2">
          <a:extLst>
            <a:ext uri="{FF2B5EF4-FFF2-40B4-BE49-F238E27FC236}">
              <a16:creationId xmlns:a16="http://schemas.microsoft.com/office/drawing/2014/main" id="{5090965D-F9B9-454A-9827-0BC80956D21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8" name="Text Box 1">
          <a:extLst>
            <a:ext uri="{FF2B5EF4-FFF2-40B4-BE49-F238E27FC236}">
              <a16:creationId xmlns:a16="http://schemas.microsoft.com/office/drawing/2014/main" id="{F091B30F-CB47-4136-9AB0-03EF1DCD040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49" name="Text Box 2">
          <a:extLst>
            <a:ext uri="{FF2B5EF4-FFF2-40B4-BE49-F238E27FC236}">
              <a16:creationId xmlns:a16="http://schemas.microsoft.com/office/drawing/2014/main" id="{2C0485E2-F433-468B-8B14-4996EAA0C7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0" name="Text Box 1">
          <a:extLst>
            <a:ext uri="{FF2B5EF4-FFF2-40B4-BE49-F238E27FC236}">
              <a16:creationId xmlns:a16="http://schemas.microsoft.com/office/drawing/2014/main" id="{DC27BCF2-4E8E-4282-8A2C-EA566D11AAD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1" name="Text Box 2">
          <a:extLst>
            <a:ext uri="{FF2B5EF4-FFF2-40B4-BE49-F238E27FC236}">
              <a16:creationId xmlns:a16="http://schemas.microsoft.com/office/drawing/2014/main" id="{F1362B3C-D285-4B9E-8554-3C040C6258A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2" name="Text Box 1">
          <a:extLst>
            <a:ext uri="{FF2B5EF4-FFF2-40B4-BE49-F238E27FC236}">
              <a16:creationId xmlns:a16="http://schemas.microsoft.com/office/drawing/2014/main" id="{43A997D7-092E-4960-9D56-8DCE932C77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3" name="Text Box 2">
          <a:extLst>
            <a:ext uri="{FF2B5EF4-FFF2-40B4-BE49-F238E27FC236}">
              <a16:creationId xmlns:a16="http://schemas.microsoft.com/office/drawing/2014/main" id="{66A3F1AA-813B-4E60-898E-F92A72BD046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4" name="Text Box 1">
          <a:extLst>
            <a:ext uri="{FF2B5EF4-FFF2-40B4-BE49-F238E27FC236}">
              <a16:creationId xmlns:a16="http://schemas.microsoft.com/office/drawing/2014/main" id="{C507954A-5000-414F-A832-61878ED6A4E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5" name="Text Box 2">
          <a:extLst>
            <a:ext uri="{FF2B5EF4-FFF2-40B4-BE49-F238E27FC236}">
              <a16:creationId xmlns:a16="http://schemas.microsoft.com/office/drawing/2014/main" id="{416BCEC6-0568-48BC-8DC7-8F97A808F39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6" name="Text Box 1">
          <a:extLst>
            <a:ext uri="{FF2B5EF4-FFF2-40B4-BE49-F238E27FC236}">
              <a16:creationId xmlns:a16="http://schemas.microsoft.com/office/drawing/2014/main" id="{89B00349-CD34-473E-9D66-2F5D71EE388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7" name="Text Box 2">
          <a:extLst>
            <a:ext uri="{FF2B5EF4-FFF2-40B4-BE49-F238E27FC236}">
              <a16:creationId xmlns:a16="http://schemas.microsoft.com/office/drawing/2014/main" id="{2ABF3995-47F6-40EE-86C6-E0804A7E6C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8" name="Text Box 1">
          <a:extLst>
            <a:ext uri="{FF2B5EF4-FFF2-40B4-BE49-F238E27FC236}">
              <a16:creationId xmlns:a16="http://schemas.microsoft.com/office/drawing/2014/main" id="{23261B74-C0CC-41DA-8F41-06B7EB440C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59" name="Text Box 2">
          <a:extLst>
            <a:ext uri="{FF2B5EF4-FFF2-40B4-BE49-F238E27FC236}">
              <a16:creationId xmlns:a16="http://schemas.microsoft.com/office/drawing/2014/main" id="{6CE4306E-B38C-41D4-B42D-9BF4741BBE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id="{6F9F0551-205C-4C07-8386-8D1F47C7FEB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1" name="Text Box 2">
          <a:extLst>
            <a:ext uri="{FF2B5EF4-FFF2-40B4-BE49-F238E27FC236}">
              <a16:creationId xmlns:a16="http://schemas.microsoft.com/office/drawing/2014/main" id="{4B6831C8-63FC-4629-87FF-3C4B1524FA8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2" name="Text Box 1">
          <a:extLst>
            <a:ext uri="{FF2B5EF4-FFF2-40B4-BE49-F238E27FC236}">
              <a16:creationId xmlns:a16="http://schemas.microsoft.com/office/drawing/2014/main" id="{ECC16C11-9EA6-42FD-B14F-7228902B9D4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3" name="Text Box 2">
          <a:extLst>
            <a:ext uri="{FF2B5EF4-FFF2-40B4-BE49-F238E27FC236}">
              <a16:creationId xmlns:a16="http://schemas.microsoft.com/office/drawing/2014/main" id="{35F2CCC9-48ED-471A-B45A-25E22433CD7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4" name="Text Box 1">
          <a:extLst>
            <a:ext uri="{FF2B5EF4-FFF2-40B4-BE49-F238E27FC236}">
              <a16:creationId xmlns:a16="http://schemas.microsoft.com/office/drawing/2014/main" id="{5AFCFF0E-F9A9-400F-ADCD-DE45332895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5" name="Text Box 2">
          <a:extLst>
            <a:ext uri="{FF2B5EF4-FFF2-40B4-BE49-F238E27FC236}">
              <a16:creationId xmlns:a16="http://schemas.microsoft.com/office/drawing/2014/main" id="{A4059203-1241-4DA8-B146-D89CB435D0B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6" name="Text Box 1">
          <a:extLst>
            <a:ext uri="{FF2B5EF4-FFF2-40B4-BE49-F238E27FC236}">
              <a16:creationId xmlns:a16="http://schemas.microsoft.com/office/drawing/2014/main" id="{69F02AF1-6E3F-493F-AC0E-5B174083396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7" name="Text Box 2">
          <a:extLst>
            <a:ext uri="{FF2B5EF4-FFF2-40B4-BE49-F238E27FC236}">
              <a16:creationId xmlns:a16="http://schemas.microsoft.com/office/drawing/2014/main" id="{3DFC03F3-9A9A-49BF-B96D-E536A2384B0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8" name="Text Box 1">
          <a:extLst>
            <a:ext uri="{FF2B5EF4-FFF2-40B4-BE49-F238E27FC236}">
              <a16:creationId xmlns:a16="http://schemas.microsoft.com/office/drawing/2014/main" id="{9352E290-E468-43B1-AE63-AA9032F0967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69" name="Text Box 2">
          <a:extLst>
            <a:ext uri="{FF2B5EF4-FFF2-40B4-BE49-F238E27FC236}">
              <a16:creationId xmlns:a16="http://schemas.microsoft.com/office/drawing/2014/main" id="{A49DCF9B-2CE0-49E8-911D-55413EB80E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0" name="Text Box 1">
          <a:extLst>
            <a:ext uri="{FF2B5EF4-FFF2-40B4-BE49-F238E27FC236}">
              <a16:creationId xmlns:a16="http://schemas.microsoft.com/office/drawing/2014/main" id="{8421B72D-AA63-4378-B928-4BA3B991014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1" name="Text Box 2">
          <a:extLst>
            <a:ext uri="{FF2B5EF4-FFF2-40B4-BE49-F238E27FC236}">
              <a16:creationId xmlns:a16="http://schemas.microsoft.com/office/drawing/2014/main" id="{1F01DB17-2137-46BA-968B-4C8876D1EA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2" name="Text Box 1">
          <a:extLst>
            <a:ext uri="{FF2B5EF4-FFF2-40B4-BE49-F238E27FC236}">
              <a16:creationId xmlns:a16="http://schemas.microsoft.com/office/drawing/2014/main" id="{19BC9371-882A-437B-90D8-6A5D7915708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3" name="Text Box 2">
          <a:extLst>
            <a:ext uri="{FF2B5EF4-FFF2-40B4-BE49-F238E27FC236}">
              <a16:creationId xmlns:a16="http://schemas.microsoft.com/office/drawing/2014/main" id="{E3B2B314-5546-4CAF-B3F9-7F05F9B48C9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4" name="Text Box 1">
          <a:extLst>
            <a:ext uri="{FF2B5EF4-FFF2-40B4-BE49-F238E27FC236}">
              <a16:creationId xmlns:a16="http://schemas.microsoft.com/office/drawing/2014/main" id="{1D69AE74-F98E-4EA0-AFF5-4B63CEB099C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5" name="Text Box 2">
          <a:extLst>
            <a:ext uri="{FF2B5EF4-FFF2-40B4-BE49-F238E27FC236}">
              <a16:creationId xmlns:a16="http://schemas.microsoft.com/office/drawing/2014/main" id="{CC2DD2CB-F350-44DB-8633-8435084AA95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6" name="Text Box 1">
          <a:extLst>
            <a:ext uri="{FF2B5EF4-FFF2-40B4-BE49-F238E27FC236}">
              <a16:creationId xmlns:a16="http://schemas.microsoft.com/office/drawing/2014/main" id="{C128E281-86E6-4423-A37A-0813B9A35FC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7" name="Text Box 2">
          <a:extLst>
            <a:ext uri="{FF2B5EF4-FFF2-40B4-BE49-F238E27FC236}">
              <a16:creationId xmlns:a16="http://schemas.microsoft.com/office/drawing/2014/main" id="{C63F1317-739D-414B-81D1-67CA795969D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8" name="Text Box 1">
          <a:extLst>
            <a:ext uri="{FF2B5EF4-FFF2-40B4-BE49-F238E27FC236}">
              <a16:creationId xmlns:a16="http://schemas.microsoft.com/office/drawing/2014/main" id="{FB5710B8-5403-474E-8E44-A635A28D360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79" name="Text Box 2">
          <a:extLst>
            <a:ext uri="{FF2B5EF4-FFF2-40B4-BE49-F238E27FC236}">
              <a16:creationId xmlns:a16="http://schemas.microsoft.com/office/drawing/2014/main" id="{33CEFE8A-30F1-48D0-9C62-E5E24D6699A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0" name="Text Box 1">
          <a:extLst>
            <a:ext uri="{FF2B5EF4-FFF2-40B4-BE49-F238E27FC236}">
              <a16:creationId xmlns:a16="http://schemas.microsoft.com/office/drawing/2014/main" id="{96EC03CB-F7A5-4FA7-B160-94D2EE8DE78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1" name="Text Box 2">
          <a:extLst>
            <a:ext uri="{FF2B5EF4-FFF2-40B4-BE49-F238E27FC236}">
              <a16:creationId xmlns:a16="http://schemas.microsoft.com/office/drawing/2014/main" id="{4C0D4F38-4694-49C3-BB41-E87CE63AB3C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2" name="Text Box 1">
          <a:extLst>
            <a:ext uri="{FF2B5EF4-FFF2-40B4-BE49-F238E27FC236}">
              <a16:creationId xmlns:a16="http://schemas.microsoft.com/office/drawing/2014/main" id="{D3024BFF-9A86-4FBF-B03A-361FC28BF18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3" name="Text Box 2">
          <a:extLst>
            <a:ext uri="{FF2B5EF4-FFF2-40B4-BE49-F238E27FC236}">
              <a16:creationId xmlns:a16="http://schemas.microsoft.com/office/drawing/2014/main" id="{880ECC85-B6AE-4D72-B654-8076E91EE3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4" name="Text Box 1">
          <a:extLst>
            <a:ext uri="{FF2B5EF4-FFF2-40B4-BE49-F238E27FC236}">
              <a16:creationId xmlns:a16="http://schemas.microsoft.com/office/drawing/2014/main" id="{84ECD04D-1837-4BEF-9832-AD8E0483E53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5" name="Text Box 2">
          <a:extLst>
            <a:ext uri="{FF2B5EF4-FFF2-40B4-BE49-F238E27FC236}">
              <a16:creationId xmlns:a16="http://schemas.microsoft.com/office/drawing/2014/main" id="{1178052E-2345-44C2-A467-82271BA5E1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6" name="Text Box 1">
          <a:extLst>
            <a:ext uri="{FF2B5EF4-FFF2-40B4-BE49-F238E27FC236}">
              <a16:creationId xmlns:a16="http://schemas.microsoft.com/office/drawing/2014/main" id="{C5AC5ECC-AD2C-48F6-95F1-55C21703B1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7" name="Text Box 2">
          <a:extLst>
            <a:ext uri="{FF2B5EF4-FFF2-40B4-BE49-F238E27FC236}">
              <a16:creationId xmlns:a16="http://schemas.microsoft.com/office/drawing/2014/main" id="{F81D3E0C-1C6D-47AB-9437-423D053603E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8" name="Text Box 1">
          <a:extLst>
            <a:ext uri="{FF2B5EF4-FFF2-40B4-BE49-F238E27FC236}">
              <a16:creationId xmlns:a16="http://schemas.microsoft.com/office/drawing/2014/main" id="{C1D8E9B3-4633-493C-9E45-C02B2401C1F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89" name="Text Box 2">
          <a:extLst>
            <a:ext uri="{FF2B5EF4-FFF2-40B4-BE49-F238E27FC236}">
              <a16:creationId xmlns:a16="http://schemas.microsoft.com/office/drawing/2014/main" id="{02C0B770-5C98-43C1-82FF-87E922D524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0" name="Text Box 1">
          <a:extLst>
            <a:ext uri="{FF2B5EF4-FFF2-40B4-BE49-F238E27FC236}">
              <a16:creationId xmlns:a16="http://schemas.microsoft.com/office/drawing/2014/main" id="{12B3AC49-869C-4384-A664-6552AA90FE7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1" name="Text Box 2">
          <a:extLst>
            <a:ext uri="{FF2B5EF4-FFF2-40B4-BE49-F238E27FC236}">
              <a16:creationId xmlns:a16="http://schemas.microsoft.com/office/drawing/2014/main" id="{E6B99AB8-2BFD-4D9A-A18B-620FBA07965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2" name="Text Box 1">
          <a:extLst>
            <a:ext uri="{FF2B5EF4-FFF2-40B4-BE49-F238E27FC236}">
              <a16:creationId xmlns:a16="http://schemas.microsoft.com/office/drawing/2014/main" id="{5F9C3E17-21DB-4480-8FEF-647C852491C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3" name="Text Box 2">
          <a:extLst>
            <a:ext uri="{FF2B5EF4-FFF2-40B4-BE49-F238E27FC236}">
              <a16:creationId xmlns:a16="http://schemas.microsoft.com/office/drawing/2014/main" id="{6785EA7E-3085-4C12-99C4-4C7A1D9726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4" name="Text Box 1">
          <a:extLst>
            <a:ext uri="{FF2B5EF4-FFF2-40B4-BE49-F238E27FC236}">
              <a16:creationId xmlns:a16="http://schemas.microsoft.com/office/drawing/2014/main" id="{CCFAD05D-8931-457E-BAF0-AE145E5C2AF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5" name="Text Box 2">
          <a:extLst>
            <a:ext uri="{FF2B5EF4-FFF2-40B4-BE49-F238E27FC236}">
              <a16:creationId xmlns:a16="http://schemas.microsoft.com/office/drawing/2014/main" id="{6D78043B-1C13-47E3-9691-CA580A81840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6" name="Text Box 1">
          <a:extLst>
            <a:ext uri="{FF2B5EF4-FFF2-40B4-BE49-F238E27FC236}">
              <a16:creationId xmlns:a16="http://schemas.microsoft.com/office/drawing/2014/main" id="{85037DFC-8A5F-46C3-970A-20E03516428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7" name="Text Box 2">
          <a:extLst>
            <a:ext uri="{FF2B5EF4-FFF2-40B4-BE49-F238E27FC236}">
              <a16:creationId xmlns:a16="http://schemas.microsoft.com/office/drawing/2014/main" id="{D18EBF02-334B-4108-8FE6-F34FF97CB0B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8" name="Text Box 1">
          <a:extLst>
            <a:ext uri="{FF2B5EF4-FFF2-40B4-BE49-F238E27FC236}">
              <a16:creationId xmlns:a16="http://schemas.microsoft.com/office/drawing/2014/main" id="{CEB34561-F3E2-4E97-81E5-64A140771CF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699" name="Text Box 2">
          <a:extLst>
            <a:ext uri="{FF2B5EF4-FFF2-40B4-BE49-F238E27FC236}">
              <a16:creationId xmlns:a16="http://schemas.microsoft.com/office/drawing/2014/main" id="{B6ED1991-ADF1-4419-BDEC-A0A93B22B34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0" name="Text Box 1">
          <a:extLst>
            <a:ext uri="{FF2B5EF4-FFF2-40B4-BE49-F238E27FC236}">
              <a16:creationId xmlns:a16="http://schemas.microsoft.com/office/drawing/2014/main" id="{80657CD1-321A-48E4-8272-6E7EFFE9C20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1" name="Text Box 2">
          <a:extLst>
            <a:ext uri="{FF2B5EF4-FFF2-40B4-BE49-F238E27FC236}">
              <a16:creationId xmlns:a16="http://schemas.microsoft.com/office/drawing/2014/main" id="{AD59A7EC-54D9-4EEE-AE66-AA43E888D07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2" name="Text Box 1">
          <a:extLst>
            <a:ext uri="{FF2B5EF4-FFF2-40B4-BE49-F238E27FC236}">
              <a16:creationId xmlns:a16="http://schemas.microsoft.com/office/drawing/2014/main" id="{D442F839-1AAB-4E2C-9DDB-865BA907666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3" name="Text Box 2">
          <a:extLst>
            <a:ext uri="{FF2B5EF4-FFF2-40B4-BE49-F238E27FC236}">
              <a16:creationId xmlns:a16="http://schemas.microsoft.com/office/drawing/2014/main" id="{EB1F287A-A402-4925-8BC1-B6B478185C2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4" name="Text Box 1">
          <a:extLst>
            <a:ext uri="{FF2B5EF4-FFF2-40B4-BE49-F238E27FC236}">
              <a16:creationId xmlns:a16="http://schemas.microsoft.com/office/drawing/2014/main" id="{6B28C167-F0FD-41E4-8E2A-09F9A3BDE2B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5" name="Text Box 2">
          <a:extLst>
            <a:ext uri="{FF2B5EF4-FFF2-40B4-BE49-F238E27FC236}">
              <a16:creationId xmlns:a16="http://schemas.microsoft.com/office/drawing/2014/main" id="{2713E761-3904-43E0-B7CD-DAE4B2B44D5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6" name="Text Box 1">
          <a:extLst>
            <a:ext uri="{FF2B5EF4-FFF2-40B4-BE49-F238E27FC236}">
              <a16:creationId xmlns:a16="http://schemas.microsoft.com/office/drawing/2014/main" id="{C316B379-C715-4950-8087-AFEB7C1E3CE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7" name="Text Box 2">
          <a:extLst>
            <a:ext uri="{FF2B5EF4-FFF2-40B4-BE49-F238E27FC236}">
              <a16:creationId xmlns:a16="http://schemas.microsoft.com/office/drawing/2014/main" id="{99057E93-B7D5-40C9-8F62-60B0E367288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8" name="Text Box 1">
          <a:extLst>
            <a:ext uri="{FF2B5EF4-FFF2-40B4-BE49-F238E27FC236}">
              <a16:creationId xmlns:a16="http://schemas.microsoft.com/office/drawing/2014/main" id="{4BC050F4-194F-460F-AE13-A40AD4A4001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09" name="Text Box 2">
          <a:extLst>
            <a:ext uri="{FF2B5EF4-FFF2-40B4-BE49-F238E27FC236}">
              <a16:creationId xmlns:a16="http://schemas.microsoft.com/office/drawing/2014/main" id="{9002404D-D970-467E-9E26-506E3B033F6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0" name="Text Box 1">
          <a:extLst>
            <a:ext uri="{FF2B5EF4-FFF2-40B4-BE49-F238E27FC236}">
              <a16:creationId xmlns:a16="http://schemas.microsoft.com/office/drawing/2014/main" id="{A8DF65DD-30D9-4891-9BD3-359AC435B6C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1" name="Text Box 2">
          <a:extLst>
            <a:ext uri="{FF2B5EF4-FFF2-40B4-BE49-F238E27FC236}">
              <a16:creationId xmlns:a16="http://schemas.microsoft.com/office/drawing/2014/main" id="{65DCBF36-867E-476C-9760-7B8557B13698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2" name="Text Box 1">
          <a:extLst>
            <a:ext uri="{FF2B5EF4-FFF2-40B4-BE49-F238E27FC236}">
              <a16:creationId xmlns:a16="http://schemas.microsoft.com/office/drawing/2014/main" id="{2E1BB991-BE0C-4A88-950C-AD4141C3CA03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3" name="Text Box 2">
          <a:extLst>
            <a:ext uri="{FF2B5EF4-FFF2-40B4-BE49-F238E27FC236}">
              <a16:creationId xmlns:a16="http://schemas.microsoft.com/office/drawing/2014/main" id="{EC3FF0D5-7825-44F2-B0E9-87E5A66E424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4" name="Text Box 1">
          <a:extLst>
            <a:ext uri="{FF2B5EF4-FFF2-40B4-BE49-F238E27FC236}">
              <a16:creationId xmlns:a16="http://schemas.microsoft.com/office/drawing/2014/main" id="{BA15D247-B95C-4EEB-AF46-12B8C103644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5" name="Text Box 2">
          <a:extLst>
            <a:ext uri="{FF2B5EF4-FFF2-40B4-BE49-F238E27FC236}">
              <a16:creationId xmlns:a16="http://schemas.microsoft.com/office/drawing/2014/main" id="{A2F140BC-10B2-4D7A-87C2-5FF0B87C127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6" name="Text Box 1">
          <a:extLst>
            <a:ext uri="{FF2B5EF4-FFF2-40B4-BE49-F238E27FC236}">
              <a16:creationId xmlns:a16="http://schemas.microsoft.com/office/drawing/2014/main" id="{423BD0C4-C4D2-47A4-8A39-9DE67F0D8EB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7" name="Text Box 2">
          <a:extLst>
            <a:ext uri="{FF2B5EF4-FFF2-40B4-BE49-F238E27FC236}">
              <a16:creationId xmlns:a16="http://schemas.microsoft.com/office/drawing/2014/main" id="{24627370-6630-47EE-8CD6-91CE5DC9468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8" name="Text Box 1">
          <a:extLst>
            <a:ext uri="{FF2B5EF4-FFF2-40B4-BE49-F238E27FC236}">
              <a16:creationId xmlns:a16="http://schemas.microsoft.com/office/drawing/2014/main" id="{0F7AD0E6-15F1-4D50-BAF6-DBFD4C4D111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19" name="Text Box 2">
          <a:extLst>
            <a:ext uri="{FF2B5EF4-FFF2-40B4-BE49-F238E27FC236}">
              <a16:creationId xmlns:a16="http://schemas.microsoft.com/office/drawing/2014/main" id="{351138CC-550D-494B-BC43-847095D1172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0" name="Text Box 1">
          <a:extLst>
            <a:ext uri="{FF2B5EF4-FFF2-40B4-BE49-F238E27FC236}">
              <a16:creationId xmlns:a16="http://schemas.microsoft.com/office/drawing/2014/main" id="{A2AE7BE0-EABC-4DA4-8C51-5288EEA8D88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1" name="Text Box 2">
          <a:extLst>
            <a:ext uri="{FF2B5EF4-FFF2-40B4-BE49-F238E27FC236}">
              <a16:creationId xmlns:a16="http://schemas.microsoft.com/office/drawing/2014/main" id="{CF6796C2-6F59-42F7-8995-D58A4093BE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2" name="Text Box 1">
          <a:extLst>
            <a:ext uri="{FF2B5EF4-FFF2-40B4-BE49-F238E27FC236}">
              <a16:creationId xmlns:a16="http://schemas.microsoft.com/office/drawing/2014/main" id="{52DD7608-2682-410D-86F6-CD5771AAA69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3" name="Text Box 2">
          <a:extLst>
            <a:ext uri="{FF2B5EF4-FFF2-40B4-BE49-F238E27FC236}">
              <a16:creationId xmlns:a16="http://schemas.microsoft.com/office/drawing/2014/main" id="{151494AA-9CB6-4C0D-AD73-3A6E588B582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4" name="Text Box 1">
          <a:extLst>
            <a:ext uri="{FF2B5EF4-FFF2-40B4-BE49-F238E27FC236}">
              <a16:creationId xmlns:a16="http://schemas.microsoft.com/office/drawing/2014/main" id="{F0AF155B-5306-464B-958F-46E09750E89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5" name="Text Box 2">
          <a:extLst>
            <a:ext uri="{FF2B5EF4-FFF2-40B4-BE49-F238E27FC236}">
              <a16:creationId xmlns:a16="http://schemas.microsoft.com/office/drawing/2014/main" id="{E6426972-B1BE-4AED-A623-15D8B3EFEF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6" name="Text Box 1">
          <a:extLst>
            <a:ext uri="{FF2B5EF4-FFF2-40B4-BE49-F238E27FC236}">
              <a16:creationId xmlns:a16="http://schemas.microsoft.com/office/drawing/2014/main" id="{DDFFC778-8A92-4ADF-98AD-7F02CAB3704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7" name="Text Box 2">
          <a:extLst>
            <a:ext uri="{FF2B5EF4-FFF2-40B4-BE49-F238E27FC236}">
              <a16:creationId xmlns:a16="http://schemas.microsoft.com/office/drawing/2014/main" id="{5694C6F5-283D-4CC0-B731-B3FFDCC7DB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8" name="Text Box 1">
          <a:extLst>
            <a:ext uri="{FF2B5EF4-FFF2-40B4-BE49-F238E27FC236}">
              <a16:creationId xmlns:a16="http://schemas.microsoft.com/office/drawing/2014/main" id="{7EDE0477-E012-4BA0-9170-9F1AC544768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29" name="Text Box 2">
          <a:extLst>
            <a:ext uri="{FF2B5EF4-FFF2-40B4-BE49-F238E27FC236}">
              <a16:creationId xmlns:a16="http://schemas.microsoft.com/office/drawing/2014/main" id="{EBA73312-62D7-46AC-B8DB-AD2B22BE461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0" name="Text Box 1">
          <a:extLst>
            <a:ext uri="{FF2B5EF4-FFF2-40B4-BE49-F238E27FC236}">
              <a16:creationId xmlns:a16="http://schemas.microsoft.com/office/drawing/2014/main" id="{A3F0AFDE-7062-4FEF-81DE-642B644555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1" name="Text Box 2">
          <a:extLst>
            <a:ext uri="{FF2B5EF4-FFF2-40B4-BE49-F238E27FC236}">
              <a16:creationId xmlns:a16="http://schemas.microsoft.com/office/drawing/2014/main" id="{B606C845-5F29-4D1D-B37E-5821134B00D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2" name="Text Box 1">
          <a:extLst>
            <a:ext uri="{FF2B5EF4-FFF2-40B4-BE49-F238E27FC236}">
              <a16:creationId xmlns:a16="http://schemas.microsoft.com/office/drawing/2014/main" id="{3764D016-F89F-463E-BF3D-8A4F6FA39E27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3" name="Text Box 2">
          <a:extLst>
            <a:ext uri="{FF2B5EF4-FFF2-40B4-BE49-F238E27FC236}">
              <a16:creationId xmlns:a16="http://schemas.microsoft.com/office/drawing/2014/main" id="{78C39DB0-1EFA-413E-87E7-E2008302D35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4" name="Text Box 1">
          <a:extLst>
            <a:ext uri="{FF2B5EF4-FFF2-40B4-BE49-F238E27FC236}">
              <a16:creationId xmlns:a16="http://schemas.microsoft.com/office/drawing/2014/main" id="{934A9AF3-6D96-4FF9-94C4-520565A84A7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5" name="Text Box 2">
          <a:extLst>
            <a:ext uri="{FF2B5EF4-FFF2-40B4-BE49-F238E27FC236}">
              <a16:creationId xmlns:a16="http://schemas.microsoft.com/office/drawing/2014/main" id="{8E9614E9-63EE-4426-9C74-57CC77DADA4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6" name="Text Box 1">
          <a:extLst>
            <a:ext uri="{FF2B5EF4-FFF2-40B4-BE49-F238E27FC236}">
              <a16:creationId xmlns:a16="http://schemas.microsoft.com/office/drawing/2014/main" id="{5993E4AF-D52C-41F4-AF98-5A7B986FF89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7" name="Text Box 2">
          <a:extLst>
            <a:ext uri="{FF2B5EF4-FFF2-40B4-BE49-F238E27FC236}">
              <a16:creationId xmlns:a16="http://schemas.microsoft.com/office/drawing/2014/main" id="{A251AAD6-91C0-4982-BD58-B1FE8FAE4E04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8" name="Text Box 1">
          <a:extLst>
            <a:ext uri="{FF2B5EF4-FFF2-40B4-BE49-F238E27FC236}">
              <a16:creationId xmlns:a16="http://schemas.microsoft.com/office/drawing/2014/main" id="{980295F8-A7FD-4D56-80DC-A54A80CCC4B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39" name="Text Box 2">
          <a:extLst>
            <a:ext uri="{FF2B5EF4-FFF2-40B4-BE49-F238E27FC236}">
              <a16:creationId xmlns:a16="http://schemas.microsoft.com/office/drawing/2014/main" id="{D4559BF0-BF04-4295-A6EB-4407E687AD3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0" name="Text Box 1">
          <a:extLst>
            <a:ext uri="{FF2B5EF4-FFF2-40B4-BE49-F238E27FC236}">
              <a16:creationId xmlns:a16="http://schemas.microsoft.com/office/drawing/2014/main" id="{D9CC2928-1DCF-47B5-9A03-E0A19AED19D2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1" name="Text Box 2">
          <a:extLst>
            <a:ext uri="{FF2B5EF4-FFF2-40B4-BE49-F238E27FC236}">
              <a16:creationId xmlns:a16="http://schemas.microsoft.com/office/drawing/2014/main" id="{3C6FD4CC-F566-442D-BB8A-47BF2DB50CEF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2" name="Text Box 1">
          <a:extLst>
            <a:ext uri="{FF2B5EF4-FFF2-40B4-BE49-F238E27FC236}">
              <a16:creationId xmlns:a16="http://schemas.microsoft.com/office/drawing/2014/main" id="{3CCDDD3E-CABB-4657-9FEE-C567A34033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3" name="Text Box 2">
          <a:extLst>
            <a:ext uri="{FF2B5EF4-FFF2-40B4-BE49-F238E27FC236}">
              <a16:creationId xmlns:a16="http://schemas.microsoft.com/office/drawing/2014/main" id="{408FD470-C648-4529-AC8F-6E07606E2FAE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4" name="Text Box 1">
          <a:extLst>
            <a:ext uri="{FF2B5EF4-FFF2-40B4-BE49-F238E27FC236}">
              <a16:creationId xmlns:a16="http://schemas.microsoft.com/office/drawing/2014/main" id="{16620BEF-3DDA-4C10-B45E-30974395EFD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5" name="Text Box 2">
          <a:extLst>
            <a:ext uri="{FF2B5EF4-FFF2-40B4-BE49-F238E27FC236}">
              <a16:creationId xmlns:a16="http://schemas.microsoft.com/office/drawing/2014/main" id="{5AA5DF2E-EA51-4E55-AEE4-2F4AE45D7B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6" name="Text Box 1">
          <a:extLst>
            <a:ext uri="{FF2B5EF4-FFF2-40B4-BE49-F238E27FC236}">
              <a16:creationId xmlns:a16="http://schemas.microsoft.com/office/drawing/2014/main" id="{247E42A1-E842-4744-A785-C64133290CF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7" name="Text Box 2">
          <a:extLst>
            <a:ext uri="{FF2B5EF4-FFF2-40B4-BE49-F238E27FC236}">
              <a16:creationId xmlns:a16="http://schemas.microsoft.com/office/drawing/2014/main" id="{2C9E8BD2-EB8C-49B8-BE55-01BB8F2A1449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8" name="Text Box 1">
          <a:extLst>
            <a:ext uri="{FF2B5EF4-FFF2-40B4-BE49-F238E27FC236}">
              <a16:creationId xmlns:a16="http://schemas.microsoft.com/office/drawing/2014/main" id="{656BE99D-CDE4-4F5D-95FA-6654DA27DF11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49" name="Text Box 2">
          <a:extLst>
            <a:ext uri="{FF2B5EF4-FFF2-40B4-BE49-F238E27FC236}">
              <a16:creationId xmlns:a16="http://schemas.microsoft.com/office/drawing/2014/main" id="{0371DF5E-7D9E-4434-8C40-9F17CD918E3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0" name="Text Box 1">
          <a:extLst>
            <a:ext uri="{FF2B5EF4-FFF2-40B4-BE49-F238E27FC236}">
              <a16:creationId xmlns:a16="http://schemas.microsoft.com/office/drawing/2014/main" id="{BE1AA17B-F60B-4A15-B5AF-94DA266ED8E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1" name="Text Box 2">
          <a:extLst>
            <a:ext uri="{FF2B5EF4-FFF2-40B4-BE49-F238E27FC236}">
              <a16:creationId xmlns:a16="http://schemas.microsoft.com/office/drawing/2014/main" id="{3378A56E-B624-40D8-8BF6-323CCB749D9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2" name="Text Box 1">
          <a:extLst>
            <a:ext uri="{FF2B5EF4-FFF2-40B4-BE49-F238E27FC236}">
              <a16:creationId xmlns:a16="http://schemas.microsoft.com/office/drawing/2014/main" id="{5CD20C4C-718A-4D0B-9AE5-6F862DC5AE4B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3" name="Text Box 2">
          <a:extLst>
            <a:ext uri="{FF2B5EF4-FFF2-40B4-BE49-F238E27FC236}">
              <a16:creationId xmlns:a16="http://schemas.microsoft.com/office/drawing/2014/main" id="{5FA56294-658B-4531-A381-1FED4E8358B5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4" name="Text Box 1">
          <a:extLst>
            <a:ext uri="{FF2B5EF4-FFF2-40B4-BE49-F238E27FC236}">
              <a16:creationId xmlns:a16="http://schemas.microsoft.com/office/drawing/2014/main" id="{FB5093B5-61B5-460F-B761-0F23609A831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5" name="Text Box 2">
          <a:extLst>
            <a:ext uri="{FF2B5EF4-FFF2-40B4-BE49-F238E27FC236}">
              <a16:creationId xmlns:a16="http://schemas.microsoft.com/office/drawing/2014/main" id="{32CCC416-3092-40DB-88A5-DA5D0C3A9F5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6" name="Text Box 1">
          <a:extLst>
            <a:ext uri="{FF2B5EF4-FFF2-40B4-BE49-F238E27FC236}">
              <a16:creationId xmlns:a16="http://schemas.microsoft.com/office/drawing/2014/main" id="{CD3FE804-C5D2-496C-8C2D-841572B2F030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7" name="Text Box 2">
          <a:extLst>
            <a:ext uri="{FF2B5EF4-FFF2-40B4-BE49-F238E27FC236}">
              <a16:creationId xmlns:a16="http://schemas.microsoft.com/office/drawing/2014/main" id="{C3D81413-1D0A-4016-B34F-8A6440DE3EBA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8" name="Text Box 1">
          <a:extLst>
            <a:ext uri="{FF2B5EF4-FFF2-40B4-BE49-F238E27FC236}">
              <a16:creationId xmlns:a16="http://schemas.microsoft.com/office/drawing/2014/main" id="{D54EC30C-2BB2-4AFD-908B-57EDC14736AC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59" name="Text Box 2">
          <a:extLst>
            <a:ext uri="{FF2B5EF4-FFF2-40B4-BE49-F238E27FC236}">
              <a16:creationId xmlns:a16="http://schemas.microsoft.com/office/drawing/2014/main" id="{25A12007-B4C9-43FA-BBF8-1DCF210B0A1D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60" name="Text Box 1">
          <a:extLst>
            <a:ext uri="{FF2B5EF4-FFF2-40B4-BE49-F238E27FC236}">
              <a16:creationId xmlns:a16="http://schemas.microsoft.com/office/drawing/2014/main" id="{E4A25877-76DB-4A1B-87BF-8B1007D4E34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95250</xdr:colOff>
      <xdr:row>1</xdr:row>
      <xdr:rowOff>19050</xdr:rowOff>
    </xdr:to>
    <xdr:sp macro="" textlink="">
      <xdr:nvSpPr>
        <xdr:cNvPr id="1761" name="Text Box 2">
          <a:extLst>
            <a:ext uri="{FF2B5EF4-FFF2-40B4-BE49-F238E27FC236}">
              <a16:creationId xmlns:a16="http://schemas.microsoft.com/office/drawing/2014/main" id="{7C5BB3A8-9AFB-4EDE-8FCD-4228FF62B716}"/>
            </a:ext>
          </a:extLst>
        </xdr:cNvPr>
        <xdr:cNvSpPr txBox="1">
          <a:spLocks noChangeArrowheads="1"/>
        </xdr:cNvSpPr>
      </xdr:nvSpPr>
      <xdr:spPr bwMode="auto">
        <a:xfrm>
          <a:off x="70770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1CA44E9-3A27-4DC9-BCF2-035C2557C5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E783571-BD2C-45F1-8579-3412564D66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BC2799D-E4C0-4223-AA98-209D8A3B8D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19D0366-8055-44C0-B764-E973780E20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8552672-8CC1-4D5F-A359-14BB4296C1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139FDC98-CA49-43FC-806E-40BB5F242E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CF46526-3B3C-4481-8D00-400445DE66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CBFCD84C-2A10-49E8-A4F5-17313EF682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90CDE747-6E4B-48B3-A39D-D6CE37459B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59D08919-1A66-4A69-9F4F-F36F3078CB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98C967DF-F47E-43E6-AD3A-7C1D171481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49630C71-3495-403C-91B9-F2F79E100B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548FDEB6-96BB-4463-9974-66FAA2E158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EB1F3A5F-593F-4137-BCB1-952CCE999F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9615DAE3-4EB9-4999-B9E5-1106B38784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71801C2-A1C3-4440-B370-AE59119AB3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2BF1DAD-4498-42EE-8090-BED71A2E12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12802D49-9F39-459A-90A1-9B6B1D1E05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7CF4A6D8-C7BE-4094-8FE7-A36F8A3910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5844C6F5-8A66-4167-B88C-003A9F92F7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C02B8355-E090-4FC0-A4C4-6CF9FE622A0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5BE4A88B-A86D-4B3B-BC65-1350CB9B43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197F843C-D300-4AE2-B82D-6BD3E45A64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65AAB70-6529-42FE-A496-355293270E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81127997-EBFB-4724-B89C-D968ADDD0B3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C2A96FA4-E4AA-4486-9ADE-4AF3B29207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DF601FC4-93D6-45B6-85C9-43F616675A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A2FDBFDA-9BE0-474D-A733-C4C9D3DAFC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3DB30038-32FE-4609-8F64-C6CFB41060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47F0E94A-213C-4AA7-A395-4F565BA84A9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8678DD71-63B8-46D5-B05A-F496DFA4AB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6C550BFD-6C75-468B-8865-DE043BA93D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4D065AC-D4A5-44B8-AE94-6C13C23A424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741B5C7D-4D39-416A-B49A-DD02D54781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D801EA02-52D1-4CCB-BF7D-0BA9E9308D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827B2D8-B3DC-4513-898B-9FD5404473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2CC6EC6C-8C09-4F29-8786-7EC58B000E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A73D6C0-932D-4D85-B753-D093FCD58E0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ED5310CF-7106-40C1-911B-63A0777AE6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6BD64CF9-7047-4FFA-BE78-B3B0D5C404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441EA248-ECF0-42C6-BBD6-AD5AA2583E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86FB9B22-172D-4438-92F7-0657CFCA9C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B5F8B2E9-B980-43AC-9CE5-65743FCE7D4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B2EF08CE-85BD-402F-889A-EEE61A4C2B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5FBB2093-9303-4D75-A19C-EB6B7A81B7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9DC45E0B-F72C-470E-A16A-2BC894230A1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34174647-DD4A-47DC-88D0-C13C47C384F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3E56049A-C021-4C8B-9945-CF51971DCC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B018EEE2-FA09-4606-B671-BF37CBCFAD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734BC6B7-ED70-4146-A25B-3B8223AA72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8689083A-AEE0-444F-A18F-151013562F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39706F75-C872-40DD-BE44-8B36107130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855EE333-36E6-4BCE-8DD0-28FD1FA6262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FF801B01-D1BB-4541-9E58-D1D967953B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6BD4A572-E504-4537-BDFD-8D134E46A6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EEBA43D5-E260-496C-8AE2-F311C65E0A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4F56280F-B648-4750-8821-A58F900216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19473599-B82B-4B07-84AB-D7FAC7A03C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49FBB0F8-0E64-4E00-8A69-75EDF14EAF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53537A8C-AE91-4A1B-901D-213894E9AC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CD73EF36-F28D-4B35-A387-F984AD918E7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5B27BDAE-1CFC-4E14-93DB-9BA5656AED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EAF1C317-ED77-4918-9876-3F7799C525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59A83B20-0D9F-460C-AFC4-A7CEA8B6547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43389214-AC92-4DA6-8880-9B75CD0998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8D83FC7F-643F-409C-8C0A-52422BFB5C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2BC43DC4-B0E3-47F5-8734-6CDD324EA5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A97699A3-5830-4D46-817D-B5FB95DD15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CDFDB6A6-39B6-49A0-921C-F5CE765B80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6DCEE3FE-0D5E-4549-9D00-408D74AD468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E30518E2-0F1A-4825-BA69-76A25E22CD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DD4DF4D4-75B5-42DE-8A88-4C39D289E9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D3554E1E-17FD-4246-B6B5-E51BAFA28C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AB17BACA-1763-45C0-9EF6-96B08AC67D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B76944F8-4CF4-47CC-A5EB-1A351BBBC8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A359D513-8F4F-4570-988C-C6942542D1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7957D9D1-FD73-4633-A967-561E5378DB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0880146E-21D4-489A-82E8-662B92746E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BAACD90D-967F-4A30-BCBA-FC59D46316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6F50D958-989D-409A-9318-32F8AFAA6D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14382970-F986-431C-BD12-594B67E221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74B1DB4B-400D-46BD-B38F-70F6EC747C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DAE3FB91-3E9E-4C5D-BB4E-BC767A0B7D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C5BDBF0B-C2DC-4370-9B31-F9E95DB86E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48625234-22F3-4161-8DCC-C4B46E23B0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1B3716D6-68DE-4592-A8F8-13FF51C0E8C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E791E60E-11C8-4278-9AF7-C60EEBAF11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2258FA70-8BAA-4F29-9A75-12928E50A0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CAAED215-A821-4753-A359-07FFA6EF6BD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C3D7799-77BA-4D37-9F5C-B3BF8BBD54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26A5732B-BD8B-4174-82D3-3BA4C0A9EB9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1921EAA1-8299-421E-AFB8-4F06DF519F2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B4FA780D-28A9-4075-9CF9-9D6EAD76A0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C8AA767C-1C4D-4F10-AF75-160DCC137F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6587D1AD-941D-46D5-99C6-01C648F30D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5E99A716-C3FC-4F4C-B808-B71355A66D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F042FDBA-A39E-4F32-8DAC-A7CEAEB230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A58698FF-78BD-4E4D-9F9A-EE4DD5BEEB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E471081E-2967-4E3D-A620-1B8D7C0D63C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7908EC5B-5A26-4A95-9CDE-72C34012B40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5155579D-A715-47EA-BEC9-E45A33FD08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0C7DD412-9329-4003-9A15-0F28C7C5B9F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C5090E46-0F39-474E-A3E7-4BAA36264F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B87DD661-6CF0-42A4-868D-81069C73D5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3AEF250F-FD04-41A6-940D-DD78F2A82D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13C0454F-A3BC-4738-A915-045EAD6B3C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CD046F35-C2DC-4FE1-A7EF-44589838CD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5EC34C3A-919C-4EF9-AC73-4B9698908C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1FD67EF6-9A95-4B08-976B-6CC150DE06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B1426872-DD78-4C95-9E9A-FC08B40DF4F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3837465A-14CF-4743-8DA8-E61D4EE73C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3893FA84-1DB4-47A8-B5F5-4F8DD3710DC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6220A0DA-54C3-4568-A6D1-0407525FAAC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21CEA0B4-42A3-4D44-8076-56A5DE0A1C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202DC62C-0B72-42E4-804A-97A56FC7E9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CA85295D-2174-4F1B-8417-67FE9BEE39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3FA0BAF0-40C6-4649-B47B-FDF7D020F4D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4D91A8A1-D92D-453E-87DF-7A0AD694F2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D41F557D-202B-4457-A2E7-1AC47C4D87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ED3B7952-4BA0-4BC5-85E3-D0E1D6254C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5FAB786D-72DA-4A8A-BA81-2EFBF5764F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4CF8DEC7-ADC9-4428-9C27-3B648C0AE2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B2E604AD-BF30-42A8-81B4-71AB613DB57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00CCB2A6-5970-42F1-954F-558297B09C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69FFA691-5840-428F-B9BF-8D5D5C40EA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D0425244-8E13-4252-B156-3976D5837D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5193DBAD-015D-4933-ADC5-D78745D765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B842479D-9693-47E7-B7F9-1CD04D5D59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4F4B2704-1B7B-4DBF-9A33-4D2DBB37FE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5214CF75-5DA5-4849-8782-7CD86C98BB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4E56D361-0A37-464F-8064-2345200949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3504218A-EFC9-47A9-B433-DECB6798A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C1BCA8F0-8B18-491B-B2FF-F79B19A8C9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C499B138-7240-4DC9-98C4-4B24A23450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33376485-1323-4A37-9DAF-E27725CA16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F300E667-4008-46B8-A960-8BFCE68633B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98527835-FF91-4FAC-975D-83B03716D7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D02BB4F3-7D7B-4483-8EEE-0F8C57C9501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1E38099E-5BFF-4322-AF38-E3E9B30E679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076BA2EB-6554-4A78-B7A4-36A0A4828D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5A07F648-1E42-4CB8-90F5-652EAAFDE6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D7BFC130-2034-458F-B18B-1F8F73DD6B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E3D0CA87-89F5-4F7A-B432-168FB5C4DC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2D18E394-D2CA-4354-B98E-C2CEAEBF1E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ECA1DC82-04D9-4E20-9606-3AC0C6E930A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D062FDE2-DBE7-4A3A-B5B9-95397A87F1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C42F8232-9704-4D6E-BA58-FBDE337F9A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7056EF91-07D2-45B9-B6C8-67DDFAE924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F19719C0-2DE0-4B82-A538-67E2A6C46E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C15E128C-CA3C-4AF0-9EBE-4F5FF0BC2B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C2793655-5FC3-4DC7-B358-B0F9935FFA3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F7FA49F9-58A6-4AD4-BFE2-09947454AB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AA41EAB1-23FB-45A5-93C1-872D727652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487768CB-15E2-406E-B55A-A7EB7BAB2A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C341C0E9-C116-4EEB-81B2-B94FAD3B63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A2DCEBEA-BA48-484E-BE6D-FF78FD957B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D88660BD-D50B-4A25-A8DC-120C3E2F19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2528AEA1-1073-4F3A-B5F0-96EE0593FE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49FE75DD-84DA-4D88-89C6-3E28168B09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DDAEBE70-3F39-43AB-8934-AF0FEC3FF40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8A980CB6-0F46-4DEF-8ED6-22EDD13AE0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7E0D62FE-8545-4DFD-A4C8-7240BF9F28E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8575A0BD-D7FB-4D87-8EA9-B5C47A5E56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E62A0DCB-9BED-49D6-AA8C-AA9BC316FA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99484929-D393-415E-A158-E1AD51A38B0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3001FA3E-4AE7-44ED-AF51-47689EAE102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A0D5C821-6E7E-4BBC-96A4-FFD2025542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13FA6F14-C58F-41AD-8451-E661DCAF3F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976A6255-8C9E-44E7-9772-D44E0B0003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6C2F12F5-7DDD-4F8C-976F-4F92538D09F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74E506ED-C95D-4213-8035-E836F54CF2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ABB8033A-0A25-4287-AEEB-478DA6E0E5E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A57EEA9F-CA53-4F23-957E-153E07DAFB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F516DD41-2BD4-4AF8-8FD3-8AAB093360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A223F216-817D-4965-A997-5DC1D34DFC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B54E35FD-2156-4F92-89F7-B71CB52FB0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E2C44173-65A6-4EA1-9CC6-A6C1364D28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55626833-2E95-4A6C-8B28-1B4458B2A0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836A2E81-2B08-4BBB-89D0-66EEEB8A80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0CAAE16E-CDD7-4CED-8693-000DC33A89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4B12E1EC-7A99-4965-AFE1-8D5C14B750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B1FCEB48-F960-4BDD-A7BC-DB331F1F0A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96833AAB-E849-4DAD-8112-BEA32FE28B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89D7E321-12D6-4D3B-9008-AE956D361AC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F8E1C6E5-ABB4-43AA-B05D-E98C6BF9C3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D23A89A5-27A2-4E37-995C-CB454D7C97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EE127CF5-46F3-4A7C-9AA1-FDD1F984503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B44A73DC-20F5-4590-AF46-DC1A6A3EAF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B6B0DDBB-0154-4C2D-A3C8-4D514F949B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66917055-E105-4AF1-BE63-4FDF97CC2C0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DDA84077-13C4-4A20-B43A-538BDA80CE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3CA1663C-C666-4685-9C4E-C63FCC9350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E17F588D-6AF8-470D-B91F-EF8CB866D5F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07357500-FC20-478E-B27C-7AF274AE4C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0C366AA2-5147-4DD2-A277-9EBA3142FC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98A722E5-813C-48F0-9A9A-5B168EE658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0830F17D-0DE7-43CD-A480-DD2C72433C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DF04393A-CC4D-43B5-A51B-3E295746221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AB0E4A5A-ABCA-45D6-B1AD-4916A60D04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2BC74DC4-019F-4869-88AB-B24E1ADF125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5A92A36A-50B6-407E-B060-F645D16667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BC331C8B-4A50-4E8D-8CC5-E5E2152332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7D7FE19E-3A0B-436B-8478-FD64D40084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B515481C-2400-4CE2-8406-941BAE36D4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7E02A181-ED4C-478D-9A0A-17DCFFF49A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AB3695E4-85C4-4BA3-93D0-584E516E12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999E4CA9-0318-45AD-9A45-E77D0A1415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1999C5C6-BB1B-4A7F-8E60-2AEB069229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10CFA47A-0BC1-47B8-9150-1590DF749D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E139E92D-167C-4E4F-9585-256CE8B20A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697957CF-964A-4A01-BFDE-D5129EA085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B7892C83-4130-4AB7-B029-6C1A8042CE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2B84F604-2858-4A6E-843D-873B592C30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37091F35-E2F4-4714-BFD2-163E617C59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F885B781-3BD4-43DC-AFEF-063A354DEE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4BD85CC6-16A4-4E40-AB85-800332CD7A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5C4FC864-E5F3-4700-B55F-FE0DEB2D85C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5D75E691-3C0C-4EF0-A4DC-D65E5A07F1D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41BB809D-6D4E-41FF-943D-1647E4BD07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484CEE8A-995A-4362-A489-C4DBADB0D2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521FEC74-987D-4A62-A233-F06913A86D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78F042E7-3EF7-4B87-B9DB-15DDCF4A38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B20134D3-8047-43B5-9920-9B22C1EDF5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410C9D1E-8927-4F8B-BBFB-0573BD2E80F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176EC363-C56C-4996-8F5A-5374053F5B5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08A20CE3-E27F-456B-93C2-B84E88203A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4AF79A6A-C634-4C57-BE67-93924F4CC6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CCB35F66-90A9-4713-9F58-E1C5EDB2DDA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33E82E19-7D09-4567-A361-7392C97053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C525F7F2-075D-4339-B143-525B8145FD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B4F99F42-6B71-4D0B-92C8-6161EF7A09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9D6182A4-4209-4DD5-B834-E696B6B91A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4C9E3FB1-07DF-4B5B-AA43-09BC433C5E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473CF599-F262-4F42-9DB8-1AA6987BB1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7C4E72C9-FF69-4A5C-8BFC-BB7B649EC4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6C9DB66F-C2D2-4A6E-A18F-3CCBF235E6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B328177D-D5B3-47E4-9EF7-FA57244FE0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AE7B5EE9-90AF-48E7-BBF2-FBDBC076BD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F86517AA-8B7E-4DB1-9DBE-189B01073B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5CBB096D-4DA5-4D22-B5F2-E253BFFDBF3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F9F69775-2CF4-4E90-8D11-EA52715291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7B8A6E95-67F4-4E69-A3CF-1983F6050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488D486E-9103-442B-920B-6D964136A0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52B40B97-89B9-41CC-9526-80FAA1D4AA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6BEFF247-99ED-494E-8492-4FE71246F0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585DC75E-6723-4A1E-A6F6-243DA01435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D8FA04CE-C08F-41DB-A033-3C795F0BB4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780FDEEE-300A-4651-AAD5-12357EC2C4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1D11EA25-5F58-451A-B3CD-9641209060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03857724-666E-4188-94BA-4F32851724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C4A6668B-2EAD-44D7-9032-5652AD7E48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03756D2F-9881-425B-A358-866D52AF297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7FC42E52-BE25-4BC8-90FA-6F2CDDE3B1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C9B9D62A-FC55-4873-BE7D-CAA6F194A9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97A1466B-0C03-4EE7-8E21-A9B11C6945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692A3365-36C3-4DA7-851D-D90B0546057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30E385F1-8592-46BC-9BE5-585952F92B6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D2926F63-2213-4CCA-BB62-CCC60B1B0D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54ED7102-8610-4CAB-8DF7-7B8E1F8110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81CCEED0-1DC6-41A8-A205-AFCC9987042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ACCB58B0-3455-4671-9621-0C44E96511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E1F0919D-2EE8-4B0C-83D2-405F316478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AA5C8F45-AD82-4220-9B99-7B7175B010B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8732DF27-AEF1-42E9-AFB2-7ECCE6BA28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EC3860E6-DD17-4ACE-A7BB-F40D745326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FE505825-2EA6-4DDA-AD05-6F2AF722A0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7259494C-8351-4943-AC67-5431BADFEA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25BC6426-8E21-4723-9C05-B5F53FEA59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72AFA139-A9A0-4214-8AAE-73160DD6B0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270DA44F-846D-41BF-8A47-31969BA578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986FF091-5BAE-4D54-AE6C-DD31158375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E657E9A9-CCD1-4222-8DD5-81A07FEC3ED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7F8BE861-B95A-4E59-BD98-C1B39934DD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EB86D2FE-0E10-4405-AA4E-B8C3F3D9EB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B752FAF4-DEA0-4053-8CEA-A25CCC4BB1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BA4C267A-B810-4B33-A1A2-42B7CA1719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44E7CAED-B023-444E-96C7-72F55F039A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101512A7-E05B-4CB6-9DB3-B9DFC3C20F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3156A9EB-4ADB-4666-9817-ECD19C9309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A93F22B3-06E4-45C8-912E-F4274A2B49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75AE422D-AD88-465D-A6F2-E6A1B66ABA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63A0E3EE-A8B8-41B9-81F4-5413A67538C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47C54A16-9365-4539-A9E3-21F53CFE61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E77F9F4A-3AA7-494A-8762-BC7E8B9418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F73EBC8C-4A96-475E-9435-7F7986B40F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869E042E-F7CE-45BD-9737-D57C7B00427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EC224091-6E39-4AB4-884B-D753FFAB22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9943E04A-FAAF-4966-A078-AD5B629EA68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539B73C4-6CAC-4514-B51A-32DE35D616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FD64672D-923E-46B4-B14B-B87E3E629C2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604C20E8-0221-4BDF-A02C-E13F388EBB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16820CC6-55FE-4E30-9958-78C7816262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B02853CE-43A2-4F9D-9EF7-49F5A65712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0496B9D0-8322-4EBD-93D1-AF043A802C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39C96EB3-5EF5-4858-9AA6-CE925960A94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0B07EE5E-EE23-45DB-8571-A675FD657C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8E2A06F8-FF45-455C-8228-4E39F0C42F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54D5017D-CB64-423B-A66E-6CD3EF4F94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52D641BA-3BD9-4878-81C9-327F136BF19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047519BF-1FB4-445B-9CC5-892544AFA6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CE28FA3D-A8C1-4ABF-BBC9-5CF788BD55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378B6763-CD45-4FD2-8DF7-B197F3BF79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C8043CBE-28A7-4F26-B0CC-1ECBB3E70A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B414180A-02B9-4F98-9177-4ADE63AB45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4B46AF70-BB2C-4929-BA4E-BBEA105CFD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2CC7804E-1212-4AF2-A2E5-7C7582D868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3CB5570E-24C5-4829-B331-41015954CF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6F51C6DC-2E2C-4DB1-8A70-444B8443AA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id="{23B065BB-CDC3-4E22-ACCF-EB7D7DC268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7BC41BA6-894C-45F3-A3EE-19FC3770A4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id="{524F720A-8B15-48C1-894D-504B716AC4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24F93FC6-A70F-490D-B91B-A04289095D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id="{A03B8E4C-213D-4845-9A4D-B484DBD619B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A446A7D0-7C71-40AF-8D21-4447B812B1C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id="{7F3D54E8-09C9-475C-9D49-7AE16BD3BD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74AD4E16-99D4-4FFB-BA8F-8D0C718E8B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id="{06C4FCFA-F8DE-49B9-968E-1F172CEC81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196C2AB4-F7CF-4875-ADFC-7E72CE6BB5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id="{C2215B88-DDB8-4833-B2F6-B6765DCA47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3987CC57-6054-4449-8623-122E3AF7AD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id="{89DDED42-9C24-45CA-82E6-5CC633C16A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BD77E58B-6BA3-4AD3-9B09-9ABCAFDB46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id="{4AECB7F7-24AE-48AD-BE2B-8D9E6CB37D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FE2A7DA5-EC0B-499C-890E-36D66320D13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id="{7DE4A741-63B2-4A68-B6C3-C4698D0CE35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DD1DDA3D-5800-4FA6-A958-88741ADBC87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39009E71-10B4-4024-8035-28CE2F114D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166301F1-991E-488C-AAFB-49B41021C8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99A194BC-F021-4595-AC22-2CA0AAD868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420490FC-BA3D-42A2-B786-0D8A94418B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C31D2BBB-0E13-465C-9B4F-335019DB10D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CD8B2D1C-DF3E-40B7-ABAC-F4B8E67BDE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C1EB616E-746C-4366-A913-2E347B1E2B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C1CF8CE6-AFA8-4D75-B2E0-82D1F5302F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42BC10F7-EE47-439F-B310-1E5D617918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BC0324B4-1952-4092-ADF7-24EBA358DF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id="{CC72CBE5-FE8B-4DA8-A239-98D0E13F01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0E1B3681-9C16-4B8A-9B52-0BE8AB0C24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id="{02E38803-F61F-4784-AEF7-24185794C8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F4797387-9B75-49EF-B002-B98446DA137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id="{E753E9AF-F8BA-448E-9BFB-C47CE53683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80C959CA-54C4-4565-A6D7-1A56DB4AA3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id="{6E79537D-89E6-4CDA-8BC5-F8A35E6C21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E8B68C22-D7D3-4DFB-9FA2-F734C266C9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id="{C5F3D450-777A-4E18-AF65-8F4533F0D1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540F2CD9-9DAF-4037-90ED-B6C776F089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3632297C-DF77-4B6F-919E-1FFB0A05CA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AF3D2497-2258-4711-BFC4-01F61CCC19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249BD537-3E06-49AB-A337-3FEAE2ACB8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E915846B-1E12-4415-AC40-9D0A54978A8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395B3772-7706-4461-93A7-930B37051A7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97047993-61A7-4278-BF7F-C3AD70EC01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id="{5F11B89D-29BC-45A6-BD9C-748E5D4246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BBFE64BD-27B8-4A9B-A593-AF7F5026E3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id="{A2DE6763-FD33-42FC-B297-E21E7684C4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5B38309B-83D4-415E-9761-DF591AD55A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id="{34E4570C-7E1C-4D9F-B700-D8667D9F82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E55C9B66-C946-4514-B711-154701908C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id="{A3420712-7A65-4D39-AE97-F76EAF1598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88D22DB1-C237-48F2-B729-531E0B6D204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id="{BAFA20E9-D80B-423A-9A37-94F231BF75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D861351D-790F-4B42-AE09-DA5A79BE81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id="{0493F81D-635A-4FC5-86AC-814EC5C370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6FF4A97C-A7AE-4354-8C73-D486029E2C6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id="{51B8C3FC-E51E-43E6-A883-1C2DA94AAC0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4DD3F8E4-E4E8-4ADD-A9D2-3306AA1C96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id="{715FF404-9464-410C-AA3D-E57A400D43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2B527F4A-6388-4F4A-9590-99B52CFA6C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3C894CF2-9A70-4222-A41C-6D24D4C920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A1089360-D0FE-4371-B00E-E1A26F8B0A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id="{3C249697-A285-4B20-AED4-848052574E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0B62A1F5-85AD-4786-8ADC-2CB73A3665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id="{501DFB87-839D-4536-B336-9AD1E5D40FE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306C14B8-83FC-42F7-8DDD-06B9444D7E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id="{5C6628D1-6DC7-41EE-9F11-442BA5FF9E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A9D2B4E2-4F20-401E-8D6D-417AA87575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id="{BBA93D6A-CD4D-4B6C-AF22-D39C68B93F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D03556B4-18C3-4F10-99DF-0442C5A0A1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id="{D05FCE10-0BAF-454D-AB23-935D1AF88F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D51E57CB-5DF5-4A6D-94A6-7390F1F240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id="{D19047E2-AC4B-495D-8C51-96279ABF5A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C2B85FA1-9223-4861-9D25-185878288B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id="{5988D4BE-F8CF-42A7-829B-93765CC759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8AF3A44E-9405-4B0B-B7A9-97681F9CAA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id="{3F297EC3-14A8-4D23-A21A-8EBB7D5D39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D904D032-DA90-460B-B60D-497D391623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id="{0CA9434E-FD67-4A05-AB03-786B42E1F1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38BC99E8-5BB3-4FDF-8815-55B059F514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id="{054C7BDE-EC19-46F1-9040-CEEB16370AB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EADC8E75-A31D-4C13-9F7B-7B7F552F7D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id="{4805883F-02F9-41BE-8418-AE2F943E2E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430FDF24-1F57-46AC-9A29-E760461CE6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id="{D62C30B8-CE56-49EF-A265-2E4FE75EEA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1E02153F-8A7E-417E-B28D-111601C24C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id="{53FCC573-D54E-4A0A-A88C-F8C03AE37D5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D936C1FB-F3DC-412C-B4CC-CF65E8F8A5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id="{2987D0EE-CF3D-4FD8-972B-9BD15FD7D8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6677B145-B598-4324-9560-D702AE7CC5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id="{2B95302E-152F-465B-9B76-A271729330D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923175A8-BCCC-4AAF-B1AD-BC7CB99F17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id="{2ADA950C-09F7-4B0C-B51F-B3259F5DE8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7FEF97CB-7213-4FAF-978A-0698F694ED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id="{2190A376-3A60-4380-BDB7-76A6410DBA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44A6F97E-A64B-49DA-8A4A-3367705A19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id="{6B48B429-1774-4CCF-9409-12EE5CBECC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6DDD258D-1041-4894-BF18-36E508EE18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id="{4FA5623A-2375-4F0C-8A97-9F1125B2C6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E1A23663-1F9B-4EAB-9759-E30B56F77B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id="{2107E3F1-F8C2-43F8-9829-35046028D7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0722BE44-E942-413E-AC60-4BD4268612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id="{F268FF5F-E948-410E-9A5F-80096F880B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3DD9EA7D-D701-473F-BA5F-80109845E6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id="{A8B2AEFA-EA39-4557-B2E7-10152BB301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947123DF-B066-4B38-A0B1-2AC01A2E533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A3E4711B-3C7F-415E-A8DD-B44DF7D4FE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3A7BEF86-4F39-4076-87A5-3E7FB10C9EA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CA14C649-25ED-4ED4-A22F-B68B8D69F5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00DDF667-F557-4EAA-8A06-7FE148A4D6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id="{A61F2615-83C8-47F6-B3D1-A6CC5553F4E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54FCAB97-999D-460F-B1BE-EFC0B3EDC2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C4763841-859D-46B1-80D7-371620C005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C518FD87-6AB0-46C5-8D61-8A424DCBE3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32C3CBFA-B745-4B34-81BC-B6A407A65DE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895CEDB4-17CB-4F5B-9F90-C79633CA98B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D1E99A87-2FA8-4156-846C-80FA4EC44D0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A00371D6-17BB-401A-A00F-BF1DA26E8F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973B5725-4914-40CE-AFE9-FE195F2BA5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121F2A6B-91BE-4597-89E9-98C25DB3C7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471831A8-A7B9-4B5F-9F44-63840DC5B55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2CCC51A7-15DB-4288-BABD-9661A58484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8F2EDEE0-29FD-4FE5-A64B-71A9B7F2D8F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C2BF627A-B69C-4A5F-B15C-998091B354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id="{7A3B468F-EB4C-44A4-A195-C6F95AF350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E14D4508-38E8-402A-BF5B-4047BFF2EB2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D7A63066-5BE5-45CA-85ED-1BB337748D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9D98ED93-D2A4-4637-8E7D-DFD5B2A12A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513FAFDE-C0B6-4023-A92A-C1318701A5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56BFA598-E0BB-4A72-9CE3-59F2B427D2B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5EB09CA5-711F-4E07-AA95-BE5B676721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5CB35D4B-21D8-4DF2-9CC3-3C91AC48CD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90932293-6CE3-4980-BB13-7879C179DB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10A74BA3-0C54-4B81-A1B0-A147CDCB9C6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id="{B49FA125-FF5B-43FE-8D15-56C63D899B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6E92513B-EA54-4DB8-A198-6B43C6A5101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id="{35ED11E2-309D-4581-A3E3-6F3539764E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59199A5B-D06C-4CE2-8CDD-FA49143E61C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id="{5074CA54-D54A-4861-BC09-8565F88D8D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EDEB8DC0-DECB-4B1A-A688-D9CB29396C0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id="{B44E0C11-4D5E-4E94-B7B5-DD2C88CB67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1" name="Text Box 2">
          <a:extLst>
            <a:ext uri="{FF2B5EF4-FFF2-40B4-BE49-F238E27FC236}">
              <a16:creationId xmlns:a16="http://schemas.microsoft.com/office/drawing/2014/main" id="{FFE845DC-CF0E-4119-AC21-294CF80727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id="{10DB50E2-0322-42A9-BBDF-23CAD963AC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3" name="Text Box 2">
          <a:extLst>
            <a:ext uri="{FF2B5EF4-FFF2-40B4-BE49-F238E27FC236}">
              <a16:creationId xmlns:a16="http://schemas.microsoft.com/office/drawing/2014/main" id="{68FDFECF-6C70-407A-8F20-E79409364F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id="{95CE3DD5-68C2-4EBB-BA8C-A302318FAF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C30FC2AF-AE4F-4804-AEFE-31E867DEA1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id="{910BF3FF-3230-4232-BF49-B6D47110850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7" name="Text Box 2">
          <a:extLst>
            <a:ext uri="{FF2B5EF4-FFF2-40B4-BE49-F238E27FC236}">
              <a16:creationId xmlns:a16="http://schemas.microsoft.com/office/drawing/2014/main" id="{F419C549-B189-4FFA-9384-2F408F1CDF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id="{64696FA3-55DA-4B75-A157-AEFEE05A66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C9CED4EE-C259-460E-BD84-52E40183DA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id="{CA149DE0-8A3A-43CB-8EF5-5EAB2C37A0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61" name="Text Box 2">
          <a:extLst>
            <a:ext uri="{FF2B5EF4-FFF2-40B4-BE49-F238E27FC236}">
              <a16:creationId xmlns:a16="http://schemas.microsoft.com/office/drawing/2014/main" id="{432EDA08-677E-4E6D-94DF-EB2650B05F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6F24797B-B1A2-493A-B708-8E73B1D9C1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4CC3ADFE-55B8-46CE-994A-B5D60603F1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id="{E6256BB6-670A-46D4-BE0E-4F3201DCA2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65" name="Text Box 2">
          <a:extLst>
            <a:ext uri="{FF2B5EF4-FFF2-40B4-BE49-F238E27FC236}">
              <a16:creationId xmlns:a16="http://schemas.microsoft.com/office/drawing/2014/main" id="{096BBBCB-FCA6-4259-ADF2-9922261DB3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id="{9D3550BA-47AA-4439-987C-2E2FA88AA9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31AB1F0B-2C25-40C9-ABFB-A103B670AF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id="{B57E04BE-5405-47F6-8C8C-C81E6B6377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69" name="Text Box 2">
          <a:extLst>
            <a:ext uri="{FF2B5EF4-FFF2-40B4-BE49-F238E27FC236}">
              <a16:creationId xmlns:a16="http://schemas.microsoft.com/office/drawing/2014/main" id="{F34E082D-DAB7-49B0-90FC-34B68DD535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id="{52371763-B3CF-468C-837A-51646FCAB9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5675CBD3-6447-4CB9-8583-23FC1D453E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id="{6DC46C46-93ED-4639-AD20-CC233248CF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3" name="Text Box 2">
          <a:extLst>
            <a:ext uri="{FF2B5EF4-FFF2-40B4-BE49-F238E27FC236}">
              <a16:creationId xmlns:a16="http://schemas.microsoft.com/office/drawing/2014/main" id="{3AD42A9C-122C-4FBD-9440-0F65B868D1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id="{9CB6118C-D6FF-47FD-AABD-0156BFE0C4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F8A129C3-6841-4DD0-BE76-59DBB635A86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id="{9624F8FB-FD66-4356-9B05-FADFC49986E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7" name="Text Box 2">
          <a:extLst>
            <a:ext uri="{FF2B5EF4-FFF2-40B4-BE49-F238E27FC236}">
              <a16:creationId xmlns:a16="http://schemas.microsoft.com/office/drawing/2014/main" id="{AA8304D0-CB9B-4FAE-AF71-925870B889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id="{D6F6672C-DDB7-4D8F-BEE0-7E025D3408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4944CE3B-D502-4AE9-B1B4-2738B32851E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id="{8FB762CC-3912-4401-BDFA-A4668ECB75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1A8810ED-475C-4C00-B0AE-74A3A3D373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id="{0F26B419-81C1-4679-B364-F4B84E0F2E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E5AC9515-D26C-47C0-A968-E52970C127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id="{27EB8D75-B89B-4EE5-B014-8850A09199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216AB374-7627-4292-8C29-E114E948F1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id="{C1B1D009-4EBF-4C2E-8493-87234F9C21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EAA8025E-1EB5-4EEB-8B0B-F37219BF26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id="{35359C4C-93DF-420C-94A4-0D15D654A0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733D29F3-FA86-4582-BC0B-36B5FD271D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id="{4A1B9741-475D-446F-927E-394E3C4A74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FE22D9F2-62DE-490C-9898-885677E7FD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id="{416497A0-F536-4440-8530-DA0F4626F1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3" name="Text Box 2">
          <a:extLst>
            <a:ext uri="{FF2B5EF4-FFF2-40B4-BE49-F238E27FC236}">
              <a16:creationId xmlns:a16="http://schemas.microsoft.com/office/drawing/2014/main" id="{7A67DDF9-38AA-43CE-A3B8-7C894B3A16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94" name="Text Box 1">
          <a:extLst>
            <a:ext uri="{FF2B5EF4-FFF2-40B4-BE49-F238E27FC236}">
              <a16:creationId xmlns:a16="http://schemas.microsoft.com/office/drawing/2014/main" id="{4D390DC0-CF52-4076-A7FA-F74116EB7D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5" name="Text Box 2">
          <a:extLst>
            <a:ext uri="{FF2B5EF4-FFF2-40B4-BE49-F238E27FC236}">
              <a16:creationId xmlns:a16="http://schemas.microsoft.com/office/drawing/2014/main" id="{5159FF7B-197A-4155-A84D-C9CBA14E19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id="{E7D25034-2C34-4921-B28F-76D142FBAC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7" name="Text Box 2">
          <a:extLst>
            <a:ext uri="{FF2B5EF4-FFF2-40B4-BE49-F238E27FC236}">
              <a16:creationId xmlns:a16="http://schemas.microsoft.com/office/drawing/2014/main" id="{6DFC912C-BB15-4E54-84FF-831D9231E2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id="{666E5DDA-462B-4E75-ADE6-E1F169A2AB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499" name="Text Box 2">
          <a:extLst>
            <a:ext uri="{FF2B5EF4-FFF2-40B4-BE49-F238E27FC236}">
              <a16:creationId xmlns:a16="http://schemas.microsoft.com/office/drawing/2014/main" id="{4E2C82D3-5441-4BE9-A761-6EE9A03EE2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id="{008E73E3-E79D-4F00-9BEE-AF5F38C2BB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3CC8D6F6-D608-420E-B990-126B80966F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id="{251F43AF-78DB-41C4-8E4A-8775AD02988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03" name="Text Box 2">
          <a:extLst>
            <a:ext uri="{FF2B5EF4-FFF2-40B4-BE49-F238E27FC236}">
              <a16:creationId xmlns:a16="http://schemas.microsoft.com/office/drawing/2014/main" id="{77B34B08-AFB5-41A1-832E-1DD34ACB27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id="{D9DE3769-47D3-46F8-9C1E-63CCCED971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9F8A6DF3-9F0B-46F9-BA19-4C9D8DA4C8E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id="{93CB4009-CB80-4731-A6CE-F4C657A6F5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07" name="Text Box 2">
          <a:extLst>
            <a:ext uri="{FF2B5EF4-FFF2-40B4-BE49-F238E27FC236}">
              <a16:creationId xmlns:a16="http://schemas.microsoft.com/office/drawing/2014/main" id="{85606FEB-73E6-4470-992F-D7EED6E3022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id="{2FDEBDE7-7EFF-4BA1-AB7D-E849D5E601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C7FD3A41-EE36-4276-9377-A9524745F9F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id="{EB9CB8E6-9D4B-4ADF-9A00-7C193F3B01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1791181E-0961-4374-813C-092D4B127F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id="{CE14D9CA-03CB-410C-8B32-A01FF7474D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D3CD2C1D-2E6B-4891-96EA-BB5CD378D7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id="{0C2C64D3-8347-4418-87A2-9CD69F33804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5" name="Text Box 2">
          <a:extLst>
            <a:ext uri="{FF2B5EF4-FFF2-40B4-BE49-F238E27FC236}">
              <a16:creationId xmlns:a16="http://schemas.microsoft.com/office/drawing/2014/main" id="{C962F2AB-A18A-4352-BF34-0739ACC229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id="{BA20677F-D297-4A2C-9A01-3EF6A7E022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EB7BA8C1-08EC-4A55-AD27-6D3B6D42CF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id="{2C1C8E84-1688-4A18-BC60-266549DAA81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19" name="Text Box 2">
          <a:extLst>
            <a:ext uri="{FF2B5EF4-FFF2-40B4-BE49-F238E27FC236}">
              <a16:creationId xmlns:a16="http://schemas.microsoft.com/office/drawing/2014/main" id="{16152A75-26D8-4878-A50D-6C274DA5BF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id="{C7615E6E-7DDB-4E13-A134-6C5A34D52E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3870896A-D21D-4319-97A6-BBE3143722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67FFA0EA-785A-42C1-BB31-E508202F50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79D7F0F6-0403-41DC-B17B-E7CB658319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85E87180-FE2E-4742-8143-586510AE6D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25" name="Text Box 2">
          <a:extLst>
            <a:ext uri="{FF2B5EF4-FFF2-40B4-BE49-F238E27FC236}">
              <a16:creationId xmlns:a16="http://schemas.microsoft.com/office/drawing/2014/main" id="{8140E8B7-2AD1-47B1-9796-9A20FD00F5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id="{93ABB9DC-C85F-4703-9A5D-57F9D5B38B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1B088FFC-CF77-40E7-8C8C-95DF54E732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id="{297017E5-0BEB-4F59-A39C-A92C34DA7C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29" name="Text Box 2">
          <a:extLst>
            <a:ext uri="{FF2B5EF4-FFF2-40B4-BE49-F238E27FC236}">
              <a16:creationId xmlns:a16="http://schemas.microsoft.com/office/drawing/2014/main" id="{FBE4466C-F49B-4EC8-9880-E03940AE77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id="{9653BAD4-6496-47B5-946F-1CD4B41D5D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1" name="Text Box 2">
          <a:extLst>
            <a:ext uri="{FF2B5EF4-FFF2-40B4-BE49-F238E27FC236}">
              <a16:creationId xmlns:a16="http://schemas.microsoft.com/office/drawing/2014/main" id="{16375FB3-68F0-42F8-87A8-582ED34694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id="{DEA9C797-A6D1-48AC-9338-77D260E789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3" name="Text Box 2">
          <a:extLst>
            <a:ext uri="{FF2B5EF4-FFF2-40B4-BE49-F238E27FC236}">
              <a16:creationId xmlns:a16="http://schemas.microsoft.com/office/drawing/2014/main" id="{5827DBEF-0AA9-44F8-9D84-672BA3E5379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id="{1EF8F41D-510F-4C12-9EC7-2133B6E073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5" name="Text Box 2">
          <a:extLst>
            <a:ext uri="{FF2B5EF4-FFF2-40B4-BE49-F238E27FC236}">
              <a16:creationId xmlns:a16="http://schemas.microsoft.com/office/drawing/2014/main" id="{5319D5F6-B7F8-4BE7-8DB8-E9DB5EFA0A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id="{4CAB9075-5126-41F2-ABBA-88F46E442D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7" name="Text Box 2">
          <a:extLst>
            <a:ext uri="{FF2B5EF4-FFF2-40B4-BE49-F238E27FC236}">
              <a16:creationId xmlns:a16="http://schemas.microsoft.com/office/drawing/2014/main" id="{A3B8128E-CA53-4592-BD01-923D7854C2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id="{AF9E451C-AB70-4941-9802-723B39B2AD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39" name="Text Box 2">
          <a:extLst>
            <a:ext uri="{FF2B5EF4-FFF2-40B4-BE49-F238E27FC236}">
              <a16:creationId xmlns:a16="http://schemas.microsoft.com/office/drawing/2014/main" id="{5F8D2968-8D6B-47B4-BC72-11E9851F5C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id="{899D667C-3207-4C00-8D04-453E2B76FAA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41" name="Text Box 2">
          <a:extLst>
            <a:ext uri="{FF2B5EF4-FFF2-40B4-BE49-F238E27FC236}">
              <a16:creationId xmlns:a16="http://schemas.microsoft.com/office/drawing/2014/main" id="{59C9E838-343B-4129-B24D-A43175050D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id="{5B8B2806-90BC-4B9D-BC60-1BAD72D606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43" name="Text Box 2">
          <a:extLst>
            <a:ext uri="{FF2B5EF4-FFF2-40B4-BE49-F238E27FC236}">
              <a16:creationId xmlns:a16="http://schemas.microsoft.com/office/drawing/2014/main" id="{4669D130-0C6F-4FAF-8963-EE4976BE3B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id="{DF239B6A-93DA-4517-A43E-17FB021CC8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45" name="Text Box 2">
          <a:extLst>
            <a:ext uri="{FF2B5EF4-FFF2-40B4-BE49-F238E27FC236}">
              <a16:creationId xmlns:a16="http://schemas.microsoft.com/office/drawing/2014/main" id="{1E698098-19BA-4A98-A02E-DE6BD58930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id="{C4409E18-7779-4703-97B0-849088504D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ED22E13F-246F-4B1C-9283-A06A2B19C1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id="{4D3B6836-D243-4E88-A77E-7A68A99C79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49" name="Text Box 2">
          <a:extLst>
            <a:ext uri="{FF2B5EF4-FFF2-40B4-BE49-F238E27FC236}">
              <a16:creationId xmlns:a16="http://schemas.microsoft.com/office/drawing/2014/main" id="{5FEA194E-BB1A-4D91-9250-DFFFDAF4192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id="{BCBCD7C6-30DE-42A4-8D3B-25A2334198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63AAB576-6CEB-4A97-B856-D21DC6D7C3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id="{FC848799-247A-4C06-A8EF-CBF8F6375F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3" name="Text Box 2">
          <a:extLst>
            <a:ext uri="{FF2B5EF4-FFF2-40B4-BE49-F238E27FC236}">
              <a16:creationId xmlns:a16="http://schemas.microsoft.com/office/drawing/2014/main" id="{BB70ADDA-9270-420E-B7E2-1E65100205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id="{AA6255D1-963A-4A02-897F-69240429CB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16CC769B-9BD1-47A1-932E-96E114CD828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384E5C4E-548C-4F21-9D16-FE17842649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7" name="Text Box 2">
          <a:extLst>
            <a:ext uri="{FF2B5EF4-FFF2-40B4-BE49-F238E27FC236}">
              <a16:creationId xmlns:a16="http://schemas.microsoft.com/office/drawing/2014/main" id="{5C65420E-7324-4603-8AA1-AE7F11AFEB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id="{E51ABB71-44A5-45CC-8198-B264D428B78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027F508E-06CB-4F21-8351-8883F26DC1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id="{DD3E5689-179B-45E1-A9BF-F7FAE31CD2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61" name="Text Box 2">
          <a:extLst>
            <a:ext uri="{FF2B5EF4-FFF2-40B4-BE49-F238E27FC236}">
              <a16:creationId xmlns:a16="http://schemas.microsoft.com/office/drawing/2014/main" id="{0D1DFF8E-76B2-44A4-B018-3BA275809B2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id="{E52B2235-CEEB-48EA-B329-762BE230DD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38BC3AF0-318F-4E3D-82FE-C525BA924CE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id="{D4E03043-9D1F-4B23-8060-B5BAE0DA63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65" name="Text Box 2">
          <a:extLst>
            <a:ext uri="{FF2B5EF4-FFF2-40B4-BE49-F238E27FC236}">
              <a16:creationId xmlns:a16="http://schemas.microsoft.com/office/drawing/2014/main" id="{DCA740A2-35B3-4942-9780-D7939B3EF8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id="{AE1116CE-26DB-492E-96CE-103E50946E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40B4E74F-C120-4019-B3B2-7EEB7446F2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id="{1CA8E4B4-DFD1-47D5-94BA-96FC4AEC4B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69" name="Text Box 2">
          <a:extLst>
            <a:ext uri="{FF2B5EF4-FFF2-40B4-BE49-F238E27FC236}">
              <a16:creationId xmlns:a16="http://schemas.microsoft.com/office/drawing/2014/main" id="{04EF221D-9835-48E2-955A-07FB22C2A5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70" name="Text Box 1">
          <a:extLst>
            <a:ext uri="{FF2B5EF4-FFF2-40B4-BE49-F238E27FC236}">
              <a16:creationId xmlns:a16="http://schemas.microsoft.com/office/drawing/2014/main" id="{372A56A0-741C-4C9C-9E70-5B8F872B2F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1" name="Text Box 2">
          <a:extLst>
            <a:ext uri="{FF2B5EF4-FFF2-40B4-BE49-F238E27FC236}">
              <a16:creationId xmlns:a16="http://schemas.microsoft.com/office/drawing/2014/main" id="{451B51C3-91F4-4263-9AD7-46ECFCA589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id="{3ADD8B1D-9A49-4ABF-9894-BF75C3B42D2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3" name="Text Box 2">
          <a:extLst>
            <a:ext uri="{FF2B5EF4-FFF2-40B4-BE49-F238E27FC236}">
              <a16:creationId xmlns:a16="http://schemas.microsoft.com/office/drawing/2014/main" id="{4CD7C3D7-C53A-48E2-A6F4-D71A20AAD1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74" name="Text Box 1">
          <a:extLst>
            <a:ext uri="{FF2B5EF4-FFF2-40B4-BE49-F238E27FC236}">
              <a16:creationId xmlns:a16="http://schemas.microsoft.com/office/drawing/2014/main" id="{F911BBB1-CB17-4E7C-92EC-FC501508E56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5" name="Text Box 2">
          <a:extLst>
            <a:ext uri="{FF2B5EF4-FFF2-40B4-BE49-F238E27FC236}">
              <a16:creationId xmlns:a16="http://schemas.microsoft.com/office/drawing/2014/main" id="{E0601665-F588-4613-8F4D-AF282961E5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id="{3703E4EC-1E56-43F1-B34F-1E7E19CEFE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7" name="Text Box 2">
          <a:extLst>
            <a:ext uri="{FF2B5EF4-FFF2-40B4-BE49-F238E27FC236}">
              <a16:creationId xmlns:a16="http://schemas.microsoft.com/office/drawing/2014/main" id="{1581D5BF-CC7C-410F-BD75-5B42FA39D1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78" name="Text Box 1">
          <a:extLst>
            <a:ext uri="{FF2B5EF4-FFF2-40B4-BE49-F238E27FC236}">
              <a16:creationId xmlns:a16="http://schemas.microsoft.com/office/drawing/2014/main" id="{2DD70ED2-1775-4992-B642-269966E7A0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79" name="Text Box 2">
          <a:extLst>
            <a:ext uri="{FF2B5EF4-FFF2-40B4-BE49-F238E27FC236}">
              <a16:creationId xmlns:a16="http://schemas.microsoft.com/office/drawing/2014/main" id="{BA9D1149-3C70-4FAB-894C-F0833C7ACBB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id="{9FA8E8A8-B8C6-49F1-B01F-8AFBD9502A8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81" name="Text Box 2">
          <a:extLst>
            <a:ext uri="{FF2B5EF4-FFF2-40B4-BE49-F238E27FC236}">
              <a16:creationId xmlns:a16="http://schemas.microsoft.com/office/drawing/2014/main" id="{C5C98453-2601-4D19-9D83-DACFA299F81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2" name="Text Box 1">
          <a:extLst>
            <a:ext uri="{FF2B5EF4-FFF2-40B4-BE49-F238E27FC236}">
              <a16:creationId xmlns:a16="http://schemas.microsoft.com/office/drawing/2014/main" id="{4C0CCF69-7D19-4089-AC2B-43C7DD6BD5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83" name="Text Box 2">
          <a:extLst>
            <a:ext uri="{FF2B5EF4-FFF2-40B4-BE49-F238E27FC236}">
              <a16:creationId xmlns:a16="http://schemas.microsoft.com/office/drawing/2014/main" id="{DFBE046B-87B1-4013-B5A0-68B561C6BF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id="{C3A41C10-8C5F-40A3-9FCC-B29A4189F8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85" name="Text Box 2">
          <a:extLst>
            <a:ext uri="{FF2B5EF4-FFF2-40B4-BE49-F238E27FC236}">
              <a16:creationId xmlns:a16="http://schemas.microsoft.com/office/drawing/2014/main" id="{EC5F7F32-BCEF-4C30-B316-4AAB319E80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id="{AFCAF8E5-E865-438B-A041-D3C359172B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87" name="Text Box 2">
          <a:extLst>
            <a:ext uri="{FF2B5EF4-FFF2-40B4-BE49-F238E27FC236}">
              <a16:creationId xmlns:a16="http://schemas.microsoft.com/office/drawing/2014/main" id="{55744915-4547-4E2F-947E-7D29904DAE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id="{7A5A15C5-6E98-4A67-AA60-E9AC9420CC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89" name="Text Box 2">
          <a:extLst>
            <a:ext uri="{FF2B5EF4-FFF2-40B4-BE49-F238E27FC236}">
              <a16:creationId xmlns:a16="http://schemas.microsoft.com/office/drawing/2014/main" id="{21B2306F-3324-4697-9553-18A3F620F4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id="{CD36DEEA-3FC4-4163-80CC-0CC6C9B76C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1" name="Text Box 2">
          <a:extLst>
            <a:ext uri="{FF2B5EF4-FFF2-40B4-BE49-F238E27FC236}">
              <a16:creationId xmlns:a16="http://schemas.microsoft.com/office/drawing/2014/main" id="{9E48B144-BF6D-428C-AE16-0DCFEF0466D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id="{67F99D3A-CF4D-41A0-A8C5-310995FD9C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5A3AC34C-3F07-43CB-AE34-A69F71BED1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id="{07D6EE70-8CA0-4516-9EE8-9D0619F70C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5" name="Text Box 2">
          <a:extLst>
            <a:ext uri="{FF2B5EF4-FFF2-40B4-BE49-F238E27FC236}">
              <a16:creationId xmlns:a16="http://schemas.microsoft.com/office/drawing/2014/main" id="{8F6A6A55-4096-49C7-A9EE-EF326F74F3A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id="{2B1E9DE7-1C05-434B-8F6A-D5FE497979F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A986AFF6-96AF-4501-8B4C-BF75E5282C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id="{AC8AA0AE-FF9F-4EAB-975F-634C01E97B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599" name="Text Box 2">
          <a:extLst>
            <a:ext uri="{FF2B5EF4-FFF2-40B4-BE49-F238E27FC236}">
              <a16:creationId xmlns:a16="http://schemas.microsoft.com/office/drawing/2014/main" id="{93E510A3-5F23-4B29-B807-ADB6F3BE5AA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id="{E9FF46CC-B5B5-4E61-82CF-D017F09F30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8E11D522-5995-4DEF-8943-19B2C2E478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id="{EFB639C8-1D56-4524-9C99-EBDA61EF2B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03" name="Text Box 2">
          <a:extLst>
            <a:ext uri="{FF2B5EF4-FFF2-40B4-BE49-F238E27FC236}">
              <a16:creationId xmlns:a16="http://schemas.microsoft.com/office/drawing/2014/main" id="{EEB917E2-7E87-482D-B1B7-36A4651C38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id="{B67C4DF8-0867-47FB-96F5-F73A0911CB7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36964837-8EBD-4C82-9D91-4C5DA06881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id="{7DE1D1DB-E8DB-433A-8B76-9C719C84ED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07" name="Text Box 2">
          <a:extLst>
            <a:ext uri="{FF2B5EF4-FFF2-40B4-BE49-F238E27FC236}">
              <a16:creationId xmlns:a16="http://schemas.microsoft.com/office/drawing/2014/main" id="{208F298A-F6EB-4945-A7E8-641CCB1896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id="{FDFB6426-6491-46EF-9BFD-3A341CF064B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C6C0F5FF-173F-4087-B508-4E7BB70E05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id="{D59A59B2-41F1-451D-8A6C-8E921F7C1F5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1" name="Text Box 2">
          <a:extLst>
            <a:ext uri="{FF2B5EF4-FFF2-40B4-BE49-F238E27FC236}">
              <a16:creationId xmlns:a16="http://schemas.microsoft.com/office/drawing/2014/main" id="{A52446E8-D4A2-48FA-A2EB-0C82C59E1E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id="{4248EF63-11E2-4D50-8A11-2C8DC38C5CC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5E598354-0390-4122-B317-D259142660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id="{16416237-0BC1-4110-A413-63A3F1AE8C3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5" name="Text Box 2">
          <a:extLst>
            <a:ext uri="{FF2B5EF4-FFF2-40B4-BE49-F238E27FC236}">
              <a16:creationId xmlns:a16="http://schemas.microsoft.com/office/drawing/2014/main" id="{58EA77C0-24D0-4ED2-B4A5-33F8724BD7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id="{C4DD3D0B-526A-43BA-9BE1-700C65F186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7" name="Text Box 2">
          <a:extLst>
            <a:ext uri="{FF2B5EF4-FFF2-40B4-BE49-F238E27FC236}">
              <a16:creationId xmlns:a16="http://schemas.microsoft.com/office/drawing/2014/main" id="{C18EA1F2-6BD4-45F2-854D-90EAB07D98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id="{7F7DD2F7-98B3-4C7E-A726-0D8764BDE5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19" name="Text Box 2">
          <a:extLst>
            <a:ext uri="{FF2B5EF4-FFF2-40B4-BE49-F238E27FC236}">
              <a16:creationId xmlns:a16="http://schemas.microsoft.com/office/drawing/2014/main" id="{50D14402-5A68-432F-92D3-84303727B0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id="{FD081013-3437-420E-A7FA-C055AD7033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21" name="Text Box 2">
          <a:extLst>
            <a:ext uri="{FF2B5EF4-FFF2-40B4-BE49-F238E27FC236}">
              <a16:creationId xmlns:a16="http://schemas.microsoft.com/office/drawing/2014/main" id="{04D594BE-4FC1-4FE0-B796-F55157798DD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id="{0684F08B-70BC-4AE1-9983-80E2FA741E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23" name="Text Box 2">
          <a:extLst>
            <a:ext uri="{FF2B5EF4-FFF2-40B4-BE49-F238E27FC236}">
              <a16:creationId xmlns:a16="http://schemas.microsoft.com/office/drawing/2014/main" id="{EA348529-90CB-4B8F-819B-BF0628AEEAB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4" name="Text Box 1">
          <a:extLst>
            <a:ext uri="{FF2B5EF4-FFF2-40B4-BE49-F238E27FC236}">
              <a16:creationId xmlns:a16="http://schemas.microsoft.com/office/drawing/2014/main" id="{3F87471A-631D-4124-8B2B-DF34C9FA76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25" name="Text Box 2">
          <a:extLst>
            <a:ext uri="{FF2B5EF4-FFF2-40B4-BE49-F238E27FC236}">
              <a16:creationId xmlns:a16="http://schemas.microsoft.com/office/drawing/2014/main" id="{545F1BEF-635D-4280-BDD2-3CA07DD1C0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id="{5C465F74-50E7-45A9-9C9D-02F75483F6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27" name="Text Box 2">
          <a:extLst>
            <a:ext uri="{FF2B5EF4-FFF2-40B4-BE49-F238E27FC236}">
              <a16:creationId xmlns:a16="http://schemas.microsoft.com/office/drawing/2014/main" id="{550D6EBF-67CC-42FA-8214-B3AA5E2D41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id="{900B0B4C-5C5E-4647-9477-6C2E367CB1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29" name="Text Box 2">
          <a:extLst>
            <a:ext uri="{FF2B5EF4-FFF2-40B4-BE49-F238E27FC236}">
              <a16:creationId xmlns:a16="http://schemas.microsoft.com/office/drawing/2014/main" id="{CAE84893-C880-4F5B-ABC8-26010163DD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id="{60F786A5-00A0-47C5-9188-EC39DD3DD0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1" name="Text Box 2">
          <a:extLst>
            <a:ext uri="{FF2B5EF4-FFF2-40B4-BE49-F238E27FC236}">
              <a16:creationId xmlns:a16="http://schemas.microsoft.com/office/drawing/2014/main" id="{107F1E7D-5B45-42F1-BBC1-5AC8523360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32" name="Text Box 1">
          <a:extLst>
            <a:ext uri="{FF2B5EF4-FFF2-40B4-BE49-F238E27FC236}">
              <a16:creationId xmlns:a16="http://schemas.microsoft.com/office/drawing/2014/main" id="{3838BF3C-B8A8-4FF7-8377-A15A005F24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3" name="Text Box 2">
          <a:extLst>
            <a:ext uri="{FF2B5EF4-FFF2-40B4-BE49-F238E27FC236}">
              <a16:creationId xmlns:a16="http://schemas.microsoft.com/office/drawing/2014/main" id="{705B1E5E-E66B-4C4B-9E10-C51ED05282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id="{402BCB3C-A2C3-4744-A7A1-7EE7E61F69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5" name="Text Box 2">
          <a:extLst>
            <a:ext uri="{FF2B5EF4-FFF2-40B4-BE49-F238E27FC236}">
              <a16:creationId xmlns:a16="http://schemas.microsoft.com/office/drawing/2014/main" id="{93878CF0-73BA-4015-BEEF-71B0EE0362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36" name="Text Box 1">
          <a:extLst>
            <a:ext uri="{FF2B5EF4-FFF2-40B4-BE49-F238E27FC236}">
              <a16:creationId xmlns:a16="http://schemas.microsoft.com/office/drawing/2014/main" id="{D188E73E-08BF-4E4D-9262-1D7DC2174C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7" name="Text Box 2">
          <a:extLst>
            <a:ext uri="{FF2B5EF4-FFF2-40B4-BE49-F238E27FC236}">
              <a16:creationId xmlns:a16="http://schemas.microsoft.com/office/drawing/2014/main" id="{5DE4C3B3-EB34-4D81-AFE1-84938E79F8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id="{A47B7555-1A3C-433F-B669-FAB0391403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81C791C4-F769-44BA-90FF-A7A91FC2D1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id="{5FC989C9-9E12-4061-B8A1-E5EE277CB8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41" name="Text Box 2">
          <a:extLst>
            <a:ext uri="{FF2B5EF4-FFF2-40B4-BE49-F238E27FC236}">
              <a16:creationId xmlns:a16="http://schemas.microsoft.com/office/drawing/2014/main" id="{D3FBBBF8-AEA7-45A1-9B80-A4AA6A5696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id="{4DF1AD1F-63AE-4416-961D-7D4B38156F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79798F85-E511-4050-A085-3E42C9AE26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id="{BE866842-208A-40E1-97A9-103ECFF950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45" name="Text Box 2">
          <a:extLst>
            <a:ext uri="{FF2B5EF4-FFF2-40B4-BE49-F238E27FC236}">
              <a16:creationId xmlns:a16="http://schemas.microsoft.com/office/drawing/2014/main" id="{E8F76957-0F0E-4D00-9D68-9F10B06B67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id="{66A37BED-9322-4201-ACF8-C7D790D565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842C1881-C6C5-4344-A12E-70A6A5234EE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id="{7E2D6969-BEE1-4FA4-87CA-3C6DC7D57E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49" name="Text Box 2">
          <a:extLst>
            <a:ext uri="{FF2B5EF4-FFF2-40B4-BE49-F238E27FC236}">
              <a16:creationId xmlns:a16="http://schemas.microsoft.com/office/drawing/2014/main" id="{A028F40A-1858-471C-9918-69AB23D5C1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id="{EA036C01-EE44-4F60-93D6-4D7722365A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6D2D8BBF-9870-4196-A4F5-BD4B155686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id="{6F764472-E26F-4B3B-9CF1-0A16DD48C4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3" name="Text Box 2">
          <a:extLst>
            <a:ext uri="{FF2B5EF4-FFF2-40B4-BE49-F238E27FC236}">
              <a16:creationId xmlns:a16="http://schemas.microsoft.com/office/drawing/2014/main" id="{E2FD0FBB-564F-4F03-8BAB-C7A80B262E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id="{6FDDCA8F-65BD-4781-A62A-8E99E03E67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A4AD208E-1865-45F1-89FD-58FC8C5DED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id="{D4901197-FFEE-4ECD-9B8F-5A4D98C85E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7" name="Text Box 2">
          <a:extLst>
            <a:ext uri="{FF2B5EF4-FFF2-40B4-BE49-F238E27FC236}">
              <a16:creationId xmlns:a16="http://schemas.microsoft.com/office/drawing/2014/main" id="{F862924E-572F-4A37-821C-7C03F03090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id="{411CA8F6-73E6-4142-BA07-CB207FF8BE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ED198045-30FC-4AC3-B3A1-A3100543AD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id="{1F91DD3E-A97F-409C-ABDE-1A75A2C3AB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61" name="Text Box 2">
          <a:extLst>
            <a:ext uri="{FF2B5EF4-FFF2-40B4-BE49-F238E27FC236}">
              <a16:creationId xmlns:a16="http://schemas.microsoft.com/office/drawing/2014/main" id="{152ABE73-6206-4DEC-9742-05C1530F5C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id="{EC1B5E2A-4AC7-4EFF-B970-941E766161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63" name="Text Box 2">
          <a:extLst>
            <a:ext uri="{FF2B5EF4-FFF2-40B4-BE49-F238E27FC236}">
              <a16:creationId xmlns:a16="http://schemas.microsoft.com/office/drawing/2014/main" id="{068F73FC-B46C-44F3-9F07-4A92854665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id="{805BABF1-F161-4C8C-9C81-FE4CA89663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65" name="Text Box 2">
          <a:extLst>
            <a:ext uri="{FF2B5EF4-FFF2-40B4-BE49-F238E27FC236}">
              <a16:creationId xmlns:a16="http://schemas.microsoft.com/office/drawing/2014/main" id="{4B635B61-5A75-433A-85E4-D3B8D284D47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id="{991EAF99-73BB-45E0-8BB8-6455C4E4C2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67" name="Text Box 2">
          <a:extLst>
            <a:ext uri="{FF2B5EF4-FFF2-40B4-BE49-F238E27FC236}">
              <a16:creationId xmlns:a16="http://schemas.microsoft.com/office/drawing/2014/main" id="{EA9B64F1-FD33-40EC-9C86-0C77B1B43E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id="{5A093075-56DB-425C-B0B4-FFC810F840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69" name="Text Box 2">
          <a:extLst>
            <a:ext uri="{FF2B5EF4-FFF2-40B4-BE49-F238E27FC236}">
              <a16:creationId xmlns:a16="http://schemas.microsoft.com/office/drawing/2014/main" id="{579B2498-C755-4478-AC83-DEE6AA6B7C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70" name="Text Box 1">
          <a:extLst>
            <a:ext uri="{FF2B5EF4-FFF2-40B4-BE49-F238E27FC236}">
              <a16:creationId xmlns:a16="http://schemas.microsoft.com/office/drawing/2014/main" id="{041F220F-8EF2-4BEE-9E40-257B22978D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1" name="Text Box 2">
          <a:extLst>
            <a:ext uri="{FF2B5EF4-FFF2-40B4-BE49-F238E27FC236}">
              <a16:creationId xmlns:a16="http://schemas.microsoft.com/office/drawing/2014/main" id="{F18DDA90-C3BA-471D-A31F-5FAC41063B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id="{3A2BD2DE-E2CE-4903-A5CE-9FD8F0DABB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3" name="Text Box 2">
          <a:extLst>
            <a:ext uri="{FF2B5EF4-FFF2-40B4-BE49-F238E27FC236}">
              <a16:creationId xmlns:a16="http://schemas.microsoft.com/office/drawing/2014/main" id="{BDFA0EDE-D304-4527-9348-7A38778613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74" name="Text Box 1">
          <a:extLst>
            <a:ext uri="{FF2B5EF4-FFF2-40B4-BE49-F238E27FC236}">
              <a16:creationId xmlns:a16="http://schemas.microsoft.com/office/drawing/2014/main" id="{D81712AA-E0EC-4524-8D0D-545B5F525D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5" name="Text Box 2">
          <a:extLst>
            <a:ext uri="{FF2B5EF4-FFF2-40B4-BE49-F238E27FC236}">
              <a16:creationId xmlns:a16="http://schemas.microsoft.com/office/drawing/2014/main" id="{EC850957-0D9F-4809-95B9-50C577C94A3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id="{49A77FE8-4616-4523-A3DE-6710ACCA04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7" name="Text Box 2">
          <a:extLst>
            <a:ext uri="{FF2B5EF4-FFF2-40B4-BE49-F238E27FC236}">
              <a16:creationId xmlns:a16="http://schemas.microsoft.com/office/drawing/2014/main" id="{29259150-7397-4C53-B5FC-9C27309BDB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id="{7913E49C-943F-4171-95F1-2791F85B694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79" name="Text Box 2">
          <a:extLst>
            <a:ext uri="{FF2B5EF4-FFF2-40B4-BE49-F238E27FC236}">
              <a16:creationId xmlns:a16="http://schemas.microsoft.com/office/drawing/2014/main" id="{35CDA12F-F295-483B-8700-7C185CB7CF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id="{89DEE656-1924-47DC-A53D-E00215C93C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81" name="Text Box 2">
          <a:extLst>
            <a:ext uri="{FF2B5EF4-FFF2-40B4-BE49-F238E27FC236}">
              <a16:creationId xmlns:a16="http://schemas.microsoft.com/office/drawing/2014/main" id="{3009EA3D-F7D5-459F-AB96-7E2792653C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id="{CFE38744-4CF4-4115-A6F4-73C7CE62C2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83" name="Text Box 2">
          <a:extLst>
            <a:ext uri="{FF2B5EF4-FFF2-40B4-BE49-F238E27FC236}">
              <a16:creationId xmlns:a16="http://schemas.microsoft.com/office/drawing/2014/main" id="{18D09628-E6BB-47D1-B84C-C302C558C1E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id="{F74F0848-E27A-4157-8E6B-91E59EC1EF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3BC5DE21-FCB5-4DE2-9C53-D381EAF0A3E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id="{08AAB025-68AB-475C-A9C4-E39AC8D571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87" name="Text Box 2">
          <a:extLst>
            <a:ext uri="{FF2B5EF4-FFF2-40B4-BE49-F238E27FC236}">
              <a16:creationId xmlns:a16="http://schemas.microsoft.com/office/drawing/2014/main" id="{5EA2A0ED-82CF-4A88-8F0D-FB5AFDE58A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id="{E8613437-AC0C-44AB-8BDE-6AE33AAF90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7B85EEE9-BB85-4FB0-8015-C954FA9F20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id="{EB1FBDBA-898A-4951-B75A-733944962F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1" name="Text Box 2">
          <a:extLst>
            <a:ext uri="{FF2B5EF4-FFF2-40B4-BE49-F238E27FC236}">
              <a16:creationId xmlns:a16="http://schemas.microsoft.com/office/drawing/2014/main" id="{B54B9E46-753F-403B-BAB3-EC6260F35B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id="{B64F2D0B-2A81-4EF0-B34F-18B76E2B02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5F177047-17D2-402C-AC1C-59C05DBAA41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id="{ADB516D3-2A4C-449B-913D-5C0741810E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5" name="Text Box 2">
          <a:extLst>
            <a:ext uri="{FF2B5EF4-FFF2-40B4-BE49-F238E27FC236}">
              <a16:creationId xmlns:a16="http://schemas.microsoft.com/office/drawing/2014/main" id="{095A71EF-E314-4C41-80B2-5A18F8D3A4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id="{D1E89C8F-BFA5-4DF2-81ED-0773168E36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F63BEDD1-8EC4-4134-AC2E-5C8243ECEF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id="{6910FB4D-9F76-4837-977C-FB5F0D84C4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699" name="Text Box 2">
          <a:extLst>
            <a:ext uri="{FF2B5EF4-FFF2-40B4-BE49-F238E27FC236}">
              <a16:creationId xmlns:a16="http://schemas.microsoft.com/office/drawing/2014/main" id="{37A2541A-7171-4FAF-AF7F-3ABEA3AA63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F1E0EE4F-5714-459B-AA72-0BF28C7B59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0BB52FBB-D656-48C0-8FA4-3661A94001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A725A084-26A7-41C9-896E-301E922D0D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03" name="Text Box 2">
          <a:extLst>
            <a:ext uri="{FF2B5EF4-FFF2-40B4-BE49-F238E27FC236}">
              <a16:creationId xmlns:a16="http://schemas.microsoft.com/office/drawing/2014/main" id="{7CA6C991-133A-47E2-A18A-60A9930A65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37BD78C5-F5FE-4AFD-8DF6-3CC0C8216BC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27EA793D-9F31-43D2-B4CA-C4994F6F5D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9421D869-358D-40B6-8EBF-0D70ADB4D6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07" name="Text Box 2">
          <a:extLst>
            <a:ext uri="{FF2B5EF4-FFF2-40B4-BE49-F238E27FC236}">
              <a16:creationId xmlns:a16="http://schemas.microsoft.com/office/drawing/2014/main" id="{DC48193B-2622-4336-A228-A0CA1984A5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DAB65F82-74F6-434F-8F29-CFDDADD52A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09" name="Text Box 2">
          <a:extLst>
            <a:ext uri="{FF2B5EF4-FFF2-40B4-BE49-F238E27FC236}">
              <a16:creationId xmlns:a16="http://schemas.microsoft.com/office/drawing/2014/main" id="{DF9EF6E4-A0AB-49EA-B09B-7DF1CB685F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3BBB7ADF-DACD-4889-B36B-2B7BA165A8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1" name="Text Box 2">
          <a:extLst>
            <a:ext uri="{FF2B5EF4-FFF2-40B4-BE49-F238E27FC236}">
              <a16:creationId xmlns:a16="http://schemas.microsoft.com/office/drawing/2014/main" id="{63EEC502-BB6D-46A2-927B-6397E864C4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EAC06E0B-1ACB-45C3-AC3E-FD558F93FE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3" name="Text Box 2">
          <a:extLst>
            <a:ext uri="{FF2B5EF4-FFF2-40B4-BE49-F238E27FC236}">
              <a16:creationId xmlns:a16="http://schemas.microsoft.com/office/drawing/2014/main" id="{021FD223-1666-4888-B6AD-3A1375C991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853B77F5-8148-4FE7-9D4C-962EBA8236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5" name="Text Box 2">
          <a:extLst>
            <a:ext uri="{FF2B5EF4-FFF2-40B4-BE49-F238E27FC236}">
              <a16:creationId xmlns:a16="http://schemas.microsoft.com/office/drawing/2014/main" id="{B2EFD62F-5A8D-42DE-AF82-486AC21957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id="{8CC90972-5551-4A81-953E-10A7D44EB9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7" name="Text Box 2">
          <a:extLst>
            <a:ext uri="{FF2B5EF4-FFF2-40B4-BE49-F238E27FC236}">
              <a16:creationId xmlns:a16="http://schemas.microsoft.com/office/drawing/2014/main" id="{E2625788-B332-44B1-A77F-3B4A49D2B4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94E42DDD-7597-45EB-B3C3-9DE60BF4C4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19" name="Text Box 2">
          <a:extLst>
            <a:ext uri="{FF2B5EF4-FFF2-40B4-BE49-F238E27FC236}">
              <a16:creationId xmlns:a16="http://schemas.microsoft.com/office/drawing/2014/main" id="{5D203F87-6A0C-4A11-B54E-2287569FC6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7FD969FA-DA01-401D-8FFB-2CA8DCB00B2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21" name="Text Box 2">
          <a:extLst>
            <a:ext uri="{FF2B5EF4-FFF2-40B4-BE49-F238E27FC236}">
              <a16:creationId xmlns:a16="http://schemas.microsoft.com/office/drawing/2014/main" id="{AC9A5216-17B9-473A-84BA-A963D42E5D7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70A52622-FD7E-4EC4-BF86-4B262780FDF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23" name="Text Box 2">
          <a:extLst>
            <a:ext uri="{FF2B5EF4-FFF2-40B4-BE49-F238E27FC236}">
              <a16:creationId xmlns:a16="http://schemas.microsoft.com/office/drawing/2014/main" id="{A65D8E69-B0AE-49DD-B5A2-B1E69680F9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618A04BD-6205-462F-95EE-1E7DE053A2E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25" name="Text Box 2">
          <a:extLst>
            <a:ext uri="{FF2B5EF4-FFF2-40B4-BE49-F238E27FC236}">
              <a16:creationId xmlns:a16="http://schemas.microsoft.com/office/drawing/2014/main" id="{E3761D36-1CA5-41AD-AF50-71032D6248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72016101-A797-4554-90F4-C01343B772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27" name="Text Box 2">
          <a:extLst>
            <a:ext uri="{FF2B5EF4-FFF2-40B4-BE49-F238E27FC236}">
              <a16:creationId xmlns:a16="http://schemas.microsoft.com/office/drawing/2014/main" id="{390CD58B-CCF5-465A-A6FB-AA62373308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id="{3BA4B065-EFB6-4F0C-98D0-BF1C9017CB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29" name="Text Box 2">
          <a:extLst>
            <a:ext uri="{FF2B5EF4-FFF2-40B4-BE49-F238E27FC236}">
              <a16:creationId xmlns:a16="http://schemas.microsoft.com/office/drawing/2014/main" id="{257F9D55-313B-439B-8766-2F6883DABD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EC7A7947-2327-41BA-A358-242A4C1249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1" name="Text Box 2">
          <a:extLst>
            <a:ext uri="{FF2B5EF4-FFF2-40B4-BE49-F238E27FC236}">
              <a16:creationId xmlns:a16="http://schemas.microsoft.com/office/drawing/2014/main" id="{8A739CF2-CC81-4F44-A5D7-351C15D2BE6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20789B74-6D3C-48AA-9972-2F12FE06C1C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3" name="Text Box 2">
          <a:extLst>
            <a:ext uri="{FF2B5EF4-FFF2-40B4-BE49-F238E27FC236}">
              <a16:creationId xmlns:a16="http://schemas.microsoft.com/office/drawing/2014/main" id="{F40D1D00-957C-485F-A710-7A65AE212E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3AD343FB-BBE5-4512-808C-4E4F207D7B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5" name="Text Box 2">
          <a:extLst>
            <a:ext uri="{FF2B5EF4-FFF2-40B4-BE49-F238E27FC236}">
              <a16:creationId xmlns:a16="http://schemas.microsoft.com/office/drawing/2014/main" id="{32AA7F92-42BF-4A35-9218-E432200D490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B63305AF-2D16-4207-B884-200BC94570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7" name="Text Box 2">
          <a:extLst>
            <a:ext uri="{FF2B5EF4-FFF2-40B4-BE49-F238E27FC236}">
              <a16:creationId xmlns:a16="http://schemas.microsoft.com/office/drawing/2014/main" id="{89998897-0AFE-46B9-A853-29D970C64F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3C780765-23D8-41EC-9312-6E5EF33334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39" name="Text Box 2">
          <a:extLst>
            <a:ext uri="{FF2B5EF4-FFF2-40B4-BE49-F238E27FC236}">
              <a16:creationId xmlns:a16="http://schemas.microsoft.com/office/drawing/2014/main" id="{E3615659-D103-4005-94E8-EEE25405AD3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A763A73E-09FA-4921-94DC-27E54BDD4B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41" name="Text Box 2">
          <a:extLst>
            <a:ext uri="{FF2B5EF4-FFF2-40B4-BE49-F238E27FC236}">
              <a16:creationId xmlns:a16="http://schemas.microsoft.com/office/drawing/2014/main" id="{DED6822E-693B-4221-B38F-2CBB25B493A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507CEEB2-1B47-4651-AC2A-328AE5E7B3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43" name="Text Box 2">
          <a:extLst>
            <a:ext uri="{FF2B5EF4-FFF2-40B4-BE49-F238E27FC236}">
              <a16:creationId xmlns:a16="http://schemas.microsoft.com/office/drawing/2014/main" id="{173F0BEE-98AE-41D5-9351-C9F9F64D8B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B29D4130-6B8D-46F1-ABFA-C4833FDAE5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45" name="Text Box 2">
          <a:extLst>
            <a:ext uri="{FF2B5EF4-FFF2-40B4-BE49-F238E27FC236}">
              <a16:creationId xmlns:a16="http://schemas.microsoft.com/office/drawing/2014/main" id="{AF8CAE0A-3B22-47F4-8A95-A9C892B5AF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id="{44F9B133-9E61-440F-BCE9-28CB566BB0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AD0B1D6E-CCF4-46A8-9B2D-5F6616D9F43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id="{041169C7-559E-45C5-850A-CC745A020A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49" name="Text Box 2">
          <a:extLst>
            <a:ext uri="{FF2B5EF4-FFF2-40B4-BE49-F238E27FC236}">
              <a16:creationId xmlns:a16="http://schemas.microsoft.com/office/drawing/2014/main" id="{29008423-8C31-4F86-AB65-EC1CF44216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id="{30EC6D81-6201-48F3-A5B1-21B37A18E5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1" name="Text Box 2">
          <a:extLst>
            <a:ext uri="{FF2B5EF4-FFF2-40B4-BE49-F238E27FC236}">
              <a16:creationId xmlns:a16="http://schemas.microsoft.com/office/drawing/2014/main" id="{700B080C-A3EF-42DC-80DE-DABCB5F57D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id="{15942ECA-FBB8-4A62-9613-BCCAEF7AE4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3" name="Text Box 2">
          <a:extLst>
            <a:ext uri="{FF2B5EF4-FFF2-40B4-BE49-F238E27FC236}">
              <a16:creationId xmlns:a16="http://schemas.microsoft.com/office/drawing/2014/main" id="{268928EA-CA7B-4F2C-8265-BBB277F5BB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id="{7DA80042-B038-4456-83CF-B1C882E600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5" name="Text Box 2">
          <a:extLst>
            <a:ext uri="{FF2B5EF4-FFF2-40B4-BE49-F238E27FC236}">
              <a16:creationId xmlns:a16="http://schemas.microsoft.com/office/drawing/2014/main" id="{65D1A84B-411A-44D9-A919-DAA2E04FCF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id="{F363DB52-DBBD-4504-8A19-E78FD46D4C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7" name="Text Box 2">
          <a:extLst>
            <a:ext uri="{FF2B5EF4-FFF2-40B4-BE49-F238E27FC236}">
              <a16:creationId xmlns:a16="http://schemas.microsoft.com/office/drawing/2014/main" id="{88E107C1-E41E-4A5D-9C2B-48BC988564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id="{03803939-CB0C-413A-AC79-2A691A5E53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59" name="Text Box 2">
          <a:extLst>
            <a:ext uri="{FF2B5EF4-FFF2-40B4-BE49-F238E27FC236}">
              <a16:creationId xmlns:a16="http://schemas.microsoft.com/office/drawing/2014/main" id="{A2A1B8D3-8526-4AB4-8200-4AD2CB4BFC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id="{CCB80103-5A72-4261-B850-E5F5120A85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61" name="Text Box 2">
          <a:extLst>
            <a:ext uri="{FF2B5EF4-FFF2-40B4-BE49-F238E27FC236}">
              <a16:creationId xmlns:a16="http://schemas.microsoft.com/office/drawing/2014/main" id="{C35A6C07-F8D4-475C-8E32-4DE2FF4FBE6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2" name="Text Box 1">
          <a:extLst>
            <a:ext uri="{FF2B5EF4-FFF2-40B4-BE49-F238E27FC236}">
              <a16:creationId xmlns:a16="http://schemas.microsoft.com/office/drawing/2014/main" id="{595E2CA0-EE84-460C-B36B-B9B4BA14DB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63" name="Text Box 2">
          <a:extLst>
            <a:ext uri="{FF2B5EF4-FFF2-40B4-BE49-F238E27FC236}">
              <a16:creationId xmlns:a16="http://schemas.microsoft.com/office/drawing/2014/main" id="{756C8A42-ADF3-4A70-8113-8C6DBF4FE4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id="{A1AC1A0B-6B39-421C-8238-D0631E4C1E0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65" name="Text Box 2">
          <a:extLst>
            <a:ext uri="{FF2B5EF4-FFF2-40B4-BE49-F238E27FC236}">
              <a16:creationId xmlns:a16="http://schemas.microsoft.com/office/drawing/2014/main" id="{A84647D1-8AB3-4D59-8304-F0BB139EE6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6" name="Text Box 1">
          <a:extLst>
            <a:ext uri="{FF2B5EF4-FFF2-40B4-BE49-F238E27FC236}">
              <a16:creationId xmlns:a16="http://schemas.microsoft.com/office/drawing/2014/main" id="{ADECAEB0-3D73-4F80-AD80-18EF6F3243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67" name="Text Box 2">
          <a:extLst>
            <a:ext uri="{FF2B5EF4-FFF2-40B4-BE49-F238E27FC236}">
              <a16:creationId xmlns:a16="http://schemas.microsoft.com/office/drawing/2014/main" id="{740C4F77-4900-4B38-8545-D89A7E55CE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id="{D30CF717-766F-4F6F-8461-4C3247ADFA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69" name="Text Box 2">
          <a:extLst>
            <a:ext uri="{FF2B5EF4-FFF2-40B4-BE49-F238E27FC236}">
              <a16:creationId xmlns:a16="http://schemas.microsoft.com/office/drawing/2014/main" id="{C4209BFB-E1F0-4618-BCF0-D7AA0B365B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70" name="Text Box 1">
          <a:extLst>
            <a:ext uri="{FF2B5EF4-FFF2-40B4-BE49-F238E27FC236}">
              <a16:creationId xmlns:a16="http://schemas.microsoft.com/office/drawing/2014/main" id="{7F370728-38AF-45D8-A73F-B6D4CC7B393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1" name="Text Box 2">
          <a:extLst>
            <a:ext uri="{FF2B5EF4-FFF2-40B4-BE49-F238E27FC236}">
              <a16:creationId xmlns:a16="http://schemas.microsoft.com/office/drawing/2014/main" id="{D4CDDCB5-D1FF-4258-8293-A43D99EE1E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id="{C41627D1-CBF8-499E-BA2F-F824C12DE8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3" name="Text Box 2">
          <a:extLst>
            <a:ext uri="{FF2B5EF4-FFF2-40B4-BE49-F238E27FC236}">
              <a16:creationId xmlns:a16="http://schemas.microsoft.com/office/drawing/2014/main" id="{16303760-7BD1-4314-911D-753C446202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74" name="Text Box 1">
          <a:extLst>
            <a:ext uri="{FF2B5EF4-FFF2-40B4-BE49-F238E27FC236}">
              <a16:creationId xmlns:a16="http://schemas.microsoft.com/office/drawing/2014/main" id="{C8E98F5A-559B-4068-907A-7D72F5854B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5" name="Text Box 2">
          <a:extLst>
            <a:ext uri="{FF2B5EF4-FFF2-40B4-BE49-F238E27FC236}">
              <a16:creationId xmlns:a16="http://schemas.microsoft.com/office/drawing/2014/main" id="{AFA07170-89A2-4F5B-9689-73A1B1C8CD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id="{3A159336-97F6-46BE-9AB0-637613CEB6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7" name="Text Box 2">
          <a:extLst>
            <a:ext uri="{FF2B5EF4-FFF2-40B4-BE49-F238E27FC236}">
              <a16:creationId xmlns:a16="http://schemas.microsoft.com/office/drawing/2014/main" id="{B9B5F35F-EACA-42FE-9E35-8F188756FB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id="{A8612B71-EFE1-4D2C-9645-0BA296D3F5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79" name="Text Box 2">
          <a:extLst>
            <a:ext uri="{FF2B5EF4-FFF2-40B4-BE49-F238E27FC236}">
              <a16:creationId xmlns:a16="http://schemas.microsoft.com/office/drawing/2014/main" id="{49254BAC-44BA-4FFC-90D8-D9B7219780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id="{6B749FAD-44CC-41FA-8644-F87A608BAC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81" name="Text Box 2">
          <a:extLst>
            <a:ext uri="{FF2B5EF4-FFF2-40B4-BE49-F238E27FC236}">
              <a16:creationId xmlns:a16="http://schemas.microsoft.com/office/drawing/2014/main" id="{9BDAEED6-D60F-4FFB-811E-1AF772A299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id="{919BCDC5-D9C5-471F-86D2-26C9A87C32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83" name="Text Box 2">
          <a:extLst>
            <a:ext uri="{FF2B5EF4-FFF2-40B4-BE49-F238E27FC236}">
              <a16:creationId xmlns:a16="http://schemas.microsoft.com/office/drawing/2014/main" id="{BE0A3A96-0E79-4EC6-BA2A-27A0DEA570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id="{07D54F20-8466-4E81-8921-61610DA6E7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85" name="Text Box 2">
          <a:extLst>
            <a:ext uri="{FF2B5EF4-FFF2-40B4-BE49-F238E27FC236}">
              <a16:creationId xmlns:a16="http://schemas.microsoft.com/office/drawing/2014/main" id="{21C0436D-0147-43DE-96C6-676BA393DD2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id="{FDEEBAF5-1B35-4E0E-835A-4EBF10C30BE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87" name="Text Box 2">
          <a:extLst>
            <a:ext uri="{FF2B5EF4-FFF2-40B4-BE49-F238E27FC236}">
              <a16:creationId xmlns:a16="http://schemas.microsoft.com/office/drawing/2014/main" id="{845667DF-697A-4EFA-A368-61DA6F08FD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id="{93D9B628-1A6A-482C-8F0C-0F10140CAF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89" name="Text Box 2">
          <a:extLst>
            <a:ext uri="{FF2B5EF4-FFF2-40B4-BE49-F238E27FC236}">
              <a16:creationId xmlns:a16="http://schemas.microsoft.com/office/drawing/2014/main" id="{EBA0ED32-963D-4345-9648-6A65C3EC96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id="{6FED74F3-545D-4E13-A901-71E59862BFD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1" name="Text Box 2">
          <a:extLst>
            <a:ext uri="{FF2B5EF4-FFF2-40B4-BE49-F238E27FC236}">
              <a16:creationId xmlns:a16="http://schemas.microsoft.com/office/drawing/2014/main" id="{F5167407-37B5-4C6A-8206-72BD73A4C0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id="{FDF50E2A-2475-4676-8AE8-4D0A1F59F5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3" name="Text Box 2">
          <a:extLst>
            <a:ext uri="{FF2B5EF4-FFF2-40B4-BE49-F238E27FC236}">
              <a16:creationId xmlns:a16="http://schemas.microsoft.com/office/drawing/2014/main" id="{841F4E5A-9EE5-4255-A99B-EC6F739A31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id="{8D7FE947-62D0-4AD8-88EA-92790FAE66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5" name="Text Box 2">
          <a:extLst>
            <a:ext uri="{FF2B5EF4-FFF2-40B4-BE49-F238E27FC236}">
              <a16:creationId xmlns:a16="http://schemas.microsoft.com/office/drawing/2014/main" id="{B843AC9E-7326-4F97-B725-3F53BD2672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id="{585BD0AB-207D-4105-A7CE-F2A2D61CC1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7" name="Text Box 2">
          <a:extLst>
            <a:ext uri="{FF2B5EF4-FFF2-40B4-BE49-F238E27FC236}">
              <a16:creationId xmlns:a16="http://schemas.microsoft.com/office/drawing/2014/main" id="{C4076741-E8D0-4DB0-B7B4-BED9E7C020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id="{327DFAA6-9587-4A35-8D87-733B778603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799" name="Text Box 2">
          <a:extLst>
            <a:ext uri="{FF2B5EF4-FFF2-40B4-BE49-F238E27FC236}">
              <a16:creationId xmlns:a16="http://schemas.microsoft.com/office/drawing/2014/main" id="{C353F2C0-56C3-44BA-AA86-2F3B763B8B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id="{B9738CE4-F103-46F6-B3F3-BB1E9D6AE96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01" name="Text Box 2">
          <a:extLst>
            <a:ext uri="{FF2B5EF4-FFF2-40B4-BE49-F238E27FC236}">
              <a16:creationId xmlns:a16="http://schemas.microsoft.com/office/drawing/2014/main" id="{5158A806-2842-4A13-BB44-5F54981736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id="{7D099BEA-54ED-4222-81F9-7B00C2DFFD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03" name="Text Box 2">
          <a:extLst>
            <a:ext uri="{FF2B5EF4-FFF2-40B4-BE49-F238E27FC236}">
              <a16:creationId xmlns:a16="http://schemas.microsoft.com/office/drawing/2014/main" id="{6314E67A-0EF8-4CFA-B585-88AF64AE44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id="{AAAF5D92-7FBC-4199-8F60-EAA7B2479F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05" name="Text Box 2">
          <a:extLst>
            <a:ext uri="{FF2B5EF4-FFF2-40B4-BE49-F238E27FC236}">
              <a16:creationId xmlns:a16="http://schemas.microsoft.com/office/drawing/2014/main" id="{41C45A90-73AA-4EAD-B4DC-CF3075B524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id="{4C2C4F64-6930-4574-990C-36E1AB86AC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07" name="Text Box 2">
          <a:extLst>
            <a:ext uri="{FF2B5EF4-FFF2-40B4-BE49-F238E27FC236}">
              <a16:creationId xmlns:a16="http://schemas.microsoft.com/office/drawing/2014/main" id="{EBD9945E-1306-43D8-9970-0BDEDA2633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08" name="Text Box 1">
          <a:extLst>
            <a:ext uri="{FF2B5EF4-FFF2-40B4-BE49-F238E27FC236}">
              <a16:creationId xmlns:a16="http://schemas.microsoft.com/office/drawing/2014/main" id="{31819C2B-AFF0-4C9D-BEE3-AB13616E723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09" name="Text Box 2">
          <a:extLst>
            <a:ext uri="{FF2B5EF4-FFF2-40B4-BE49-F238E27FC236}">
              <a16:creationId xmlns:a16="http://schemas.microsoft.com/office/drawing/2014/main" id="{6D06EAC5-D503-4BE8-A0AA-D4260E9563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id="{E092AEED-4B44-4D27-9609-21EC8C1C09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1" name="Text Box 2">
          <a:extLst>
            <a:ext uri="{FF2B5EF4-FFF2-40B4-BE49-F238E27FC236}">
              <a16:creationId xmlns:a16="http://schemas.microsoft.com/office/drawing/2014/main" id="{008CA418-3A27-4F7C-A1B6-D65F1BCEF5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12" name="Text Box 1">
          <a:extLst>
            <a:ext uri="{FF2B5EF4-FFF2-40B4-BE49-F238E27FC236}">
              <a16:creationId xmlns:a16="http://schemas.microsoft.com/office/drawing/2014/main" id="{C6822DE3-C8D4-4F72-B395-2E1339D5EF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3" name="Text Box 2">
          <a:extLst>
            <a:ext uri="{FF2B5EF4-FFF2-40B4-BE49-F238E27FC236}">
              <a16:creationId xmlns:a16="http://schemas.microsoft.com/office/drawing/2014/main" id="{36D20ED9-4DA5-4151-90EC-160BD0D2D4E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id="{8D424114-13FF-4E68-9764-57E3E30218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5" name="Text Box 2">
          <a:extLst>
            <a:ext uri="{FF2B5EF4-FFF2-40B4-BE49-F238E27FC236}">
              <a16:creationId xmlns:a16="http://schemas.microsoft.com/office/drawing/2014/main" id="{0E118931-E2D1-498D-A522-9669EB398F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16" name="Text Box 1">
          <a:extLst>
            <a:ext uri="{FF2B5EF4-FFF2-40B4-BE49-F238E27FC236}">
              <a16:creationId xmlns:a16="http://schemas.microsoft.com/office/drawing/2014/main" id="{06E542AE-7186-4B28-A15E-20FDE87E64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7" name="Text Box 2">
          <a:extLst>
            <a:ext uri="{FF2B5EF4-FFF2-40B4-BE49-F238E27FC236}">
              <a16:creationId xmlns:a16="http://schemas.microsoft.com/office/drawing/2014/main" id="{C7BA18F7-D113-404A-8232-DB54E64723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id="{14CE68D0-B733-4481-82FE-4A508C92B6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19" name="Text Box 2">
          <a:extLst>
            <a:ext uri="{FF2B5EF4-FFF2-40B4-BE49-F238E27FC236}">
              <a16:creationId xmlns:a16="http://schemas.microsoft.com/office/drawing/2014/main" id="{191B1D64-CEBE-473D-BBFE-DEDEBE7026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0" name="Text Box 1">
          <a:extLst>
            <a:ext uri="{FF2B5EF4-FFF2-40B4-BE49-F238E27FC236}">
              <a16:creationId xmlns:a16="http://schemas.microsoft.com/office/drawing/2014/main" id="{8674C9F4-296F-451A-A0CB-98D903EEBE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21" name="Text Box 2">
          <a:extLst>
            <a:ext uri="{FF2B5EF4-FFF2-40B4-BE49-F238E27FC236}">
              <a16:creationId xmlns:a16="http://schemas.microsoft.com/office/drawing/2014/main" id="{3733D742-6D16-4762-8531-419F54A3D6D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id="{79184EDA-330F-44BE-8C0C-59B64BD3374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23" name="Text Box 2">
          <a:extLst>
            <a:ext uri="{FF2B5EF4-FFF2-40B4-BE49-F238E27FC236}">
              <a16:creationId xmlns:a16="http://schemas.microsoft.com/office/drawing/2014/main" id="{13B4B8D9-67DC-49FF-9EBE-32C3F8BCAE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id="{2887E10D-3FEC-46C0-8591-937FE4FE8A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25" name="Text Box 2">
          <a:extLst>
            <a:ext uri="{FF2B5EF4-FFF2-40B4-BE49-F238E27FC236}">
              <a16:creationId xmlns:a16="http://schemas.microsoft.com/office/drawing/2014/main" id="{B064EF9B-00EA-4987-A66B-235E67D53A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id="{6D8AC7B7-A173-4657-B490-8BE9B44C7D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27" name="Text Box 2">
          <a:extLst>
            <a:ext uri="{FF2B5EF4-FFF2-40B4-BE49-F238E27FC236}">
              <a16:creationId xmlns:a16="http://schemas.microsoft.com/office/drawing/2014/main" id="{E2483415-08B1-41F8-8EE8-C13BD02EC2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id="{A8B7682F-F61C-4E6B-889D-937884A2B8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29" name="Text Box 2">
          <a:extLst>
            <a:ext uri="{FF2B5EF4-FFF2-40B4-BE49-F238E27FC236}">
              <a16:creationId xmlns:a16="http://schemas.microsoft.com/office/drawing/2014/main" id="{E4745578-B7F0-4A5B-8908-8E65B16E86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id="{741DF672-BCE6-410F-866D-B90FC79F8D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1" name="Text Box 2">
          <a:extLst>
            <a:ext uri="{FF2B5EF4-FFF2-40B4-BE49-F238E27FC236}">
              <a16:creationId xmlns:a16="http://schemas.microsoft.com/office/drawing/2014/main" id="{A588AE81-066D-44EE-882E-589256B7C43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id="{7EEA3369-3AEA-4BD3-AB1D-499389EC85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3" name="Text Box 2">
          <a:extLst>
            <a:ext uri="{FF2B5EF4-FFF2-40B4-BE49-F238E27FC236}">
              <a16:creationId xmlns:a16="http://schemas.microsoft.com/office/drawing/2014/main" id="{108F9BF9-93ED-480F-9AEE-CD4466FD49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id="{C4383C01-F835-470C-8ACD-1981E145FA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5" name="Text Box 2">
          <a:extLst>
            <a:ext uri="{FF2B5EF4-FFF2-40B4-BE49-F238E27FC236}">
              <a16:creationId xmlns:a16="http://schemas.microsoft.com/office/drawing/2014/main" id="{D8C5E73D-D69F-430A-BC85-159FBEECFB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id="{F5D25147-3373-4435-A230-2B24068926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7" name="Text Box 2">
          <a:extLst>
            <a:ext uri="{FF2B5EF4-FFF2-40B4-BE49-F238E27FC236}">
              <a16:creationId xmlns:a16="http://schemas.microsoft.com/office/drawing/2014/main" id="{2126A8A5-96CB-42C4-94B0-21A23BCE39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id="{83448BE8-F3AB-45BC-B031-4B9962D5DA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39" name="Text Box 2">
          <a:extLst>
            <a:ext uri="{FF2B5EF4-FFF2-40B4-BE49-F238E27FC236}">
              <a16:creationId xmlns:a16="http://schemas.microsoft.com/office/drawing/2014/main" id="{F886C336-D090-4A45-A54F-26BF970ACD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id="{BABDD70E-FCB1-41C5-8A02-465A8F60E0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41" name="Text Box 2">
          <a:extLst>
            <a:ext uri="{FF2B5EF4-FFF2-40B4-BE49-F238E27FC236}">
              <a16:creationId xmlns:a16="http://schemas.microsoft.com/office/drawing/2014/main" id="{7DEE896D-A3B4-4421-9A59-DFC550F76F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id="{27AA8E11-8C4A-4523-9629-F4BD470AA1D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43" name="Text Box 2">
          <a:extLst>
            <a:ext uri="{FF2B5EF4-FFF2-40B4-BE49-F238E27FC236}">
              <a16:creationId xmlns:a16="http://schemas.microsoft.com/office/drawing/2014/main" id="{95DE1B17-AD04-4F0C-993A-BB11A22E79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id="{54B01FE9-2E43-4313-B879-CA22F6E1DC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45" name="Text Box 2">
          <a:extLst>
            <a:ext uri="{FF2B5EF4-FFF2-40B4-BE49-F238E27FC236}">
              <a16:creationId xmlns:a16="http://schemas.microsoft.com/office/drawing/2014/main" id="{610E4449-582B-4F02-8779-99FFDEEA8A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6" name="Text Box 1">
          <a:extLst>
            <a:ext uri="{FF2B5EF4-FFF2-40B4-BE49-F238E27FC236}">
              <a16:creationId xmlns:a16="http://schemas.microsoft.com/office/drawing/2014/main" id="{C27EECC1-448B-4F4F-B75F-BD80614D50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47" name="Text Box 2">
          <a:extLst>
            <a:ext uri="{FF2B5EF4-FFF2-40B4-BE49-F238E27FC236}">
              <a16:creationId xmlns:a16="http://schemas.microsoft.com/office/drawing/2014/main" id="{CCB7DB08-7707-43ED-BCBA-F1D1397901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id="{3A2A5420-E5C1-4601-AADE-CA71BD0BDC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49" name="Text Box 2">
          <a:extLst>
            <a:ext uri="{FF2B5EF4-FFF2-40B4-BE49-F238E27FC236}">
              <a16:creationId xmlns:a16="http://schemas.microsoft.com/office/drawing/2014/main" id="{46845AD7-62BC-443A-95CE-01163CFDDE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50" name="Text Box 1">
          <a:extLst>
            <a:ext uri="{FF2B5EF4-FFF2-40B4-BE49-F238E27FC236}">
              <a16:creationId xmlns:a16="http://schemas.microsoft.com/office/drawing/2014/main" id="{118BDF01-8B62-44AC-B23F-51C13843C7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1" name="Text Box 2">
          <a:extLst>
            <a:ext uri="{FF2B5EF4-FFF2-40B4-BE49-F238E27FC236}">
              <a16:creationId xmlns:a16="http://schemas.microsoft.com/office/drawing/2014/main" id="{2C2E8CE7-7578-4826-B965-CCBE4B078B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id="{CE040237-7EC6-4FDF-AC85-CAA7F82498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3" name="Text Box 2">
          <a:extLst>
            <a:ext uri="{FF2B5EF4-FFF2-40B4-BE49-F238E27FC236}">
              <a16:creationId xmlns:a16="http://schemas.microsoft.com/office/drawing/2014/main" id="{FE613CA3-894B-4CAC-B806-6033DD722A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id="{A98DAF24-8885-4D1A-8948-E1FD61EE65F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5" name="Text Box 2">
          <a:extLst>
            <a:ext uri="{FF2B5EF4-FFF2-40B4-BE49-F238E27FC236}">
              <a16:creationId xmlns:a16="http://schemas.microsoft.com/office/drawing/2014/main" id="{91ACFED7-F328-4DB9-B68C-3F9353D25B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id="{015CD4D7-9600-405B-AC0D-EF3F188465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7" name="Text Box 2">
          <a:extLst>
            <a:ext uri="{FF2B5EF4-FFF2-40B4-BE49-F238E27FC236}">
              <a16:creationId xmlns:a16="http://schemas.microsoft.com/office/drawing/2014/main" id="{92916745-7795-4DCE-9411-59B82D9054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58" name="Text Box 1">
          <a:extLst>
            <a:ext uri="{FF2B5EF4-FFF2-40B4-BE49-F238E27FC236}">
              <a16:creationId xmlns:a16="http://schemas.microsoft.com/office/drawing/2014/main" id="{7EA58DDD-6C72-4ADC-A1E3-495451F6C0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59" name="Text Box 2">
          <a:extLst>
            <a:ext uri="{FF2B5EF4-FFF2-40B4-BE49-F238E27FC236}">
              <a16:creationId xmlns:a16="http://schemas.microsoft.com/office/drawing/2014/main" id="{3E6C3C72-7EEF-4460-88BB-2F62F2CD0C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id="{836EFB10-AE4C-4631-B0C4-9FE408113C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61" name="Text Box 2">
          <a:extLst>
            <a:ext uri="{FF2B5EF4-FFF2-40B4-BE49-F238E27FC236}">
              <a16:creationId xmlns:a16="http://schemas.microsoft.com/office/drawing/2014/main" id="{ECB5CEFD-6B43-4564-A99B-5134424BF8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2" name="Text Box 1">
          <a:extLst>
            <a:ext uri="{FF2B5EF4-FFF2-40B4-BE49-F238E27FC236}">
              <a16:creationId xmlns:a16="http://schemas.microsoft.com/office/drawing/2014/main" id="{32C6EAA7-62FE-4F08-BDFE-1834BF5206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63" name="Text Box 2">
          <a:extLst>
            <a:ext uri="{FF2B5EF4-FFF2-40B4-BE49-F238E27FC236}">
              <a16:creationId xmlns:a16="http://schemas.microsoft.com/office/drawing/2014/main" id="{ACEEDEDB-7F4F-4D48-A4B7-07D1E99BB2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id="{15A898FF-81AA-4144-B6C3-6C25EA8EA5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65" name="Text Box 2">
          <a:extLst>
            <a:ext uri="{FF2B5EF4-FFF2-40B4-BE49-F238E27FC236}">
              <a16:creationId xmlns:a16="http://schemas.microsoft.com/office/drawing/2014/main" id="{23BB578E-F65F-4031-8058-0E18E37880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id="{DF1A3F42-3032-42BB-A9B6-7D8EBC285A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67" name="Text Box 2">
          <a:extLst>
            <a:ext uri="{FF2B5EF4-FFF2-40B4-BE49-F238E27FC236}">
              <a16:creationId xmlns:a16="http://schemas.microsoft.com/office/drawing/2014/main" id="{3463CB67-E440-4ADD-AE85-D63B16A3C9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id="{438050C1-76EC-4E03-B26F-9D84F7F229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69" name="Text Box 2">
          <a:extLst>
            <a:ext uri="{FF2B5EF4-FFF2-40B4-BE49-F238E27FC236}">
              <a16:creationId xmlns:a16="http://schemas.microsoft.com/office/drawing/2014/main" id="{F27EAC50-FB3A-4778-8678-B943DA604EB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id="{4058FB9B-6C71-49BE-B6D6-F027C97B64C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1" name="Text Box 2">
          <a:extLst>
            <a:ext uri="{FF2B5EF4-FFF2-40B4-BE49-F238E27FC236}">
              <a16:creationId xmlns:a16="http://schemas.microsoft.com/office/drawing/2014/main" id="{5FDDF7B8-688A-467A-9982-3480F788E80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id="{181204BE-AABE-4DAA-98B0-872935BA3B8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3" name="Text Box 2">
          <a:extLst>
            <a:ext uri="{FF2B5EF4-FFF2-40B4-BE49-F238E27FC236}">
              <a16:creationId xmlns:a16="http://schemas.microsoft.com/office/drawing/2014/main" id="{AA9F3F17-9135-43E9-99CD-B3CE209FC6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id="{58049F4A-73AF-4E21-B1E4-FA34683B0C8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5" name="Text Box 2">
          <a:extLst>
            <a:ext uri="{FF2B5EF4-FFF2-40B4-BE49-F238E27FC236}">
              <a16:creationId xmlns:a16="http://schemas.microsoft.com/office/drawing/2014/main" id="{D648064F-40AD-4127-9796-82F014855F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id="{C8857EB5-C545-4359-A213-6B3F382B6A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7" name="Text Box 2">
          <a:extLst>
            <a:ext uri="{FF2B5EF4-FFF2-40B4-BE49-F238E27FC236}">
              <a16:creationId xmlns:a16="http://schemas.microsoft.com/office/drawing/2014/main" id="{B14A2135-0F6F-446E-B3B1-69888B7FCC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id="{A97199E5-96D5-47CC-82BA-3DB52C1E34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79" name="Text Box 2">
          <a:extLst>
            <a:ext uri="{FF2B5EF4-FFF2-40B4-BE49-F238E27FC236}">
              <a16:creationId xmlns:a16="http://schemas.microsoft.com/office/drawing/2014/main" id="{E1590AE1-AE98-4FAE-A3BD-9FD52A6ACC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id="{4BEA90C0-1920-4F5B-8423-CBE6EEE7F1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81" name="Text Box 2">
          <a:extLst>
            <a:ext uri="{FF2B5EF4-FFF2-40B4-BE49-F238E27FC236}">
              <a16:creationId xmlns:a16="http://schemas.microsoft.com/office/drawing/2014/main" id="{759973F6-2C87-44B9-A46F-37F95E5485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id="{42D3B70D-CD02-432D-9070-25EECF7AF40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83" name="Text Box 2">
          <a:extLst>
            <a:ext uri="{FF2B5EF4-FFF2-40B4-BE49-F238E27FC236}">
              <a16:creationId xmlns:a16="http://schemas.microsoft.com/office/drawing/2014/main" id="{B6F82492-3EFF-4D16-90D2-CB25CAA6B0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id="{20B1EFAF-7F7B-4EA9-A948-C3B80DC251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85" name="Text Box 2">
          <a:extLst>
            <a:ext uri="{FF2B5EF4-FFF2-40B4-BE49-F238E27FC236}">
              <a16:creationId xmlns:a16="http://schemas.microsoft.com/office/drawing/2014/main" id="{6DADA85F-B7B1-4935-A6C6-2A7CA5D25F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id="{B1E6D7B2-ED0A-4D9C-95F3-772D35F6DD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87" name="Text Box 2">
          <a:extLst>
            <a:ext uri="{FF2B5EF4-FFF2-40B4-BE49-F238E27FC236}">
              <a16:creationId xmlns:a16="http://schemas.microsoft.com/office/drawing/2014/main" id="{FDED08CD-ECE1-4AC7-8CBB-2EBEE4DECC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id="{C2FFBD3F-B7C8-4BCC-BFED-9EE2616AD3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89" name="Text Box 2">
          <a:extLst>
            <a:ext uri="{FF2B5EF4-FFF2-40B4-BE49-F238E27FC236}">
              <a16:creationId xmlns:a16="http://schemas.microsoft.com/office/drawing/2014/main" id="{853F66FC-A81E-4C8A-B3E0-F0F0D7918A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id="{5027415A-E27E-4C8D-9E36-0AD4E0DE2D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1" name="Text Box 2">
          <a:extLst>
            <a:ext uri="{FF2B5EF4-FFF2-40B4-BE49-F238E27FC236}">
              <a16:creationId xmlns:a16="http://schemas.microsoft.com/office/drawing/2014/main" id="{421BBAEA-AF9B-4C34-9D34-B4BEBA0207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92" name="Text Box 1">
          <a:extLst>
            <a:ext uri="{FF2B5EF4-FFF2-40B4-BE49-F238E27FC236}">
              <a16:creationId xmlns:a16="http://schemas.microsoft.com/office/drawing/2014/main" id="{77E1BC16-62ED-4848-B0D7-B99C1267E1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3" name="Text Box 2">
          <a:extLst>
            <a:ext uri="{FF2B5EF4-FFF2-40B4-BE49-F238E27FC236}">
              <a16:creationId xmlns:a16="http://schemas.microsoft.com/office/drawing/2014/main" id="{EE0F8D67-1A8A-4E63-9FAC-F90BD1E4D5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id="{0CA404FF-52F4-4B2A-83F2-B7BFBF56A5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5" name="Text Box 2">
          <a:extLst>
            <a:ext uri="{FF2B5EF4-FFF2-40B4-BE49-F238E27FC236}">
              <a16:creationId xmlns:a16="http://schemas.microsoft.com/office/drawing/2014/main" id="{5BC6F624-3298-4523-AF77-BC0631BC8F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id="{784DB1C7-A9D0-4088-8D59-393B1E8396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7" name="Text Box 2">
          <a:extLst>
            <a:ext uri="{FF2B5EF4-FFF2-40B4-BE49-F238E27FC236}">
              <a16:creationId xmlns:a16="http://schemas.microsoft.com/office/drawing/2014/main" id="{C16208C9-C56E-431C-BA40-E09C662510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id="{BEC4D7E3-6BF6-4DA1-AF8A-AE3A2D7BDF0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899" name="Text Box 2">
          <a:extLst>
            <a:ext uri="{FF2B5EF4-FFF2-40B4-BE49-F238E27FC236}">
              <a16:creationId xmlns:a16="http://schemas.microsoft.com/office/drawing/2014/main" id="{EF2DCA0E-C494-47CC-8B90-93AF3BE38C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id="{5793CA4E-0C23-497A-B5F1-82D399EA42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01" name="Text Box 2">
          <a:extLst>
            <a:ext uri="{FF2B5EF4-FFF2-40B4-BE49-F238E27FC236}">
              <a16:creationId xmlns:a16="http://schemas.microsoft.com/office/drawing/2014/main" id="{2A9CCF1E-DAC3-4723-AF4F-FDBD1507ED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2" name="Text Box 1">
          <a:extLst>
            <a:ext uri="{FF2B5EF4-FFF2-40B4-BE49-F238E27FC236}">
              <a16:creationId xmlns:a16="http://schemas.microsoft.com/office/drawing/2014/main" id="{9F41A479-1986-4D3F-8519-9460231118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03" name="Text Box 2">
          <a:extLst>
            <a:ext uri="{FF2B5EF4-FFF2-40B4-BE49-F238E27FC236}">
              <a16:creationId xmlns:a16="http://schemas.microsoft.com/office/drawing/2014/main" id="{A1D48617-8D72-412B-A54E-7119A9DAD2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4" name="Text Box 1">
          <a:extLst>
            <a:ext uri="{FF2B5EF4-FFF2-40B4-BE49-F238E27FC236}">
              <a16:creationId xmlns:a16="http://schemas.microsoft.com/office/drawing/2014/main" id="{7B55E7C1-7D8E-4765-A0E0-37F96BDB28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05" name="Text Box 2">
          <a:extLst>
            <a:ext uri="{FF2B5EF4-FFF2-40B4-BE49-F238E27FC236}">
              <a16:creationId xmlns:a16="http://schemas.microsoft.com/office/drawing/2014/main" id="{39A93705-EE3F-4B4F-AF28-5E7A6F5A65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6" name="Text Box 1">
          <a:extLst>
            <a:ext uri="{FF2B5EF4-FFF2-40B4-BE49-F238E27FC236}">
              <a16:creationId xmlns:a16="http://schemas.microsoft.com/office/drawing/2014/main" id="{09200D59-80D0-4FAB-AF0D-AB864EDBA0C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07" name="Text Box 2">
          <a:extLst>
            <a:ext uri="{FF2B5EF4-FFF2-40B4-BE49-F238E27FC236}">
              <a16:creationId xmlns:a16="http://schemas.microsoft.com/office/drawing/2014/main" id="{0A0A8211-4658-4ED8-94F5-47FBB97C359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08" name="Text Box 1">
          <a:extLst>
            <a:ext uri="{FF2B5EF4-FFF2-40B4-BE49-F238E27FC236}">
              <a16:creationId xmlns:a16="http://schemas.microsoft.com/office/drawing/2014/main" id="{70AA746B-5F4E-4B5B-89A8-491E98BF2C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09" name="Text Box 2">
          <a:extLst>
            <a:ext uri="{FF2B5EF4-FFF2-40B4-BE49-F238E27FC236}">
              <a16:creationId xmlns:a16="http://schemas.microsoft.com/office/drawing/2014/main" id="{8A3EAD17-AAD8-49EF-A35E-79ECBE079F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id="{8A038CD6-2E55-4305-A11B-46CA526778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1" name="Text Box 2">
          <a:extLst>
            <a:ext uri="{FF2B5EF4-FFF2-40B4-BE49-F238E27FC236}">
              <a16:creationId xmlns:a16="http://schemas.microsoft.com/office/drawing/2014/main" id="{54EDECF8-A590-4B36-8D09-6EF774C38B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12" name="Text Box 1">
          <a:extLst>
            <a:ext uri="{FF2B5EF4-FFF2-40B4-BE49-F238E27FC236}">
              <a16:creationId xmlns:a16="http://schemas.microsoft.com/office/drawing/2014/main" id="{37C326FD-BEE3-4824-B783-CD7254F4F8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3" name="Text Box 2">
          <a:extLst>
            <a:ext uri="{FF2B5EF4-FFF2-40B4-BE49-F238E27FC236}">
              <a16:creationId xmlns:a16="http://schemas.microsoft.com/office/drawing/2014/main" id="{B1EC5931-C0F0-49E5-8B49-6E208F4CDC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14" name="Text Box 1">
          <a:extLst>
            <a:ext uri="{FF2B5EF4-FFF2-40B4-BE49-F238E27FC236}">
              <a16:creationId xmlns:a16="http://schemas.microsoft.com/office/drawing/2014/main" id="{40CBBB88-CE99-4EF1-B9E7-2473878D840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5" name="Text Box 2">
          <a:extLst>
            <a:ext uri="{FF2B5EF4-FFF2-40B4-BE49-F238E27FC236}">
              <a16:creationId xmlns:a16="http://schemas.microsoft.com/office/drawing/2014/main" id="{3CF74CCB-C7A2-4E6E-A833-068F7AB551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16" name="Text Box 1">
          <a:extLst>
            <a:ext uri="{FF2B5EF4-FFF2-40B4-BE49-F238E27FC236}">
              <a16:creationId xmlns:a16="http://schemas.microsoft.com/office/drawing/2014/main" id="{C347E286-5B08-4433-8B97-7C186647C6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7" name="Text Box 2">
          <a:extLst>
            <a:ext uri="{FF2B5EF4-FFF2-40B4-BE49-F238E27FC236}">
              <a16:creationId xmlns:a16="http://schemas.microsoft.com/office/drawing/2014/main" id="{B372AEB0-202C-42BF-92F8-1D566D8834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id="{116E4227-C195-4B66-8D86-B06AC90C73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5E899033-E48F-4246-841E-4EA88133E6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0" name="Text Box 1">
          <a:extLst>
            <a:ext uri="{FF2B5EF4-FFF2-40B4-BE49-F238E27FC236}">
              <a16:creationId xmlns:a16="http://schemas.microsoft.com/office/drawing/2014/main" id="{9EABC02E-1D8C-4BE7-AA88-462981F659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21" name="Text Box 2">
          <a:extLst>
            <a:ext uri="{FF2B5EF4-FFF2-40B4-BE49-F238E27FC236}">
              <a16:creationId xmlns:a16="http://schemas.microsoft.com/office/drawing/2014/main" id="{831E20F1-B990-4BDF-8BA9-ED6F1397C0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2" name="Text Box 1">
          <a:extLst>
            <a:ext uri="{FF2B5EF4-FFF2-40B4-BE49-F238E27FC236}">
              <a16:creationId xmlns:a16="http://schemas.microsoft.com/office/drawing/2014/main" id="{78F5CDD7-7F36-474B-848B-D452A7A194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BF19B9D4-B197-4F99-A3CD-1FB9645125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id="{86BC0981-F425-4837-AE35-86395E1B26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25" name="Text Box 2">
          <a:extLst>
            <a:ext uri="{FF2B5EF4-FFF2-40B4-BE49-F238E27FC236}">
              <a16:creationId xmlns:a16="http://schemas.microsoft.com/office/drawing/2014/main" id="{2E2BCD2D-655E-4E6A-BFB5-2AA4613621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id="{2527789F-6D2B-4721-8A61-52585AB89F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27" name="Text Box 2">
          <a:extLst>
            <a:ext uri="{FF2B5EF4-FFF2-40B4-BE49-F238E27FC236}">
              <a16:creationId xmlns:a16="http://schemas.microsoft.com/office/drawing/2014/main" id="{A4CE9CCD-1280-46A7-93B3-ECFAC86F677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id="{FE097008-B810-41F1-A8A0-C0C5D6F61A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29" name="Text Box 2">
          <a:extLst>
            <a:ext uri="{FF2B5EF4-FFF2-40B4-BE49-F238E27FC236}">
              <a16:creationId xmlns:a16="http://schemas.microsoft.com/office/drawing/2014/main" id="{205E4AE2-0B11-4CCD-B81E-14D64550AA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30" name="Text Box 1">
          <a:extLst>
            <a:ext uri="{FF2B5EF4-FFF2-40B4-BE49-F238E27FC236}">
              <a16:creationId xmlns:a16="http://schemas.microsoft.com/office/drawing/2014/main" id="{BEE39593-A5C4-4671-9D49-A9E924B6DBC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2E157D79-23D4-46CD-A114-4593E51A335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32" name="Text Box 1">
          <a:extLst>
            <a:ext uri="{FF2B5EF4-FFF2-40B4-BE49-F238E27FC236}">
              <a16:creationId xmlns:a16="http://schemas.microsoft.com/office/drawing/2014/main" id="{E65DAE68-F0E4-4F18-9B56-2BF4D5CB8E3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3" name="Text Box 2">
          <a:extLst>
            <a:ext uri="{FF2B5EF4-FFF2-40B4-BE49-F238E27FC236}">
              <a16:creationId xmlns:a16="http://schemas.microsoft.com/office/drawing/2014/main" id="{04AA8F58-ECB7-421D-819D-B16EDC1A37C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34" name="Text Box 1">
          <a:extLst>
            <a:ext uri="{FF2B5EF4-FFF2-40B4-BE49-F238E27FC236}">
              <a16:creationId xmlns:a16="http://schemas.microsoft.com/office/drawing/2014/main" id="{4ED075A8-EF62-457A-823E-90995B2665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5" name="Text Box 2">
          <a:extLst>
            <a:ext uri="{FF2B5EF4-FFF2-40B4-BE49-F238E27FC236}">
              <a16:creationId xmlns:a16="http://schemas.microsoft.com/office/drawing/2014/main" id="{CBF4DA11-2A82-4F4D-97D9-C0EDBF447F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36" name="Text Box 1">
          <a:extLst>
            <a:ext uri="{FF2B5EF4-FFF2-40B4-BE49-F238E27FC236}">
              <a16:creationId xmlns:a16="http://schemas.microsoft.com/office/drawing/2014/main" id="{C5564A82-871C-42A4-8645-B8E1E60785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7" name="Text Box 2">
          <a:extLst>
            <a:ext uri="{FF2B5EF4-FFF2-40B4-BE49-F238E27FC236}">
              <a16:creationId xmlns:a16="http://schemas.microsoft.com/office/drawing/2014/main" id="{B5E88EA4-55DE-41CC-9718-C951DC9CA6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38" name="Text Box 1">
          <a:extLst>
            <a:ext uri="{FF2B5EF4-FFF2-40B4-BE49-F238E27FC236}">
              <a16:creationId xmlns:a16="http://schemas.microsoft.com/office/drawing/2014/main" id="{39C2568A-8EC0-4823-ADA0-57B7744D90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39" name="Text Box 2">
          <a:extLst>
            <a:ext uri="{FF2B5EF4-FFF2-40B4-BE49-F238E27FC236}">
              <a16:creationId xmlns:a16="http://schemas.microsoft.com/office/drawing/2014/main" id="{97A7DE8B-CE35-4E24-9152-084C7F6501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0" name="Text Box 1">
          <a:extLst>
            <a:ext uri="{FF2B5EF4-FFF2-40B4-BE49-F238E27FC236}">
              <a16:creationId xmlns:a16="http://schemas.microsoft.com/office/drawing/2014/main" id="{3D007E99-D42C-4E6F-941D-235431368C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41" name="Text Box 2">
          <a:extLst>
            <a:ext uri="{FF2B5EF4-FFF2-40B4-BE49-F238E27FC236}">
              <a16:creationId xmlns:a16="http://schemas.microsoft.com/office/drawing/2014/main" id="{226A6BE9-39B8-4049-8783-814CC6D89E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2" name="Text Box 1">
          <a:extLst>
            <a:ext uri="{FF2B5EF4-FFF2-40B4-BE49-F238E27FC236}">
              <a16:creationId xmlns:a16="http://schemas.microsoft.com/office/drawing/2014/main" id="{093BEA96-D6A5-4A68-BD86-C680240966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43" name="Text Box 2">
          <a:extLst>
            <a:ext uri="{FF2B5EF4-FFF2-40B4-BE49-F238E27FC236}">
              <a16:creationId xmlns:a16="http://schemas.microsoft.com/office/drawing/2014/main" id="{C1BA23E4-D98D-4BCB-8506-CFA182AED54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4" name="Text Box 1">
          <a:extLst>
            <a:ext uri="{FF2B5EF4-FFF2-40B4-BE49-F238E27FC236}">
              <a16:creationId xmlns:a16="http://schemas.microsoft.com/office/drawing/2014/main" id="{320BC3A0-40E6-4594-93AA-C329D416332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45" name="Text Box 2">
          <a:extLst>
            <a:ext uri="{FF2B5EF4-FFF2-40B4-BE49-F238E27FC236}">
              <a16:creationId xmlns:a16="http://schemas.microsoft.com/office/drawing/2014/main" id="{52005B9D-7BCE-42D7-AF48-577CC59330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6" name="Text Box 1">
          <a:extLst>
            <a:ext uri="{FF2B5EF4-FFF2-40B4-BE49-F238E27FC236}">
              <a16:creationId xmlns:a16="http://schemas.microsoft.com/office/drawing/2014/main" id="{DB2D6545-EA99-48C8-B3AA-A0594893C5D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47" name="Text Box 2">
          <a:extLst>
            <a:ext uri="{FF2B5EF4-FFF2-40B4-BE49-F238E27FC236}">
              <a16:creationId xmlns:a16="http://schemas.microsoft.com/office/drawing/2014/main" id="{AEDA92F8-12CA-4CE2-9F6A-712CE2F443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id="{5730C9A5-D8FE-4187-95FA-71F9502272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49" name="Text Box 2">
          <a:extLst>
            <a:ext uri="{FF2B5EF4-FFF2-40B4-BE49-F238E27FC236}">
              <a16:creationId xmlns:a16="http://schemas.microsoft.com/office/drawing/2014/main" id="{AFEBDA4B-32E3-46C9-9E9B-0A610ABD4A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50" name="Text Box 1">
          <a:extLst>
            <a:ext uri="{FF2B5EF4-FFF2-40B4-BE49-F238E27FC236}">
              <a16:creationId xmlns:a16="http://schemas.microsoft.com/office/drawing/2014/main" id="{12A77E5B-17AD-4ACA-8D7B-FED35D65B8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1" name="Text Box 2">
          <a:extLst>
            <a:ext uri="{FF2B5EF4-FFF2-40B4-BE49-F238E27FC236}">
              <a16:creationId xmlns:a16="http://schemas.microsoft.com/office/drawing/2014/main" id="{24D8A20B-526C-4E71-B01F-19A7FB6953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52" name="Text Box 1">
          <a:extLst>
            <a:ext uri="{FF2B5EF4-FFF2-40B4-BE49-F238E27FC236}">
              <a16:creationId xmlns:a16="http://schemas.microsoft.com/office/drawing/2014/main" id="{87C03B51-4DD1-476C-9916-C584F08909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3" name="Text Box 2">
          <a:extLst>
            <a:ext uri="{FF2B5EF4-FFF2-40B4-BE49-F238E27FC236}">
              <a16:creationId xmlns:a16="http://schemas.microsoft.com/office/drawing/2014/main" id="{ACD43EF5-8827-4E2F-B4E6-0264F0129A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54" name="Text Box 1">
          <a:extLst>
            <a:ext uri="{FF2B5EF4-FFF2-40B4-BE49-F238E27FC236}">
              <a16:creationId xmlns:a16="http://schemas.microsoft.com/office/drawing/2014/main" id="{9FB88617-C20F-4D0B-94CC-D2C9BC19DF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5" name="Text Box 2">
          <a:extLst>
            <a:ext uri="{FF2B5EF4-FFF2-40B4-BE49-F238E27FC236}">
              <a16:creationId xmlns:a16="http://schemas.microsoft.com/office/drawing/2014/main" id="{E7DB341C-232C-4E3C-A2C1-782EBF313A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56" name="Text Box 1">
          <a:extLst>
            <a:ext uri="{FF2B5EF4-FFF2-40B4-BE49-F238E27FC236}">
              <a16:creationId xmlns:a16="http://schemas.microsoft.com/office/drawing/2014/main" id="{72D21DE0-C8BC-4B16-80DF-24F453068D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7" name="Text Box 2">
          <a:extLst>
            <a:ext uri="{FF2B5EF4-FFF2-40B4-BE49-F238E27FC236}">
              <a16:creationId xmlns:a16="http://schemas.microsoft.com/office/drawing/2014/main" id="{9A4B8F7F-B634-4A3B-B353-4F0D9CC999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58" name="Text Box 1">
          <a:extLst>
            <a:ext uri="{FF2B5EF4-FFF2-40B4-BE49-F238E27FC236}">
              <a16:creationId xmlns:a16="http://schemas.microsoft.com/office/drawing/2014/main" id="{5FE382EF-6678-4E29-8D97-7737D73089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59" name="Text Box 2">
          <a:extLst>
            <a:ext uri="{FF2B5EF4-FFF2-40B4-BE49-F238E27FC236}">
              <a16:creationId xmlns:a16="http://schemas.microsoft.com/office/drawing/2014/main" id="{CEDE0CA8-020F-42F4-8A7E-862E8B44AB5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id="{D3EF1D65-DE11-44F3-9016-B9AEE362BD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61" name="Text Box 2">
          <a:extLst>
            <a:ext uri="{FF2B5EF4-FFF2-40B4-BE49-F238E27FC236}">
              <a16:creationId xmlns:a16="http://schemas.microsoft.com/office/drawing/2014/main" id="{80A188A8-053E-41B0-BC4A-11ED3A5822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2" name="Text Box 1">
          <a:extLst>
            <a:ext uri="{FF2B5EF4-FFF2-40B4-BE49-F238E27FC236}">
              <a16:creationId xmlns:a16="http://schemas.microsoft.com/office/drawing/2014/main" id="{8A775082-9CDB-4BC6-A44B-4047ED9BA4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63" name="Text Box 2">
          <a:extLst>
            <a:ext uri="{FF2B5EF4-FFF2-40B4-BE49-F238E27FC236}">
              <a16:creationId xmlns:a16="http://schemas.microsoft.com/office/drawing/2014/main" id="{58836187-E872-4625-881E-FFAEA96A70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4" name="Text Box 1">
          <a:extLst>
            <a:ext uri="{FF2B5EF4-FFF2-40B4-BE49-F238E27FC236}">
              <a16:creationId xmlns:a16="http://schemas.microsoft.com/office/drawing/2014/main" id="{C3A622B7-A17E-4F38-886D-0348FBB12B8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7CCD51AA-F564-4B35-BEB3-6B746069DF3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id="{F61BA28F-CEDF-42CD-824A-36EF0895BC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67" name="Text Box 2">
          <a:extLst>
            <a:ext uri="{FF2B5EF4-FFF2-40B4-BE49-F238E27FC236}">
              <a16:creationId xmlns:a16="http://schemas.microsoft.com/office/drawing/2014/main" id="{63FA5DC2-FFB1-47B9-9B7A-1618FA8837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id="{5EF7CEC5-18E2-4813-AF14-DB8DFA4DF4F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69" name="Text Box 2">
          <a:extLst>
            <a:ext uri="{FF2B5EF4-FFF2-40B4-BE49-F238E27FC236}">
              <a16:creationId xmlns:a16="http://schemas.microsoft.com/office/drawing/2014/main" id="{A689DDB7-FECB-4D4B-8FA6-F5950E1CD5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id="{2D9579A5-D44A-4698-A094-E7EBCCD840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1" name="Text Box 2">
          <a:extLst>
            <a:ext uri="{FF2B5EF4-FFF2-40B4-BE49-F238E27FC236}">
              <a16:creationId xmlns:a16="http://schemas.microsoft.com/office/drawing/2014/main" id="{96385A89-2EDB-4C9A-ADE2-4F27A8223A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id="{ACBFC702-6D81-46F8-A9FD-56C5E5C0BAD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3" name="Text Box 2">
          <a:extLst>
            <a:ext uri="{FF2B5EF4-FFF2-40B4-BE49-F238E27FC236}">
              <a16:creationId xmlns:a16="http://schemas.microsoft.com/office/drawing/2014/main" id="{2CB52B3D-7119-452E-8806-F286AC0E2B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id="{047628C7-128E-458A-B428-A01A471650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5" name="Text Box 2">
          <a:extLst>
            <a:ext uri="{FF2B5EF4-FFF2-40B4-BE49-F238E27FC236}">
              <a16:creationId xmlns:a16="http://schemas.microsoft.com/office/drawing/2014/main" id="{A4AE9248-7E02-4330-9B50-56996AEFE6E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id="{74779F5E-88AB-4B63-ADC4-D7440F734A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7" name="Text Box 2">
          <a:extLst>
            <a:ext uri="{FF2B5EF4-FFF2-40B4-BE49-F238E27FC236}">
              <a16:creationId xmlns:a16="http://schemas.microsoft.com/office/drawing/2014/main" id="{2CFFE763-A828-4055-BF47-9159304F97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id="{8C4A355B-8BE4-4738-A2A7-2A01CD2B7B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79" name="Text Box 2">
          <a:extLst>
            <a:ext uri="{FF2B5EF4-FFF2-40B4-BE49-F238E27FC236}">
              <a16:creationId xmlns:a16="http://schemas.microsoft.com/office/drawing/2014/main" id="{C54677EC-F8DA-4439-9CA6-EBA98F16C6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id="{29369140-A4EF-478D-8277-6A90EC81CC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4184C316-AE35-4121-844F-2B970B9820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id="{4D28F02B-020C-4B07-876E-B68F50A0DA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83" name="Text Box 2">
          <a:extLst>
            <a:ext uri="{FF2B5EF4-FFF2-40B4-BE49-F238E27FC236}">
              <a16:creationId xmlns:a16="http://schemas.microsoft.com/office/drawing/2014/main" id="{8B0E481B-B5D4-4621-80CA-8C34E114BE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4" name="Text Box 1">
          <a:extLst>
            <a:ext uri="{FF2B5EF4-FFF2-40B4-BE49-F238E27FC236}">
              <a16:creationId xmlns:a16="http://schemas.microsoft.com/office/drawing/2014/main" id="{ACCC1C9D-ECB5-42E5-B6C5-91771B5B33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85" name="Text Box 2">
          <a:extLst>
            <a:ext uri="{FF2B5EF4-FFF2-40B4-BE49-F238E27FC236}">
              <a16:creationId xmlns:a16="http://schemas.microsoft.com/office/drawing/2014/main" id="{1540212A-20F6-4D2F-A603-2757C1574D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id="{0BC8DFBD-3ABC-4DA7-9AE9-2AF92F00C13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87" name="Text Box 2">
          <a:extLst>
            <a:ext uri="{FF2B5EF4-FFF2-40B4-BE49-F238E27FC236}">
              <a16:creationId xmlns:a16="http://schemas.microsoft.com/office/drawing/2014/main" id="{4BAD6154-B3F9-40FF-953E-0B85B9AF4F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88" name="Text Box 1">
          <a:extLst>
            <a:ext uri="{FF2B5EF4-FFF2-40B4-BE49-F238E27FC236}">
              <a16:creationId xmlns:a16="http://schemas.microsoft.com/office/drawing/2014/main" id="{F667D3E1-48E6-451E-A710-9B4B5FE0A3D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89" name="Text Box 2">
          <a:extLst>
            <a:ext uri="{FF2B5EF4-FFF2-40B4-BE49-F238E27FC236}">
              <a16:creationId xmlns:a16="http://schemas.microsoft.com/office/drawing/2014/main" id="{0D0F714D-8985-4675-B694-DE4A121D63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id="{4EFAE0DE-88C4-4486-A7D6-5D39A4CBDD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1" name="Text Box 2">
          <a:extLst>
            <a:ext uri="{FF2B5EF4-FFF2-40B4-BE49-F238E27FC236}">
              <a16:creationId xmlns:a16="http://schemas.microsoft.com/office/drawing/2014/main" id="{5108DEF4-99F7-4D54-8045-519B9945986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92" name="Text Box 1">
          <a:extLst>
            <a:ext uri="{FF2B5EF4-FFF2-40B4-BE49-F238E27FC236}">
              <a16:creationId xmlns:a16="http://schemas.microsoft.com/office/drawing/2014/main" id="{632F8D26-4300-4396-AE84-69FDA3B250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3" name="Text Box 2">
          <a:extLst>
            <a:ext uri="{FF2B5EF4-FFF2-40B4-BE49-F238E27FC236}">
              <a16:creationId xmlns:a16="http://schemas.microsoft.com/office/drawing/2014/main" id="{AC59EE06-21C4-4E44-B84B-D1FB041529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id="{9C7F0E9E-A143-45DF-95AD-F5ABF6649A0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5" name="Text Box 2">
          <a:extLst>
            <a:ext uri="{FF2B5EF4-FFF2-40B4-BE49-F238E27FC236}">
              <a16:creationId xmlns:a16="http://schemas.microsoft.com/office/drawing/2014/main" id="{6EA8AE69-8F13-482F-8D60-DB443A35EF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96" name="Text Box 1">
          <a:extLst>
            <a:ext uri="{FF2B5EF4-FFF2-40B4-BE49-F238E27FC236}">
              <a16:creationId xmlns:a16="http://schemas.microsoft.com/office/drawing/2014/main" id="{4982499F-40AB-4686-A7BD-4E05A9827E2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7" name="Text Box 2">
          <a:extLst>
            <a:ext uri="{FF2B5EF4-FFF2-40B4-BE49-F238E27FC236}">
              <a16:creationId xmlns:a16="http://schemas.microsoft.com/office/drawing/2014/main" id="{E5835CBE-BD0E-496E-A08A-06D7B1D054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id="{5A64D7F5-AB18-41E2-B04A-3FA307C0C2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999" name="Text Box 2">
          <a:extLst>
            <a:ext uri="{FF2B5EF4-FFF2-40B4-BE49-F238E27FC236}">
              <a16:creationId xmlns:a16="http://schemas.microsoft.com/office/drawing/2014/main" id="{B78278BB-2E7B-486B-B30B-242AD54CAD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0" name="Text Box 1">
          <a:extLst>
            <a:ext uri="{FF2B5EF4-FFF2-40B4-BE49-F238E27FC236}">
              <a16:creationId xmlns:a16="http://schemas.microsoft.com/office/drawing/2014/main" id="{4C847973-5CD8-4EBF-AE17-D4BD9771326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01" name="Text Box 2">
          <a:extLst>
            <a:ext uri="{FF2B5EF4-FFF2-40B4-BE49-F238E27FC236}">
              <a16:creationId xmlns:a16="http://schemas.microsoft.com/office/drawing/2014/main" id="{0D94D872-3D03-4CF4-B388-45F13036B9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id="{FC11B05E-8651-4EC4-9A1A-CF531B8A2E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03" name="Text Box 2">
          <a:extLst>
            <a:ext uri="{FF2B5EF4-FFF2-40B4-BE49-F238E27FC236}">
              <a16:creationId xmlns:a16="http://schemas.microsoft.com/office/drawing/2014/main" id="{982B71D6-1D61-47D7-8970-FAA28574F2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4" name="Text Box 1">
          <a:extLst>
            <a:ext uri="{FF2B5EF4-FFF2-40B4-BE49-F238E27FC236}">
              <a16:creationId xmlns:a16="http://schemas.microsoft.com/office/drawing/2014/main" id="{DCD8C2F8-8C63-411E-914A-49AABC1F92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05" name="Text Box 2">
          <a:extLst>
            <a:ext uri="{FF2B5EF4-FFF2-40B4-BE49-F238E27FC236}">
              <a16:creationId xmlns:a16="http://schemas.microsoft.com/office/drawing/2014/main" id="{A80BC730-FC1E-4E08-9334-36C2D4716C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6" name="Text Box 1">
          <a:extLst>
            <a:ext uri="{FF2B5EF4-FFF2-40B4-BE49-F238E27FC236}">
              <a16:creationId xmlns:a16="http://schemas.microsoft.com/office/drawing/2014/main" id="{5AC4C743-9F14-4C96-AE4D-C3ADB4A9CD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3C69211B-ACA9-4759-B1AC-3DDBF8A80F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id="{320A5D4B-03A8-4AA2-A418-37692CC59F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09" name="Text Box 2">
          <a:extLst>
            <a:ext uri="{FF2B5EF4-FFF2-40B4-BE49-F238E27FC236}">
              <a16:creationId xmlns:a16="http://schemas.microsoft.com/office/drawing/2014/main" id="{93D919FF-4E9A-4D91-963C-671259BA07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10" name="Text Box 1">
          <a:extLst>
            <a:ext uri="{FF2B5EF4-FFF2-40B4-BE49-F238E27FC236}">
              <a16:creationId xmlns:a16="http://schemas.microsoft.com/office/drawing/2014/main" id="{DE78C461-1073-4904-B80A-7785BD7D6C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1" name="Text Box 2">
          <a:extLst>
            <a:ext uri="{FF2B5EF4-FFF2-40B4-BE49-F238E27FC236}">
              <a16:creationId xmlns:a16="http://schemas.microsoft.com/office/drawing/2014/main" id="{689FE1AC-BE0F-487E-B083-241A26203E8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12" name="Text Box 1">
          <a:extLst>
            <a:ext uri="{FF2B5EF4-FFF2-40B4-BE49-F238E27FC236}">
              <a16:creationId xmlns:a16="http://schemas.microsoft.com/office/drawing/2014/main" id="{FF468172-1A6C-4E74-B9BE-EBA903835D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540A34F7-AD3C-4DF0-ABC6-1FD73163CD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14" name="Text Box 1">
          <a:extLst>
            <a:ext uri="{FF2B5EF4-FFF2-40B4-BE49-F238E27FC236}">
              <a16:creationId xmlns:a16="http://schemas.microsoft.com/office/drawing/2014/main" id="{12153262-02C5-42B0-A90B-075F582E69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AC1E2B32-FBCC-43CB-B864-48F3AF51A9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id="{DAAF4762-469C-40B1-808B-5F2C31879D2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7" name="Text Box 2">
          <a:extLst>
            <a:ext uri="{FF2B5EF4-FFF2-40B4-BE49-F238E27FC236}">
              <a16:creationId xmlns:a16="http://schemas.microsoft.com/office/drawing/2014/main" id="{32830F66-AB5A-4931-974A-EBAFE25DA8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18" name="Text Box 1">
          <a:extLst>
            <a:ext uri="{FF2B5EF4-FFF2-40B4-BE49-F238E27FC236}">
              <a16:creationId xmlns:a16="http://schemas.microsoft.com/office/drawing/2014/main" id="{9D92D1E1-5035-4E9D-930E-9F41BFAE1E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6EB94C50-D090-41BE-8E15-E4997AAEE0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0" name="Text Box 1">
          <a:extLst>
            <a:ext uri="{FF2B5EF4-FFF2-40B4-BE49-F238E27FC236}">
              <a16:creationId xmlns:a16="http://schemas.microsoft.com/office/drawing/2014/main" id="{4F255BDF-B84A-430F-AB2E-F25E324C1A6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21" name="Text Box 2">
          <a:extLst>
            <a:ext uri="{FF2B5EF4-FFF2-40B4-BE49-F238E27FC236}">
              <a16:creationId xmlns:a16="http://schemas.microsoft.com/office/drawing/2014/main" id="{EB28021A-5E79-4247-9029-8B8067761C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id="{D8190B69-5DBA-4093-96EF-EF87351B29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23" name="Text Box 2">
          <a:extLst>
            <a:ext uri="{FF2B5EF4-FFF2-40B4-BE49-F238E27FC236}">
              <a16:creationId xmlns:a16="http://schemas.microsoft.com/office/drawing/2014/main" id="{CBF91DDD-E931-4345-BE8D-566DC82DDBA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id="{B14B5F54-8236-46E7-B468-1D9A2B1649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0A04508A-350D-43E4-9A47-B8BF6DFE57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6" name="Text Box 1">
          <a:extLst>
            <a:ext uri="{FF2B5EF4-FFF2-40B4-BE49-F238E27FC236}">
              <a16:creationId xmlns:a16="http://schemas.microsoft.com/office/drawing/2014/main" id="{FE639670-B92A-42BB-A931-CF9EF6F292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27" name="Text Box 2">
          <a:extLst>
            <a:ext uri="{FF2B5EF4-FFF2-40B4-BE49-F238E27FC236}">
              <a16:creationId xmlns:a16="http://schemas.microsoft.com/office/drawing/2014/main" id="{1B9829B1-69AF-44F4-9074-D67A1F4873E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28" name="Text Box 1">
          <a:extLst>
            <a:ext uri="{FF2B5EF4-FFF2-40B4-BE49-F238E27FC236}">
              <a16:creationId xmlns:a16="http://schemas.microsoft.com/office/drawing/2014/main" id="{5161DE76-969B-4C8C-95D5-BAF4370D1C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29" name="Text Box 2">
          <a:extLst>
            <a:ext uri="{FF2B5EF4-FFF2-40B4-BE49-F238E27FC236}">
              <a16:creationId xmlns:a16="http://schemas.microsoft.com/office/drawing/2014/main" id="{A792B971-FE91-4432-83E7-9198AD93D5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30" name="Text Box 1">
          <a:extLst>
            <a:ext uri="{FF2B5EF4-FFF2-40B4-BE49-F238E27FC236}">
              <a16:creationId xmlns:a16="http://schemas.microsoft.com/office/drawing/2014/main" id="{4A936A00-CF81-461F-8337-74692948F2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1" name="Text Box 2">
          <a:extLst>
            <a:ext uri="{FF2B5EF4-FFF2-40B4-BE49-F238E27FC236}">
              <a16:creationId xmlns:a16="http://schemas.microsoft.com/office/drawing/2014/main" id="{91E4FB44-1FE2-4CD3-8A10-4360816667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32" name="Text Box 1">
          <a:extLst>
            <a:ext uri="{FF2B5EF4-FFF2-40B4-BE49-F238E27FC236}">
              <a16:creationId xmlns:a16="http://schemas.microsoft.com/office/drawing/2014/main" id="{5C654710-C730-45DE-9866-FAC3BF6F64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AB4F522F-E79F-48B0-B366-6C9F6A5DC4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34" name="Text Box 1">
          <a:extLst>
            <a:ext uri="{FF2B5EF4-FFF2-40B4-BE49-F238E27FC236}">
              <a16:creationId xmlns:a16="http://schemas.microsoft.com/office/drawing/2014/main" id="{8D468BF7-4CD1-4957-A5D2-A7BEC91B69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5" name="Text Box 2">
          <a:extLst>
            <a:ext uri="{FF2B5EF4-FFF2-40B4-BE49-F238E27FC236}">
              <a16:creationId xmlns:a16="http://schemas.microsoft.com/office/drawing/2014/main" id="{186CDAA0-4E58-4AE9-B5C7-F1D250E7792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36" name="Text Box 1">
          <a:extLst>
            <a:ext uri="{FF2B5EF4-FFF2-40B4-BE49-F238E27FC236}">
              <a16:creationId xmlns:a16="http://schemas.microsoft.com/office/drawing/2014/main" id="{1343FF65-E6F9-43DD-970F-57273FA971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7" name="Text Box 2">
          <a:extLst>
            <a:ext uri="{FF2B5EF4-FFF2-40B4-BE49-F238E27FC236}">
              <a16:creationId xmlns:a16="http://schemas.microsoft.com/office/drawing/2014/main" id="{A344F6A4-AF7D-4242-8F76-4F02D93767B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38" name="Text Box 1">
          <a:extLst>
            <a:ext uri="{FF2B5EF4-FFF2-40B4-BE49-F238E27FC236}">
              <a16:creationId xmlns:a16="http://schemas.microsoft.com/office/drawing/2014/main" id="{7788DC89-DDEA-4B69-9497-3CFC14E814F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39" name="Text Box 2">
          <a:extLst>
            <a:ext uri="{FF2B5EF4-FFF2-40B4-BE49-F238E27FC236}">
              <a16:creationId xmlns:a16="http://schemas.microsoft.com/office/drawing/2014/main" id="{C4F4745B-ADCB-499B-AC44-526ABE8772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0" name="Text Box 1">
          <a:extLst>
            <a:ext uri="{FF2B5EF4-FFF2-40B4-BE49-F238E27FC236}">
              <a16:creationId xmlns:a16="http://schemas.microsoft.com/office/drawing/2014/main" id="{C6ED335D-EA89-4983-82D3-BBAA7E6825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41" name="Text Box 2">
          <a:extLst>
            <a:ext uri="{FF2B5EF4-FFF2-40B4-BE49-F238E27FC236}">
              <a16:creationId xmlns:a16="http://schemas.microsoft.com/office/drawing/2014/main" id="{127D14E6-AB17-4E20-B2C8-D60F8457FA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2" name="Text Box 1">
          <a:extLst>
            <a:ext uri="{FF2B5EF4-FFF2-40B4-BE49-F238E27FC236}">
              <a16:creationId xmlns:a16="http://schemas.microsoft.com/office/drawing/2014/main" id="{473213F0-87FA-4EA7-8716-9684E4EFB4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43" name="Text Box 2">
          <a:extLst>
            <a:ext uri="{FF2B5EF4-FFF2-40B4-BE49-F238E27FC236}">
              <a16:creationId xmlns:a16="http://schemas.microsoft.com/office/drawing/2014/main" id="{F7368F81-871B-49E9-B2F8-50AD795747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4" name="Text Box 1">
          <a:extLst>
            <a:ext uri="{FF2B5EF4-FFF2-40B4-BE49-F238E27FC236}">
              <a16:creationId xmlns:a16="http://schemas.microsoft.com/office/drawing/2014/main" id="{4CCDE3A7-8DEA-40EE-A08E-1C5025DCB0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45" name="Text Box 2">
          <a:extLst>
            <a:ext uri="{FF2B5EF4-FFF2-40B4-BE49-F238E27FC236}">
              <a16:creationId xmlns:a16="http://schemas.microsoft.com/office/drawing/2014/main" id="{01BD0B63-8AC3-4E4C-AFBA-685AFCE8B2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6" name="Text Box 1">
          <a:extLst>
            <a:ext uri="{FF2B5EF4-FFF2-40B4-BE49-F238E27FC236}">
              <a16:creationId xmlns:a16="http://schemas.microsoft.com/office/drawing/2014/main" id="{4C7B82E5-2242-4416-9470-C82E9A4AD7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47" name="Text Box 2">
          <a:extLst>
            <a:ext uri="{FF2B5EF4-FFF2-40B4-BE49-F238E27FC236}">
              <a16:creationId xmlns:a16="http://schemas.microsoft.com/office/drawing/2014/main" id="{8CE16C6A-2E90-49FF-BFD6-E877C34DC7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48" name="Text Box 1">
          <a:extLst>
            <a:ext uri="{FF2B5EF4-FFF2-40B4-BE49-F238E27FC236}">
              <a16:creationId xmlns:a16="http://schemas.microsoft.com/office/drawing/2014/main" id="{DED8D98D-7B7E-4540-B573-696308FB08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49" name="Text Box 2">
          <a:extLst>
            <a:ext uri="{FF2B5EF4-FFF2-40B4-BE49-F238E27FC236}">
              <a16:creationId xmlns:a16="http://schemas.microsoft.com/office/drawing/2014/main" id="{4242098B-276F-475B-9FBF-FA76AAB4BD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50" name="Text Box 1">
          <a:extLst>
            <a:ext uri="{FF2B5EF4-FFF2-40B4-BE49-F238E27FC236}">
              <a16:creationId xmlns:a16="http://schemas.microsoft.com/office/drawing/2014/main" id="{3CF71470-4A98-480C-898B-96740032AC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1" name="Text Box 2">
          <a:extLst>
            <a:ext uri="{FF2B5EF4-FFF2-40B4-BE49-F238E27FC236}">
              <a16:creationId xmlns:a16="http://schemas.microsoft.com/office/drawing/2014/main" id="{8BBE3E32-BDCB-4722-9604-38506CD05D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52" name="Text Box 1">
          <a:extLst>
            <a:ext uri="{FF2B5EF4-FFF2-40B4-BE49-F238E27FC236}">
              <a16:creationId xmlns:a16="http://schemas.microsoft.com/office/drawing/2014/main" id="{A185FEBD-46F4-45F4-B602-DE50C6219E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3" name="Text Box 2">
          <a:extLst>
            <a:ext uri="{FF2B5EF4-FFF2-40B4-BE49-F238E27FC236}">
              <a16:creationId xmlns:a16="http://schemas.microsoft.com/office/drawing/2014/main" id="{2A20E710-F444-4247-928C-26E03C8E89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54" name="Text Box 1">
          <a:extLst>
            <a:ext uri="{FF2B5EF4-FFF2-40B4-BE49-F238E27FC236}">
              <a16:creationId xmlns:a16="http://schemas.microsoft.com/office/drawing/2014/main" id="{F273D6FE-1890-41B4-9798-2BC3079D2B0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5" name="Text Box 2">
          <a:extLst>
            <a:ext uri="{FF2B5EF4-FFF2-40B4-BE49-F238E27FC236}">
              <a16:creationId xmlns:a16="http://schemas.microsoft.com/office/drawing/2014/main" id="{2081716B-77FB-45A7-BFC6-BFD106B6AA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56" name="Text Box 1">
          <a:extLst>
            <a:ext uri="{FF2B5EF4-FFF2-40B4-BE49-F238E27FC236}">
              <a16:creationId xmlns:a16="http://schemas.microsoft.com/office/drawing/2014/main" id="{1A95FB51-4ACC-4189-B62F-861EA6C177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7" name="Text Box 2">
          <a:extLst>
            <a:ext uri="{FF2B5EF4-FFF2-40B4-BE49-F238E27FC236}">
              <a16:creationId xmlns:a16="http://schemas.microsoft.com/office/drawing/2014/main" id="{C57351C3-B9A1-409B-BD41-0C962564A3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id="{D0B3A2A5-ACAE-4F74-9404-D39D2B32D0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59" name="Text Box 2">
          <a:extLst>
            <a:ext uri="{FF2B5EF4-FFF2-40B4-BE49-F238E27FC236}">
              <a16:creationId xmlns:a16="http://schemas.microsoft.com/office/drawing/2014/main" id="{0B688C7B-3196-4BBF-959F-0F5A330516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0" name="Text Box 1">
          <a:extLst>
            <a:ext uri="{FF2B5EF4-FFF2-40B4-BE49-F238E27FC236}">
              <a16:creationId xmlns:a16="http://schemas.microsoft.com/office/drawing/2014/main" id="{E4CF22D7-9629-4F44-8896-E7492840DA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61" name="Text Box 2">
          <a:extLst>
            <a:ext uri="{FF2B5EF4-FFF2-40B4-BE49-F238E27FC236}">
              <a16:creationId xmlns:a16="http://schemas.microsoft.com/office/drawing/2014/main" id="{6EBD2BA4-D87A-4095-96E0-2987D607A18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2" name="Text Box 1">
          <a:extLst>
            <a:ext uri="{FF2B5EF4-FFF2-40B4-BE49-F238E27FC236}">
              <a16:creationId xmlns:a16="http://schemas.microsoft.com/office/drawing/2014/main" id="{A4196414-41EA-4004-84E6-9C9359802F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63" name="Text Box 2">
          <a:extLst>
            <a:ext uri="{FF2B5EF4-FFF2-40B4-BE49-F238E27FC236}">
              <a16:creationId xmlns:a16="http://schemas.microsoft.com/office/drawing/2014/main" id="{6A3AABF9-3896-4C77-82E1-40C9BEEE251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4" name="Text Box 1">
          <a:extLst>
            <a:ext uri="{FF2B5EF4-FFF2-40B4-BE49-F238E27FC236}">
              <a16:creationId xmlns:a16="http://schemas.microsoft.com/office/drawing/2014/main" id="{88095E27-B1FA-4424-9416-1355282769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65" name="Text Box 2">
          <a:extLst>
            <a:ext uri="{FF2B5EF4-FFF2-40B4-BE49-F238E27FC236}">
              <a16:creationId xmlns:a16="http://schemas.microsoft.com/office/drawing/2014/main" id="{EABC44C6-4013-49DE-8AEE-10967F35AE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id="{4E6EEA57-4E04-4C8A-B93C-A7F59BDA1D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67" name="Text Box 2">
          <a:extLst>
            <a:ext uri="{FF2B5EF4-FFF2-40B4-BE49-F238E27FC236}">
              <a16:creationId xmlns:a16="http://schemas.microsoft.com/office/drawing/2014/main" id="{6CFEF4D9-9816-42FA-A98F-911F77A59D2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id="{64A9220B-52FA-483B-B816-0C162D9166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69" name="Text Box 2">
          <a:extLst>
            <a:ext uri="{FF2B5EF4-FFF2-40B4-BE49-F238E27FC236}">
              <a16:creationId xmlns:a16="http://schemas.microsoft.com/office/drawing/2014/main" id="{08F42D1C-198E-4EED-BF17-111ABC4F87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70" name="Text Box 1">
          <a:extLst>
            <a:ext uri="{FF2B5EF4-FFF2-40B4-BE49-F238E27FC236}">
              <a16:creationId xmlns:a16="http://schemas.microsoft.com/office/drawing/2014/main" id="{3CF85D13-A379-48CC-9C21-2DFEC83B73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1" name="Text Box 2">
          <a:extLst>
            <a:ext uri="{FF2B5EF4-FFF2-40B4-BE49-F238E27FC236}">
              <a16:creationId xmlns:a16="http://schemas.microsoft.com/office/drawing/2014/main" id="{0FFE0533-14E2-47D1-AA12-5BDB24C626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72" name="Text Box 1">
          <a:extLst>
            <a:ext uri="{FF2B5EF4-FFF2-40B4-BE49-F238E27FC236}">
              <a16:creationId xmlns:a16="http://schemas.microsoft.com/office/drawing/2014/main" id="{460D2D5D-2385-4A82-8FE5-DF07339CC9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3" name="Text Box 2">
          <a:extLst>
            <a:ext uri="{FF2B5EF4-FFF2-40B4-BE49-F238E27FC236}">
              <a16:creationId xmlns:a16="http://schemas.microsoft.com/office/drawing/2014/main" id="{4EC8FB87-10AF-427B-A9B7-23B0E18E1D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74" name="Text Box 1">
          <a:extLst>
            <a:ext uri="{FF2B5EF4-FFF2-40B4-BE49-F238E27FC236}">
              <a16:creationId xmlns:a16="http://schemas.microsoft.com/office/drawing/2014/main" id="{C730D745-3A13-46CE-9740-721D00BA4A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5" name="Text Box 2">
          <a:extLst>
            <a:ext uri="{FF2B5EF4-FFF2-40B4-BE49-F238E27FC236}">
              <a16:creationId xmlns:a16="http://schemas.microsoft.com/office/drawing/2014/main" id="{47EAA941-BB1D-436A-9C65-4DD137CFDBC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76" name="Text Box 1">
          <a:extLst>
            <a:ext uri="{FF2B5EF4-FFF2-40B4-BE49-F238E27FC236}">
              <a16:creationId xmlns:a16="http://schemas.microsoft.com/office/drawing/2014/main" id="{86616D36-6AF5-4C6C-8522-1DF1B931247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7" name="Text Box 2">
          <a:extLst>
            <a:ext uri="{FF2B5EF4-FFF2-40B4-BE49-F238E27FC236}">
              <a16:creationId xmlns:a16="http://schemas.microsoft.com/office/drawing/2014/main" id="{EE13C55D-44B4-4BB7-967E-065B778288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id="{2240ADE1-6934-4D3A-9440-7123D7E45A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79" name="Text Box 2">
          <a:extLst>
            <a:ext uri="{FF2B5EF4-FFF2-40B4-BE49-F238E27FC236}">
              <a16:creationId xmlns:a16="http://schemas.microsoft.com/office/drawing/2014/main" id="{5134F1C4-467E-487D-BDE0-A0DE3F8EA2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0" name="Text Box 1">
          <a:extLst>
            <a:ext uri="{FF2B5EF4-FFF2-40B4-BE49-F238E27FC236}">
              <a16:creationId xmlns:a16="http://schemas.microsoft.com/office/drawing/2014/main" id="{AD371917-843E-4910-A3DE-B0D622E9E0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81" name="Text Box 2">
          <a:extLst>
            <a:ext uri="{FF2B5EF4-FFF2-40B4-BE49-F238E27FC236}">
              <a16:creationId xmlns:a16="http://schemas.microsoft.com/office/drawing/2014/main" id="{D51894E5-DFE9-42C6-A77B-4C79759077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2" name="Text Box 1">
          <a:extLst>
            <a:ext uri="{FF2B5EF4-FFF2-40B4-BE49-F238E27FC236}">
              <a16:creationId xmlns:a16="http://schemas.microsoft.com/office/drawing/2014/main" id="{4A847994-8B2E-4009-B9E7-DBD3310A98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83" name="Text Box 2">
          <a:extLst>
            <a:ext uri="{FF2B5EF4-FFF2-40B4-BE49-F238E27FC236}">
              <a16:creationId xmlns:a16="http://schemas.microsoft.com/office/drawing/2014/main" id="{49E8E14A-A73B-42D6-B419-583BEBBD8A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4" name="Text Box 1">
          <a:extLst>
            <a:ext uri="{FF2B5EF4-FFF2-40B4-BE49-F238E27FC236}">
              <a16:creationId xmlns:a16="http://schemas.microsoft.com/office/drawing/2014/main" id="{51C8228D-77DC-40A1-BED1-508A675D7A3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85" name="Text Box 2">
          <a:extLst>
            <a:ext uri="{FF2B5EF4-FFF2-40B4-BE49-F238E27FC236}">
              <a16:creationId xmlns:a16="http://schemas.microsoft.com/office/drawing/2014/main" id="{7DA233F4-280A-40DC-8B4D-0F50A232BE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id="{4BD885A3-028C-41AC-AFC4-74FF44B7F5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87" name="Text Box 2">
          <a:extLst>
            <a:ext uri="{FF2B5EF4-FFF2-40B4-BE49-F238E27FC236}">
              <a16:creationId xmlns:a16="http://schemas.microsoft.com/office/drawing/2014/main" id="{97865564-1FE0-4A8E-BD68-7C0CACB105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88" name="Text Box 1">
          <a:extLst>
            <a:ext uri="{FF2B5EF4-FFF2-40B4-BE49-F238E27FC236}">
              <a16:creationId xmlns:a16="http://schemas.microsoft.com/office/drawing/2014/main" id="{E26D37F4-BC1A-4792-818F-E8FB0DA434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89" name="Text Box 2">
          <a:extLst>
            <a:ext uri="{FF2B5EF4-FFF2-40B4-BE49-F238E27FC236}">
              <a16:creationId xmlns:a16="http://schemas.microsoft.com/office/drawing/2014/main" id="{1F55810F-6CF0-4937-BF06-37D7656FB8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90" name="Text Box 1">
          <a:extLst>
            <a:ext uri="{FF2B5EF4-FFF2-40B4-BE49-F238E27FC236}">
              <a16:creationId xmlns:a16="http://schemas.microsoft.com/office/drawing/2014/main" id="{91E987AD-69A7-4FB5-9AAC-23C17B3CCA2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1" name="Text Box 2">
          <a:extLst>
            <a:ext uri="{FF2B5EF4-FFF2-40B4-BE49-F238E27FC236}">
              <a16:creationId xmlns:a16="http://schemas.microsoft.com/office/drawing/2014/main" id="{C5AFCDBE-9BD4-4A42-88C3-AD8A13764B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92" name="Text Box 1">
          <a:extLst>
            <a:ext uri="{FF2B5EF4-FFF2-40B4-BE49-F238E27FC236}">
              <a16:creationId xmlns:a16="http://schemas.microsoft.com/office/drawing/2014/main" id="{486E8F50-D0BF-460D-9AD9-2A65CBC0D0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3" name="Text Box 2">
          <a:extLst>
            <a:ext uri="{FF2B5EF4-FFF2-40B4-BE49-F238E27FC236}">
              <a16:creationId xmlns:a16="http://schemas.microsoft.com/office/drawing/2014/main" id="{64E708E9-4650-435C-B821-55BD643864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id="{4B2DD18A-560E-431C-B23A-52A7502738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5" name="Text Box 2">
          <a:extLst>
            <a:ext uri="{FF2B5EF4-FFF2-40B4-BE49-F238E27FC236}">
              <a16:creationId xmlns:a16="http://schemas.microsoft.com/office/drawing/2014/main" id="{3BE32FEC-2035-4720-8F96-37DAC82749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96" name="Text Box 1">
          <a:extLst>
            <a:ext uri="{FF2B5EF4-FFF2-40B4-BE49-F238E27FC236}">
              <a16:creationId xmlns:a16="http://schemas.microsoft.com/office/drawing/2014/main" id="{B5A4F8E6-064E-4DD2-A4B3-973E875322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7" name="Text Box 2">
          <a:extLst>
            <a:ext uri="{FF2B5EF4-FFF2-40B4-BE49-F238E27FC236}">
              <a16:creationId xmlns:a16="http://schemas.microsoft.com/office/drawing/2014/main" id="{B943ED5B-A928-40B2-941A-8DAA68ECD3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id="{10920E2F-AC9F-4F48-8823-1050C60EA2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099" name="Text Box 2">
          <a:extLst>
            <a:ext uri="{FF2B5EF4-FFF2-40B4-BE49-F238E27FC236}">
              <a16:creationId xmlns:a16="http://schemas.microsoft.com/office/drawing/2014/main" id="{FF5984E8-6691-42A6-ADDB-EEDDC002297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0" name="Text Box 1">
          <a:extLst>
            <a:ext uri="{FF2B5EF4-FFF2-40B4-BE49-F238E27FC236}">
              <a16:creationId xmlns:a16="http://schemas.microsoft.com/office/drawing/2014/main" id="{A53719C8-A6BC-4583-BEF0-D5DA113442B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01" name="Text Box 2">
          <a:extLst>
            <a:ext uri="{FF2B5EF4-FFF2-40B4-BE49-F238E27FC236}">
              <a16:creationId xmlns:a16="http://schemas.microsoft.com/office/drawing/2014/main" id="{3ECFEFD0-E6C9-4E9A-84EB-6FBD882E3A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2" name="Text Box 1">
          <a:extLst>
            <a:ext uri="{FF2B5EF4-FFF2-40B4-BE49-F238E27FC236}">
              <a16:creationId xmlns:a16="http://schemas.microsoft.com/office/drawing/2014/main" id="{72193D8E-71E5-4EDF-A277-D7B120FA72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03" name="Text Box 2">
          <a:extLst>
            <a:ext uri="{FF2B5EF4-FFF2-40B4-BE49-F238E27FC236}">
              <a16:creationId xmlns:a16="http://schemas.microsoft.com/office/drawing/2014/main" id="{B926A148-15A4-4000-ACE7-0E8B4D5194E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id="{64B255BF-23D0-4A61-AB9E-43C703A598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05" name="Text Box 2">
          <a:extLst>
            <a:ext uri="{FF2B5EF4-FFF2-40B4-BE49-F238E27FC236}">
              <a16:creationId xmlns:a16="http://schemas.microsoft.com/office/drawing/2014/main" id="{F0D8EF82-E5CB-4702-90C5-D22D08EA25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6" name="Text Box 1">
          <a:extLst>
            <a:ext uri="{FF2B5EF4-FFF2-40B4-BE49-F238E27FC236}">
              <a16:creationId xmlns:a16="http://schemas.microsoft.com/office/drawing/2014/main" id="{006E44CC-E3D4-461D-A215-CDA1620676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07" name="Text Box 2">
          <a:extLst>
            <a:ext uri="{FF2B5EF4-FFF2-40B4-BE49-F238E27FC236}">
              <a16:creationId xmlns:a16="http://schemas.microsoft.com/office/drawing/2014/main" id="{10EF7708-8069-43CA-BD1E-A9B48880A5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08" name="Text Box 1">
          <a:extLst>
            <a:ext uri="{FF2B5EF4-FFF2-40B4-BE49-F238E27FC236}">
              <a16:creationId xmlns:a16="http://schemas.microsoft.com/office/drawing/2014/main" id="{B0FAA1B3-60BD-4D12-BEE0-D5936785A8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09" name="Text Box 2">
          <a:extLst>
            <a:ext uri="{FF2B5EF4-FFF2-40B4-BE49-F238E27FC236}">
              <a16:creationId xmlns:a16="http://schemas.microsoft.com/office/drawing/2014/main" id="{BB2EEF6D-29F4-4BB7-9C3B-88D58D3C57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10" name="Text Box 1">
          <a:extLst>
            <a:ext uri="{FF2B5EF4-FFF2-40B4-BE49-F238E27FC236}">
              <a16:creationId xmlns:a16="http://schemas.microsoft.com/office/drawing/2014/main" id="{310BA010-7A67-4170-82CE-FC1CBC448A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1" name="Text Box 2">
          <a:extLst>
            <a:ext uri="{FF2B5EF4-FFF2-40B4-BE49-F238E27FC236}">
              <a16:creationId xmlns:a16="http://schemas.microsoft.com/office/drawing/2014/main" id="{0BCDAF14-FBE9-4E44-8C6E-5D23356DDDB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12" name="Text Box 1">
          <a:extLst>
            <a:ext uri="{FF2B5EF4-FFF2-40B4-BE49-F238E27FC236}">
              <a16:creationId xmlns:a16="http://schemas.microsoft.com/office/drawing/2014/main" id="{EC0B264F-C113-46A4-B6DC-632E827BE9D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3" name="Text Box 2">
          <a:extLst>
            <a:ext uri="{FF2B5EF4-FFF2-40B4-BE49-F238E27FC236}">
              <a16:creationId xmlns:a16="http://schemas.microsoft.com/office/drawing/2014/main" id="{EB6DA3BB-EED6-4FC2-B2DE-058923EE60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14" name="Text Box 1">
          <a:extLst>
            <a:ext uri="{FF2B5EF4-FFF2-40B4-BE49-F238E27FC236}">
              <a16:creationId xmlns:a16="http://schemas.microsoft.com/office/drawing/2014/main" id="{2BFF9D61-ADC2-4951-AB85-0C868491CE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5" name="Text Box 2">
          <a:extLst>
            <a:ext uri="{FF2B5EF4-FFF2-40B4-BE49-F238E27FC236}">
              <a16:creationId xmlns:a16="http://schemas.microsoft.com/office/drawing/2014/main" id="{000C5DC3-E6B5-4FD4-AEAD-8AE21FAA77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16" name="Text Box 1">
          <a:extLst>
            <a:ext uri="{FF2B5EF4-FFF2-40B4-BE49-F238E27FC236}">
              <a16:creationId xmlns:a16="http://schemas.microsoft.com/office/drawing/2014/main" id="{E2BE4F17-5539-45A6-B21C-88074C55D8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7" name="Text Box 2">
          <a:extLst>
            <a:ext uri="{FF2B5EF4-FFF2-40B4-BE49-F238E27FC236}">
              <a16:creationId xmlns:a16="http://schemas.microsoft.com/office/drawing/2014/main" id="{8778AE93-B8FB-4C6E-AFD4-75C6FC08139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18" name="Text Box 1">
          <a:extLst>
            <a:ext uri="{FF2B5EF4-FFF2-40B4-BE49-F238E27FC236}">
              <a16:creationId xmlns:a16="http://schemas.microsoft.com/office/drawing/2014/main" id="{0F3F1387-C080-40D2-A8CE-8983410A22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19" name="Text Box 2">
          <a:extLst>
            <a:ext uri="{FF2B5EF4-FFF2-40B4-BE49-F238E27FC236}">
              <a16:creationId xmlns:a16="http://schemas.microsoft.com/office/drawing/2014/main" id="{AB9E90E7-BEE3-42BD-8A98-2D250DE98D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0" name="Text Box 1">
          <a:extLst>
            <a:ext uri="{FF2B5EF4-FFF2-40B4-BE49-F238E27FC236}">
              <a16:creationId xmlns:a16="http://schemas.microsoft.com/office/drawing/2014/main" id="{DD13268B-2155-4B88-90EE-91E5768E55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21" name="Text Box 2">
          <a:extLst>
            <a:ext uri="{FF2B5EF4-FFF2-40B4-BE49-F238E27FC236}">
              <a16:creationId xmlns:a16="http://schemas.microsoft.com/office/drawing/2014/main" id="{37E9F3C6-0001-4A52-91B6-53B8B109AD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2" name="Text Box 1">
          <a:extLst>
            <a:ext uri="{FF2B5EF4-FFF2-40B4-BE49-F238E27FC236}">
              <a16:creationId xmlns:a16="http://schemas.microsoft.com/office/drawing/2014/main" id="{8C61E4CA-9CEE-41EA-8251-EC07AFE45A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23" name="Text Box 2">
          <a:extLst>
            <a:ext uri="{FF2B5EF4-FFF2-40B4-BE49-F238E27FC236}">
              <a16:creationId xmlns:a16="http://schemas.microsoft.com/office/drawing/2014/main" id="{A4FAE3F2-AE85-4C6E-8B04-D7484544A02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4" name="Text Box 1">
          <a:extLst>
            <a:ext uri="{FF2B5EF4-FFF2-40B4-BE49-F238E27FC236}">
              <a16:creationId xmlns:a16="http://schemas.microsoft.com/office/drawing/2014/main" id="{FCE0841D-DA95-4DED-B394-07D216988A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25" name="Text Box 2">
          <a:extLst>
            <a:ext uri="{FF2B5EF4-FFF2-40B4-BE49-F238E27FC236}">
              <a16:creationId xmlns:a16="http://schemas.microsoft.com/office/drawing/2014/main" id="{CC1AFC1A-4A24-4899-A192-57230EC6EC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6" name="Text Box 1">
          <a:extLst>
            <a:ext uri="{FF2B5EF4-FFF2-40B4-BE49-F238E27FC236}">
              <a16:creationId xmlns:a16="http://schemas.microsoft.com/office/drawing/2014/main" id="{7AEE2A34-C05A-40F7-9414-BDEBCCA5E2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27" name="Text Box 2">
          <a:extLst>
            <a:ext uri="{FF2B5EF4-FFF2-40B4-BE49-F238E27FC236}">
              <a16:creationId xmlns:a16="http://schemas.microsoft.com/office/drawing/2014/main" id="{75FD9733-2EA5-4DC0-B74F-D565DD7523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28" name="Text Box 1">
          <a:extLst>
            <a:ext uri="{FF2B5EF4-FFF2-40B4-BE49-F238E27FC236}">
              <a16:creationId xmlns:a16="http://schemas.microsoft.com/office/drawing/2014/main" id="{A90E970E-6EA3-46F0-9552-EA6DAD2EAA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29" name="Text Box 2">
          <a:extLst>
            <a:ext uri="{FF2B5EF4-FFF2-40B4-BE49-F238E27FC236}">
              <a16:creationId xmlns:a16="http://schemas.microsoft.com/office/drawing/2014/main" id="{0E04238E-58D9-4CF9-9BBF-216E540D11C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30" name="Text Box 1">
          <a:extLst>
            <a:ext uri="{FF2B5EF4-FFF2-40B4-BE49-F238E27FC236}">
              <a16:creationId xmlns:a16="http://schemas.microsoft.com/office/drawing/2014/main" id="{00BF10D8-AD5B-42AE-8605-68F74A1239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1" name="Text Box 2">
          <a:extLst>
            <a:ext uri="{FF2B5EF4-FFF2-40B4-BE49-F238E27FC236}">
              <a16:creationId xmlns:a16="http://schemas.microsoft.com/office/drawing/2014/main" id="{CEC2E937-E78F-40D5-831D-5E5648011F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id="{45603D89-0FEB-409E-B73B-3453703D18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3" name="Text Box 2">
          <a:extLst>
            <a:ext uri="{FF2B5EF4-FFF2-40B4-BE49-F238E27FC236}">
              <a16:creationId xmlns:a16="http://schemas.microsoft.com/office/drawing/2014/main" id="{F450B4F0-D213-4D76-B0A4-D16DE75B2A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34" name="Text Box 1">
          <a:extLst>
            <a:ext uri="{FF2B5EF4-FFF2-40B4-BE49-F238E27FC236}">
              <a16:creationId xmlns:a16="http://schemas.microsoft.com/office/drawing/2014/main" id="{4C52A74E-E3A6-4BF3-9B8D-4F3DDB1BBC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5" name="Text Box 2">
          <a:extLst>
            <a:ext uri="{FF2B5EF4-FFF2-40B4-BE49-F238E27FC236}">
              <a16:creationId xmlns:a16="http://schemas.microsoft.com/office/drawing/2014/main" id="{6FEE64B3-559D-40B5-AADE-845198CACC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id="{6AEC65E4-1E6C-4E71-856D-31CA0A3F828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7" name="Text Box 2">
          <a:extLst>
            <a:ext uri="{FF2B5EF4-FFF2-40B4-BE49-F238E27FC236}">
              <a16:creationId xmlns:a16="http://schemas.microsoft.com/office/drawing/2014/main" id="{B082BB3B-3551-4744-8D35-E6A443300F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38" name="Text Box 1">
          <a:extLst>
            <a:ext uri="{FF2B5EF4-FFF2-40B4-BE49-F238E27FC236}">
              <a16:creationId xmlns:a16="http://schemas.microsoft.com/office/drawing/2014/main" id="{38C29B37-2874-4ABB-BA31-6B6FB7402E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39" name="Text Box 2">
          <a:extLst>
            <a:ext uri="{FF2B5EF4-FFF2-40B4-BE49-F238E27FC236}">
              <a16:creationId xmlns:a16="http://schemas.microsoft.com/office/drawing/2014/main" id="{1FDBD1C4-5672-4B64-B5E2-8AFDA842E6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id="{15EB1C36-C6D4-4360-88F4-AAEFCB6FF1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41" name="Text Box 2">
          <a:extLst>
            <a:ext uri="{FF2B5EF4-FFF2-40B4-BE49-F238E27FC236}">
              <a16:creationId xmlns:a16="http://schemas.microsoft.com/office/drawing/2014/main" id="{72254EF1-5F5F-45A0-9DC1-AA2E169249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2" name="Text Box 1">
          <a:extLst>
            <a:ext uri="{FF2B5EF4-FFF2-40B4-BE49-F238E27FC236}">
              <a16:creationId xmlns:a16="http://schemas.microsoft.com/office/drawing/2014/main" id="{F0770283-FDE3-400D-9085-E3C81D8ACB6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43" name="Text Box 2">
          <a:extLst>
            <a:ext uri="{FF2B5EF4-FFF2-40B4-BE49-F238E27FC236}">
              <a16:creationId xmlns:a16="http://schemas.microsoft.com/office/drawing/2014/main" id="{2CE27EE8-C2BF-4F7E-8875-13DB337197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id="{3E8A86F6-3CB6-4F7C-BABE-178FA04F2F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45" name="Text Box 2">
          <a:extLst>
            <a:ext uri="{FF2B5EF4-FFF2-40B4-BE49-F238E27FC236}">
              <a16:creationId xmlns:a16="http://schemas.microsoft.com/office/drawing/2014/main" id="{8F3283A9-2C58-45C8-9684-8378FD57C1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id="{468B4246-7B5E-4F7C-8355-109F8660BB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47" name="Text Box 2">
          <a:extLst>
            <a:ext uri="{FF2B5EF4-FFF2-40B4-BE49-F238E27FC236}">
              <a16:creationId xmlns:a16="http://schemas.microsoft.com/office/drawing/2014/main" id="{03BFE3E8-C682-48D5-BF3D-A124866C90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id="{427B372F-2EA5-4731-825D-01C1C50A27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49" name="Text Box 2">
          <a:extLst>
            <a:ext uri="{FF2B5EF4-FFF2-40B4-BE49-F238E27FC236}">
              <a16:creationId xmlns:a16="http://schemas.microsoft.com/office/drawing/2014/main" id="{4A9B030C-5839-42D9-9527-3686051FCE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id="{5B023EB3-11CB-4A64-9D87-DE788EAD74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1" name="Text Box 2">
          <a:extLst>
            <a:ext uri="{FF2B5EF4-FFF2-40B4-BE49-F238E27FC236}">
              <a16:creationId xmlns:a16="http://schemas.microsoft.com/office/drawing/2014/main" id="{9F22203C-8B8C-4AC6-ABF5-EE1883E399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id="{BF7B0011-EE67-4AF1-B6D0-5491B9E0BD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2BA90C57-CA77-46CA-8E62-61D12F1373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id="{BFF82CE2-9E49-4B07-8889-A8FA9A71C8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5" name="Text Box 2">
          <a:extLst>
            <a:ext uri="{FF2B5EF4-FFF2-40B4-BE49-F238E27FC236}">
              <a16:creationId xmlns:a16="http://schemas.microsoft.com/office/drawing/2014/main" id="{DA59DEE1-CA23-4767-8387-0AB7FFC368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id="{450A8359-E5D3-40F1-84F8-0FEFF054B7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7" name="Text Box 2">
          <a:extLst>
            <a:ext uri="{FF2B5EF4-FFF2-40B4-BE49-F238E27FC236}">
              <a16:creationId xmlns:a16="http://schemas.microsoft.com/office/drawing/2014/main" id="{645765A2-3ADC-4818-9856-A4F1C91A83D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id="{7FE6860E-9D6C-4C2D-82EB-89ACF4EEE0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59" name="Text Box 2">
          <a:extLst>
            <a:ext uri="{FF2B5EF4-FFF2-40B4-BE49-F238E27FC236}">
              <a16:creationId xmlns:a16="http://schemas.microsoft.com/office/drawing/2014/main" id="{1C8C7882-DFE2-49C1-8FB9-93F4D8331A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id="{5C8CCDCF-4128-42A0-8C4D-F52E912DE6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D03DEEAD-F2F8-4093-A591-09BE5340B0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id="{65929C4C-23B7-4AE0-8FA3-9A15C937D79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63" name="Text Box 2">
          <a:extLst>
            <a:ext uri="{FF2B5EF4-FFF2-40B4-BE49-F238E27FC236}">
              <a16:creationId xmlns:a16="http://schemas.microsoft.com/office/drawing/2014/main" id="{23C0E9FA-9E5F-4E6A-9F52-C682E70850C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id="{400418BA-D316-45F1-AB02-7FBD30FD3AC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65" name="Text Box 2">
          <a:extLst>
            <a:ext uri="{FF2B5EF4-FFF2-40B4-BE49-F238E27FC236}">
              <a16:creationId xmlns:a16="http://schemas.microsoft.com/office/drawing/2014/main" id="{38DF0826-49E7-4DBC-9E25-FCA71071A3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id="{21940083-835D-43F0-87AB-CD836EE4210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67" name="Text Box 2">
          <a:extLst>
            <a:ext uri="{FF2B5EF4-FFF2-40B4-BE49-F238E27FC236}">
              <a16:creationId xmlns:a16="http://schemas.microsoft.com/office/drawing/2014/main" id="{FEDCD9F5-48FD-433E-B0AB-0E17818DE6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68" name="Text Box 1">
          <a:extLst>
            <a:ext uri="{FF2B5EF4-FFF2-40B4-BE49-F238E27FC236}">
              <a16:creationId xmlns:a16="http://schemas.microsoft.com/office/drawing/2014/main" id="{7AACDB95-0857-4039-B9A9-081BA24508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69" name="Text Box 2">
          <a:extLst>
            <a:ext uri="{FF2B5EF4-FFF2-40B4-BE49-F238E27FC236}">
              <a16:creationId xmlns:a16="http://schemas.microsoft.com/office/drawing/2014/main" id="{20BC0330-1510-4AD3-A6D7-97194EFD38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id="{AE134FB2-C812-41CB-BD1B-B070954A14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1" name="Text Box 2">
          <a:extLst>
            <a:ext uri="{FF2B5EF4-FFF2-40B4-BE49-F238E27FC236}">
              <a16:creationId xmlns:a16="http://schemas.microsoft.com/office/drawing/2014/main" id="{BD5DC4A7-3C07-426F-BC2B-76F17AA05B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72" name="Text Box 1">
          <a:extLst>
            <a:ext uri="{FF2B5EF4-FFF2-40B4-BE49-F238E27FC236}">
              <a16:creationId xmlns:a16="http://schemas.microsoft.com/office/drawing/2014/main" id="{9C2DBE4E-C1EB-451D-825E-B92E93F1A9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3" name="Text Box 2">
          <a:extLst>
            <a:ext uri="{FF2B5EF4-FFF2-40B4-BE49-F238E27FC236}">
              <a16:creationId xmlns:a16="http://schemas.microsoft.com/office/drawing/2014/main" id="{9D6D4528-44F8-4C62-91BA-CF79FCD0ED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id="{8A287C48-2939-43F4-A029-142BE244A4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5" name="Text Box 2">
          <a:extLst>
            <a:ext uri="{FF2B5EF4-FFF2-40B4-BE49-F238E27FC236}">
              <a16:creationId xmlns:a16="http://schemas.microsoft.com/office/drawing/2014/main" id="{C8E44638-6B5F-4A0C-9FE9-BD5C5A358DD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76" name="Text Box 1">
          <a:extLst>
            <a:ext uri="{FF2B5EF4-FFF2-40B4-BE49-F238E27FC236}">
              <a16:creationId xmlns:a16="http://schemas.microsoft.com/office/drawing/2014/main" id="{36BD12EF-26AD-415B-AC2A-EA56569EF1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7" name="Text Box 2">
          <a:extLst>
            <a:ext uri="{FF2B5EF4-FFF2-40B4-BE49-F238E27FC236}">
              <a16:creationId xmlns:a16="http://schemas.microsoft.com/office/drawing/2014/main" id="{4D421A9C-49FE-4D76-987A-F9E353C710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id="{166C5F06-DCF9-4F74-AF66-8A9557966A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79" name="Text Box 2">
          <a:extLst>
            <a:ext uri="{FF2B5EF4-FFF2-40B4-BE49-F238E27FC236}">
              <a16:creationId xmlns:a16="http://schemas.microsoft.com/office/drawing/2014/main" id="{340EAF1B-ECCC-4794-82E4-C336008A2B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0" name="Text Box 1">
          <a:extLst>
            <a:ext uri="{FF2B5EF4-FFF2-40B4-BE49-F238E27FC236}">
              <a16:creationId xmlns:a16="http://schemas.microsoft.com/office/drawing/2014/main" id="{103CA0C3-6113-450A-B77E-F9DAC307AA2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81" name="Text Box 2">
          <a:extLst>
            <a:ext uri="{FF2B5EF4-FFF2-40B4-BE49-F238E27FC236}">
              <a16:creationId xmlns:a16="http://schemas.microsoft.com/office/drawing/2014/main" id="{F1007C0B-A509-4E66-BBDB-10DD7084B5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7D60D6AB-EB2A-4B7B-8F2A-B40EFC47D1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83" name="Text Box 2">
          <a:extLst>
            <a:ext uri="{FF2B5EF4-FFF2-40B4-BE49-F238E27FC236}">
              <a16:creationId xmlns:a16="http://schemas.microsoft.com/office/drawing/2014/main" id="{4D4B9DCA-ACC1-4527-834E-DBF44856E9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id="{609342ED-D91B-4425-9A0A-F3B6CC775AD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85" name="Text Box 2">
          <a:extLst>
            <a:ext uri="{FF2B5EF4-FFF2-40B4-BE49-F238E27FC236}">
              <a16:creationId xmlns:a16="http://schemas.microsoft.com/office/drawing/2014/main" id="{3F73F567-87FF-49E1-B41D-1EFCAD88D1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30275C5C-BC21-43EB-A507-B8B9BE788C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87" name="Text Box 2">
          <a:extLst>
            <a:ext uri="{FF2B5EF4-FFF2-40B4-BE49-F238E27FC236}">
              <a16:creationId xmlns:a16="http://schemas.microsoft.com/office/drawing/2014/main" id="{038B063F-FB1E-4AD1-A6AB-6B0145ADDD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id="{18C508F7-2F54-4657-8F9B-26B2223376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89" name="Text Box 2">
          <a:extLst>
            <a:ext uri="{FF2B5EF4-FFF2-40B4-BE49-F238E27FC236}">
              <a16:creationId xmlns:a16="http://schemas.microsoft.com/office/drawing/2014/main" id="{62FAD07A-9C61-4864-A59D-764766D9D7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B3B35327-F056-42E2-A15D-AABB0D5385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1" name="Text Box 2">
          <a:extLst>
            <a:ext uri="{FF2B5EF4-FFF2-40B4-BE49-F238E27FC236}">
              <a16:creationId xmlns:a16="http://schemas.microsoft.com/office/drawing/2014/main" id="{DB52CD8B-9EE4-4EA0-9323-80D6729931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B203856E-C951-493D-BE9B-BFB7E4C949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3" name="Text Box 2">
          <a:extLst>
            <a:ext uri="{FF2B5EF4-FFF2-40B4-BE49-F238E27FC236}">
              <a16:creationId xmlns:a16="http://schemas.microsoft.com/office/drawing/2014/main" id="{302C2E5F-728F-4C23-8F04-EE61A168A16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D0F2A663-6DE2-4341-920E-2B5C2080BA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5" name="Text Box 2">
          <a:extLst>
            <a:ext uri="{FF2B5EF4-FFF2-40B4-BE49-F238E27FC236}">
              <a16:creationId xmlns:a16="http://schemas.microsoft.com/office/drawing/2014/main" id="{234A5A94-4D2E-4F71-B5A1-3EACCC7EEE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F187D2C3-C078-49F4-ABB8-EA41D382130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7" name="Text Box 2">
          <a:extLst>
            <a:ext uri="{FF2B5EF4-FFF2-40B4-BE49-F238E27FC236}">
              <a16:creationId xmlns:a16="http://schemas.microsoft.com/office/drawing/2014/main" id="{8343F1AB-08ED-4682-9926-EF5111949C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6B42BED3-EAE2-4E08-ADE5-1616006DCB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199" name="Text Box 2">
          <a:extLst>
            <a:ext uri="{FF2B5EF4-FFF2-40B4-BE49-F238E27FC236}">
              <a16:creationId xmlns:a16="http://schemas.microsoft.com/office/drawing/2014/main" id="{56C9A47F-C097-43F8-841D-617D2E2BE61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3B42946E-493E-4D22-BEC7-3D6EC6CB4C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01" name="Text Box 2">
          <a:extLst>
            <a:ext uri="{FF2B5EF4-FFF2-40B4-BE49-F238E27FC236}">
              <a16:creationId xmlns:a16="http://schemas.microsoft.com/office/drawing/2014/main" id="{989BE7E1-95EB-44B4-A37B-73541786BBC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081A176F-DC85-4F9D-B26A-C85CD20655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03" name="Text Box 2">
          <a:extLst>
            <a:ext uri="{FF2B5EF4-FFF2-40B4-BE49-F238E27FC236}">
              <a16:creationId xmlns:a16="http://schemas.microsoft.com/office/drawing/2014/main" id="{41C8BFF6-E39B-41D2-8556-13790E5F59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E66DB653-F78A-4D8A-B282-3B74B94892C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05" name="Text Box 2">
          <a:extLst>
            <a:ext uri="{FF2B5EF4-FFF2-40B4-BE49-F238E27FC236}">
              <a16:creationId xmlns:a16="http://schemas.microsoft.com/office/drawing/2014/main" id="{4546566D-9B8E-47BB-A46F-3108F92823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8DDF6DE0-3015-4C21-B964-D919BCA41A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07" name="Text Box 2">
          <a:extLst>
            <a:ext uri="{FF2B5EF4-FFF2-40B4-BE49-F238E27FC236}">
              <a16:creationId xmlns:a16="http://schemas.microsoft.com/office/drawing/2014/main" id="{207DFAEE-957A-4AD2-ADF7-4B2350BC4E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58AED154-FB56-4D37-B11C-E9F5822BC9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09" name="Text Box 2">
          <a:extLst>
            <a:ext uri="{FF2B5EF4-FFF2-40B4-BE49-F238E27FC236}">
              <a16:creationId xmlns:a16="http://schemas.microsoft.com/office/drawing/2014/main" id="{1AFEFF45-A275-466D-8FE2-8B8C05B787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F3CCAA4A-AEA6-4FB7-B404-7E7E2D0ECC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1" name="Text Box 2">
          <a:extLst>
            <a:ext uri="{FF2B5EF4-FFF2-40B4-BE49-F238E27FC236}">
              <a16:creationId xmlns:a16="http://schemas.microsoft.com/office/drawing/2014/main" id="{3CBE5871-16D0-4884-B5D7-874B0F466F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60970A23-3D27-4F46-A1ED-3FF0A5008DC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3" name="Text Box 2">
          <a:extLst>
            <a:ext uri="{FF2B5EF4-FFF2-40B4-BE49-F238E27FC236}">
              <a16:creationId xmlns:a16="http://schemas.microsoft.com/office/drawing/2014/main" id="{EFC9CD22-999F-4052-8765-6C2DC4801F6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id="{1075EC99-48F1-4A0C-AEA3-4978E634B9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5" name="Text Box 2">
          <a:extLst>
            <a:ext uri="{FF2B5EF4-FFF2-40B4-BE49-F238E27FC236}">
              <a16:creationId xmlns:a16="http://schemas.microsoft.com/office/drawing/2014/main" id="{29D2E5E5-676E-4BA9-B445-0D5DBC11B8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9CB32B32-6346-4B8E-890F-4B3F8278F4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7" name="Text Box 2">
          <a:extLst>
            <a:ext uri="{FF2B5EF4-FFF2-40B4-BE49-F238E27FC236}">
              <a16:creationId xmlns:a16="http://schemas.microsoft.com/office/drawing/2014/main" id="{9A6DBA4E-0D07-4B1C-9E58-2C9D10513D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18" name="Text Box 1">
          <a:extLst>
            <a:ext uri="{FF2B5EF4-FFF2-40B4-BE49-F238E27FC236}">
              <a16:creationId xmlns:a16="http://schemas.microsoft.com/office/drawing/2014/main" id="{7DE4051C-FF11-4994-B492-B0CC4E5EC9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19" name="Text Box 2">
          <a:extLst>
            <a:ext uri="{FF2B5EF4-FFF2-40B4-BE49-F238E27FC236}">
              <a16:creationId xmlns:a16="http://schemas.microsoft.com/office/drawing/2014/main" id="{769E90AB-48C5-440C-9ABE-7BB0FAB2E63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id="{69F4232F-DC85-4084-9D19-13E708B7CD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21" name="Text Box 2">
          <a:extLst>
            <a:ext uri="{FF2B5EF4-FFF2-40B4-BE49-F238E27FC236}">
              <a16:creationId xmlns:a16="http://schemas.microsoft.com/office/drawing/2014/main" id="{9FB71377-0017-40EA-873A-86F5432EDD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id="{6E7E0B66-B841-4578-A87B-FBA187AF4E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23" name="Text Box 2">
          <a:extLst>
            <a:ext uri="{FF2B5EF4-FFF2-40B4-BE49-F238E27FC236}">
              <a16:creationId xmlns:a16="http://schemas.microsoft.com/office/drawing/2014/main" id="{844E0CB2-DD3E-477B-AABA-FBE0B515B0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id="{EA1D5D80-1BCD-4282-976F-B774883B7BC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25" name="Text Box 2">
          <a:extLst>
            <a:ext uri="{FF2B5EF4-FFF2-40B4-BE49-F238E27FC236}">
              <a16:creationId xmlns:a16="http://schemas.microsoft.com/office/drawing/2014/main" id="{3A167E05-F592-4007-9776-6137E58D99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6" name="Text Box 1">
          <a:extLst>
            <a:ext uri="{FF2B5EF4-FFF2-40B4-BE49-F238E27FC236}">
              <a16:creationId xmlns:a16="http://schemas.microsoft.com/office/drawing/2014/main" id="{339FE22A-24E7-4E23-9B5C-54FCBF9699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27" name="Text Box 2">
          <a:extLst>
            <a:ext uri="{FF2B5EF4-FFF2-40B4-BE49-F238E27FC236}">
              <a16:creationId xmlns:a16="http://schemas.microsoft.com/office/drawing/2014/main" id="{A4B06203-19A3-40BB-B0D6-7CB7BCE2FB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id="{7F962283-AB2E-4B04-8ACB-96C3B3F203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29" name="Text Box 2">
          <a:extLst>
            <a:ext uri="{FF2B5EF4-FFF2-40B4-BE49-F238E27FC236}">
              <a16:creationId xmlns:a16="http://schemas.microsoft.com/office/drawing/2014/main" id="{F7E90AB2-39A2-4F7D-A4D8-0ECB04C2546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30" name="Text Box 1">
          <a:extLst>
            <a:ext uri="{FF2B5EF4-FFF2-40B4-BE49-F238E27FC236}">
              <a16:creationId xmlns:a16="http://schemas.microsoft.com/office/drawing/2014/main" id="{8655E59D-1927-4D13-BADB-6CFDE5E842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1" name="Text Box 2">
          <a:extLst>
            <a:ext uri="{FF2B5EF4-FFF2-40B4-BE49-F238E27FC236}">
              <a16:creationId xmlns:a16="http://schemas.microsoft.com/office/drawing/2014/main" id="{F7C80D02-A7FB-438E-A0D4-65D8AC80F7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id="{1ECC4414-2789-42BA-9A0A-800937656D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3" name="Text Box 2">
          <a:extLst>
            <a:ext uri="{FF2B5EF4-FFF2-40B4-BE49-F238E27FC236}">
              <a16:creationId xmlns:a16="http://schemas.microsoft.com/office/drawing/2014/main" id="{78A862DA-2073-45A8-A007-436B4FEC04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34" name="Text Box 1">
          <a:extLst>
            <a:ext uri="{FF2B5EF4-FFF2-40B4-BE49-F238E27FC236}">
              <a16:creationId xmlns:a16="http://schemas.microsoft.com/office/drawing/2014/main" id="{13E4CAEB-E221-4471-87CC-4FF8452ABC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5" name="Text Box 2">
          <a:extLst>
            <a:ext uri="{FF2B5EF4-FFF2-40B4-BE49-F238E27FC236}">
              <a16:creationId xmlns:a16="http://schemas.microsoft.com/office/drawing/2014/main" id="{3E700C2B-C828-48BB-9167-052456C611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id="{CDF317A6-89CE-4C9D-8CB9-AB97515689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7" name="Text Box 2">
          <a:extLst>
            <a:ext uri="{FF2B5EF4-FFF2-40B4-BE49-F238E27FC236}">
              <a16:creationId xmlns:a16="http://schemas.microsoft.com/office/drawing/2014/main" id="{65D42A05-C4E7-4C80-A242-C1F44C4602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id="{DC60C311-102E-4884-BB0B-BB84D0D56C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39" name="Text Box 2">
          <a:extLst>
            <a:ext uri="{FF2B5EF4-FFF2-40B4-BE49-F238E27FC236}">
              <a16:creationId xmlns:a16="http://schemas.microsoft.com/office/drawing/2014/main" id="{8E9567BD-85C3-40BD-9C2C-3C181140EF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id="{944C43A5-B07F-4535-A739-6EB484E9FF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2237E4CB-1887-40AC-A73D-69B6DD0AD5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id="{D88683BA-A218-4FA2-B09A-3374BF20E12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43" name="Text Box 2">
          <a:extLst>
            <a:ext uri="{FF2B5EF4-FFF2-40B4-BE49-F238E27FC236}">
              <a16:creationId xmlns:a16="http://schemas.microsoft.com/office/drawing/2014/main" id="{56D3BCD7-68FD-4876-94C5-9848898F818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id="{71A8FCE6-DA43-4715-BA2F-95AA91DE17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45" name="Text Box 2">
          <a:extLst>
            <a:ext uri="{FF2B5EF4-FFF2-40B4-BE49-F238E27FC236}">
              <a16:creationId xmlns:a16="http://schemas.microsoft.com/office/drawing/2014/main" id="{8D98F921-4FC7-43EC-8112-5F18459DCD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id="{509F4D45-BAE1-4C86-8254-FEC4BEA985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47" name="Text Box 2">
          <a:extLst>
            <a:ext uri="{FF2B5EF4-FFF2-40B4-BE49-F238E27FC236}">
              <a16:creationId xmlns:a16="http://schemas.microsoft.com/office/drawing/2014/main" id="{7E850DA6-B8C2-4821-8200-A0FE04477F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BBA9CE09-9968-452C-9C65-0C2933A441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49" name="Text Box 2">
          <a:extLst>
            <a:ext uri="{FF2B5EF4-FFF2-40B4-BE49-F238E27FC236}">
              <a16:creationId xmlns:a16="http://schemas.microsoft.com/office/drawing/2014/main" id="{E54ECD77-428C-414E-AA88-65CE7FD308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3AFC97CB-8BD4-47E8-9E3A-D8046300E7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1" name="Text Box 2">
          <a:extLst>
            <a:ext uri="{FF2B5EF4-FFF2-40B4-BE49-F238E27FC236}">
              <a16:creationId xmlns:a16="http://schemas.microsoft.com/office/drawing/2014/main" id="{642FBDDA-C07D-4DAC-B843-3D048AE834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C84E4906-D1BB-4B0B-A81D-2D04359556E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3" name="Text Box 2">
          <a:extLst>
            <a:ext uri="{FF2B5EF4-FFF2-40B4-BE49-F238E27FC236}">
              <a16:creationId xmlns:a16="http://schemas.microsoft.com/office/drawing/2014/main" id="{22DE8299-3EB7-4542-BC5B-B52A8522AD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475E7D78-6E56-4D9F-B2D7-72B9C90ED4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5" name="Text Box 2">
          <a:extLst>
            <a:ext uri="{FF2B5EF4-FFF2-40B4-BE49-F238E27FC236}">
              <a16:creationId xmlns:a16="http://schemas.microsoft.com/office/drawing/2014/main" id="{BD687892-1C2B-44AB-B7C1-244D5A0ED8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id="{ABF3FBAA-4E32-4B93-A487-8275AAD5B1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7" name="Text Box 2">
          <a:extLst>
            <a:ext uri="{FF2B5EF4-FFF2-40B4-BE49-F238E27FC236}">
              <a16:creationId xmlns:a16="http://schemas.microsoft.com/office/drawing/2014/main" id="{EFBBCD02-2F58-43F2-B583-A9617EFDC2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5A69721A-DA5A-4DEA-A07C-D4FE5062903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59" name="Text Box 2">
          <a:extLst>
            <a:ext uri="{FF2B5EF4-FFF2-40B4-BE49-F238E27FC236}">
              <a16:creationId xmlns:a16="http://schemas.microsoft.com/office/drawing/2014/main" id="{8C779537-1DE9-47E9-B57D-049A75ED089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0" name="Text Box 1">
          <a:extLst>
            <a:ext uri="{FF2B5EF4-FFF2-40B4-BE49-F238E27FC236}">
              <a16:creationId xmlns:a16="http://schemas.microsoft.com/office/drawing/2014/main" id="{926D1E58-F6BB-450D-B85D-0080A58AB0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61" name="Text Box 2">
          <a:extLst>
            <a:ext uri="{FF2B5EF4-FFF2-40B4-BE49-F238E27FC236}">
              <a16:creationId xmlns:a16="http://schemas.microsoft.com/office/drawing/2014/main" id="{A10AB65A-AC26-4F7B-844F-CFA0D00C9E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id="{20DEAD14-BA2D-438B-86CF-DC51233693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63" name="Text Box 2">
          <a:extLst>
            <a:ext uri="{FF2B5EF4-FFF2-40B4-BE49-F238E27FC236}">
              <a16:creationId xmlns:a16="http://schemas.microsoft.com/office/drawing/2014/main" id="{08D69C17-0E1C-4CC7-8F95-EFBFDF2781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id="{A5DF6F40-E0F1-4B2D-AAD8-385D68DBEC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65" name="Text Box 2">
          <a:extLst>
            <a:ext uri="{FF2B5EF4-FFF2-40B4-BE49-F238E27FC236}">
              <a16:creationId xmlns:a16="http://schemas.microsoft.com/office/drawing/2014/main" id="{9D4063F3-E0C5-4738-AB8F-DC33075905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id="{2BD740EA-F2AD-409E-9F29-94342594BA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67" name="Text Box 2">
          <a:extLst>
            <a:ext uri="{FF2B5EF4-FFF2-40B4-BE49-F238E27FC236}">
              <a16:creationId xmlns:a16="http://schemas.microsoft.com/office/drawing/2014/main" id="{03CC6465-3A4F-40D4-B7FB-E3E5FE1C51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id="{57259409-3577-44BD-A862-79BAA48F53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69" name="Text Box 2">
          <a:extLst>
            <a:ext uri="{FF2B5EF4-FFF2-40B4-BE49-F238E27FC236}">
              <a16:creationId xmlns:a16="http://schemas.microsoft.com/office/drawing/2014/main" id="{DFF03518-CCD4-4174-92F7-DFD5953C8D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7734BC14-5175-4EEC-94AE-693B626E45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1" name="Text Box 2">
          <a:extLst>
            <a:ext uri="{FF2B5EF4-FFF2-40B4-BE49-F238E27FC236}">
              <a16:creationId xmlns:a16="http://schemas.microsoft.com/office/drawing/2014/main" id="{B034DEFB-37C7-4641-97EC-FA5D79013C7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id="{60AE16B8-4237-41BA-B504-D61F283FEF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3" name="Text Box 2">
          <a:extLst>
            <a:ext uri="{FF2B5EF4-FFF2-40B4-BE49-F238E27FC236}">
              <a16:creationId xmlns:a16="http://schemas.microsoft.com/office/drawing/2014/main" id="{995F4E44-8CED-4CC8-9358-C0584119EF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id="{1841C14C-350D-4B41-8DCC-7FF69D6C40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5" name="Text Box 2">
          <a:extLst>
            <a:ext uri="{FF2B5EF4-FFF2-40B4-BE49-F238E27FC236}">
              <a16:creationId xmlns:a16="http://schemas.microsoft.com/office/drawing/2014/main" id="{5DE9AD6F-9541-4301-8270-73F87CB090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B417DE85-D329-4BF8-9E13-F592A942AB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7" name="Text Box 2">
          <a:extLst>
            <a:ext uri="{FF2B5EF4-FFF2-40B4-BE49-F238E27FC236}">
              <a16:creationId xmlns:a16="http://schemas.microsoft.com/office/drawing/2014/main" id="{67921FF0-B30B-42E2-9F47-695CDF5016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8AD310F6-1C14-41E9-871E-17366A4C31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79" name="Text Box 2">
          <a:extLst>
            <a:ext uri="{FF2B5EF4-FFF2-40B4-BE49-F238E27FC236}">
              <a16:creationId xmlns:a16="http://schemas.microsoft.com/office/drawing/2014/main" id="{F1F2470C-9A2E-4BC9-9A57-936729A57B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id="{8002BD48-A661-4A11-9C7D-1BBD021C46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81" name="Text Box 2">
          <a:extLst>
            <a:ext uri="{FF2B5EF4-FFF2-40B4-BE49-F238E27FC236}">
              <a16:creationId xmlns:a16="http://schemas.microsoft.com/office/drawing/2014/main" id="{DB2DC70C-8B2D-46C3-B539-632F13ED70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21A58020-1E3F-4100-B2B2-9CC81DC6D1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83" name="Text Box 2">
          <a:extLst>
            <a:ext uri="{FF2B5EF4-FFF2-40B4-BE49-F238E27FC236}">
              <a16:creationId xmlns:a16="http://schemas.microsoft.com/office/drawing/2014/main" id="{A0BB3AED-40EB-459A-99CE-59CDEB32A2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id="{CCAD9509-8FCA-4E72-B24C-E6EE182262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85" name="Text Box 2">
          <a:extLst>
            <a:ext uri="{FF2B5EF4-FFF2-40B4-BE49-F238E27FC236}">
              <a16:creationId xmlns:a16="http://schemas.microsoft.com/office/drawing/2014/main" id="{F7CB09BC-E8B0-4DD9-9835-83D7F48ABE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56689D46-24CC-45C5-B26D-EC406520030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87" name="Text Box 2">
          <a:extLst>
            <a:ext uri="{FF2B5EF4-FFF2-40B4-BE49-F238E27FC236}">
              <a16:creationId xmlns:a16="http://schemas.microsoft.com/office/drawing/2014/main" id="{390E5A03-36AD-4259-BCE5-8F9F2018EF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5EC86660-B2BC-4EB4-9366-4953C63A6B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89" name="Text Box 2">
          <a:extLst>
            <a:ext uri="{FF2B5EF4-FFF2-40B4-BE49-F238E27FC236}">
              <a16:creationId xmlns:a16="http://schemas.microsoft.com/office/drawing/2014/main" id="{9F4DD1F9-2116-491C-ACCF-87B06CBD8B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7ECB0969-9EAE-44C5-8505-3008CC04C80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1" name="Text Box 2">
          <a:extLst>
            <a:ext uri="{FF2B5EF4-FFF2-40B4-BE49-F238E27FC236}">
              <a16:creationId xmlns:a16="http://schemas.microsoft.com/office/drawing/2014/main" id="{1F772863-A095-43C3-BE25-246C54257D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3190F2F3-E159-46DD-A391-BB6836183C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3" name="Text Box 2">
          <a:extLst>
            <a:ext uri="{FF2B5EF4-FFF2-40B4-BE49-F238E27FC236}">
              <a16:creationId xmlns:a16="http://schemas.microsoft.com/office/drawing/2014/main" id="{183E2CF4-DE7F-4D2D-9A08-04C467B403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id="{8D928C35-12A2-4D3A-876C-3829E1A478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5" name="Text Box 2">
          <a:extLst>
            <a:ext uri="{FF2B5EF4-FFF2-40B4-BE49-F238E27FC236}">
              <a16:creationId xmlns:a16="http://schemas.microsoft.com/office/drawing/2014/main" id="{EB9A5472-4ECD-49C2-879E-9958E15659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138BC0EE-5888-46BA-88A9-8FDBA0CFF1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7" name="Text Box 2">
          <a:extLst>
            <a:ext uri="{FF2B5EF4-FFF2-40B4-BE49-F238E27FC236}">
              <a16:creationId xmlns:a16="http://schemas.microsoft.com/office/drawing/2014/main" id="{E3147A6A-C8AB-4232-9092-083CBED5CDE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FC810455-0FFC-49EB-811A-41B2B1B877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299" name="Text Box 2">
          <a:extLst>
            <a:ext uri="{FF2B5EF4-FFF2-40B4-BE49-F238E27FC236}">
              <a16:creationId xmlns:a16="http://schemas.microsoft.com/office/drawing/2014/main" id="{4D887208-5769-45E2-8301-2C5A292204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07980212-E028-4831-A8FE-6C91784D18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01" name="Text Box 2">
          <a:extLst>
            <a:ext uri="{FF2B5EF4-FFF2-40B4-BE49-F238E27FC236}">
              <a16:creationId xmlns:a16="http://schemas.microsoft.com/office/drawing/2014/main" id="{0A742ED6-B379-46ED-AE4E-A613FEB239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id="{0E1BB28A-9286-40B9-80C7-CE576B294F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03" name="Text Box 2">
          <a:extLst>
            <a:ext uri="{FF2B5EF4-FFF2-40B4-BE49-F238E27FC236}">
              <a16:creationId xmlns:a16="http://schemas.microsoft.com/office/drawing/2014/main" id="{6956197E-2493-4AE6-B1AB-2F31B170A8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id="{7C188877-B101-46DE-A123-C13CCF5635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05" name="Text Box 2">
          <a:extLst>
            <a:ext uri="{FF2B5EF4-FFF2-40B4-BE49-F238E27FC236}">
              <a16:creationId xmlns:a16="http://schemas.microsoft.com/office/drawing/2014/main" id="{95529CFC-29AE-4E46-9891-52FADD9878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6" name="Text Box 1">
          <a:extLst>
            <a:ext uri="{FF2B5EF4-FFF2-40B4-BE49-F238E27FC236}">
              <a16:creationId xmlns:a16="http://schemas.microsoft.com/office/drawing/2014/main" id="{490722F6-17AF-498B-95BB-048DB62834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07" name="Text Box 2">
          <a:extLst>
            <a:ext uri="{FF2B5EF4-FFF2-40B4-BE49-F238E27FC236}">
              <a16:creationId xmlns:a16="http://schemas.microsoft.com/office/drawing/2014/main" id="{1AAE700C-F404-4A95-A99B-679D042615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id="{7C58BE9D-6E85-4612-A0FB-CC7637F250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09" name="Text Box 2">
          <a:extLst>
            <a:ext uri="{FF2B5EF4-FFF2-40B4-BE49-F238E27FC236}">
              <a16:creationId xmlns:a16="http://schemas.microsoft.com/office/drawing/2014/main" id="{C9B755A7-0ADE-4BF8-A3C9-E57A6808905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10" name="Text Box 1">
          <a:extLst>
            <a:ext uri="{FF2B5EF4-FFF2-40B4-BE49-F238E27FC236}">
              <a16:creationId xmlns:a16="http://schemas.microsoft.com/office/drawing/2014/main" id="{8386D429-BD5F-4F56-80ED-9CB40CEB475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1" name="Text Box 2">
          <a:extLst>
            <a:ext uri="{FF2B5EF4-FFF2-40B4-BE49-F238E27FC236}">
              <a16:creationId xmlns:a16="http://schemas.microsoft.com/office/drawing/2014/main" id="{3598CD66-43FB-4809-8AC2-233AFF1EEB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id="{8DECBFC7-63F4-4EB1-9A1D-5A313135CDC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3" name="Text Box 2">
          <a:extLst>
            <a:ext uri="{FF2B5EF4-FFF2-40B4-BE49-F238E27FC236}">
              <a16:creationId xmlns:a16="http://schemas.microsoft.com/office/drawing/2014/main" id="{867E22F1-0DB0-40C5-A52B-9769F39113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14" name="Text Box 1">
          <a:extLst>
            <a:ext uri="{FF2B5EF4-FFF2-40B4-BE49-F238E27FC236}">
              <a16:creationId xmlns:a16="http://schemas.microsoft.com/office/drawing/2014/main" id="{B70DF9C1-6D31-49F0-A6C9-00DBB328FE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5" name="Text Box 2">
          <a:extLst>
            <a:ext uri="{FF2B5EF4-FFF2-40B4-BE49-F238E27FC236}">
              <a16:creationId xmlns:a16="http://schemas.microsoft.com/office/drawing/2014/main" id="{F64410B5-2D83-4A91-BF6F-17FF50015A9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id="{85705874-1341-457E-8F95-6A2DEC22BF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7" name="Text Box 2">
          <a:extLst>
            <a:ext uri="{FF2B5EF4-FFF2-40B4-BE49-F238E27FC236}">
              <a16:creationId xmlns:a16="http://schemas.microsoft.com/office/drawing/2014/main" id="{BBF56DC7-8CB2-4162-BEE0-237961065A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18" name="Text Box 1">
          <a:extLst>
            <a:ext uri="{FF2B5EF4-FFF2-40B4-BE49-F238E27FC236}">
              <a16:creationId xmlns:a16="http://schemas.microsoft.com/office/drawing/2014/main" id="{F4DD7FF2-BCB1-41BC-B8CB-9F21A2771D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19" name="Text Box 2">
          <a:extLst>
            <a:ext uri="{FF2B5EF4-FFF2-40B4-BE49-F238E27FC236}">
              <a16:creationId xmlns:a16="http://schemas.microsoft.com/office/drawing/2014/main" id="{A21A592F-CEF2-4E0A-9533-5B65C41028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id="{0959FD7C-E8CA-487A-BB99-ED01EBD762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21" name="Text Box 2">
          <a:extLst>
            <a:ext uri="{FF2B5EF4-FFF2-40B4-BE49-F238E27FC236}">
              <a16:creationId xmlns:a16="http://schemas.microsoft.com/office/drawing/2014/main" id="{0C9E09EA-4F0F-45DC-B6B4-6F8EE742E6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2" name="Text Box 1">
          <a:extLst>
            <a:ext uri="{FF2B5EF4-FFF2-40B4-BE49-F238E27FC236}">
              <a16:creationId xmlns:a16="http://schemas.microsoft.com/office/drawing/2014/main" id="{4D7BB3C3-2824-4D21-85D1-2D601D727E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23" name="Text Box 2">
          <a:extLst>
            <a:ext uri="{FF2B5EF4-FFF2-40B4-BE49-F238E27FC236}">
              <a16:creationId xmlns:a16="http://schemas.microsoft.com/office/drawing/2014/main" id="{B0F7A78E-80C9-4C76-B985-F9C5C2A6B1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id="{85DFB120-94D6-4B09-BA90-ACB8612FE4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25" name="Text Box 2">
          <a:extLst>
            <a:ext uri="{FF2B5EF4-FFF2-40B4-BE49-F238E27FC236}">
              <a16:creationId xmlns:a16="http://schemas.microsoft.com/office/drawing/2014/main" id="{6A641B2E-A495-44CA-B9EB-E31AC1D328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6" name="Text Box 1">
          <a:extLst>
            <a:ext uri="{FF2B5EF4-FFF2-40B4-BE49-F238E27FC236}">
              <a16:creationId xmlns:a16="http://schemas.microsoft.com/office/drawing/2014/main" id="{D58CA9B7-C692-4AD5-91E2-B80341F86CD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27" name="Text Box 2">
          <a:extLst>
            <a:ext uri="{FF2B5EF4-FFF2-40B4-BE49-F238E27FC236}">
              <a16:creationId xmlns:a16="http://schemas.microsoft.com/office/drawing/2014/main" id="{7FDC2389-632E-40B5-9931-8BCD16DDB0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id="{CB49805D-F87B-46E6-B33B-8E05CF3C53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29" name="Text Box 2">
          <a:extLst>
            <a:ext uri="{FF2B5EF4-FFF2-40B4-BE49-F238E27FC236}">
              <a16:creationId xmlns:a16="http://schemas.microsoft.com/office/drawing/2014/main" id="{F5BD1553-0FB2-44D4-94E8-242E52256B8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id="{8DE72AB1-ED40-4C6E-BC70-81B2C7EE61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1" name="Text Box 2">
          <a:extLst>
            <a:ext uri="{FF2B5EF4-FFF2-40B4-BE49-F238E27FC236}">
              <a16:creationId xmlns:a16="http://schemas.microsoft.com/office/drawing/2014/main" id="{2E6051F2-D25B-4B34-84AC-ABF170C7EE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id="{F440066D-BC92-439F-9296-C148ED4E31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3" name="Text Box 2">
          <a:extLst>
            <a:ext uri="{FF2B5EF4-FFF2-40B4-BE49-F238E27FC236}">
              <a16:creationId xmlns:a16="http://schemas.microsoft.com/office/drawing/2014/main" id="{2420022D-5719-4B24-AC0A-DA6FA648D5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id="{4858533B-2B4C-447B-B5C9-CDAA670158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5" name="Text Box 2">
          <a:extLst>
            <a:ext uri="{FF2B5EF4-FFF2-40B4-BE49-F238E27FC236}">
              <a16:creationId xmlns:a16="http://schemas.microsoft.com/office/drawing/2014/main" id="{DAC0BBA0-9BD5-496D-B82F-54D44FBBFD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36" name="Text Box 1">
          <a:extLst>
            <a:ext uri="{FF2B5EF4-FFF2-40B4-BE49-F238E27FC236}">
              <a16:creationId xmlns:a16="http://schemas.microsoft.com/office/drawing/2014/main" id="{BF25D450-1AE3-4A86-8E0E-DC6C3C48E1D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7" name="Text Box 2">
          <a:extLst>
            <a:ext uri="{FF2B5EF4-FFF2-40B4-BE49-F238E27FC236}">
              <a16:creationId xmlns:a16="http://schemas.microsoft.com/office/drawing/2014/main" id="{8424BB6B-2E3C-451E-8EB0-46CED679EA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38" name="Text Box 1">
          <a:extLst>
            <a:ext uri="{FF2B5EF4-FFF2-40B4-BE49-F238E27FC236}">
              <a16:creationId xmlns:a16="http://schemas.microsoft.com/office/drawing/2014/main" id="{98BBC799-C38E-40DD-AB52-922D9208D2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39" name="Text Box 2">
          <a:extLst>
            <a:ext uri="{FF2B5EF4-FFF2-40B4-BE49-F238E27FC236}">
              <a16:creationId xmlns:a16="http://schemas.microsoft.com/office/drawing/2014/main" id="{66237D95-E411-49EA-9E07-FCF679C4913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0" name="Text Box 1">
          <a:extLst>
            <a:ext uri="{FF2B5EF4-FFF2-40B4-BE49-F238E27FC236}">
              <a16:creationId xmlns:a16="http://schemas.microsoft.com/office/drawing/2014/main" id="{D5B639F1-D1C0-44BB-B938-0727753638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41" name="Text Box 2">
          <a:extLst>
            <a:ext uri="{FF2B5EF4-FFF2-40B4-BE49-F238E27FC236}">
              <a16:creationId xmlns:a16="http://schemas.microsoft.com/office/drawing/2014/main" id="{4BD521D1-5F1F-4703-9CA8-819D6C28CE9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2" name="Text Box 1">
          <a:extLst>
            <a:ext uri="{FF2B5EF4-FFF2-40B4-BE49-F238E27FC236}">
              <a16:creationId xmlns:a16="http://schemas.microsoft.com/office/drawing/2014/main" id="{9A1145FF-6821-4383-B0F1-63B167C3ED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43" name="Text Box 2">
          <a:extLst>
            <a:ext uri="{FF2B5EF4-FFF2-40B4-BE49-F238E27FC236}">
              <a16:creationId xmlns:a16="http://schemas.microsoft.com/office/drawing/2014/main" id="{C7AEA666-FA83-49FD-8C4A-DA66FFF827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4" name="Text Box 1">
          <a:extLst>
            <a:ext uri="{FF2B5EF4-FFF2-40B4-BE49-F238E27FC236}">
              <a16:creationId xmlns:a16="http://schemas.microsoft.com/office/drawing/2014/main" id="{3DEC15DC-934C-43C4-B05E-4F0DAF3ABB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45" name="Text Box 2">
          <a:extLst>
            <a:ext uri="{FF2B5EF4-FFF2-40B4-BE49-F238E27FC236}">
              <a16:creationId xmlns:a16="http://schemas.microsoft.com/office/drawing/2014/main" id="{986725D2-A167-4D48-9950-15D95895AD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id="{27E5BA82-A871-44C0-9510-6EB78E33D0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47" name="Text Box 2">
          <a:extLst>
            <a:ext uri="{FF2B5EF4-FFF2-40B4-BE49-F238E27FC236}">
              <a16:creationId xmlns:a16="http://schemas.microsoft.com/office/drawing/2014/main" id="{C815B0D4-788A-4EA3-9B22-C9E2C02BE6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48" name="Text Box 1">
          <a:extLst>
            <a:ext uri="{FF2B5EF4-FFF2-40B4-BE49-F238E27FC236}">
              <a16:creationId xmlns:a16="http://schemas.microsoft.com/office/drawing/2014/main" id="{09F37A5E-F301-40C1-A495-B9CB3E0F12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49" name="Text Box 2">
          <a:extLst>
            <a:ext uri="{FF2B5EF4-FFF2-40B4-BE49-F238E27FC236}">
              <a16:creationId xmlns:a16="http://schemas.microsoft.com/office/drawing/2014/main" id="{2C10F20A-CF93-4D0C-A7AD-A8506D0D56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50" name="Text Box 1">
          <a:extLst>
            <a:ext uri="{FF2B5EF4-FFF2-40B4-BE49-F238E27FC236}">
              <a16:creationId xmlns:a16="http://schemas.microsoft.com/office/drawing/2014/main" id="{A4303876-BC05-44AD-B28B-071470D3135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1" name="Text Box 2">
          <a:extLst>
            <a:ext uri="{FF2B5EF4-FFF2-40B4-BE49-F238E27FC236}">
              <a16:creationId xmlns:a16="http://schemas.microsoft.com/office/drawing/2014/main" id="{F48389B1-58F4-4299-8FAE-2A55A01B1E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52" name="Text Box 1">
          <a:extLst>
            <a:ext uri="{FF2B5EF4-FFF2-40B4-BE49-F238E27FC236}">
              <a16:creationId xmlns:a16="http://schemas.microsoft.com/office/drawing/2014/main" id="{05B9C823-4930-43DD-B987-8E5FD611DC5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3" name="Text Box 2">
          <a:extLst>
            <a:ext uri="{FF2B5EF4-FFF2-40B4-BE49-F238E27FC236}">
              <a16:creationId xmlns:a16="http://schemas.microsoft.com/office/drawing/2014/main" id="{A3C1F72E-4A92-4565-BD59-CE260BA87A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54" name="Text Box 1">
          <a:extLst>
            <a:ext uri="{FF2B5EF4-FFF2-40B4-BE49-F238E27FC236}">
              <a16:creationId xmlns:a16="http://schemas.microsoft.com/office/drawing/2014/main" id="{B749212E-6CE6-44C9-900E-EB001763570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5" name="Text Box 2">
          <a:extLst>
            <a:ext uri="{FF2B5EF4-FFF2-40B4-BE49-F238E27FC236}">
              <a16:creationId xmlns:a16="http://schemas.microsoft.com/office/drawing/2014/main" id="{7E7B7E6A-67FC-4EE4-9E9D-580C0C8013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56" name="Text Box 1">
          <a:extLst>
            <a:ext uri="{FF2B5EF4-FFF2-40B4-BE49-F238E27FC236}">
              <a16:creationId xmlns:a16="http://schemas.microsoft.com/office/drawing/2014/main" id="{413E3C58-2D9E-453F-8912-982DD67F25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7" name="Text Box 2">
          <a:extLst>
            <a:ext uri="{FF2B5EF4-FFF2-40B4-BE49-F238E27FC236}">
              <a16:creationId xmlns:a16="http://schemas.microsoft.com/office/drawing/2014/main" id="{B4E78520-D4CC-465F-ADA7-39B802008D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58" name="Text Box 1">
          <a:extLst>
            <a:ext uri="{FF2B5EF4-FFF2-40B4-BE49-F238E27FC236}">
              <a16:creationId xmlns:a16="http://schemas.microsoft.com/office/drawing/2014/main" id="{2EEB26EF-7A56-41E7-9138-D8ED039E1D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59" name="Text Box 2">
          <a:extLst>
            <a:ext uri="{FF2B5EF4-FFF2-40B4-BE49-F238E27FC236}">
              <a16:creationId xmlns:a16="http://schemas.microsoft.com/office/drawing/2014/main" id="{DDFD8D0B-42BF-4EC6-A2DD-E57290A529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0" name="Text Box 1">
          <a:extLst>
            <a:ext uri="{FF2B5EF4-FFF2-40B4-BE49-F238E27FC236}">
              <a16:creationId xmlns:a16="http://schemas.microsoft.com/office/drawing/2014/main" id="{35157BB8-F11C-4420-AD3E-7387727793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61" name="Text Box 2">
          <a:extLst>
            <a:ext uri="{FF2B5EF4-FFF2-40B4-BE49-F238E27FC236}">
              <a16:creationId xmlns:a16="http://schemas.microsoft.com/office/drawing/2014/main" id="{60487C84-BB05-4532-B7BA-4CA0CD35B9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2" name="Text Box 1">
          <a:extLst>
            <a:ext uri="{FF2B5EF4-FFF2-40B4-BE49-F238E27FC236}">
              <a16:creationId xmlns:a16="http://schemas.microsoft.com/office/drawing/2014/main" id="{F8B3F629-E0B7-4251-B10D-BED4D9B3CB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63" name="Text Box 2">
          <a:extLst>
            <a:ext uri="{FF2B5EF4-FFF2-40B4-BE49-F238E27FC236}">
              <a16:creationId xmlns:a16="http://schemas.microsoft.com/office/drawing/2014/main" id="{FA344BB1-775B-459B-835E-E193B6AD39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4" name="Text Box 1">
          <a:extLst>
            <a:ext uri="{FF2B5EF4-FFF2-40B4-BE49-F238E27FC236}">
              <a16:creationId xmlns:a16="http://schemas.microsoft.com/office/drawing/2014/main" id="{BEB3EACA-D459-4DB5-9746-799A8310E0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65" name="Text Box 2">
          <a:extLst>
            <a:ext uri="{FF2B5EF4-FFF2-40B4-BE49-F238E27FC236}">
              <a16:creationId xmlns:a16="http://schemas.microsoft.com/office/drawing/2014/main" id="{C0343B4E-663D-4653-986C-E530C8B027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6" name="Text Box 1">
          <a:extLst>
            <a:ext uri="{FF2B5EF4-FFF2-40B4-BE49-F238E27FC236}">
              <a16:creationId xmlns:a16="http://schemas.microsoft.com/office/drawing/2014/main" id="{A44DBDF3-EB8E-4D07-BA21-091461DFEE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67" name="Text Box 2">
          <a:extLst>
            <a:ext uri="{FF2B5EF4-FFF2-40B4-BE49-F238E27FC236}">
              <a16:creationId xmlns:a16="http://schemas.microsoft.com/office/drawing/2014/main" id="{4000E52A-677E-4173-A8DE-C556A107BA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68" name="Text Box 1">
          <a:extLst>
            <a:ext uri="{FF2B5EF4-FFF2-40B4-BE49-F238E27FC236}">
              <a16:creationId xmlns:a16="http://schemas.microsoft.com/office/drawing/2014/main" id="{97CEF9E7-1E3A-4484-B706-FB8237848EC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69" name="Text Box 2">
          <a:extLst>
            <a:ext uri="{FF2B5EF4-FFF2-40B4-BE49-F238E27FC236}">
              <a16:creationId xmlns:a16="http://schemas.microsoft.com/office/drawing/2014/main" id="{037ADB1E-38B9-4646-8624-0F0CED4435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id="{FE77ED2D-1ABC-47AD-9FD4-DD1BC4E654F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1" name="Text Box 2">
          <a:extLst>
            <a:ext uri="{FF2B5EF4-FFF2-40B4-BE49-F238E27FC236}">
              <a16:creationId xmlns:a16="http://schemas.microsoft.com/office/drawing/2014/main" id="{43C57035-2E52-45A6-B3F5-54D73FF5D9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72" name="Text Box 1">
          <a:extLst>
            <a:ext uri="{FF2B5EF4-FFF2-40B4-BE49-F238E27FC236}">
              <a16:creationId xmlns:a16="http://schemas.microsoft.com/office/drawing/2014/main" id="{0C2DD4B0-7606-450B-9F04-76462DE4EE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3" name="Text Box 2">
          <a:extLst>
            <a:ext uri="{FF2B5EF4-FFF2-40B4-BE49-F238E27FC236}">
              <a16:creationId xmlns:a16="http://schemas.microsoft.com/office/drawing/2014/main" id="{EF0D8B63-EE45-40A1-9FC8-90F29D768D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id="{8CF103A9-EBA2-4A51-850D-1ACA8A3961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5" name="Text Box 2">
          <a:extLst>
            <a:ext uri="{FF2B5EF4-FFF2-40B4-BE49-F238E27FC236}">
              <a16:creationId xmlns:a16="http://schemas.microsoft.com/office/drawing/2014/main" id="{C7A0E2ED-2F19-4206-BF68-EA5872AF81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76" name="Text Box 1">
          <a:extLst>
            <a:ext uri="{FF2B5EF4-FFF2-40B4-BE49-F238E27FC236}">
              <a16:creationId xmlns:a16="http://schemas.microsoft.com/office/drawing/2014/main" id="{AA6CFEBC-145C-4BC2-812D-E9577FA72B3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7" name="Text Box 2">
          <a:extLst>
            <a:ext uri="{FF2B5EF4-FFF2-40B4-BE49-F238E27FC236}">
              <a16:creationId xmlns:a16="http://schemas.microsoft.com/office/drawing/2014/main" id="{4B43D377-34C0-4638-BB9A-9D9861CEBBF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78" name="Text Box 1">
          <a:extLst>
            <a:ext uri="{FF2B5EF4-FFF2-40B4-BE49-F238E27FC236}">
              <a16:creationId xmlns:a16="http://schemas.microsoft.com/office/drawing/2014/main" id="{BBCB840E-8871-42F0-A785-11B4469545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79" name="Text Box 2">
          <a:extLst>
            <a:ext uri="{FF2B5EF4-FFF2-40B4-BE49-F238E27FC236}">
              <a16:creationId xmlns:a16="http://schemas.microsoft.com/office/drawing/2014/main" id="{B4688F9A-540F-45C6-9FCB-AA55F3B32C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id="{61107DA8-4E69-4F2E-916F-47BC7CF466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81" name="Text Box 2">
          <a:extLst>
            <a:ext uri="{FF2B5EF4-FFF2-40B4-BE49-F238E27FC236}">
              <a16:creationId xmlns:a16="http://schemas.microsoft.com/office/drawing/2014/main" id="{ACEEFA44-5CEA-40DC-ADD9-20F75BD823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2" name="Text Box 1">
          <a:extLst>
            <a:ext uri="{FF2B5EF4-FFF2-40B4-BE49-F238E27FC236}">
              <a16:creationId xmlns:a16="http://schemas.microsoft.com/office/drawing/2014/main" id="{4B37EE8A-DD03-490B-9975-67BC93E4D3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83" name="Text Box 2">
          <a:extLst>
            <a:ext uri="{FF2B5EF4-FFF2-40B4-BE49-F238E27FC236}">
              <a16:creationId xmlns:a16="http://schemas.microsoft.com/office/drawing/2014/main" id="{288EB0B8-3780-4322-9880-23288A4F857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4" name="Text Box 1">
          <a:extLst>
            <a:ext uri="{FF2B5EF4-FFF2-40B4-BE49-F238E27FC236}">
              <a16:creationId xmlns:a16="http://schemas.microsoft.com/office/drawing/2014/main" id="{BFE9A481-57D0-4CB6-A314-81B451291E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85" name="Text Box 2">
          <a:extLst>
            <a:ext uri="{FF2B5EF4-FFF2-40B4-BE49-F238E27FC236}">
              <a16:creationId xmlns:a16="http://schemas.microsoft.com/office/drawing/2014/main" id="{2D0C1FCE-2982-4E04-92EC-D8C3E30EE4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6" name="Text Box 1">
          <a:extLst>
            <a:ext uri="{FF2B5EF4-FFF2-40B4-BE49-F238E27FC236}">
              <a16:creationId xmlns:a16="http://schemas.microsoft.com/office/drawing/2014/main" id="{39EDE93B-6789-4B10-9995-00ED1C97363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87" name="Text Box 2">
          <a:extLst>
            <a:ext uri="{FF2B5EF4-FFF2-40B4-BE49-F238E27FC236}">
              <a16:creationId xmlns:a16="http://schemas.microsoft.com/office/drawing/2014/main" id="{E2764F04-5C65-4E99-9CF5-4747751B1C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88" name="Text Box 1">
          <a:extLst>
            <a:ext uri="{FF2B5EF4-FFF2-40B4-BE49-F238E27FC236}">
              <a16:creationId xmlns:a16="http://schemas.microsoft.com/office/drawing/2014/main" id="{7CCB0F97-874C-47F8-9E74-14F4EFC909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89" name="Text Box 2">
          <a:extLst>
            <a:ext uri="{FF2B5EF4-FFF2-40B4-BE49-F238E27FC236}">
              <a16:creationId xmlns:a16="http://schemas.microsoft.com/office/drawing/2014/main" id="{DB80790E-F7B7-44CE-9B3A-DD9014D7AD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90" name="Text Box 1">
          <a:extLst>
            <a:ext uri="{FF2B5EF4-FFF2-40B4-BE49-F238E27FC236}">
              <a16:creationId xmlns:a16="http://schemas.microsoft.com/office/drawing/2014/main" id="{E74EF743-1EF9-4B0A-8716-31F4AE65BD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1" name="Text Box 2">
          <a:extLst>
            <a:ext uri="{FF2B5EF4-FFF2-40B4-BE49-F238E27FC236}">
              <a16:creationId xmlns:a16="http://schemas.microsoft.com/office/drawing/2014/main" id="{4404DCAE-56FF-4186-A915-D500191CD3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id="{2E04C8E5-6180-4D55-8E97-ADFA0CDBE0D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3" name="Text Box 2">
          <a:extLst>
            <a:ext uri="{FF2B5EF4-FFF2-40B4-BE49-F238E27FC236}">
              <a16:creationId xmlns:a16="http://schemas.microsoft.com/office/drawing/2014/main" id="{224F0B8B-A62F-471A-95C9-F5020FE505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id="{DEFCBADF-B680-4DA7-9477-D006617695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5" name="Text Box 2">
          <a:extLst>
            <a:ext uri="{FF2B5EF4-FFF2-40B4-BE49-F238E27FC236}">
              <a16:creationId xmlns:a16="http://schemas.microsoft.com/office/drawing/2014/main" id="{F90FDA5D-9C0E-4012-8733-8794BABC3B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96" name="Text Box 1">
          <a:extLst>
            <a:ext uri="{FF2B5EF4-FFF2-40B4-BE49-F238E27FC236}">
              <a16:creationId xmlns:a16="http://schemas.microsoft.com/office/drawing/2014/main" id="{2C9B1327-7754-4F32-973F-A9DA73048C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7" name="Text Box 2">
          <a:extLst>
            <a:ext uri="{FF2B5EF4-FFF2-40B4-BE49-F238E27FC236}">
              <a16:creationId xmlns:a16="http://schemas.microsoft.com/office/drawing/2014/main" id="{6860861F-94B2-4113-9BE7-445B71B971D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398" name="Text Box 1">
          <a:extLst>
            <a:ext uri="{FF2B5EF4-FFF2-40B4-BE49-F238E27FC236}">
              <a16:creationId xmlns:a16="http://schemas.microsoft.com/office/drawing/2014/main" id="{5ADE8FA5-B42D-4124-B892-B2A3F4610D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399" name="Text Box 2">
          <a:extLst>
            <a:ext uri="{FF2B5EF4-FFF2-40B4-BE49-F238E27FC236}">
              <a16:creationId xmlns:a16="http://schemas.microsoft.com/office/drawing/2014/main" id="{8F9E1DA4-16D4-4304-B590-1554F58947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0" name="Text Box 1">
          <a:extLst>
            <a:ext uri="{FF2B5EF4-FFF2-40B4-BE49-F238E27FC236}">
              <a16:creationId xmlns:a16="http://schemas.microsoft.com/office/drawing/2014/main" id="{5695C46C-01A7-48B3-BB03-D3CD6CFF6E1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01" name="Text Box 2">
          <a:extLst>
            <a:ext uri="{FF2B5EF4-FFF2-40B4-BE49-F238E27FC236}">
              <a16:creationId xmlns:a16="http://schemas.microsoft.com/office/drawing/2014/main" id="{EEDB0F4A-6AC4-4D38-8A3F-B65CAD6B8E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2" name="Text Box 1">
          <a:extLst>
            <a:ext uri="{FF2B5EF4-FFF2-40B4-BE49-F238E27FC236}">
              <a16:creationId xmlns:a16="http://schemas.microsoft.com/office/drawing/2014/main" id="{CA57698F-FCD3-434F-9D52-7E5B1BFFD8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03" name="Text Box 2">
          <a:extLst>
            <a:ext uri="{FF2B5EF4-FFF2-40B4-BE49-F238E27FC236}">
              <a16:creationId xmlns:a16="http://schemas.microsoft.com/office/drawing/2014/main" id="{72C246DA-5BDD-4A89-9C9D-0F2A787E12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4" name="Text Box 1">
          <a:extLst>
            <a:ext uri="{FF2B5EF4-FFF2-40B4-BE49-F238E27FC236}">
              <a16:creationId xmlns:a16="http://schemas.microsoft.com/office/drawing/2014/main" id="{7DBDF16D-9C50-47D8-AED0-E5E91578B64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05" name="Text Box 2">
          <a:extLst>
            <a:ext uri="{FF2B5EF4-FFF2-40B4-BE49-F238E27FC236}">
              <a16:creationId xmlns:a16="http://schemas.microsoft.com/office/drawing/2014/main" id="{A29E158C-7804-4398-8512-F458634D42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6" name="Text Box 1">
          <a:extLst>
            <a:ext uri="{FF2B5EF4-FFF2-40B4-BE49-F238E27FC236}">
              <a16:creationId xmlns:a16="http://schemas.microsoft.com/office/drawing/2014/main" id="{FC30AD28-3C4E-4F76-804F-E63DD9E34D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07" name="Text Box 2">
          <a:extLst>
            <a:ext uri="{FF2B5EF4-FFF2-40B4-BE49-F238E27FC236}">
              <a16:creationId xmlns:a16="http://schemas.microsoft.com/office/drawing/2014/main" id="{5912856F-6A81-4DE3-AFB7-6FCCC04D87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08" name="Text Box 1">
          <a:extLst>
            <a:ext uri="{FF2B5EF4-FFF2-40B4-BE49-F238E27FC236}">
              <a16:creationId xmlns:a16="http://schemas.microsoft.com/office/drawing/2014/main" id="{C6E51EC4-6F04-4EB0-834D-5EE5098F1F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09" name="Text Box 2">
          <a:extLst>
            <a:ext uri="{FF2B5EF4-FFF2-40B4-BE49-F238E27FC236}">
              <a16:creationId xmlns:a16="http://schemas.microsoft.com/office/drawing/2014/main" id="{B7975066-D415-418E-8C5E-6911E83D8B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10" name="Text Box 1">
          <a:extLst>
            <a:ext uri="{FF2B5EF4-FFF2-40B4-BE49-F238E27FC236}">
              <a16:creationId xmlns:a16="http://schemas.microsoft.com/office/drawing/2014/main" id="{475B5469-7E03-4E07-812A-8D9F878B91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1" name="Text Box 2">
          <a:extLst>
            <a:ext uri="{FF2B5EF4-FFF2-40B4-BE49-F238E27FC236}">
              <a16:creationId xmlns:a16="http://schemas.microsoft.com/office/drawing/2014/main" id="{9416D7BF-5FFC-423C-9615-E5B7E921B9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12" name="Text Box 1">
          <a:extLst>
            <a:ext uri="{FF2B5EF4-FFF2-40B4-BE49-F238E27FC236}">
              <a16:creationId xmlns:a16="http://schemas.microsoft.com/office/drawing/2014/main" id="{8C40B0CA-99E6-4F21-A50D-4ED17C73BD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3" name="Text Box 2">
          <a:extLst>
            <a:ext uri="{FF2B5EF4-FFF2-40B4-BE49-F238E27FC236}">
              <a16:creationId xmlns:a16="http://schemas.microsoft.com/office/drawing/2014/main" id="{4E93ED25-C8C9-4361-8828-2DDF6D2F2A8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14" name="Text Box 1">
          <a:extLst>
            <a:ext uri="{FF2B5EF4-FFF2-40B4-BE49-F238E27FC236}">
              <a16:creationId xmlns:a16="http://schemas.microsoft.com/office/drawing/2014/main" id="{F156CC3B-52C8-4774-A9D6-7F70AD1453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5" name="Text Box 2">
          <a:extLst>
            <a:ext uri="{FF2B5EF4-FFF2-40B4-BE49-F238E27FC236}">
              <a16:creationId xmlns:a16="http://schemas.microsoft.com/office/drawing/2014/main" id="{94150A41-1B23-4D82-902F-680145EF97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16" name="Text Box 1">
          <a:extLst>
            <a:ext uri="{FF2B5EF4-FFF2-40B4-BE49-F238E27FC236}">
              <a16:creationId xmlns:a16="http://schemas.microsoft.com/office/drawing/2014/main" id="{D2E72AB6-21AD-4247-B311-1480311F56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7" name="Text Box 2">
          <a:extLst>
            <a:ext uri="{FF2B5EF4-FFF2-40B4-BE49-F238E27FC236}">
              <a16:creationId xmlns:a16="http://schemas.microsoft.com/office/drawing/2014/main" id="{C326ADAD-A293-4F1A-BE42-E9ABD08BF6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18" name="Text Box 1">
          <a:extLst>
            <a:ext uri="{FF2B5EF4-FFF2-40B4-BE49-F238E27FC236}">
              <a16:creationId xmlns:a16="http://schemas.microsoft.com/office/drawing/2014/main" id="{C121B66C-C01F-43A9-8993-EFBF92F1C4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19" name="Text Box 2">
          <a:extLst>
            <a:ext uri="{FF2B5EF4-FFF2-40B4-BE49-F238E27FC236}">
              <a16:creationId xmlns:a16="http://schemas.microsoft.com/office/drawing/2014/main" id="{9A67A217-FB1E-478A-8E58-4F6D0715F9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0" name="Text Box 1">
          <a:extLst>
            <a:ext uri="{FF2B5EF4-FFF2-40B4-BE49-F238E27FC236}">
              <a16:creationId xmlns:a16="http://schemas.microsoft.com/office/drawing/2014/main" id="{F3E19F15-1928-4CD0-85EA-ADDD83D6A4E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21" name="Text Box 2">
          <a:extLst>
            <a:ext uri="{FF2B5EF4-FFF2-40B4-BE49-F238E27FC236}">
              <a16:creationId xmlns:a16="http://schemas.microsoft.com/office/drawing/2014/main" id="{FCB47CFE-277D-4862-BBC7-C227BD92DD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2" name="Text Box 1">
          <a:extLst>
            <a:ext uri="{FF2B5EF4-FFF2-40B4-BE49-F238E27FC236}">
              <a16:creationId xmlns:a16="http://schemas.microsoft.com/office/drawing/2014/main" id="{AFF2A707-60B1-46AA-AC8C-F47CD30EDC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23" name="Text Box 2">
          <a:extLst>
            <a:ext uri="{FF2B5EF4-FFF2-40B4-BE49-F238E27FC236}">
              <a16:creationId xmlns:a16="http://schemas.microsoft.com/office/drawing/2014/main" id="{3D01DB12-F3D9-4339-99BA-556A602B67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4" name="Text Box 1">
          <a:extLst>
            <a:ext uri="{FF2B5EF4-FFF2-40B4-BE49-F238E27FC236}">
              <a16:creationId xmlns:a16="http://schemas.microsoft.com/office/drawing/2014/main" id="{72825FB9-049E-48E8-A5F9-02B295B7E1D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25" name="Text Box 2">
          <a:extLst>
            <a:ext uri="{FF2B5EF4-FFF2-40B4-BE49-F238E27FC236}">
              <a16:creationId xmlns:a16="http://schemas.microsoft.com/office/drawing/2014/main" id="{2B8A5BC9-A776-4BF3-B899-11E5C07BB6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6" name="Text Box 1">
          <a:extLst>
            <a:ext uri="{FF2B5EF4-FFF2-40B4-BE49-F238E27FC236}">
              <a16:creationId xmlns:a16="http://schemas.microsoft.com/office/drawing/2014/main" id="{2E67ACF6-1B25-4776-B326-C259B961E9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27" name="Text Box 2">
          <a:extLst>
            <a:ext uri="{FF2B5EF4-FFF2-40B4-BE49-F238E27FC236}">
              <a16:creationId xmlns:a16="http://schemas.microsoft.com/office/drawing/2014/main" id="{190F55DD-35A4-4BFF-B93A-03599CB6F2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28" name="Text Box 1">
          <a:extLst>
            <a:ext uri="{FF2B5EF4-FFF2-40B4-BE49-F238E27FC236}">
              <a16:creationId xmlns:a16="http://schemas.microsoft.com/office/drawing/2014/main" id="{DD5F3FD2-8B50-4158-9C6F-8B51A542E0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29" name="Text Box 2">
          <a:extLst>
            <a:ext uri="{FF2B5EF4-FFF2-40B4-BE49-F238E27FC236}">
              <a16:creationId xmlns:a16="http://schemas.microsoft.com/office/drawing/2014/main" id="{0BC5ED02-F69C-4632-AC32-55353A30C4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30" name="Text Box 1">
          <a:extLst>
            <a:ext uri="{FF2B5EF4-FFF2-40B4-BE49-F238E27FC236}">
              <a16:creationId xmlns:a16="http://schemas.microsoft.com/office/drawing/2014/main" id="{2B85C3BC-898E-40C7-B306-B88CB5DD04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1" name="Text Box 2">
          <a:extLst>
            <a:ext uri="{FF2B5EF4-FFF2-40B4-BE49-F238E27FC236}">
              <a16:creationId xmlns:a16="http://schemas.microsoft.com/office/drawing/2014/main" id="{1394B601-1711-4C16-81F5-6A7ADC2B6D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32" name="Text Box 1">
          <a:extLst>
            <a:ext uri="{FF2B5EF4-FFF2-40B4-BE49-F238E27FC236}">
              <a16:creationId xmlns:a16="http://schemas.microsoft.com/office/drawing/2014/main" id="{D900F549-3977-4F34-855E-04BAEF956D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3" name="Text Box 2">
          <a:extLst>
            <a:ext uri="{FF2B5EF4-FFF2-40B4-BE49-F238E27FC236}">
              <a16:creationId xmlns:a16="http://schemas.microsoft.com/office/drawing/2014/main" id="{EB349D2B-AF73-4E1C-A0EC-5B6BAD7DC2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34" name="Text Box 1">
          <a:extLst>
            <a:ext uri="{FF2B5EF4-FFF2-40B4-BE49-F238E27FC236}">
              <a16:creationId xmlns:a16="http://schemas.microsoft.com/office/drawing/2014/main" id="{1751C01B-71A1-4E82-A7B5-6EF5453106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5" name="Text Box 2">
          <a:extLst>
            <a:ext uri="{FF2B5EF4-FFF2-40B4-BE49-F238E27FC236}">
              <a16:creationId xmlns:a16="http://schemas.microsoft.com/office/drawing/2014/main" id="{7E1CB610-FD35-44E9-8C00-C9F14F5D2E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36" name="Text Box 1">
          <a:extLst>
            <a:ext uri="{FF2B5EF4-FFF2-40B4-BE49-F238E27FC236}">
              <a16:creationId xmlns:a16="http://schemas.microsoft.com/office/drawing/2014/main" id="{D4F2FC12-4723-4198-96F1-2BE9E646DAD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7" name="Text Box 2">
          <a:extLst>
            <a:ext uri="{FF2B5EF4-FFF2-40B4-BE49-F238E27FC236}">
              <a16:creationId xmlns:a16="http://schemas.microsoft.com/office/drawing/2014/main" id="{F9E8C95C-3AD9-442D-9F0D-788C14DE66B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38" name="Text Box 1">
          <a:extLst>
            <a:ext uri="{FF2B5EF4-FFF2-40B4-BE49-F238E27FC236}">
              <a16:creationId xmlns:a16="http://schemas.microsoft.com/office/drawing/2014/main" id="{E93B5300-AAEB-4214-AABF-A1AEDA7B25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39" name="Text Box 2">
          <a:extLst>
            <a:ext uri="{FF2B5EF4-FFF2-40B4-BE49-F238E27FC236}">
              <a16:creationId xmlns:a16="http://schemas.microsoft.com/office/drawing/2014/main" id="{D595565A-3DE0-4A4B-BF38-8AA2036A17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id="{FDAFB4BA-89EB-4102-AA88-97EC0F21FB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41" name="Text Box 2">
          <a:extLst>
            <a:ext uri="{FF2B5EF4-FFF2-40B4-BE49-F238E27FC236}">
              <a16:creationId xmlns:a16="http://schemas.microsoft.com/office/drawing/2014/main" id="{B61AD80B-242E-438F-925F-BCFB5D2E9F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2" name="Text Box 1">
          <a:extLst>
            <a:ext uri="{FF2B5EF4-FFF2-40B4-BE49-F238E27FC236}">
              <a16:creationId xmlns:a16="http://schemas.microsoft.com/office/drawing/2014/main" id="{D26A9499-19FB-45E3-8828-9AE6008FC9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43" name="Text Box 2">
          <a:extLst>
            <a:ext uri="{FF2B5EF4-FFF2-40B4-BE49-F238E27FC236}">
              <a16:creationId xmlns:a16="http://schemas.microsoft.com/office/drawing/2014/main" id="{2B3FEE9B-EAD3-429D-A3AA-27A36DEEB2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4" name="Text Box 1">
          <a:extLst>
            <a:ext uri="{FF2B5EF4-FFF2-40B4-BE49-F238E27FC236}">
              <a16:creationId xmlns:a16="http://schemas.microsoft.com/office/drawing/2014/main" id="{0850FCF9-397C-4D97-A004-2B4F37A602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45" name="Text Box 2">
          <a:extLst>
            <a:ext uri="{FF2B5EF4-FFF2-40B4-BE49-F238E27FC236}">
              <a16:creationId xmlns:a16="http://schemas.microsoft.com/office/drawing/2014/main" id="{E2F65B71-D520-4909-8C7F-A931A06D32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6" name="Text Box 1">
          <a:extLst>
            <a:ext uri="{FF2B5EF4-FFF2-40B4-BE49-F238E27FC236}">
              <a16:creationId xmlns:a16="http://schemas.microsoft.com/office/drawing/2014/main" id="{6D143628-A503-4BE3-83B4-A8D18FBAECA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47" name="Text Box 2">
          <a:extLst>
            <a:ext uri="{FF2B5EF4-FFF2-40B4-BE49-F238E27FC236}">
              <a16:creationId xmlns:a16="http://schemas.microsoft.com/office/drawing/2014/main" id="{1961CA6F-427F-4681-87A5-6678D4BB533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48" name="Text Box 1">
          <a:extLst>
            <a:ext uri="{FF2B5EF4-FFF2-40B4-BE49-F238E27FC236}">
              <a16:creationId xmlns:a16="http://schemas.microsoft.com/office/drawing/2014/main" id="{305EF787-C0B2-4C10-BABD-67703DADAF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49" name="Text Box 2">
          <a:extLst>
            <a:ext uri="{FF2B5EF4-FFF2-40B4-BE49-F238E27FC236}">
              <a16:creationId xmlns:a16="http://schemas.microsoft.com/office/drawing/2014/main" id="{9381AED5-233D-46C9-961A-A89917CAC2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50" name="Text Box 1">
          <a:extLst>
            <a:ext uri="{FF2B5EF4-FFF2-40B4-BE49-F238E27FC236}">
              <a16:creationId xmlns:a16="http://schemas.microsoft.com/office/drawing/2014/main" id="{343EEEAE-B2C3-46D5-A73B-9988E4C5F9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1" name="Text Box 2">
          <a:extLst>
            <a:ext uri="{FF2B5EF4-FFF2-40B4-BE49-F238E27FC236}">
              <a16:creationId xmlns:a16="http://schemas.microsoft.com/office/drawing/2014/main" id="{4AE68DCD-0D53-45B0-8FA7-B4057AAD00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52" name="Text Box 1">
          <a:extLst>
            <a:ext uri="{FF2B5EF4-FFF2-40B4-BE49-F238E27FC236}">
              <a16:creationId xmlns:a16="http://schemas.microsoft.com/office/drawing/2014/main" id="{C9FD7EC1-7671-4068-BED3-A3483ADF80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3" name="Text Box 2">
          <a:extLst>
            <a:ext uri="{FF2B5EF4-FFF2-40B4-BE49-F238E27FC236}">
              <a16:creationId xmlns:a16="http://schemas.microsoft.com/office/drawing/2014/main" id="{4E4F54D0-E7B2-45AC-AA71-401C5B7D24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54" name="Text Box 1">
          <a:extLst>
            <a:ext uri="{FF2B5EF4-FFF2-40B4-BE49-F238E27FC236}">
              <a16:creationId xmlns:a16="http://schemas.microsoft.com/office/drawing/2014/main" id="{B9EA908D-3697-48D5-A421-B8D4D3F9B3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5" name="Text Box 2">
          <a:extLst>
            <a:ext uri="{FF2B5EF4-FFF2-40B4-BE49-F238E27FC236}">
              <a16:creationId xmlns:a16="http://schemas.microsoft.com/office/drawing/2014/main" id="{D44C7483-338F-40B6-A2D6-317FF0513B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56" name="Text Box 1">
          <a:extLst>
            <a:ext uri="{FF2B5EF4-FFF2-40B4-BE49-F238E27FC236}">
              <a16:creationId xmlns:a16="http://schemas.microsoft.com/office/drawing/2014/main" id="{7AB5C68F-EA36-4EE9-879B-B23A2DF071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7" name="Text Box 2">
          <a:extLst>
            <a:ext uri="{FF2B5EF4-FFF2-40B4-BE49-F238E27FC236}">
              <a16:creationId xmlns:a16="http://schemas.microsoft.com/office/drawing/2014/main" id="{8ADD5185-2196-4BFD-9F7C-587A876593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58" name="Text Box 1">
          <a:extLst>
            <a:ext uri="{FF2B5EF4-FFF2-40B4-BE49-F238E27FC236}">
              <a16:creationId xmlns:a16="http://schemas.microsoft.com/office/drawing/2014/main" id="{33959414-DB47-4113-BE4C-EB3BA4D70E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59" name="Text Box 2">
          <a:extLst>
            <a:ext uri="{FF2B5EF4-FFF2-40B4-BE49-F238E27FC236}">
              <a16:creationId xmlns:a16="http://schemas.microsoft.com/office/drawing/2014/main" id="{EECA4081-6F84-4209-81F6-855DFDB2B9C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0" name="Text Box 1">
          <a:extLst>
            <a:ext uri="{FF2B5EF4-FFF2-40B4-BE49-F238E27FC236}">
              <a16:creationId xmlns:a16="http://schemas.microsoft.com/office/drawing/2014/main" id="{2F3B7881-82E2-4C65-A656-5F6F15F089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61" name="Text Box 2">
          <a:extLst>
            <a:ext uri="{FF2B5EF4-FFF2-40B4-BE49-F238E27FC236}">
              <a16:creationId xmlns:a16="http://schemas.microsoft.com/office/drawing/2014/main" id="{B8F1CE41-9D36-49C6-87DF-A6D563376F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2" name="Text Box 1">
          <a:extLst>
            <a:ext uri="{FF2B5EF4-FFF2-40B4-BE49-F238E27FC236}">
              <a16:creationId xmlns:a16="http://schemas.microsoft.com/office/drawing/2014/main" id="{B32B6A02-E498-441D-A3FA-7E0FD6F9B6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63" name="Text Box 2">
          <a:extLst>
            <a:ext uri="{FF2B5EF4-FFF2-40B4-BE49-F238E27FC236}">
              <a16:creationId xmlns:a16="http://schemas.microsoft.com/office/drawing/2014/main" id="{5BD73F2A-55F6-4016-8DAB-538AF97B6D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4" name="Text Box 1">
          <a:extLst>
            <a:ext uri="{FF2B5EF4-FFF2-40B4-BE49-F238E27FC236}">
              <a16:creationId xmlns:a16="http://schemas.microsoft.com/office/drawing/2014/main" id="{EEC18060-2689-4147-89E0-349B4EBC457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65" name="Text Box 2">
          <a:extLst>
            <a:ext uri="{FF2B5EF4-FFF2-40B4-BE49-F238E27FC236}">
              <a16:creationId xmlns:a16="http://schemas.microsoft.com/office/drawing/2014/main" id="{39B09F4F-4058-4090-8A07-23E21190C7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6" name="Text Box 1">
          <a:extLst>
            <a:ext uri="{FF2B5EF4-FFF2-40B4-BE49-F238E27FC236}">
              <a16:creationId xmlns:a16="http://schemas.microsoft.com/office/drawing/2014/main" id="{5865F1CA-9433-4F49-94DE-C52814EDC2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67" name="Text Box 2">
          <a:extLst>
            <a:ext uri="{FF2B5EF4-FFF2-40B4-BE49-F238E27FC236}">
              <a16:creationId xmlns:a16="http://schemas.microsoft.com/office/drawing/2014/main" id="{1FF9F189-99AD-4448-B2F5-7D34E7B677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68" name="Text Box 1">
          <a:extLst>
            <a:ext uri="{FF2B5EF4-FFF2-40B4-BE49-F238E27FC236}">
              <a16:creationId xmlns:a16="http://schemas.microsoft.com/office/drawing/2014/main" id="{815941AB-22F7-44C9-9670-8C451C8EC8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69" name="Text Box 2">
          <a:extLst>
            <a:ext uri="{FF2B5EF4-FFF2-40B4-BE49-F238E27FC236}">
              <a16:creationId xmlns:a16="http://schemas.microsoft.com/office/drawing/2014/main" id="{625A0B79-7CE3-4CBA-B5AC-189D1FE595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70" name="Text Box 1">
          <a:extLst>
            <a:ext uri="{FF2B5EF4-FFF2-40B4-BE49-F238E27FC236}">
              <a16:creationId xmlns:a16="http://schemas.microsoft.com/office/drawing/2014/main" id="{236655E6-5F8E-46D1-9BB3-DC5260CE78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1" name="Text Box 2">
          <a:extLst>
            <a:ext uri="{FF2B5EF4-FFF2-40B4-BE49-F238E27FC236}">
              <a16:creationId xmlns:a16="http://schemas.microsoft.com/office/drawing/2014/main" id="{DC34ED5D-C65E-4EFF-B355-3E75A792177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72" name="Text Box 1">
          <a:extLst>
            <a:ext uri="{FF2B5EF4-FFF2-40B4-BE49-F238E27FC236}">
              <a16:creationId xmlns:a16="http://schemas.microsoft.com/office/drawing/2014/main" id="{02EE2561-748A-4B58-9F11-E7D12C5CE7A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3" name="Text Box 2">
          <a:extLst>
            <a:ext uri="{FF2B5EF4-FFF2-40B4-BE49-F238E27FC236}">
              <a16:creationId xmlns:a16="http://schemas.microsoft.com/office/drawing/2014/main" id="{A319DEA2-D0AE-4605-B2EC-4B4D6E662E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74" name="Text Box 1">
          <a:extLst>
            <a:ext uri="{FF2B5EF4-FFF2-40B4-BE49-F238E27FC236}">
              <a16:creationId xmlns:a16="http://schemas.microsoft.com/office/drawing/2014/main" id="{C106EC8E-FEAF-4AC7-847D-CABB68182A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5" name="Text Box 2">
          <a:extLst>
            <a:ext uri="{FF2B5EF4-FFF2-40B4-BE49-F238E27FC236}">
              <a16:creationId xmlns:a16="http://schemas.microsoft.com/office/drawing/2014/main" id="{0C380E1F-E9A8-4637-9360-A93B5727BB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76" name="Text Box 1">
          <a:extLst>
            <a:ext uri="{FF2B5EF4-FFF2-40B4-BE49-F238E27FC236}">
              <a16:creationId xmlns:a16="http://schemas.microsoft.com/office/drawing/2014/main" id="{88FC6021-6B95-4772-B009-E397EA540D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7" name="Text Box 2">
          <a:extLst>
            <a:ext uri="{FF2B5EF4-FFF2-40B4-BE49-F238E27FC236}">
              <a16:creationId xmlns:a16="http://schemas.microsoft.com/office/drawing/2014/main" id="{C9895BC7-E918-47B2-B07D-67294D9E9A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78" name="Text Box 1">
          <a:extLst>
            <a:ext uri="{FF2B5EF4-FFF2-40B4-BE49-F238E27FC236}">
              <a16:creationId xmlns:a16="http://schemas.microsoft.com/office/drawing/2014/main" id="{30440471-255B-463A-8D48-D6B5471C9F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79" name="Text Box 2">
          <a:extLst>
            <a:ext uri="{FF2B5EF4-FFF2-40B4-BE49-F238E27FC236}">
              <a16:creationId xmlns:a16="http://schemas.microsoft.com/office/drawing/2014/main" id="{55ABA8C1-197E-435F-9E25-9CC1BE45853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0" name="Text Box 1">
          <a:extLst>
            <a:ext uri="{FF2B5EF4-FFF2-40B4-BE49-F238E27FC236}">
              <a16:creationId xmlns:a16="http://schemas.microsoft.com/office/drawing/2014/main" id="{C5970AB3-157A-4E85-8EFD-4DF6AE64AC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81" name="Text Box 2">
          <a:extLst>
            <a:ext uri="{FF2B5EF4-FFF2-40B4-BE49-F238E27FC236}">
              <a16:creationId xmlns:a16="http://schemas.microsoft.com/office/drawing/2014/main" id="{D3D446C3-B8F7-44C0-8D13-A5D136A895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2" name="Text Box 1">
          <a:extLst>
            <a:ext uri="{FF2B5EF4-FFF2-40B4-BE49-F238E27FC236}">
              <a16:creationId xmlns:a16="http://schemas.microsoft.com/office/drawing/2014/main" id="{E111C213-42D7-4D3D-82E0-6E122B39A1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83" name="Text Box 2">
          <a:extLst>
            <a:ext uri="{FF2B5EF4-FFF2-40B4-BE49-F238E27FC236}">
              <a16:creationId xmlns:a16="http://schemas.microsoft.com/office/drawing/2014/main" id="{FE9DAECA-D2D0-46EC-8952-5C7EE69904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id="{72F0E387-083F-4A3E-8E3A-B630A985F8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85" name="Text Box 2">
          <a:extLst>
            <a:ext uri="{FF2B5EF4-FFF2-40B4-BE49-F238E27FC236}">
              <a16:creationId xmlns:a16="http://schemas.microsoft.com/office/drawing/2014/main" id="{C3FD93BE-B959-401B-A29C-0E20A939FA6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6" name="Text Box 1">
          <a:extLst>
            <a:ext uri="{FF2B5EF4-FFF2-40B4-BE49-F238E27FC236}">
              <a16:creationId xmlns:a16="http://schemas.microsoft.com/office/drawing/2014/main" id="{7EC352DA-F421-4E87-AF02-6420415555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87" name="Text Box 2">
          <a:extLst>
            <a:ext uri="{FF2B5EF4-FFF2-40B4-BE49-F238E27FC236}">
              <a16:creationId xmlns:a16="http://schemas.microsoft.com/office/drawing/2014/main" id="{8E663355-B4B8-434F-9A31-C513F05373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88" name="Text Box 1">
          <a:extLst>
            <a:ext uri="{FF2B5EF4-FFF2-40B4-BE49-F238E27FC236}">
              <a16:creationId xmlns:a16="http://schemas.microsoft.com/office/drawing/2014/main" id="{259EC541-E6D3-4AFB-9140-D5FAFC1372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89" name="Text Box 2">
          <a:extLst>
            <a:ext uri="{FF2B5EF4-FFF2-40B4-BE49-F238E27FC236}">
              <a16:creationId xmlns:a16="http://schemas.microsoft.com/office/drawing/2014/main" id="{EB03C67A-6E88-449E-857D-DFE8DF420A7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90" name="Text Box 1">
          <a:extLst>
            <a:ext uri="{FF2B5EF4-FFF2-40B4-BE49-F238E27FC236}">
              <a16:creationId xmlns:a16="http://schemas.microsoft.com/office/drawing/2014/main" id="{95A03188-964C-4EEA-A8D9-AFE07F7CAD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1" name="Text Box 2">
          <a:extLst>
            <a:ext uri="{FF2B5EF4-FFF2-40B4-BE49-F238E27FC236}">
              <a16:creationId xmlns:a16="http://schemas.microsoft.com/office/drawing/2014/main" id="{7F4723BE-5A2E-4CB6-B3AA-A6F2E06460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92" name="Text Box 1">
          <a:extLst>
            <a:ext uri="{FF2B5EF4-FFF2-40B4-BE49-F238E27FC236}">
              <a16:creationId xmlns:a16="http://schemas.microsoft.com/office/drawing/2014/main" id="{60357BEA-8740-4503-B8E5-67944653FC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3" name="Text Box 2">
          <a:extLst>
            <a:ext uri="{FF2B5EF4-FFF2-40B4-BE49-F238E27FC236}">
              <a16:creationId xmlns:a16="http://schemas.microsoft.com/office/drawing/2014/main" id="{63B1A296-BD50-46AA-9214-08A9E1BDF7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94" name="Text Box 1">
          <a:extLst>
            <a:ext uri="{FF2B5EF4-FFF2-40B4-BE49-F238E27FC236}">
              <a16:creationId xmlns:a16="http://schemas.microsoft.com/office/drawing/2014/main" id="{212DEC3B-9E61-4C88-920B-F668039FA9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5" name="Text Box 2">
          <a:extLst>
            <a:ext uri="{FF2B5EF4-FFF2-40B4-BE49-F238E27FC236}">
              <a16:creationId xmlns:a16="http://schemas.microsoft.com/office/drawing/2014/main" id="{9FF247E0-69E7-42BA-81CD-BDB96B221A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96" name="Text Box 1">
          <a:extLst>
            <a:ext uri="{FF2B5EF4-FFF2-40B4-BE49-F238E27FC236}">
              <a16:creationId xmlns:a16="http://schemas.microsoft.com/office/drawing/2014/main" id="{081B7C6E-5E92-4A84-BA0D-CCD83AE5E4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7" name="Text Box 2">
          <a:extLst>
            <a:ext uri="{FF2B5EF4-FFF2-40B4-BE49-F238E27FC236}">
              <a16:creationId xmlns:a16="http://schemas.microsoft.com/office/drawing/2014/main" id="{A912D622-ACB4-4468-B8FB-9A614473C52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498" name="Text Box 1">
          <a:extLst>
            <a:ext uri="{FF2B5EF4-FFF2-40B4-BE49-F238E27FC236}">
              <a16:creationId xmlns:a16="http://schemas.microsoft.com/office/drawing/2014/main" id="{E8A6BCF4-DE75-4178-A1C3-CF835AAD0E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499" name="Text Box 2">
          <a:extLst>
            <a:ext uri="{FF2B5EF4-FFF2-40B4-BE49-F238E27FC236}">
              <a16:creationId xmlns:a16="http://schemas.microsoft.com/office/drawing/2014/main" id="{1810CF2D-8674-4E7A-857E-332D9BF45B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0" name="Text Box 1">
          <a:extLst>
            <a:ext uri="{FF2B5EF4-FFF2-40B4-BE49-F238E27FC236}">
              <a16:creationId xmlns:a16="http://schemas.microsoft.com/office/drawing/2014/main" id="{B96C8CEE-DB17-46ED-8B9E-0EF94E84AE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01" name="Text Box 2">
          <a:extLst>
            <a:ext uri="{FF2B5EF4-FFF2-40B4-BE49-F238E27FC236}">
              <a16:creationId xmlns:a16="http://schemas.microsoft.com/office/drawing/2014/main" id="{822A7F73-A8C0-40C9-8C54-AD03D80CA0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2" name="Text Box 1">
          <a:extLst>
            <a:ext uri="{FF2B5EF4-FFF2-40B4-BE49-F238E27FC236}">
              <a16:creationId xmlns:a16="http://schemas.microsoft.com/office/drawing/2014/main" id="{53ED3977-D8CA-497E-BEC8-543BDE0B0F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03" name="Text Box 2">
          <a:extLst>
            <a:ext uri="{FF2B5EF4-FFF2-40B4-BE49-F238E27FC236}">
              <a16:creationId xmlns:a16="http://schemas.microsoft.com/office/drawing/2014/main" id="{87AA2383-0F02-4647-9E86-C881DBFD95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4" name="Text Box 1">
          <a:extLst>
            <a:ext uri="{FF2B5EF4-FFF2-40B4-BE49-F238E27FC236}">
              <a16:creationId xmlns:a16="http://schemas.microsoft.com/office/drawing/2014/main" id="{4238128C-80D5-487B-BC9B-67EE7CCE50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05" name="Text Box 2">
          <a:extLst>
            <a:ext uri="{FF2B5EF4-FFF2-40B4-BE49-F238E27FC236}">
              <a16:creationId xmlns:a16="http://schemas.microsoft.com/office/drawing/2014/main" id="{56A41762-6545-4E6A-9606-9FCBA212D3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6" name="Text Box 1">
          <a:extLst>
            <a:ext uri="{FF2B5EF4-FFF2-40B4-BE49-F238E27FC236}">
              <a16:creationId xmlns:a16="http://schemas.microsoft.com/office/drawing/2014/main" id="{6C36E07D-26B0-4E6B-B493-8535F8B3FF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07" name="Text Box 2">
          <a:extLst>
            <a:ext uri="{FF2B5EF4-FFF2-40B4-BE49-F238E27FC236}">
              <a16:creationId xmlns:a16="http://schemas.microsoft.com/office/drawing/2014/main" id="{D0EDB517-1DF6-4AF1-9F18-30ED73C5DA8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08" name="Text Box 1">
          <a:extLst>
            <a:ext uri="{FF2B5EF4-FFF2-40B4-BE49-F238E27FC236}">
              <a16:creationId xmlns:a16="http://schemas.microsoft.com/office/drawing/2014/main" id="{026BAF05-B86E-4765-A0A2-2408C71307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09" name="Text Box 2">
          <a:extLst>
            <a:ext uri="{FF2B5EF4-FFF2-40B4-BE49-F238E27FC236}">
              <a16:creationId xmlns:a16="http://schemas.microsoft.com/office/drawing/2014/main" id="{314CA92A-1B85-40A0-8A2F-67D36DA9C68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10" name="Text Box 1">
          <a:extLst>
            <a:ext uri="{FF2B5EF4-FFF2-40B4-BE49-F238E27FC236}">
              <a16:creationId xmlns:a16="http://schemas.microsoft.com/office/drawing/2014/main" id="{DC5C2184-0146-447B-9DF1-275863ACF0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1" name="Text Box 2">
          <a:extLst>
            <a:ext uri="{FF2B5EF4-FFF2-40B4-BE49-F238E27FC236}">
              <a16:creationId xmlns:a16="http://schemas.microsoft.com/office/drawing/2014/main" id="{EF9A795D-9976-44F8-93F4-153FE74F53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12" name="Text Box 1">
          <a:extLst>
            <a:ext uri="{FF2B5EF4-FFF2-40B4-BE49-F238E27FC236}">
              <a16:creationId xmlns:a16="http://schemas.microsoft.com/office/drawing/2014/main" id="{9346CF6B-58B1-4BAC-AFF8-AF70A6F4BD7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3" name="Text Box 2">
          <a:extLst>
            <a:ext uri="{FF2B5EF4-FFF2-40B4-BE49-F238E27FC236}">
              <a16:creationId xmlns:a16="http://schemas.microsoft.com/office/drawing/2014/main" id="{3CBDDF2F-4B87-4D33-9AB7-BC63E0E05E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14" name="Text Box 1">
          <a:extLst>
            <a:ext uri="{FF2B5EF4-FFF2-40B4-BE49-F238E27FC236}">
              <a16:creationId xmlns:a16="http://schemas.microsoft.com/office/drawing/2014/main" id="{2B7F7791-2F58-45B0-910B-D2DE449D29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5" name="Text Box 2">
          <a:extLst>
            <a:ext uri="{FF2B5EF4-FFF2-40B4-BE49-F238E27FC236}">
              <a16:creationId xmlns:a16="http://schemas.microsoft.com/office/drawing/2014/main" id="{873143EC-DFA1-4D84-9AA9-D99D2B8E8D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16" name="Text Box 1">
          <a:extLst>
            <a:ext uri="{FF2B5EF4-FFF2-40B4-BE49-F238E27FC236}">
              <a16:creationId xmlns:a16="http://schemas.microsoft.com/office/drawing/2014/main" id="{B17DEAF3-1B43-4659-9A7A-C30721DF2B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7" name="Text Box 2">
          <a:extLst>
            <a:ext uri="{FF2B5EF4-FFF2-40B4-BE49-F238E27FC236}">
              <a16:creationId xmlns:a16="http://schemas.microsoft.com/office/drawing/2014/main" id="{5F8EF764-5A94-4A49-A29D-236442D258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18" name="Text Box 1">
          <a:extLst>
            <a:ext uri="{FF2B5EF4-FFF2-40B4-BE49-F238E27FC236}">
              <a16:creationId xmlns:a16="http://schemas.microsoft.com/office/drawing/2014/main" id="{7B823DFE-AD14-40C6-8CBF-A69484C7FF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19" name="Text Box 2">
          <a:extLst>
            <a:ext uri="{FF2B5EF4-FFF2-40B4-BE49-F238E27FC236}">
              <a16:creationId xmlns:a16="http://schemas.microsoft.com/office/drawing/2014/main" id="{561FE6A4-88BB-4A3D-A4E9-59CF15B86D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0" name="Text Box 1">
          <a:extLst>
            <a:ext uri="{FF2B5EF4-FFF2-40B4-BE49-F238E27FC236}">
              <a16:creationId xmlns:a16="http://schemas.microsoft.com/office/drawing/2014/main" id="{687B7755-F782-471E-AA29-43F9669E38F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21" name="Text Box 2">
          <a:extLst>
            <a:ext uri="{FF2B5EF4-FFF2-40B4-BE49-F238E27FC236}">
              <a16:creationId xmlns:a16="http://schemas.microsoft.com/office/drawing/2014/main" id="{CA1069AA-7EDF-476A-BCDB-EDCEEC2427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2" name="Text Box 1">
          <a:extLst>
            <a:ext uri="{FF2B5EF4-FFF2-40B4-BE49-F238E27FC236}">
              <a16:creationId xmlns:a16="http://schemas.microsoft.com/office/drawing/2014/main" id="{DC6D0F2A-CB0C-4A22-80F0-31E3C5C001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23" name="Text Box 2">
          <a:extLst>
            <a:ext uri="{FF2B5EF4-FFF2-40B4-BE49-F238E27FC236}">
              <a16:creationId xmlns:a16="http://schemas.microsoft.com/office/drawing/2014/main" id="{4AB4B3EC-FA1C-453D-8EFF-058B97A9B6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4" name="Text Box 1">
          <a:extLst>
            <a:ext uri="{FF2B5EF4-FFF2-40B4-BE49-F238E27FC236}">
              <a16:creationId xmlns:a16="http://schemas.microsoft.com/office/drawing/2014/main" id="{EEC09AA2-2F98-4774-A37A-E929D9A743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25" name="Text Box 2">
          <a:extLst>
            <a:ext uri="{FF2B5EF4-FFF2-40B4-BE49-F238E27FC236}">
              <a16:creationId xmlns:a16="http://schemas.microsoft.com/office/drawing/2014/main" id="{98A62DAE-E8A6-4A59-96DF-6360D60F26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6" name="Text Box 1">
          <a:extLst>
            <a:ext uri="{FF2B5EF4-FFF2-40B4-BE49-F238E27FC236}">
              <a16:creationId xmlns:a16="http://schemas.microsoft.com/office/drawing/2014/main" id="{858AFD60-BDE9-45EB-9AE1-BF50FCCC5F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27" name="Text Box 2">
          <a:extLst>
            <a:ext uri="{FF2B5EF4-FFF2-40B4-BE49-F238E27FC236}">
              <a16:creationId xmlns:a16="http://schemas.microsoft.com/office/drawing/2014/main" id="{E20F87E2-C584-4D2A-A9C5-57FE69402B7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id="{AB2E21DA-B483-4CDA-9DBF-A22F758383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29" name="Text Box 2">
          <a:extLst>
            <a:ext uri="{FF2B5EF4-FFF2-40B4-BE49-F238E27FC236}">
              <a16:creationId xmlns:a16="http://schemas.microsoft.com/office/drawing/2014/main" id="{E3A9C6F2-3532-4F05-BB30-F2048821E3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id="{DADA505C-E8DC-4DA4-9E9E-C7C68348E1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1" name="Text Box 2">
          <a:extLst>
            <a:ext uri="{FF2B5EF4-FFF2-40B4-BE49-F238E27FC236}">
              <a16:creationId xmlns:a16="http://schemas.microsoft.com/office/drawing/2014/main" id="{0084EECA-C885-4201-9CCD-EB7F491544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32" name="Text Box 1">
          <a:extLst>
            <a:ext uri="{FF2B5EF4-FFF2-40B4-BE49-F238E27FC236}">
              <a16:creationId xmlns:a16="http://schemas.microsoft.com/office/drawing/2014/main" id="{9C3A08F3-47F9-4EB1-903D-85A99BF93F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3" name="Text Box 2">
          <a:extLst>
            <a:ext uri="{FF2B5EF4-FFF2-40B4-BE49-F238E27FC236}">
              <a16:creationId xmlns:a16="http://schemas.microsoft.com/office/drawing/2014/main" id="{061E073C-E066-4606-A357-3B21ED2B40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34" name="Text Box 1">
          <a:extLst>
            <a:ext uri="{FF2B5EF4-FFF2-40B4-BE49-F238E27FC236}">
              <a16:creationId xmlns:a16="http://schemas.microsoft.com/office/drawing/2014/main" id="{22F4238E-B4C9-4C22-B579-21B6348663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5" name="Text Box 2">
          <a:extLst>
            <a:ext uri="{FF2B5EF4-FFF2-40B4-BE49-F238E27FC236}">
              <a16:creationId xmlns:a16="http://schemas.microsoft.com/office/drawing/2014/main" id="{A1A52DA4-DD1E-4A89-802F-9D8B70AE53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36" name="Text Box 1">
          <a:extLst>
            <a:ext uri="{FF2B5EF4-FFF2-40B4-BE49-F238E27FC236}">
              <a16:creationId xmlns:a16="http://schemas.microsoft.com/office/drawing/2014/main" id="{A9CBD600-D48E-484F-9666-3B1522FA39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7" name="Text Box 2">
          <a:extLst>
            <a:ext uri="{FF2B5EF4-FFF2-40B4-BE49-F238E27FC236}">
              <a16:creationId xmlns:a16="http://schemas.microsoft.com/office/drawing/2014/main" id="{EC4EAE35-57EE-4D52-AB59-AF2ECA93BD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38" name="Text Box 1">
          <a:extLst>
            <a:ext uri="{FF2B5EF4-FFF2-40B4-BE49-F238E27FC236}">
              <a16:creationId xmlns:a16="http://schemas.microsoft.com/office/drawing/2014/main" id="{C4127134-2A28-415D-9025-667AC6C62C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39" name="Text Box 2">
          <a:extLst>
            <a:ext uri="{FF2B5EF4-FFF2-40B4-BE49-F238E27FC236}">
              <a16:creationId xmlns:a16="http://schemas.microsoft.com/office/drawing/2014/main" id="{6A85C08D-FBE5-4D4D-B4DD-5FC491ABBB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0" name="Text Box 1">
          <a:extLst>
            <a:ext uri="{FF2B5EF4-FFF2-40B4-BE49-F238E27FC236}">
              <a16:creationId xmlns:a16="http://schemas.microsoft.com/office/drawing/2014/main" id="{A4873054-9CF6-4EEA-8D06-D643F1C351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41" name="Text Box 2">
          <a:extLst>
            <a:ext uri="{FF2B5EF4-FFF2-40B4-BE49-F238E27FC236}">
              <a16:creationId xmlns:a16="http://schemas.microsoft.com/office/drawing/2014/main" id="{D4611DBE-12D8-420F-B94F-371439DE4B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2" name="Text Box 1">
          <a:extLst>
            <a:ext uri="{FF2B5EF4-FFF2-40B4-BE49-F238E27FC236}">
              <a16:creationId xmlns:a16="http://schemas.microsoft.com/office/drawing/2014/main" id="{86B741B6-F0A0-4AB7-A107-0A324A56AE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43" name="Text Box 2">
          <a:extLst>
            <a:ext uri="{FF2B5EF4-FFF2-40B4-BE49-F238E27FC236}">
              <a16:creationId xmlns:a16="http://schemas.microsoft.com/office/drawing/2014/main" id="{15FB37BC-BDB8-4624-A00B-7221B6B3448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4" name="Text Box 1">
          <a:extLst>
            <a:ext uri="{FF2B5EF4-FFF2-40B4-BE49-F238E27FC236}">
              <a16:creationId xmlns:a16="http://schemas.microsoft.com/office/drawing/2014/main" id="{4B4BB41C-73D3-4A4C-BD2B-2C97D0F2F0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45" name="Text Box 2">
          <a:extLst>
            <a:ext uri="{FF2B5EF4-FFF2-40B4-BE49-F238E27FC236}">
              <a16:creationId xmlns:a16="http://schemas.microsoft.com/office/drawing/2014/main" id="{912D625D-83AB-4BDB-A19C-99D0FDDD4F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6" name="Text Box 1">
          <a:extLst>
            <a:ext uri="{FF2B5EF4-FFF2-40B4-BE49-F238E27FC236}">
              <a16:creationId xmlns:a16="http://schemas.microsoft.com/office/drawing/2014/main" id="{05F34ACE-EA63-423E-92C1-C0AA9C7B9F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47" name="Text Box 2">
          <a:extLst>
            <a:ext uri="{FF2B5EF4-FFF2-40B4-BE49-F238E27FC236}">
              <a16:creationId xmlns:a16="http://schemas.microsoft.com/office/drawing/2014/main" id="{05ACBC78-8773-41DF-8E21-ABC946C596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48" name="Text Box 1">
          <a:extLst>
            <a:ext uri="{FF2B5EF4-FFF2-40B4-BE49-F238E27FC236}">
              <a16:creationId xmlns:a16="http://schemas.microsoft.com/office/drawing/2014/main" id="{A86A4966-F244-4529-B6A0-6D3D7B1CFE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49" name="Text Box 2">
          <a:extLst>
            <a:ext uri="{FF2B5EF4-FFF2-40B4-BE49-F238E27FC236}">
              <a16:creationId xmlns:a16="http://schemas.microsoft.com/office/drawing/2014/main" id="{330854E3-D5E4-4EC7-A7D8-0DD9ADFD2C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50" name="Text Box 1">
          <a:extLst>
            <a:ext uri="{FF2B5EF4-FFF2-40B4-BE49-F238E27FC236}">
              <a16:creationId xmlns:a16="http://schemas.microsoft.com/office/drawing/2014/main" id="{B4062377-0860-4C69-9568-38C422113B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1" name="Text Box 2">
          <a:extLst>
            <a:ext uri="{FF2B5EF4-FFF2-40B4-BE49-F238E27FC236}">
              <a16:creationId xmlns:a16="http://schemas.microsoft.com/office/drawing/2014/main" id="{9D71742F-AB0B-476B-8483-A15B93ECE0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52" name="Text Box 1">
          <a:extLst>
            <a:ext uri="{FF2B5EF4-FFF2-40B4-BE49-F238E27FC236}">
              <a16:creationId xmlns:a16="http://schemas.microsoft.com/office/drawing/2014/main" id="{72816D8F-3FEA-4D49-BB87-56E9A8C04E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3" name="Text Box 2">
          <a:extLst>
            <a:ext uri="{FF2B5EF4-FFF2-40B4-BE49-F238E27FC236}">
              <a16:creationId xmlns:a16="http://schemas.microsoft.com/office/drawing/2014/main" id="{ED1BE10D-518E-44BF-B0B4-4002323331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id="{DC559DDA-4204-43B0-9CB4-3EA31FE40A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5" name="Text Box 2">
          <a:extLst>
            <a:ext uri="{FF2B5EF4-FFF2-40B4-BE49-F238E27FC236}">
              <a16:creationId xmlns:a16="http://schemas.microsoft.com/office/drawing/2014/main" id="{E1694579-DFF2-4007-A4F8-7C3F16F5AD4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56" name="Text Box 1">
          <a:extLst>
            <a:ext uri="{FF2B5EF4-FFF2-40B4-BE49-F238E27FC236}">
              <a16:creationId xmlns:a16="http://schemas.microsoft.com/office/drawing/2014/main" id="{5AD94488-4A42-4C83-B1DF-D8254CA715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7" name="Text Box 2">
          <a:extLst>
            <a:ext uri="{FF2B5EF4-FFF2-40B4-BE49-F238E27FC236}">
              <a16:creationId xmlns:a16="http://schemas.microsoft.com/office/drawing/2014/main" id="{DF82B2EA-B398-4D00-A30D-C29BEA067B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58" name="Text Box 1">
          <a:extLst>
            <a:ext uri="{FF2B5EF4-FFF2-40B4-BE49-F238E27FC236}">
              <a16:creationId xmlns:a16="http://schemas.microsoft.com/office/drawing/2014/main" id="{3C678006-880D-4995-AD4C-4B33969876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59" name="Text Box 2">
          <a:extLst>
            <a:ext uri="{FF2B5EF4-FFF2-40B4-BE49-F238E27FC236}">
              <a16:creationId xmlns:a16="http://schemas.microsoft.com/office/drawing/2014/main" id="{5AB7F0E9-AF05-4301-B8D7-33983B6E21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0" name="Text Box 1">
          <a:extLst>
            <a:ext uri="{FF2B5EF4-FFF2-40B4-BE49-F238E27FC236}">
              <a16:creationId xmlns:a16="http://schemas.microsoft.com/office/drawing/2014/main" id="{82926DB0-AA60-446E-8FCE-914ABD400D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61" name="Text Box 2">
          <a:extLst>
            <a:ext uri="{FF2B5EF4-FFF2-40B4-BE49-F238E27FC236}">
              <a16:creationId xmlns:a16="http://schemas.microsoft.com/office/drawing/2014/main" id="{5BAB9B94-6CD5-42CF-A897-5E78A533D5A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2" name="Text Box 1">
          <a:extLst>
            <a:ext uri="{FF2B5EF4-FFF2-40B4-BE49-F238E27FC236}">
              <a16:creationId xmlns:a16="http://schemas.microsoft.com/office/drawing/2014/main" id="{895B96F5-79D9-4711-9BA2-C3F56A5F92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63" name="Text Box 2">
          <a:extLst>
            <a:ext uri="{FF2B5EF4-FFF2-40B4-BE49-F238E27FC236}">
              <a16:creationId xmlns:a16="http://schemas.microsoft.com/office/drawing/2014/main" id="{89458D70-48DF-4198-893A-FFD801D6FB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4" name="Text Box 1">
          <a:extLst>
            <a:ext uri="{FF2B5EF4-FFF2-40B4-BE49-F238E27FC236}">
              <a16:creationId xmlns:a16="http://schemas.microsoft.com/office/drawing/2014/main" id="{5162F5D8-1B57-4B84-BC4B-B0D0ACAB90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65" name="Text Box 2">
          <a:extLst>
            <a:ext uri="{FF2B5EF4-FFF2-40B4-BE49-F238E27FC236}">
              <a16:creationId xmlns:a16="http://schemas.microsoft.com/office/drawing/2014/main" id="{D0853CA3-141A-403B-9B11-E3580B4A82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6" name="Text Box 1">
          <a:extLst>
            <a:ext uri="{FF2B5EF4-FFF2-40B4-BE49-F238E27FC236}">
              <a16:creationId xmlns:a16="http://schemas.microsoft.com/office/drawing/2014/main" id="{15C88934-9710-4C5A-BD6B-B709B4B7EF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67" name="Text Box 2">
          <a:extLst>
            <a:ext uri="{FF2B5EF4-FFF2-40B4-BE49-F238E27FC236}">
              <a16:creationId xmlns:a16="http://schemas.microsoft.com/office/drawing/2014/main" id="{7BF8D6B9-C6A9-4489-BA68-80A31B01DF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68" name="Text Box 1">
          <a:extLst>
            <a:ext uri="{FF2B5EF4-FFF2-40B4-BE49-F238E27FC236}">
              <a16:creationId xmlns:a16="http://schemas.microsoft.com/office/drawing/2014/main" id="{B2EF3AB9-EB66-42DB-9B93-6FBBD87199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69" name="Text Box 2">
          <a:extLst>
            <a:ext uri="{FF2B5EF4-FFF2-40B4-BE49-F238E27FC236}">
              <a16:creationId xmlns:a16="http://schemas.microsoft.com/office/drawing/2014/main" id="{7E850647-FB6C-4BE5-88AD-7D4FEEDD55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70" name="Text Box 1">
          <a:extLst>
            <a:ext uri="{FF2B5EF4-FFF2-40B4-BE49-F238E27FC236}">
              <a16:creationId xmlns:a16="http://schemas.microsoft.com/office/drawing/2014/main" id="{7F4EF4CF-A0D6-4402-BDE4-2720A3EA9F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1" name="Text Box 2">
          <a:extLst>
            <a:ext uri="{FF2B5EF4-FFF2-40B4-BE49-F238E27FC236}">
              <a16:creationId xmlns:a16="http://schemas.microsoft.com/office/drawing/2014/main" id="{A657B485-3ECF-4905-B3B2-6B5A937AF1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72" name="Text Box 1">
          <a:extLst>
            <a:ext uri="{FF2B5EF4-FFF2-40B4-BE49-F238E27FC236}">
              <a16:creationId xmlns:a16="http://schemas.microsoft.com/office/drawing/2014/main" id="{DB6ED848-C3F6-457F-A2DD-35A9A8A72E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3" name="Text Box 2">
          <a:extLst>
            <a:ext uri="{FF2B5EF4-FFF2-40B4-BE49-F238E27FC236}">
              <a16:creationId xmlns:a16="http://schemas.microsoft.com/office/drawing/2014/main" id="{DF625B0C-9A92-4EBF-AA80-9B1C5FAC3D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74" name="Text Box 1">
          <a:extLst>
            <a:ext uri="{FF2B5EF4-FFF2-40B4-BE49-F238E27FC236}">
              <a16:creationId xmlns:a16="http://schemas.microsoft.com/office/drawing/2014/main" id="{07FB3D51-4888-4B90-B670-782073B26D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5" name="Text Box 2">
          <a:extLst>
            <a:ext uri="{FF2B5EF4-FFF2-40B4-BE49-F238E27FC236}">
              <a16:creationId xmlns:a16="http://schemas.microsoft.com/office/drawing/2014/main" id="{1A660B92-8184-4CE9-945D-72224732C9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id="{389C1DCB-9B63-4442-8DA8-22D48C2E95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7" name="Text Box 2">
          <a:extLst>
            <a:ext uri="{FF2B5EF4-FFF2-40B4-BE49-F238E27FC236}">
              <a16:creationId xmlns:a16="http://schemas.microsoft.com/office/drawing/2014/main" id="{B0D89212-B930-46D8-8D70-A50575341F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id="{5F1B05A1-EF91-4582-821E-2A10704273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79" name="Text Box 2">
          <a:extLst>
            <a:ext uri="{FF2B5EF4-FFF2-40B4-BE49-F238E27FC236}">
              <a16:creationId xmlns:a16="http://schemas.microsoft.com/office/drawing/2014/main" id="{4A0C2190-F2DB-477A-9081-4A732F719A3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0" name="Text Box 1">
          <a:extLst>
            <a:ext uri="{FF2B5EF4-FFF2-40B4-BE49-F238E27FC236}">
              <a16:creationId xmlns:a16="http://schemas.microsoft.com/office/drawing/2014/main" id="{8D5C0A86-BCF7-4F85-B044-3478257600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81" name="Text Box 2">
          <a:extLst>
            <a:ext uri="{FF2B5EF4-FFF2-40B4-BE49-F238E27FC236}">
              <a16:creationId xmlns:a16="http://schemas.microsoft.com/office/drawing/2014/main" id="{E94FFEED-7940-49C3-A400-49ABCBAB79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2" name="Text Box 1">
          <a:extLst>
            <a:ext uri="{FF2B5EF4-FFF2-40B4-BE49-F238E27FC236}">
              <a16:creationId xmlns:a16="http://schemas.microsoft.com/office/drawing/2014/main" id="{F61E26E1-C06F-41AA-B619-C71EBA1E1B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83" name="Text Box 2">
          <a:extLst>
            <a:ext uri="{FF2B5EF4-FFF2-40B4-BE49-F238E27FC236}">
              <a16:creationId xmlns:a16="http://schemas.microsoft.com/office/drawing/2014/main" id="{B23C0540-57EF-45FD-BE10-95BBA4D631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4" name="Text Box 1">
          <a:extLst>
            <a:ext uri="{FF2B5EF4-FFF2-40B4-BE49-F238E27FC236}">
              <a16:creationId xmlns:a16="http://schemas.microsoft.com/office/drawing/2014/main" id="{144ED0BC-BFA9-4AC5-AD82-E35F0FBA14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85" name="Text Box 2">
          <a:extLst>
            <a:ext uri="{FF2B5EF4-FFF2-40B4-BE49-F238E27FC236}">
              <a16:creationId xmlns:a16="http://schemas.microsoft.com/office/drawing/2014/main" id="{D9FF9645-FD78-4EC6-8B61-4C4B7BA89E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6" name="Text Box 1">
          <a:extLst>
            <a:ext uri="{FF2B5EF4-FFF2-40B4-BE49-F238E27FC236}">
              <a16:creationId xmlns:a16="http://schemas.microsoft.com/office/drawing/2014/main" id="{3C0C09AC-97D2-4489-9671-CD1A65FBBD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87" name="Text Box 2">
          <a:extLst>
            <a:ext uri="{FF2B5EF4-FFF2-40B4-BE49-F238E27FC236}">
              <a16:creationId xmlns:a16="http://schemas.microsoft.com/office/drawing/2014/main" id="{2BF35D92-B514-4EE1-9F99-B3B364E87D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id="{BE4DA637-5A91-49E6-9589-C86EAD3C9C4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89" name="Text Box 2">
          <a:extLst>
            <a:ext uri="{FF2B5EF4-FFF2-40B4-BE49-F238E27FC236}">
              <a16:creationId xmlns:a16="http://schemas.microsoft.com/office/drawing/2014/main" id="{EBE48D98-434D-4309-A9A9-796A93C041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90" name="Text Box 1">
          <a:extLst>
            <a:ext uri="{FF2B5EF4-FFF2-40B4-BE49-F238E27FC236}">
              <a16:creationId xmlns:a16="http://schemas.microsoft.com/office/drawing/2014/main" id="{641E6C58-8339-4306-956D-960EF41335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1" name="Text Box 2">
          <a:extLst>
            <a:ext uri="{FF2B5EF4-FFF2-40B4-BE49-F238E27FC236}">
              <a16:creationId xmlns:a16="http://schemas.microsoft.com/office/drawing/2014/main" id="{343CBFD8-6144-43F7-962A-5079249502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92" name="Text Box 1">
          <a:extLst>
            <a:ext uri="{FF2B5EF4-FFF2-40B4-BE49-F238E27FC236}">
              <a16:creationId xmlns:a16="http://schemas.microsoft.com/office/drawing/2014/main" id="{7D4EA560-9235-4A0A-85C4-7F3018FA2EC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3" name="Text Box 2">
          <a:extLst>
            <a:ext uri="{FF2B5EF4-FFF2-40B4-BE49-F238E27FC236}">
              <a16:creationId xmlns:a16="http://schemas.microsoft.com/office/drawing/2014/main" id="{697CDDCD-DD4C-43CB-9AC6-6C7F6DE417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94" name="Text Box 1">
          <a:extLst>
            <a:ext uri="{FF2B5EF4-FFF2-40B4-BE49-F238E27FC236}">
              <a16:creationId xmlns:a16="http://schemas.microsoft.com/office/drawing/2014/main" id="{9350C008-517F-4E90-AABE-D4FD4235C1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5" name="Text Box 2">
          <a:extLst>
            <a:ext uri="{FF2B5EF4-FFF2-40B4-BE49-F238E27FC236}">
              <a16:creationId xmlns:a16="http://schemas.microsoft.com/office/drawing/2014/main" id="{DAF1B0D2-D171-492A-A7C0-427A3C19C6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96" name="Text Box 1">
          <a:extLst>
            <a:ext uri="{FF2B5EF4-FFF2-40B4-BE49-F238E27FC236}">
              <a16:creationId xmlns:a16="http://schemas.microsoft.com/office/drawing/2014/main" id="{14C562F8-79B5-46E5-BDF7-D88B2378E2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7" name="Text Box 2">
          <a:extLst>
            <a:ext uri="{FF2B5EF4-FFF2-40B4-BE49-F238E27FC236}">
              <a16:creationId xmlns:a16="http://schemas.microsoft.com/office/drawing/2014/main" id="{A44925F0-6441-4F93-BA04-20085117AA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598" name="Text Box 1">
          <a:extLst>
            <a:ext uri="{FF2B5EF4-FFF2-40B4-BE49-F238E27FC236}">
              <a16:creationId xmlns:a16="http://schemas.microsoft.com/office/drawing/2014/main" id="{DF2058C3-7727-450B-BC1B-E2621AA35D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599" name="Text Box 2">
          <a:extLst>
            <a:ext uri="{FF2B5EF4-FFF2-40B4-BE49-F238E27FC236}">
              <a16:creationId xmlns:a16="http://schemas.microsoft.com/office/drawing/2014/main" id="{B3FB0D9C-DA1C-4FDB-B5CA-83FFDE890B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id="{0A6A5029-B2A1-4E6D-90C2-D16ED23D28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01" name="Text Box 2">
          <a:extLst>
            <a:ext uri="{FF2B5EF4-FFF2-40B4-BE49-F238E27FC236}">
              <a16:creationId xmlns:a16="http://schemas.microsoft.com/office/drawing/2014/main" id="{AF7F8EEF-1406-42A4-8407-0561E12858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2" name="Text Box 1">
          <a:extLst>
            <a:ext uri="{FF2B5EF4-FFF2-40B4-BE49-F238E27FC236}">
              <a16:creationId xmlns:a16="http://schemas.microsoft.com/office/drawing/2014/main" id="{771A806D-F3B4-44AB-9CBC-5933FD3973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03" name="Text Box 2">
          <a:extLst>
            <a:ext uri="{FF2B5EF4-FFF2-40B4-BE49-F238E27FC236}">
              <a16:creationId xmlns:a16="http://schemas.microsoft.com/office/drawing/2014/main" id="{4622B81F-70D4-4D51-A21A-78E9E365AF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4" name="Text Box 1">
          <a:extLst>
            <a:ext uri="{FF2B5EF4-FFF2-40B4-BE49-F238E27FC236}">
              <a16:creationId xmlns:a16="http://schemas.microsoft.com/office/drawing/2014/main" id="{ACD7480B-462C-4C60-834F-92F5F0AD0E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05" name="Text Box 2">
          <a:extLst>
            <a:ext uri="{FF2B5EF4-FFF2-40B4-BE49-F238E27FC236}">
              <a16:creationId xmlns:a16="http://schemas.microsoft.com/office/drawing/2014/main" id="{47CB9827-D877-41EC-8624-693896896D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id="{6E3F04DD-1943-45D3-B84C-43CF9E04AE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07" name="Text Box 2">
          <a:extLst>
            <a:ext uri="{FF2B5EF4-FFF2-40B4-BE49-F238E27FC236}">
              <a16:creationId xmlns:a16="http://schemas.microsoft.com/office/drawing/2014/main" id="{411FC586-EE4E-468F-B38A-3856ADAB20F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08" name="Text Box 1">
          <a:extLst>
            <a:ext uri="{FF2B5EF4-FFF2-40B4-BE49-F238E27FC236}">
              <a16:creationId xmlns:a16="http://schemas.microsoft.com/office/drawing/2014/main" id="{59A6AA81-BAFD-4A89-9A52-B279D71BCB7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09" name="Text Box 2">
          <a:extLst>
            <a:ext uri="{FF2B5EF4-FFF2-40B4-BE49-F238E27FC236}">
              <a16:creationId xmlns:a16="http://schemas.microsoft.com/office/drawing/2014/main" id="{D45F2C2B-F17B-4790-906A-F747AB83FE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10" name="Text Box 1">
          <a:extLst>
            <a:ext uri="{FF2B5EF4-FFF2-40B4-BE49-F238E27FC236}">
              <a16:creationId xmlns:a16="http://schemas.microsoft.com/office/drawing/2014/main" id="{DDE79D6B-BDB3-4375-AC70-E252712837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1" name="Text Box 2">
          <a:extLst>
            <a:ext uri="{FF2B5EF4-FFF2-40B4-BE49-F238E27FC236}">
              <a16:creationId xmlns:a16="http://schemas.microsoft.com/office/drawing/2014/main" id="{9854B274-7F21-43DC-BDFB-F39D00825F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12" name="Text Box 1">
          <a:extLst>
            <a:ext uri="{FF2B5EF4-FFF2-40B4-BE49-F238E27FC236}">
              <a16:creationId xmlns:a16="http://schemas.microsoft.com/office/drawing/2014/main" id="{9E8A92BE-6398-4BEC-8EA2-06DD0A3048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3" name="Text Box 2">
          <a:extLst>
            <a:ext uri="{FF2B5EF4-FFF2-40B4-BE49-F238E27FC236}">
              <a16:creationId xmlns:a16="http://schemas.microsoft.com/office/drawing/2014/main" id="{637B80ED-2383-461D-89B7-0C12B1C342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14" name="Text Box 1">
          <a:extLst>
            <a:ext uri="{FF2B5EF4-FFF2-40B4-BE49-F238E27FC236}">
              <a16:creationId xmlns:a16="http://schemas.microsoft.com/office/drawing/2014/main" id="{9C23A6DE-88F1-4494-98AE-3907FCF1B1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5" name="Text Box 2">
          <a:extLst>
            <a:ext uri="{FF2B5EF4-FFF2-40B4-BE49-F238E27FC236}">
              <a16:creationId xmlns:a16="http://schemas.microsoft.com/office/drawing/2014/main" id="{45CAB55D-D426-4D1F-9B33-14247B7CF3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16" name="Text Box 1">
          <a:extLst>
            <a:ext uri="{FF2B5EF4-FFF2-40B4-BE49-F238E27FC236}">
              <a16:creationId xmlns:a16="http://schemas.microsoft.com/office/drawing/2014/main" id="{DBA0CE44-DE40-490D-B937-E6C6A2FD3D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7" name="Text Box 2">
          <a:extLst>
            <a:ext uri="{FF2B5EF4-FFF2-40B4-BE49-F238E27FC236}">
              <a16:creationId xmlns:a16="http://schemas.microsoft.com/office/drawing/2014/main" id="{39C14CFC-58DD-4A8C-B615-2DACE06B53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18" name="Text Box 1">
          <a:extLst>
            <a:ext uri="{FF2B5EF4-FFF2-40B4-BE49-F238E27FC236}">
              <a16:creationId xmlns:a16="http://schemas.microsoft.com/office/drawing/2014/main" id="{8FA3F1B7-409D-4E25-A078-AA9468E694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19" name="Text Box 2">
          <a:extLst>
            <a:ext uri="{FF2B5EF4-FFF2-40B4-BE49-F238E27FC236}">
              <a16:creationId xmlns:a16="http://schemas.microsoft.com/office/drawing/2014/main" id="{5D47A15B-82F2-470D-8F4F-FBE8A7970D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0" name="Text Box 1">
          <a:extLst>
            <a:ext uri="{FF2B5EF4-FFF2-40B4-BE49-F238E27FC236}">
              <a16:creationId xmlns:a16="http://schemas.microsoft.com/office/drawing/2014/main" id="{802171F9-BBB5-41AE-A696-86E2DFAED9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21" name="Text Box 2">
          <a:extLst>
            <a:ext uri="{FF2B5EF4-FFF2-40B4-BE49-F238E27FC236}">
              <a16:creationId xmlns:a16="http://schemas.microsoft.com/office/drawing/2014/main" id="{F8D98D1A-B132-4849-98AD-78019C8B00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2" name="Text Box 1">
          <a:extLst>
            <a:ext uri="{FF2B5EF4-FFF2-40B4-BE49-F238E27FC236}">
              <a16:creationId xmlns:a16="http://schemas.microsoft.com/office/drawing/2014/main" id="{6FDF48C2-0F15-4666-9FE3-00F9F328AE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23" name="Text Box 2">
          <a:extLst>
            <a:ext uri="{FF2B5EF4-FFF2-40B4-BE49-F238E27FC236}">
              <a16:creationId xmlns:a16="http://schemas.microsoft.com/office/drawing/2014/main" id="{FC658BC5-FD1D-4812-9659-794834F79F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4" name="Text Box 1">
          <a:extLst>
            <a:ext uri="{FF2B5EF4-FFF2-40B4-BE49-F238E27FC236}">
              <a16:creationId xmlns:a16="http://schemas.microsoft.com/office/drawing/2014/main" id="{880C568C-221F-4587-A7F5-CC2DF23DC85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25" name="Text Box 2">
          <a:extLst>
            <a:ext uri="{FF2B5EF4-FFF2-40B4-BE49-F238E27FC236}">
              <a16:creationId xmlns:a16="http://schemas.microsoft.com/office/drawing/2014/main" id="{E4068ADC-728D-4160-BD21-11FCAEB6C7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6" name="Text Box 1">
          <a:extLst>
            <a:ext uri="{FF2B5EF4-FFF2-40B4-BE49-F238E27FC236}">
              <a16:creationId xmlns:a16="http://schemas.microsoft.com/office/drawing/2014/main" id="{4255AFD5-E3DB-415D-952F-E5B1FD922B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27" name="Text Box 2">
          <a:extLst>
            <a:ext uri="{FF2B5EF4-FFF2-40B4-BE49-F238E27FC236}">
              <a16:creationId xmlns:a16="http://schemas.microsoft.com/office/drawing/2014/main" id="{82699CAC-35F1-4DCA-B2E0-E3B58DD956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28" name="Text Box 1">
          <a:extLst>
            <a:ext uri="{FF2B5EF4-FFF2-40B4-BE49-F238E27FC236}">
              <a16:creationId xmlns:a16="http://schemas.microsoft.com/office/drawing/2014/main" id="{75891124-9B81-4823-BE92-76E101053C8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29" name="Text Box 2">
          <a:extLst>
            <a:ext uri="{FF2B5EF4-FFF2-40B4-BE49-F238E27FC236}">
              <a16:creationId xmlns:a16="http://schemas.microsoft.com/office/drawing/2014/main" id="{F6166FAD-A89B-4B9E-92FE-EE1A25C08C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30" name="Text Box 1">
          <a:extLst>
            <a:ext uri="{FF2B5EF4-FFF2-40B4-BE49-F238E27FC236}">
              <a16:creationId xmlns:a16="http://schemas.microsoft.com/office/drawing/2014/main" id="{B87704C4-A480-415C-8B08-57642C4B5E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1" name="Text Box 2">
          <a:extLst>
            <a:ext uri="{FF2B5EF4-FFF2-40B4-BE49-F238E27FC236}">
              <a16:creationId xmlns:a16="http://schemas.microsoft.com/office/drawing/2014/main" id="{06E52459-E0E6-404B-9CFB-AB77457707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32" name="Text Box 1">
          <a:extLst>
            <a:ext uri="{FF2B5EF4-FFF2-40B4-BE49-F238E27FC236}">
              <a16:creationId xmlns:a16="http://schemas.microsoft.com/office/drawing/2014/main" id="{271BFCA3-DA03-4C4D-8178-130F7C0012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3" name="Text Box 2">
          <a:extLst>
            <a:ext uri="{FF2B5EF4-FFF2-40B4-BE49-F238E27FC236}">
              <a16:creationId xmlns:a16="http://schemas.microsoft.com/office/drawing/2014/main" id="{4B69378C-670D-4230-8FF7-5A4A808A05C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34" name="Text Box 1">
          <a:extLst>
            <a:ext uri="{FF2B5EF4-FFF2-40B4-BE49-F238E27FC236}">
              <a16:creationId xmlns:a16="http://schemas.microsoft.com/office/drawing/2014/main" id="{48A89E98-975D-4A44-952F-1CBDC47492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5" name="Text Box 2">
          <a:extLst>
            <a:ext uri="{FF2B5EF4-FFF2-40B4-BE49-F238E27FC236}">
              <a16:creationId xmlns:a16="http://schemas.microsoft.com/office/drawing/2014/main" id="{49531932-28ED-4234-9A87-DA6473721C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36" name="Text Box 1">
          <a:extLst>
            <a:ext uri="{FF2B5EF4-FFF2-40B4-BE49-F238E27FC236}">
              <a16:creationId xmlns:a16="http://schemas.microsoft.com/office/drawing/2014/main" id="{20F23A56-C608-4154-9D25-2B473AC712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7" name="Text Box 2">
          <a:extLst>
            <a:ext uri="{FF2B5EF4-FFF2-40B4-BE49-F238E27FC236}">
              <a16:creationId xmlns:a16="http://schemas.microsoft.com/office/drawing/2014/main" id="{B2D3A24C-F9F9-435E-9C39-E2262AE389C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38" name="Text Box 1">
          <a:extLst>
            <a:ext uri="{FF2B5EF4-FFF2-40B4-BE49-F238E27FC236}">
              <a16:creationId xmlns:a16="http://schemas.microsoft.com/office/drawing/2014/main" id="{76E6FAB5-D72C-4FF3-BF24-131788F11F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39" name="Text Box 2">
          <a:extLst>
            <a:ext uri="{FF2B5EF4-FFF2-40B4-BE49-F238E27FC236}">
              <a16:creationId xmlns:a16="http://schemas.microsoft.com/office/drawing/2014/main" id="{2C054E11-540E-482E-B00F-0A70886CA8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0" name="Text Box 1">
          <a:extLst>
            <a:ext uri="{FF2B5EF4-FFF2-40B4-BE49-F238E27FC236}">
              <a16:creationId xmlns:a16="http://schemas.microsoft.com/office/drawing/2014/main" id="{02708D7A-A7A3-411B-A80F-061A459DD2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41" name="Text Box 2">
          <a:extLst>
            <a:ext uri="{FF2B5EF4-FFF2-40B4-BE49-F238E27FC236}">
              <a16:creationId xmlns:a16="http://schemas.microsoft.com/office/drawing/2014/main" id="{2828CF29-4CAD-4176-A486-7926CA0679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2" name="Text Box 1">
          <a:extLst>
            <a:ext uri="{FF2B5EF4-FFF2-40B4-BE49-F238E27FC236}">
              <a16:creationId xmlns:a16="http://schemas.microsoft.com/office/drawing/2014/main" id="{C61AE725-380A-4DCB-8A1D-EF823FAD02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43" name="Text Box 2">
          <a:extLst>
            <a:ext uri="{FF2B5EF4-FFF2-40B4-BE49-F238E27FC236}">
              <a16:creationId xmlns:a16="http://schemas.microsoft.com/office/drawing/2014/main" id="{B357EEBA-AE02-4A65-85A1-B02DE74719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4" name="Text Box 1">
          <a:extLst>
            <a:ext uri="{FF2B5EF4-FFF2-40B4-BE49-F238E27FC236}">
              <a16:creationId xmlns:a16="http://schemas.microsoft.com/office/drawing/2014/main" id="{219A773D-5CAA-4105-8F7D-CD89B1C3E4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45" name="Text Box 2">
          <a:extLst>
            <a:ext uri="{FF2B5EF4-FFF2-40B4-BE49-F238E27FC236}">
              <a16:creationId xmlns:a16="http://schemas.microsoft.com/office/drawing/2014/main" id="{49E13BAD-3BBC-44B1-8EEF-7B32817B2F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6" name="Text Box 1">
          <a:extLst>
            <a:ext uri="{FF2B5EF4-FFF2-40B4-BE49-F238E27FC236}">
              <a16:creationId xmlns:a16="http://schemas.microsoft.com/office/drawing/2014/main" id="{AD13F0B8-118D-4E84-B26F-32D1C8081B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47" name="Text Box 2">
          <a:extLst>
            <a:ext uri="{FF2B5EF4-FFF2-40B4-BE49-F238E27FC236}">
              <a16:creationId xmlns:a16="http://schemas.microsoft.com/office/drawing/2014/main" id="{6AC40461-AC79-4F05-BA0B-2DA189FFD4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48" name="Text Box 1">
          <a:extLst>
            <a:ext uri="{FF2B5EF4-FFF2-40B4-BE49-F238E27FC236}">
              <a16:creationId xmlns:a16="http://schemas.microsoft.com/office/drawing/2014/main" id="{7DCDC973-0F1F-42C1-8469-BB4C5A3ED1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49" name="Text Box 2">
          <a:extLst>
            <a:ext uri="{FF2B5EF4-FFF2-40B4-BE49-F238E27FC236}">
              <a16:creationId xmlns:a16="http://schemas.microsoft.com/office/drawing/2014/main" id="{10C80501-0137-4494-BC56-D6C70D5F6A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50" name="Text Box 1">
          <a:extLst>
            <a:ext uri="{FF2B5EF4-FFF2-40B4-BE49-F238E27FC236}">
              <a16:creationId xmlns:a16="http://schemas.microsoft.com/office/drawing/2014/main" id="{1FAECCC0-3348-48E5-BA5B-BCC839DAE3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1" name="Text Box 2">
          <a:extLst>
            <a:ext uri="{FF2B5EF4-FFF2-40B4-BE49-F238E27FC236}">
              <a16:creationId xmlns:a16="http://schemas.microsoft.com/office/drawing/2014/main" id="{BF484B6D-4972-4653-BC7C-9AB6596EDFD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52" name="Text Box 1">
          <a:extLst>
            <a:ext uri="{FF2B5EF4-FFF2-40B4-BE49-F238E27FC236}">
              <a16:creationId xmlns:a16="http://schemas.microsoft.com/office/drawing/2014/main" id="{33EB12E9-3069-4982-AE0B-84F2048C312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3" name="Text Box 2">
          <a:extLst>
            <a:ext uri="{FF2B5EF4-FFF2-40B4-BE49-F238E27FC236}">
              <a16:creationId xmlns:a16="http://schemas.microsoft.com/office/drawing/2014/main" id="{4183C128-9C1B-4AD9-B535-E5BD7182FA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54" name="Text Box 1">
          <a:extLst>
            <a:ext uri="{FF2B5EF4-FFF2-40B4-BE49-F238E27FC236}">
              <a16:creationId xmlns:a16="http://schemas.microsoft.com/office/drawing/2014/main" id="{0DE52CCF-6FE0-402E-8ED1-60C3B8DF58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5" name="Text Box 2">
          <a:extLst>
            <a:ext uri="{FF2B5EF4-FFF2-40B4-BE49-F238E27FC236}">
              <a16:creationId xmlns:a16="http://schemas.microsoft.com/office/drawing/2014/main" id="{6C4CDE16-08EE-428E-9344-37AF2F9167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56" name="Text Box 1">
          <a:extLst>
            <a:ext uri="{FF2B5EF4-FFF2-40B4-BE49-F238E27FC236}">
              <a16:creationId xmlns:a16="http://schemas.microsoft.com/office/drawing/2014/main" id="{B2365068-8EE5-478C-8DC8-FA8516FB3C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7" name="Text Box 2">
          <a:extLst>
            <a:ext uri="{FF2B5EF4-FFF2-40B4-BE49-F238E27FC236}">
              <a16:creationId xmlns:a16="http://schemas.microsoft.com/office/drawing/2014/main" id="{057596CD-3CD8-452B-B118-2F810F8B13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58" name="Text Box 1">
          <a:extLst>
            <a:ext uri="{FF2B5EF4-FFF2-40B4-BE49-F238E27FC236}">
              <a16:creationId xmlns:a16="http://schemas.microsoft.com/office/drawing/2014/main" id="{D09552E0-A739-4EA4-B3D7-13083E25BE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59" name="Text Box 2">
          <a:extLst>
            <a:ext uri="{FF2B5EF4-FFF2-40B4-BE49-F238E27FC236}">
              <a16:creationId xmlns:a16="http://schemas.microsoft.com/office/drawing/2014/main" id="{16AC05E2-3698-4ED0-B124-56CE728944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id="{E631E98C-0CFE-4209-991A-9CF1117802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61" name="Text Box 2">
          <a:extLst>
            <a:ext uri="{FF2B5EF4-FFF2-40B4-BE49-F238E27FC236}">
              <a16:creationId xmlns:a16="http://schemas.microsoft.com/office/drawing/2014/main" id="{79344FAA-64F8-44EF-9D6B-1DD36649F8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2" name="Text Box 1">
          <a:extLst>
            <a:ext uri="{FF2B5EF4-FFF2-40B4-BE49-F238E27FC236}">
              <a16:creationId xmlns:a16="http://schemas.microsoft.com/office/drawing/2014/main" id="{83A4C88F-9F71-4440-9855-ADCFA0B7B75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63" name="Text Box 2">
          <a:extLst>
            <a:ext uri="{FF2B5EF4-FFF2-40B4-BE49-F238E27FC236}">
              <a16:creationId xmlns:a16="http://schemas.microsoft.com/office/drawing/2014/main" id="{79EB49FF-184F-4325-86AA-00C49F3894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4" name="Text Box 1">
          <a:extLst>
            <a:ext uri="{FF2B5EF4-FFF2-40B4-BE49-F238E27FC236}">
              <a16:creationId xmlns:a16="http://schemas.microsoft.com/office/drawing/2014/main" id="{8EC33A3E-1AEC-4D0E-B99F-B9BDEB7BA9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65" name="Text Box 2">
          <a:extLst>
            <a:ext uri="{FF2B5EF4-FFF2-40B4-BE49-F238E27FC236}">
              <a16:creationId xmlns:a16="http://schemas.microsoft.com/office/drawing/2014/main" id="{31B1ABE1-264D-49ED-A1C2-50208A5220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6" name="Text Box 1">
          <a:extLst>
            <a:ext uri="{FF2B5EF4-FFF2-40B4-BE49-F238E27FC236}">
              <a16:creationId xmlns:a16="http://schemas.microsoft.com/office/drawing/2014/main" id="{D286834F-4D92-404B-9D5A-7F54461A35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67" name="Text Box 2">
          <a:extLst>
            <a:ext uri="{FF2B5EF4-FFF2-40B4-BE49-F238E27FC236}">
              <a16:creationId xmlns:a16="http://schemas.microsoft.com/office/drawing/2014/main" id="{2810746D-A4E5-4F92-B990-591BCC2A03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68" name="Text Box 1">
          <a:extLst>
            <a:ext uri="{FF2B5EF4-FFF2-40B4-BE49-F238E27FC236}">
              <a16:creationId xmlns:a16="http://schemas.microsoft.com/office/drawing/2014/main" id="{F78B185D-9E0D-471A-87A9-164EDED958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69" name="Text Box 2">
          <a:extLst>
            <a:ext uri="{FF2B5EF4-FFF2-40B4-BE49-F238E27FC236}">
              <a16:creationId xmlns:a16="http://schemas.microsoft.com/office/drawing/2014/main" id="{52A4A2DE-44FE-47FD-BA4A-D6BB1778143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70" name="Text Box 1">
          <a:extLst>
            <a:ext uri="{FF2B5EF4-FFF2-40B4-BE49-F238E27FC236}">
              <a16:creationId xmlns:a16="http://schemas.microsoft.com/office/drawing/2014/main" id="{45DEAF91-B016-4757-819E-66A9E22AF7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1" name="Text Box 2">
          <a:extLst>
            <a:ext uri="{FF2B5EF4-FFF2-40B4-BE49-F238E27FC236}">
              <a16:creationId xmlns:a16="http://schemas.microsoft.com/office/drawing/2014/main" id="{DC141CF3-1BEC-430B-ABA2-51D3BE4E6C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72" name="Text Box 1">
          <a:extLst>
            <a:ext uri="{FF2B5EF4-FFF2-40B4-BE49-F238E27FC236}">
              <a16:creationId xmlns:a16="http://schemas.microsoft.com/office/drawing/2014/main" id="{B5870E43-88E0-4EE8-8A61-64615D59AF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3" name="Text Box 2">
          <a:extLst>
            <a:ext uri="{FF2B5EF4-FFF2-40B4-BE49-F238E27FC236}">
              <a16:creationId xmlns:a16="http://schemas.microsoft.com/office/drawing/2014/main" id="{63B6C1D5-01CC-4F1F-BE58-F801A8DE5D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74" name="Text Box 1">
          <a:extLst>
            <a:ext uri="{FF2B5EF4-FFF2-40B4-BE49-F238E27FC236}">
              <a16:creationId xmlns:a16="http://schemas.microsoft.com/office/drawing/2014/main" id="{2ECB32D1-0F6F-4B9C-8EA4-2784F41C3DF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5" name="Text Box 2">
          <a:extLst>
            <a:ext uri="{FF2B5EF4-FFF2-40B4-BE49-F238E27FC236}">
              <a16:creationId xmlns:a16="http://schemas.microsoft.com/office/drawing/2014/main" id="{EEC6299F-0864-41C6-AF93-9113D3D233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76" name="Text Box 1">
          <a:extLst>
            <a:ext uri="{FF2B5EF4-FFF2-40B4-BE49-F238E27FC236}">
              <a16:creationId xmlns:a16="http://schemas.microsoft.com/office/drawing/2014/main" id="{CF715732-FE04-480D-8C05-77C4C36F91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7" name="Text Box 2">
          <a:extLst>
            <a:ext uri="{FF2B5EF4-FFF2-40B4-BE49-F238E27FC236}">
              <a16:creationId xmlns:a16="http://schemas.microsoft.com/office/drawing/2014/main" id="{829EFAD4-AC0A-41DD-9A05-95DAD0B60E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78" name="Text Box 1">
          <a:extLst>
            <a:ext uri="{FF2B5EF4-FFF2-40B4-BE49-F238E27FC236}">
              <a16:creationId xmlns:a16="http://schemas.microsoft.com/office/drawing/2014/main" id="{DEC4B5BE-ABAE-4A18-8FB2-F9C22074C64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79" name="Text Box 2">
          <a:extLst>
            <a:ext uri="{FF2B5EF4-FFF2-40B4-BE49-F238E27FC236}">
              <a16:creationId xmlns:a16="http://schemas.microsoft.com/office/drawing/2014/main" id="{8B6AA5C7-0894-49F1-B1C2-6F4FFBBBB8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0" name="Text Box 1">
          <a:extLst>
            <a:ext uri="{FF2B5EF4-FFF2-40B4-BE49-F238E27FC236}">
              <a16:creationId xmlns:a16="http://schemas.microsoft.com/office/drawing/2014/main" id="{8608DF9B-1EB3-4ACD-8759-5997228BE7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81" name="Text Box 2">
          <a:extLst>
            <a:ext uri="{FF2B5EF4-FFF2-40B4-BE49-F238E27FC236}">
              <a16:creationId xmlns:a16="http://schemas.microsoft.com/office/drawing/2014/main" id="{A0D0EDB3-3D7D-44CC-BB19-CFDD2849FB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2" name="Text Box 1">
          <a:extLst>
            <a:ext uri="{FF2B5EF4-FFF2-40B4-BE49-F238E27FC236}">
              <a16:creationId xmlns:a16="http://schemas.microsoft.com/office/drawing/2014/main" id="{E34BBC65-C070-4118-ADF9-1432B19A23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83" name="Text Box 2">
          <a:extLst>
            <a:ext uri="{FF2B5EF4-FFF2-40B4-BE49-F238E27FC236}">
              <a16:creationId xmlns:a16="http://schemas.microsoft.com/office/drawing/2014/main" id="{CD3A00B6-19AF-45C2-B9A8-8751FDAB0B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4" name="Text Box 1">
          <a:extLst>
            <a:ext uri="{FF2B5EF4-FFF2-40B4-BE49-F238E27FC236}">
              <a16:creationId xmlns:a16="http://schemas.microsoft.com/office/drawing/2014/main" id="{B9E026BD-F63C-416E-AD28-FA5B0C34EA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85" name="Text Box 2">
          <a:extLst>
            <a:ext uri="{FF2B5EF4-FFF2-40B4-BE49-F238E27FC236}">
              <a16:creationId xmlns:a16="http://schemas.microsoft.com/office/drawing/2014/main" id="{F77FD422-A5D9-4219-A335-29F4B42CF0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6" name="Text Box 1">
          <a:extLst>
            <a:ext uri="{FF2B5EF4-FFF2-40B4-BE49-F238E27FC236}">
              <a16:creationId xmlns:a16="http://schemas.microsoft.com/office/drawing/2014/main" id="{B2EB9C02-2797-464F-BDE6-7DE264B898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87" name="Text Box 2">
          <a:extLst>
            <a:ext uri="{FF2B5EF4-FFF2-40B4-BE49-F238E27FC236}">
              <a16:creationId xmlns:a16="http://schemas.microsoft.com/office/drawing/2014/main" id="{27B71A72-FD74-4163-BF76-1A94569260B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88" name="Text Box 1">
          <a:extLst>
            <a:ext uri="{FF2B5EF4-FFF2-40B4-BE49-F238E27FC236}">
              <a16:creationId xmlns:a16="http://schemas.microsoft.com/office/drawing/2014/main" id="{5143B128-7511-45E7-B396-676CDF21252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89" name="Text Box 2">
          <a:extLst>
            <a:ext uri="{FF2B5EF4-FFF2-40B4-BE49-F238E27FC236}">
              <a16:creationId xmlns:a16="http://schemas.microsoft.com/office/drawing/2014/main" id="{6E5FA674-1182-4FC3-8921-51DCE17249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90" name="Text Box 1">
          <a:extLst>
            <a:ext uri="{FF2B5EF4-FFF2-40B4-BE49-F238E27FC236}">
              <a16:creationId xmlns:a16="http://schemas.microsoft.com/office/drawing/2014/main" id="{B8C364D6-7367-4607-8075-216157D04F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1" name="Text Box 2">
          <a:extLst>
            <a:ext uri="{FF2B5EF4-FFF2-40B4-BE49-F238E27FC236}">
              <a16:creationId xmlns:a16="http://schemas.microsoft.com/office/drawing/2014/main" id="{D2A76A21-D1E5-48FC-BB36-94EBEAB274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92" name="Text Box 1">
          <a:extLst>
            <a:ext uri="{FF2B5EF4-FFF2-40B4-BE49-F238E27FC236}">
              <a16:creationId xmlns:a16="http://schemas.microsoft.com/office/drawing/2014/main" id="{14B31E57-44F4-49EB-8650-8EB51DDE01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3" name="Text Box 2">
          <a:extLst>
            <a:ext uri="{FF2B5EF4-FFF2-40B4-BE49-F238E27FC236}">
              <a16:creationId xmlns:a16="http://schemas.microsoft.com/office/drawing/2014/main" id="{90DC8D01-5602-4F31-8871-AF366977EF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94" name="Text Box 1">
          <a:extLst>
            <a:ext uri="{FF2B5EF4-FFF2-40B4-BE49-F238E27FC236}">
              <a16:creationId xmlns:a16="http://schemas.microsoft.com/office/drawing/2014/main" id="{8AB31F82-48C7-434C-9D84-36A0303AAF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5" name="Text Box 2">
          <a:extLst>
            <a:ext uri="{FF2B5EF4-FFF2-40B4-BE49-F238E27FC236}">
              <a16:creationId xmlns:a16="http://schemas.microsoft.com/office/drawing/2014/main" id="{1263D0BC-45EA-4821-905F-05C283FDE9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96" name="Text Box 1">
          <a:extLst>
            <a:ext uri="{FF2B5EF4-FFF2-40B4-BE49-F238E27FC236}">
              <a16:creationId xmlns:a16="http://schemas.microsoft.com/office/drawing/2014/main" id="{45F510DA-59EC-494D-94FE-73F7A6FBE0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7" name="Text Box 2">
          <a:extLst>
            <a:ext uri="{FF2B5EF4-FFF2-40B4-BE49-F238E27FC236}">
              <a16:creationId xmlns:a16="http://schemas.microsoft.com/office/drawing/2014/main" id="{F2DBF1DC-2BD9-4592-9020-C375875330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698" name="Text Box 1">
          <a:extLst>
            <a:ext uri="{FF2B5EF4-FFF2-40B4-BE49-F238E27FC236}">
              <a16:creationId xmlns:a16="http://schemas.microsoft.com/office/drawing/2014/main" id="{A1367D14-B2D9-471B-94EC-7EC8DBCB07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699" name="Text Box 2">
          <a:extLst>
            <a:ext uri="{FF2B5EF4-FFF2-40B4-BE49-F238E27FC236}">
              <a16:creationId xmlns:a16="http://schemas.microsoft.com/office/drawing/2014/main" id="{9ADE1FA6-92DD-47D3-8AFA-23952635A9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0" name="Text Box 1">
          <a:extLst>
            <a:ext uri="{FF2B5EF4-FFF2-40B4-BE49-F238E27FC236}">
              <a16:creationId xmlns:a16="http://schemas.microsoft.com/office/drawing/2014/main" id="{CEE06EDA-C11D-47CB-8544-CC81710055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01" name="Text Box 2">
          <a:extLst>
            <a:ext uri="{FF2B5EF4-FFF2-40B4-BE49-F238E27FC236}">
              <a16:creationId xmlns:a16="http://schemas.microsoft.com/office/drawing/2014/main" id="{0C00FD44-76D1-4170-9407-83B7467F46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2" name="Text Box 1">
          <a:extLst>
            <a:ext uri="{FF2B5EF4-FFF2-40B4-BE49-F238E27FC236}">
              <a16:creationId xmlns:a16="http://schemas.microsoft.com/office/drawing/2014/main" id="{158D3117-A8C3-416A-BC35-207B319E4B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03" name="Text Box 2">
          <a:extLst>
            <a:ext uri="{FF2B5EF4-FFF2-40B4-BE49-F238E27FC236}">
              <a16:creationId xmlns:a16="http://schemas.microsoft.com/office/drawing/2014/main" id="{449B8A85-C5ED-4411-8346-2E7E9CDC5C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4" name="Text Box 1">
          <a:extLst>
            <a:ext uri="{FF2B5EF4-FFF2-40B4-BE49-F238E27FC236}">
              <a16:creationId xmlns:a16="http://schemas.microsoft.com/office/drawing/2014/main" id="{DE5E44B5-B14E-4155-A5B6-C5E5B72E87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05" name="Text Box 2">
          <a:extLst>
            <a:ext uri="{FF2B5EF4-FFF2-40B4-BE49-F238E27FC236}">
              <a16:creationId xmlns:a16="http://schemas.microsoft.com/office/drawing/2014/main" id="{05CCB3D4-F2CF-47DE-875A-7F05332D60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6" name="Text Box 1">
          <a:extLst>
            <a:ext uri="{FF2B5EF4-FFF2-40B4-BE49-F238E27FC236}">
              <a16:creationId xmlns:a16="http://schemas.microsoft.com/office/drawing/2014/main" id="{563C04ED-6DAF-468F-B37A-DD7E2BB2E6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07" name="Text Box 2">
          <a:extLst>
            <a:ext uri="{FF2B5EF4-FFF2-40B4-BE49-F238E27FC236}">
              <a16:creationId xmlns:a16="http://schemas.microsoft.com/office/drawing/2014/main" id="{A4AADCC2-35E5-4FC7-A312-EC40C88821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08" name="Text Box 1">
          <a:extLst>
            <a:ext uri="{FF2B5EF4-FFF2-40B4-BE49-F238E27FC236}">
              <a16:creationId xmlns:a16="http://schemas.microsoft.com/office/drawing/2014/main" id="{27806C5B-D5B9-4348-B9C8-FD1BB22463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09" name="Text Box 2">
          <a:extLst>
            <a:ext uri="{FF2B5EF4-FFF2-40B4-BE49-F238E27FC236}">
              <a16:creationId xmlns:a16="http://schemas.microsoft.com/office/drawing/2014/main" id="{CB9FE775-A4A5-43E6-ADEC-2DB4CA551C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10" name="Text Box 1">
          <a:extLst>
            <a:ext uri="{FF2B5EF4-FFF2-40B4-BE49-F238E27FC236}">
              <a16:creationId xmlns:a16="http://schemas.microsoft.com/office/drawing/2014/main" id="{3FD39791-887C-452C-94BA-10B3CD2994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1" name="Text Box 2">
          <a:extLst>
            <a:ext uri="{FF2B5EF4-FFF2-40B4-BE49-F238E27FC236}">
              <a16:creationId xmlns:a16="http://schemas.microsoft.com/office/drawing/2014/main" id="{301FE5EE-2767-464D-A4B1-FF098F7A8F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12" name="Text Box 1">
          <a:extLst>
            <a:ext uri="{FF2B5EF4-FFF2-40B4-BE49-F238E27FC236}">
              <a16:creationId xmlns:a16="http://schemas.microsoft.com/office/drawing/2014/main" id="{0346E9AD-58BA-46B6-8911-0E70883954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3" name="Text Box 2">
          <a:extLst>
            <a:ext uri="{FF2B5EF4-FFF2-40B4-BE49-F238E27FC236}">
              <a16:creationId xmlns:a16="http://schemas.microsoft.com/office/drawing/2014/main" id="{A2E9EE51-8E5C-4101-B7B0-00B9C015723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14" name="Text Box 1">
          <a:extLst>
            <a:ext uri="{FF2B5EF4-FFF2-40B4-BE49-F238E27FC236}">
              <a16:creationId xmlns:a16="http://schemas.microsoft.com/office/drawing/2014/main" id="{AC7AD06B-4C08-4888-98A8-10318E7274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5" name="Text Box 2">
          <a:extLst>
            <a:ext uri="{FF2B5EF4-FFF2-40B4-BE49-F238E27FC236}">
              <a16:creationId xmlns:a16="http://schemas.microsoft.com/office/drawing/2014/main" id="{CF2A31B5-6533-4DA1-AA43-4F541302FF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16" name="Text Box 1">
          <a:extLst>
            <a:ext uri="{FF2B5EF4-FFF2-40B4-BE49-F238E27FC236}">
              <a16:creationId xmlns:a16="http://schemas.microsoft.com/office/drawing/2014/main" id="{1E7E53D4-AC14-45B8-80E6-C45402A313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7" name="Text Box 2">
          <a:extLst>
            <a:ext uri="{FF2B5EF4-FFF2-40B4-BE49-F238E27FC236}">
              <a16:creationId xmlns:a16="http://schemas.microsoft.com/office/drawing/2014/main" id="{9968CBA9-4BA2-4B4B-ACF4-E72815137A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18" name="Text Box 1">
          <a:extLst>
            <a:ext uri="{FF2B5EF4-FFF2-40B4-BE49-F238E27FC236}">
              <a16:creationId xmlns:a16="http://schemas.microsoft.com/office/drawing/2014/main" id="{544D565D-AA70-414F-A627-68CBC62139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19" name="Text Box 2">
          <a:extLst>
            <a:ext uri="{FF2B5EF4-FFF2-40B4-BE49-F238E27FC236}">
              <a16:creationId xmlns:a16="http://schemas.microsoft.com/office/drawing/2014/main" id="{596D1DDE-1092-465B-91B2-C4D3DBBD31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0" name="Text Box 1">
          <a:extLst>
            <a:ext uri="{FF2B5EF4-FFF2-40B4-BE49-F238E27FC236}">
              <a16:creationId xmlns:a16="http://schemas.microsoft.com/office/drawing/2014/main" id="{DA7DE9CE-BF83-4510-878C-EA4A689304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21" name="Text Box 2">
          <a:extLst>
            <a:ext uri="{FF2B5EF4-FFF2-40B4-BE49-F238E27FC236}">
              <a16:creationId xmlns:a16="http://schemas.microsoft.com/office/drawing/2014/main" id="{1CFFECBE-DE2B-4CB1-9DB5-23238986B9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2" name="Text Box 1">
          <a:extLst>
            <a:ext uri="{FF2B5EF4-FFF2-40B4-BE49-F238E27FC236}">
              <a16:creationId xmlns:a16="http://schemas.microsoft.com/office/drawing/2014/main" id="{4FC40771-8A6E-4321-AA04-86F6F489AF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23" name="Text Box 2">
          <a:extLst>
            <a:ext uri="{FF2B5EF4-FFF2-40B4-BE49-F238E27FC236}">
              <a16:creationId xmlns:a16="http://schemas.microsoft.com/office/drawing/2014/main" id="{625FCE9A-F253-496B-BE8D-EDA47887DF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4" name="Text Box 1">
          <a:extLst>
            <a:ext uri="{FF2B5EF4-FFF2-40B4-BE49-F238E27FC236}">
              <a16:creationId xmlns:a16="http://schemas.microsoft.com/office/drawing/2014/main" id="{F22C0242-ACED-4C3A-8C16-132C0AC20C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25" name="Text Box 2">
          <a:extLst>
            <a:ext uri="{FF2B5EF4-FFF2-40B4-BE49-F238E27FC236}">
              <a16:creationId xmlns:a16="http://schemas.microsoft.com/office/drawing/2014/main" id="{C2052949-3790-424B-BDD5-AB66B4440F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6" name="Text Box 1">
          <a:extLst>
            <a:ext uri="{FF2B5EF4-FFF2-40B4-BE49-F238E27FC236}">
              <a16:creationId xmlns:a16="http://schemas.microsoft.com/office/drawing/2014/main" id="{D71FAE09-0831-465C-B4B4-0043C00C08C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27" name="Text Box 2">
          <a:extLst>
            <a:ext uri="{FF2B5EF4-FFF2-40B4-BE49-F238E27FC236}">
              <a16:creationId xmlns:a16="http://schemas.microsoft.com/office/drawing/2014/main" id="{92046BEE-0957-42AA-AE12-8444124ED9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28" name="Text Box 1">
          <a:extLst>
            <a:ext uri="{FF2B5EF4-FFF2-40B4-BE49-F238E27FC236}">
              <a16:creationId xmlns:a16="http://schemas.microsoft.com/office/drawing/2014/main" id="{6ABBC7AF-DA51-4257-B77A-637050BF195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29" name="Text Box 2">
          <a:extLst>
            <a:ext uri="{FF2B5EF4-FFF2-40B4-BE49-F238E27FC236}">
              <a16:creationId xmlns:a16="http://schemas.microsoft.com/office/drawing/2014/main" id="{377EF7A2-E605-4773-B39E-B24B1D11F0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30" name="Text Box 1">
          <a:extLst>
            <a:ext uri="{FF2B5EF4-FFF2-40B4-BE49-F238E27FC236}">
              <a16:creationId xmlns:a16="http://schemas.microsoft.com/office/drawing/2014/main" id="{10B1C9FF-366F-464F-BA31-CAE9F68360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1" name="Text Box 2">
          <a:extLst>
            <a:ext uri="{FF2B5EF4-FFF2-40B4-BE49-F238E27FC236}">
              <a16:creationId xmlns:a16="http://schemas.microsoft.com/office/drawing/2014/main" id="{B927878D-C1D4-4713-86A3-07A4B8DEA08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32" name="Text Box 1">
          <a:extLst>
            <a:ext uri="{FF2B5EF4-FFF2-40B4-BE49-F238E27FC236}">
              <a16:creationId xmlns:a16="http://schemas.microsoft.com/office/drawing/2014/main" id="{375E2741-6388-48D2-838C-D9800F46E0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3" name="Text Box 2">
          <a:extLst>
            <a:ext uri="{FF2B5EF4-FFF2-40B4-BE49-F238E27FC236}">
              <a16:creationId xmlns:a16="http://schemas.microsoft.com/office/drawing/2014/main" id="{5A2DFE42-C69B-4EEE-88B2-C9D39C1BB9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34" name="Text Box 1">
          <a:extLst>
            <a:ext uri="{FF2B5EF4-FFF2-40B4-BE49-F238E27FC236}">
              <a16:creationId xmlns:a16="http://schemas.microsoft.com/office/drawing/2014/main" id="{C1F3BE3E-4E7F-47F2-AA37-8A83B9047D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5" name="Text Box 2">
          <a:extLst>
            <a:ext uri="{FF2B5EF4-FFF2-40B4-BE49-F238E27FC236}">
              <a16:creationId xmlns:a16="http://schemas.microsoft.com/office/drawing/2014/main" id="{1124AB8A-7F64-4537-885A-1EEDDC1D78D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36" name="Text Box 1">
          <a:extLst>
            <a:ext uri="{FF2B5EF4-FFF2-40B4-BE49-F238E27FC236}">
              <a16:creationId xmlns:a16="http://schemas.microsoft.com/office/drawing/2014/main" id="{858C7264-20AA-4973-9AD1-17352D92DE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7" name="Text Box 2">
          <a:extLst>
            <a:ext uri="{FF2B5EF4-FFF2-40B4-BE49-F238E27FC236}">
              <a16:creationId xmlns:a16="http://schemas.microsoft.com/office/drawing/2014/main" id="{0D624293-DB68-4224-A3E1-CBBE32A6E93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38" name="Text Box 1">
          <a:extLst>
            <a:ext uri="{FF2B5EF4-FFF2-40B4-BE49-F238E27FC236}">
              <a16:creationId xmlns:a16="http://schemas.microsoft.com/office/drawing/2014/main" id="{DA925BD3-1B94-4753-87B4-C667FEBD2B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39" name="Text Box 2">
          <a:extLst>
            <a:ext uri="{FF2B5EF4-FFF2-40B4-BE49-F238E27FC236}">
              <a16:creationId xmlns:a16="http://schemas.microsoft.com/office/drawing/2014/main" id="{E07C6CAD-8C5D-4292-AC72-F021858ABD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0" name="Text Box 1">
          <a:extLst>
            <a:ext uri="{FF2B5EF4-FFF2-40B4-BE49-F238E27FC236}">
              <a16:creationId xmlns:a16="http://schemas.microsoft.com/office/drawing/2014/main" id="{B07135C5-1008-492F-8F48-1FEC453F261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41" name="Text Box 2">
          <a:extLst>
            <a:ext uri="{FF2B5EF4-FFF2-40B4-BE49-F238E27FC236}">
              <a16:creationId xmlns:a16="http://schemas.microsoft.com/office/drawing/2014/main" id="{95D594DA-2432-4DF7-A1ED-F1C04725B7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2" name="Text Box 1">
          <a:extLst>
            <a:ext uri="{FF2B5EF4-FFF2-40B4-BE49-F238E27FC236}">
              <a16:creationId xmlns:a16="http://schemas.microsoft.com/office/drawing/2014/main" id="{6C3982FE-CE1B-405B-AB56-3F6C4497EB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43" name="Text Box 2">
          <a:extLst>
            <a:ext uri="{FF2B5EF4-FFF2-40B4-BE49-F238E27FC236}">
              <a16:creationId xmlns:a16="http://schemas.microsoft.com/office/drawing/2014/main" id="{CC1032A1-DD74-4B8B-A821-D7D4FE9920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4" name="Text Box 1">
          <a:extLst>
            <a:ext uri="{FF2B5EF4-FFF2-40B4-BE49-F238E27FC236}">
              <a16:creationId xmlns:a16="http://schemas.microsoft.com/office/drawing/2014/main" id="{9C336F47-B462-4F12-95A3-93A11EC37F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45" name="Text Box 2">
          <a:extLst>
            <a:ext uri="{FF2B5EF4-FFF2-40B4-BE49-F238E27FC236}">
              <a16:creationId xmlns:a16="http://schemas.microsoft.com/office/drawing/2014/main" id="{BDEA333B-1CCF-4264-A979-8F711BBB16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6" name="Text Box 1">
          <a:extLst>
            <a:ext uri="{FF2B5EF4-FFF2-40B4-BE49-F238E27FC236}">
              <a16:creationId xmlns:a16="http://schemas.microsoft.com/office/drawing/2014/main" id="{4BF223D3-7CC9-4681-A752-A7919C96D4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47" name="Text Box 2">
          <a:extLst>
            <a:ext uri="{FF2B5EF4-FFF2-40B4-BE49-F238E27FC236}">
              <a16:creationId xmlns:a16="http://schemas.microsoft.com/office/drawing/2014/main" id="{B9E2471B-3103-4411-863E-3546A0B2E4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48" name="Text Box 1">
          <a:extLst>
            <a:ext uri="{FF2B5EF4-FFF2-40B4-BE49-F238E27FC236}">
              <a16:creationId xmlns:a16="http://schemas.microsoft.com/office/drawing/2014/main" id="{9C18D747-ADB0-43EF-BE03-74EB13677E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49" name="Text Box 2">
          <a:extLst>
            <a:ext uri="{FF2B5EF4-FFF2-40B4-BE49-F238E27FC236}">
              <a16:creationId xmlns:a16="http://schemas.microsoft.com/office/drawing/2014/main" id="{3DD862B9-284A-4073-8015-5355F67A44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50" name="Text Box 1">
          <a:extLst>
            <a:ext uri="{FF2B5EF4-FFF2-40B4-BE49-F238E27FC236}">
              <a16:creationId xmlns:a16="http://schemas.microsoft.com/office/drawing/2014/main" id="{590F1579-96D6-496D-9E82-A36F5C86B0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1" name="Text Box 2">
          <a:extLst>
            <a:ext uri="{FF2B5EF4-FFF2-40B4-BE49-F238E27FC236}">
              <a16:creationId xmlns:a16="http://schemas.microsoft.com/office/drawing/2014/main" id="{A9090DEB-5F61-494F-ABFA-DBD087E9D6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52" name="Text Box 1">
          <a:extLst>
            <a:ext uri="{FF2B5EF4-FFF2-40B4-BE49-F238E27FC236}">
              <a16:creationId xmlns:a16="http://schemas.microsoft.com/office/drawing/2014/main" id="{4C197A76-2B2C-4D97-A8E6-E5AB521637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3" name="Text Box 2">
          <a:extLst>
            <a:ext uri="{FF2B5EF4-FFF2-40B4-BE49-F238E27FC236}">
              <a16:creationId xmlns:a16="http://schemas.microsoft.com/office/drawing/2014/main" id="{53EDBDE1-31F1-42DE-9D0F-557C78F31C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54" name="Text Box 1">
          <a:extLst>
            <a:ext uri="{FF2B5EF4-FFF2-40B4-BE49-F238E27FC236}">
              <a16:creationId xmlns:a16="http://schemas.microsoft.com/office/drawing/2014/main" id="{021FB4C2-9AA9-49C7-A91B-4F7CEB899D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5" name="Text Box 2">
          <a:extLst>
            <a:ext uri="{FF2B5EF4-FFF2-40B4-BE49-F238E27FC236}">
              <a16:creationId xmlns:a16="http://schemas.microsoft.com/office/drawing/2014/main" id="{6D514C68-6BC8-4E67-9333-97A66D6C24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56" name="Text Box 1">
          <a:extLst>
            <a:ext uri="{FF2B5EF4-FFF2-40B4-BE49-F238E27FC236}">
              <a16:creationId xmlns:a16="http://schemas.microsoft.com/office/drawing/2014/main" id="{CE9CDF98-6219-43B4-92F6-A444D623A5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7" name="Text Box 2">
          <a:extLst>
            <a:ext uri="{FF2B5EF4-FFF2-40B4-BE49-F238E27FC236}">
              <a16:creationId xmlns:a16="http://schemas.microsoft.com/office/drawing/2014/main" id="{EE817569-C21F-42C3-80E8-06E0DF14857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58" name="Text Box 1">
          <a:extLst>
            <a:ext uri="{FF2B5EF4-FFF2-40B4-BE49-F238E27FC236}">
              <a16:creationId xmlns:a16="http://schemas.microsoft.com/office/drawing/2014/main" id="{DAAA31C5-9629-4564-A775-EC285AAE8A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59" name="Text Box 2">
          <a:extLst>
            <a:ext uri="{FF2B5EF4-FFF2-40B4-BE49-F238E27FC236}">
              <a16:creationId xmlns:a16="http://schemas.microsoft.com/office/drawing/2014/main" id="{3BCAC0C0-A25D-4E57-A024-3C1508F4C6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0" name="Text Box 1">
          <a:extLst>
            <a:ext uri="{FF2B5EF4-FFF2-40B4-BE49-F238E27FC236}">
              <a16:creationId xmlns:a16="http://schemas.microsoft.com/office/drawing/2014/main" id="{C2F28617-0DDC-428D-8188-1955906641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61" name="Text Box 2">
          <a:extLst>
            <a:ext uri="{FF2B5EF4-FFF2-40B4-BE49-F238E27FC236}">
              <a16:creationId xmlns:a16="http://schemas.microsoft.com/office/drawing/2014/main" id="{645A10E4-2104-44A9-9B4B-A48C87B8BC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2" name="Text Box 1">
          <a:extLst>
            <a:ext uri="{FF2B5EF4-FFF2-40B4-BE49-F238E27FC236}">
              <a16:creationId xmlns:a16="http://schemas.microsoft.com/office/drawing/2014/main" id="{F7C4E815-7431-499D-BAEB-F1F4B4B99CA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63" name="Text Box 2">
          <a:extLst>
            <a:ext uri="{FF2B5EF4-FFF2-40B4-BE49-F238E27FC236}">
              <a16:creationId xmlns:a16="http://schemas.microsoft.com/office/drawing/2014/main" id="{0F9CD714-1F7A-4AE6-9EBE-C57C2A27FA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4" name="Text Box 1">
          <a:extLst>
            <a:ext uri="{FF2B5EF4-FFF2-40B4-BE49-F238E27FC236}">
              <a16:creationId xmlns:a16="http://schemas.microsoft.com/office/drawing/2014/main" id="{DB1D2C3C-B36B-44DC-B7B6-8D938764B16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65" name="Text Box 2">
          <a:extLst>
            <a:ext uri="{FF2B5EF4-FFF2-40B4-BE49-F238E27FC236}">
              <a16:creationId xmlns:a16="http://schemas.microsoft.com/office/drawing/2014/main" id="{20CC2679-6956-4E57-B26C-A6B9A0F858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6" name="Text Box 1">
          <a:extLst>
            <a:ext uri="{FF2B5EF4-FFF2-40B4-BE49-F238E27FC236}">
              <a16:creationId xmlns:a16="http://schemas.microsoft.com/office/drawing/2014/main" id="{FA3298D2-AAEC-46D1-AAA5-E761597BB5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67" name="Text Box 2">
          <a:extLst>
            <a:ext uri="{FF2B5EF4-FFF2-40B4-BE49-F238E27FC236}">
              <a16:creationId xmlns:a16="http://schemas.microsoft.com/office/drawing/2014/main" id="{28ACFED9-B1D2-4167-8B07-ED87DE7D90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68" name="Text Box 1">
          <a:extLst>
            <a:ext uri="{FF2B5EF4-FFF2-40B4-BE49-F238E27FC236}">
              <a16:creationId xmlns:a16="http://schemas.microsoft.com/office/drawing/2014/main" id="{E17A4D5A-0C93-4891-9D1D-5AA61D3384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69" name="Text Box 2">
          <a:extLst>
            <a:ext uri="{FF2B5EF4-FFF2-40B4-BE49-F238E27FC236}">
              <a16:creationId xmlns:a16="http://schemas.microsoft.com/office/drawing/2014/main" id="{160E085B-2327-4140-BBE6-4BE03E7898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70" name="Text Box 1">
          <a:extLst>
            <a:ext uri="{FF2B5EF4-FFF2-40B4-BE49-F238E27FC236}">
              <a16:creationId xmlns:a16="http://schemas.microsoft.com/office/drawing/2014/main" id="{92171B5B-3163-42E1-B697-38653BF366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1" name="Text Box 2">
          <a:extLst>
            <a:ext uri="{FF2B5EF4-FFF2-40B4-BE49-F238E27FC236}">
              <a16:creationId xmlns:a16="http://schemas.microsoft.com/office/drawing/2014/main" id="{49277222-E6AF-40FA-95DC-318D0762BF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72" name="Text Box 1">
          <a:extLst>
            <a:ext uri="{FF2B5EF4-FFF2-40B4-BE49-F238E27FC236}">
              <a16:creationId xmlns:a16="http://schemas.microsoft.com/office/drawing/2014/main" id="{0218B717-81BD-4FCA-B94E-4B4E38C68F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3" name="Text Box 2">
          <a:extLst>
            <a:ext uri="{FF2B5EF4-FFF2-40B4-BE49-F238E27FC236}">
              <a16:creationId xmlns:a16="http://schemas.microsoft.com/office/drawing/2014/main" id="{BCA43875-CBA8-4E5C-82D7-83D7DAC4B2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74" name="Text Box 1">
          <a:extLst>
            <a:ext uri="{FF2B5EF4-FFF2-40B4-BE49-F238E27FC236}">
              <a16:creationId xmlns:a16="http://schemas.microsoft.com/office/drawing/2014/main" id="{570FDDFD-AA1A-4F66-9010-41603F4AA0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5" name="Text Box 2">
          <a:extLst>
            <a:ext uri="{FF2B5EF4-FFF2-40B4-BE49-F238E27FC236}">
              <a16:creationId xmlns:a16="http://schemas.microsoft.com/office/drawing/2014/main" id="{DF733DED-9472-4420-AFED-76BD506A6E9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76" name="Text Box 1">
          <a:extLst>
            <a:ext uri="{FF2B5EF4-FFF2-40B4-BE49-F238E27FC236}">
              <a16:creationId xmlns:a16="http://schemas.microsoft.com/office/drawing/2014/main" id="{D9ED076F-191E-42A1-BB84-752BD0F579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7" name="Text Box 2">
          <a:extLst>
            <a:ext uri="{FF2B5EF4-FFF2-40B4-BE49-F238E27FC236}">
              <a16:creationId xmlns:a16="http://schemas.microsoft.com/office/drawing/2014/main" id="{C9EA5FD8-8198-4763-9C62-9DB2676611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78" name="Text Box 1">
          <a:extLst>
            <a:ext uri="{FF2B5EF4-FFF2-40B4-BE49-F238E27FC236}">
              <a16:creationId xmlns:a16="http://schemas.microsoft.com/office/drawing/2014/main" id="{F1DB1810-D652-48BB-AD30-69F0ACBA3F3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79" name="Text Box 2">
          <a:extLst>
            <a:ext uri="{FF2B5EF4-FFF2-40B4-BE49-F238E27FC236}">
              <a16:creationId xmlns:a16="http://schemas.microsoft.com/office/drawing/2014/main" id="{7C703D48-1968-44AA-AF93-08455BD978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0" name="Text Box 1">
          <a:extLst>
            <a:ext uri="{FF2B5EF4-FFF2-40B4-BE49-F238E27FC236}">
              <a16:creationId xmlns:a16="http://schemas.microsoft.com/office/drawing/2014/main" id="{F48B36C0-9F9A-414A-B7E0-7DF9675614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81" name="Text Box 2">
          <a:extLst>
            <a:ext uri="{FF2B5EF4-FFF2-40B4-BE49-F238E27FC236}">
              <a16:creationId xmlns:a16="http://schemas.microsoft.com/office/drawing/2014/main" id="{B4764F87-0494-4878-AA32-4A558E3B677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2" name="Text Box 1">
          <a:extLst>
            <a:ext uri="{FF2B5EF4-FFF2-40B4-BE49-F238E27FC236}">
              <a16:creationId xmlns:a16="http://schemas.microsoft.com/office/drawing/2014/main" id="{C4C794B8-B913-45CC-9AF8-F6DF51FDA5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83" name="Text Box 2">
          <a:extLst>
            <a:ext uri="{FF2B5EF4-FFF2-40B4-BE49-F238E27FC236}">
              <a16:creationId xmlns:a16="http://schemas.microsoft.com/office/drawing/2014/main" id="{A87CE42F-9588-4E80-B45E-76924B50B1C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4" name="Text Box 1">
          <a:extLst>
            <a:ext uri="{FF2B5EF4-FFF2-40B4-BE49-F238E27FC236}">
              <a16:creationId xmlns:a16="http://schemas.microsoft.com/office/drawing/2014/main" id="{FBEAAC15-668B-406F-BC93-87D460CC05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85" name="Text Box 2">
          <a:extLst>
            <a:ext uri="{FF2B5EF4-FFF2-40B4-BE49-F238E27FC236}">
              <a16:creationId xmlns:a16="http://schemas.microsoft.com/office/drawing/2014/main" id="{681FD6C5-825C-4CA2-A657-9810A23277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6" name="Text Box 1">
          <a:extLst>
            <a:ext uri="{FF2B5EF4-FFF2-40B4-BE49-F238E27FC236}">
              <a16:creationId xmlns:a16="http://schemas.microsoft.com/office/drawing/2014/main" id="{D79A6681-2604-4CA1-AF00-E5DE0316ECC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87" name="Text Box 2">
          <a:extLst>
            <a:ext uri="{FF2B5EF4-FFF2-40B4-BE49-F238E27FC236}">
              <a16:creationId xmlns:a16="http://schemas.microsoft.com/office/drawing/2014/main" id="{490C5FCA-FC69-4134-B277-06D7ABEB22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88" name="Text Box 1">
          <a:extLst>
            <a:ext uri="{FF2B5EF4-FFF2-40B4-BE49-F238E27FC236}">
              <a16:creationId xmlns:a16="http://schemas.microsoft.com/office/drawing/2014/main" id="{77843AA5-5053-43A7-8F71-7747FE7F98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89" name="Text Box 2">
          <a:extLst>
            <a:ext uri="{FF2B5EF4-FFF2-40B4-BE49-F238E27FC236}">
              <a16:creationId xmlns:a16="http://schemas.microsoft.com/office/drawing/2014/main" id="{8BDCB209-5762-4243-8513-104F259D7E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90" name="Text Box 1">
          <a:extLst>
            <a:ext uri="{FF2B5EF4-FFF2-40B4-BE49-F238E27FC236}">
              <a16:creationId xmlns:a16="http://schemas.microsoft.com/office/drawing/2014/main" id="{DBF2272C-1822-44D3-9DAC-A36A0067F99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1" name="Text Box 2">
          <a:extLst>
            <a:ext uri="{FF2B5EF4-FFF2-40B4-BE49-F238E27FC236}">
              <a16:creationId xmlns:a16="http://schemas.microsoft.com/office/drawing/2014/main" id="{2BA78CFC-E81B-4546-B972-EB286A44AD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92" name="Text Box 1">
          <a:extLst>
            <a:ext uri="{FF2B5EF4-FFF2-40B4-BE49-F238E27FC236}">
              <a16:creationId xmlns:a16="http://schemas.microsoft.com/office/drawing/2014/main" id="{F8948FEC-A259-4BCF-AEB1-DD41627004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3" name="Text Box 2">
          <a:extLst>
            <a:ext uri="{FF2B5EF4-FFF2-40B4-BE49-F238E27FC236}">
              <a16:creationId xmlns:a16="http://schemas.microsoft.com/office/drawing/2014/main" id="{BD354EB6-9FB5-4269-9CF5-9DC3A92670C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94" name="Text Box 1">
          <a:extLst>
            <a:ext uri="{FF2B5EF4-FFF2-40B4-BE49-F238E27FC236}">
              <a16:creationId xmlns:a16="http://schemas.microsoft.com/office/drawing/2014/main" id="{E4D80171-26E0-4624-9252-214ACFDD77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5" name="Text Box 2">
          <a:extLst>
            <a:ext uri="{FF2B5EF4-FFF2-40B4-BE49-F238E27FC236}">
              <a16:creationId xmlns:a16="http://schemas.microsoft.com/office/drawing/2014/main" id="{57346E99-11E8-4A8E-8241-BDF27A5735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96" name="Text Box 1">
          <a:extLst>
            <a:ext uri="{FF2B5EF4-FFF2-40B4-BE49-F238E27FC236}">
              <a16:creationId xmlns:a16="http://schemas.microsoft.com/office/drawing/2014/main" id="{4675B0EF-4068-48CE-8518-0794243AD0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7" name="Text Box 2">
          <a:extLst>
            <a:ext uri="{FF2B5EF4-FFF2-40B4-BE49-F238E27FC236}">
              <a16:creationId xmlns:a16="http://schemas.microsoft.com/office/drawing/2014/main" id="{0EF62982-953D-45AF-A55F-CA89493A31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798" name="Text Box 1">
          <a:extLst>
            <a:ext uri="{FF2B5EF4-FFF2-40B4-BE49-F238E27FC236}">
              <a16:creationId xmlns:a16="http://schemas.microsoft.com/office/drawing/2014/main" id="{9E19842D-CA20-45DB-8A58-0DD0C7D5D1A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799" name="Text Box 2">
          <a:extLst>
            <a:ext uri="{FF2B5EF4-FFF2-40B4-BE49-F238E27FC236}">
              <a16:creationId xmlns:a16="http://schemas.microsoft.com/office/drawing/2014/main" id="{1683E61A-CEE4-4EBA-8C00-38F04D7AA1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0" name="Text Box 1">
          <a:extLst>
            <a:ext uri="{FF2B5EF4-FFF2-40B4-BE49-F238E27FC236}">
              <a16:creationId xmlns:a16="http://schemas.microsoft.com/office/drawing/2014/main" id="{4041214D-FD5B-40B2-85B1-672497CE78E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01" name="Text Box 2">
          <a:extLst>
            <a:ext uri="{FF2B5EF4-FFF2-40B4-BE49-F238E27FC236}">
              <a16:creationId xmlns:a16="http://schemas.microsoft.com/office/drawing/2014/main" id="{2EF8D876-34EE-4C6C-AFC1-4C67C85467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2" name="Text Box 1">
          <a:extLst>
            <a:ext uri="{FF2B5EF4-FFF2-40B4-BE49-F238E27FC236}">
              <a16:creationId xmlns:a16="http://schemas.microsoft.com/office/drawing/2014/main" id="{DE91E320-47BE-46A6-853D-E7FD93C53A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03" name="Text Box 2">
          <a:extLst>
            <a:ext uri="{FF2B5EF4-FFF2-40B4-BE49-F238E27FC236}">
              <a16:creationId xmlns:a16="http://schemas.microsoft.com/office/drawing/2014/main" id="{177AFF8D-0F3C-4BBF-97B1-49F4B5EF93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4" name="Text Box 1">
          <a:extLst>
            <a:ext uri="{FF2B5EF4-FFF2-40B4-BE49-F238E27FC236}">
              <a16:creationId xmlns:a16="http://schemas.microsoft.com/office/drawing/2014/main" id="{23337BF6-DFDF-465D-B8E4-6B228C0331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05" name="Text Box 2">
          <a:extLst>
            <a:ext uri="{FF2B5EF4-FFF2-40B4-BE49-F238E27FC236}">
              <a16:creationId xmlns:a16="http://schemas.microsoft.com/office/drawing/2014/main" id="{21E121DB-1940-497C-8A7E-C2E9A5CAB08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6" name="Text Box 1">
          <a:extLst>
            <a:ext uri="{FF2B5EF4-FFF2-40B4-BE49-F238E27FC236}">
              <a16:creationId xmlns:a16="http://schemas.microsoft.com/office/drawing/2014/main" id="{2C761DD5-0104-4126-8A8D-C763E713E8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07" name="Text Box 2">
          <a:extLst>
            <a:ext uri="{FF2B5EF4-FFF2-40B4-BE49-F238E27FC236}">
              <a16:creationId xmlns:a16="http://schemas.microsoft.com/office/drawing/2014/main" id="{92616FFE-CBFE-45C3-86D3-5BAED99512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08" name="Text Box 1">
          <a:extLst>
            <a:ext uri="{FF2B5EF4-FFF2-40B4-BE49-F238E27FC236}">
              <a16:creationId xmlns:a16="http://schemas.microsoft.com/office/drawing/2014/main" id="{32FAA745-E7B1-4F8E-8C37-9B478613D9C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09" name="Text Box 2">
          <a:extLst>
            <a:ext uri="{FF2B5EF4-FFF2-40B4-BE49-F238E27FC236}">
              <a16:creationId xmlns:a16="http://schemas.microsoft.com/office/drawing/2014/main" id="{937217B3-3424-4085-9586-756181A01F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10" name="Text Box 1">
          <a:extLst>
            <a:ext uri="{FF2B5EF4-FFF2-40B4-BE49-F238E27FC236}">
              <a16:creationId xmlns:a16="http://schemas.microsoft.com/office/drawing/2014/main" id="{925F4E6A-A677-43CD-8A7A-AF873B6FF1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1" name="Text Box 2">
          <a:extLst>
            <a:ext uri="{FF2B5EF4-FFF2-40B4-BE49-F238E27FC236}">
              <a16:creationId xmlns:a16="http://schemas.microsoft.com/office/drawing/2014/main" id="{558A396C-77D4-46A6-B6A9-B5D5C662EA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12" name="Text Box 1">
          <a:extLst>
            <a:ext uri="{FF2B5EF4-FFF2-40B4-BE49-F238E27FC236}">
              <a16:creationId xmlns:a16="http://schemas.microsoft.com/office/drawing/2014/main" id="{E8804E4A-18E1-4B43-90E6-FD9E27B8FD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3" name="Text Box 2">
          <a:extLst>
            <a:ext uri="{FF2B5EF4-FFF2-40B4-BE49-F238E27FC236}">
              <a16:creationId xmlns:a16="http://schemas.microsoft.com/office/drawing/2014/main" id="{E5D5EF59-6459-4F54-8F45-AF17736419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14" name="Text Box 1">
          <a:extLst>
            <a:ext uri="{FF2B5EF4-FFF2-40B4-BE49-F238E27FC236}">
              <a16:creationId xmlns:a16="http://schemas.microsoft.com/office/drawing/2014/main" id="{59A54FF5-92BB-4A9D-A0E7-C9E8F362CA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5" name="Text Box 2">
          <a:extLst>
            <a:ext uri="{FF2B5EF4-FFF2-40B4-BE49-F238E27FC236}">
              <a16:creationId xmlns:a16="http://schemas.microsoft.com/office/drawing/2014/main" id="{CD007DEB-2C50-472B-BF4A-0B4FE61162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16" name="Text Box 1">
          <a:extLst>
            <a:ext uri="{FF2B5EF4-FFF2-40B4-BE49-F238E27FC236}">
              <a16:creationId xmlns:a16="http://schemas.microsoft.com/office/drawing/2014/main" id="{08852F0C-1E25-4C24-953B-2D0D77FAD5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7" name="Text Box 2">
          <a:extLst>
            <a:ext uri="{FF2B5EF4-FFF2-40B4-BE49-F238E27FC236}">
              <a16:creationId xmlns:a16="http://schemas.microsoft.com/office/drawing/2014/main" id="{F7063A25-FE38-4E3E-A9CD-978F1F38D8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18" name="Text Box 1">
          <a:extLst>
            <a:ext uri="{FF2B5EF4-FFF2-40B4-BE49-F238E27FC236}">
              <a16:creationId xmlns:a16="http://schemas.microsoft.com/office/drawing/2014/main" id="{62F01667-1ED5-4B73-862C-A556B44A72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19" name="Text Box 2">
          <a:extLst>
            <a:ext uri="{FF2B5EF4-FFF2-40B4-BE49-F238E27FC236}">
              <a16:creationId xmlns:a16="http://schemas.microsoft.com/office/drawing/2014/main" id="{841B3AD7-3434-436A-BAE4-41D03CB1A1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0" name="Text Box 1">
          <a:extLst>
            <a:ext uri="{FF2B5EF4-FFF2-40B4-BE49-F238E27FC236}">
              <a16:creationId xmlns:a16="http://schemas.microsoft.com/office/drawing/2014/main" id="{A93D224F-DE9D-4FC0-BAF9-216DC8328E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21" name="Text Box 2">
          <a:extLst>
            <a:ext uri="{FF2B5EF4-FFF2-40B4-BE49-F238E27FC236}">
              <a16:creationId xmlns:a16="http://schemas.microsoft.com/office/drawing/2014/main" id="{4158F593-8D02-4DAE-B632-1EB70E7AF2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2" name="Text Box 1">
          <a:extLst>
            <a:ext uri="{FF2B5EF4-FFF2-40B4-BE49-F238E27FC236}">
              <a16:creationId xmlns:a16="http://schemas.microsoft.com/office/drawing/2014/main" id="{9460F50D-CA4E-402F-BD18-F6176EFD32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23" name="Text Box 2">
          <a:extLst>
            <a:ext uri="{FF2B5EF4-FFF2-40B4-BE49-F238E27FC236}">
              <a16:creationId xmlns:a16="http://schemas.microsoft.com/office/drawing/2014/main" id="{E9FB2731-571D-43D0-B573-3ED2A0AF8B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4" name="Text Box 1">
          <a:extLst>
            <a:ext uri="{FF2B5EF4-FFF2-40B4-BE49-F238E27FC236}">
              <a16:creationId xmlns:a16="http://schemas.microsoft.com/office/drawing/2014/main" id="{0C6F5176-AC6E-486F-8CF5-3943936495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25" name="Text Box 2">
          <a:extLst>
            <a:ext uri="{FF2B5EF4-FFF2-40B4-BE49-F238E27FC236}">
              <a16:creationId xmlns:a16="http://schemas.microsoft.com/office/drawing/2014/main" id="{5EEBD3E6-B92A-4B51-8D58-47C7E48A50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6" name="Text Box 1">
          <a:extLst>
            <a:ext uri="{FF2B5EF4-FFF2-40B4-BE49-F238E27FC236}">
              <a16:creationId xmlns:a16="http://schemas.microsoft.com/office/drawing/2014/main" id="{BE06B6FC-46E9-42D1-BC97-00369A6664D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27" name="Text Box 2">
          <a:extLst>
            <a:ext uri="{FF2B5EF4-FFF2-40B4-BE49-F238E27FC236}">
              <a16:creationId xmlns:a16="http://schemas.microsoft.com/office/drawing/2014/main" id="{09595535-41F3-4CAF-B3E5-BAF7084386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28" name="Text Box 1">
          <a:extLst>
            <a:ext uri="{FF2B5EF4-FFF2-40B4-BE49-F238E27FC236}">
              <a16:creationId xmlns:a16="http://schemas.microsoft.com/office/drawing/2014/main" id="{4319B0D9-525B-4B44-901D-B6BD01D4345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29" name="Text Box 2">
          <a:extLst>
            <a:ext uri="{FF2B5EF4-FFF2-40B4-BE49-F238E27FC236}">
              <a16:creationId xmlns:a16="http://schemas.microsoft.com/office/drawing/2014/main" id="{C8E09BC1-9470-4D3B-BC30-3F41F2B555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30" name="Text Box 1">
          <a:extLst>
            <a:ext uri="{FF2B5EF4-FFF2-40B4-BE49-F238E27FC236}">
              <a16:creationId xmlns:a16="http://schemas.microsoft.com/office/drawing/2014/main" id="{1E2EB7A8-A5F3-4F17-A20A-38E2C3D23D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1" name="Text Box 2">
          <a:extLst>
            <a:ext uri="{FF2B5EF4-FFF2-40B4-BE49-F238E27FC236}">
              <a16:creationId xmlns:a16="http://schemas.microsoft.com/office/drawing/2014/main" id="{461CD364-5D54-472F-88EA-1D0C3A38A0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32" name="Text Box 1">
          <a:extLst>
            <a:ext uri="{FF2B5EF4-FFF2-40B4-BE49-F238E27FC236}">
              <a16:creationId xmlns:a16="http://schemas.microsoft.com/office/drawing/2014/main" id="{87A10F2D-24A3-4D36-8EB5-7C9A92B051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3" name="Text Box 2">
          <a:extLst>
            <a:ext uri="{FF2B5EF4-FFF2-40B4-BE49-F238E27FC236}">
              <a16:creationId xmlns:a16="http://schemas.microsoft.com/office/drawing/2014/main" id="{6B3834EF-8623-4F00-8C81-83AD55B24A5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34" name="Text Box 1">
          <a:extLst>
            <a:ext uri="{FF2B5EF4-FFF2-40B4-BE49-F238E27FC236}">
              <a16:creationId xmlns:a16="http://schemas.microsoft.com/office/drawing/2014/main" id="{1464167E-5D3A-4E82-A359-8BB218E8D3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5" name="Text Box 2">
          <a:extLst>
            <a:ext uri="{FF2B5EF4-FFF2-40B4-BE49-F238E27FC236}">
              <a16:creationId xmlns:a16="http://schemas.microsoft.com/office/drawing/2014/main" id="{3E313005-67EE-4E1E-BA61-C0AF889201C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36" name="Text Box 1">
          <a:extLst>
            <a:ext uri="{FF2B5EF4-FFF2-40B4-BE49-F238E27FC236}">
              <a16:creationId xmlns:a16="http://schemas.microsoft.com/office/drawing/2014/main" id="{2A5D1FF5-F23C-4CA9-930F-48288466D7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7" name="Text Box 2">
          <a:extLst>
            <a:ext uri="{FF2B5EF4-FFF2-40B4-BE49-F238E27FC236}">
              <a16:creationId xmlns:a16="http://schemas.microsoft.com/office/drawing/2014/main" id="{AF558152-551D-4F5B-ACF4-9A2AFF91332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38" name="Text Box 1">
          <a:extLst>
            <a:ext uri="{FF2B5EF4-FFF2-40B4-BE49-F238E27FC236}">
              <a16:creationId xmlns:a16="http://schemas.microsoft.com/office/drawing/2014/main" id="{B5F3FB79-A587-40D4-9051-C6B37B4FC7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39" name="Text Box 2">
          <a:extLst>
            <a:ext uri="{FF2B5EF4-FFF2-40B4-BE49-F238E27FC236}">
              <a16:creationId xmlns:a16="http://schemas.microsoft.com/office/drawing/2014/main" id="{0CF5C438-3B81-4BF6-8D61-E0BC0A2305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0" name="Text Box 1">
          <a:extLst>
            <a:ext uri="{FF2B5EF4-FFF2-40B4-BE49-F238E27FC236}">
              <a16:creationId xmlns:a16="http://schemas.microsoft.com/office/drawing/2014/main" id="{21637283-0F8B-47EC-963C-75A999CBC1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41" name="Text Box 2">
          <a:extLst>
            <a:ext uri="{FF2B5EF4-FFF2-40B4-BE49-F238E27FC236}">
              <a16:creationId xmlns:a16="http://schemas.microsoft.com/office/drawing/2014/main" id="{4C7A5AE1-C05A-4888-8345-23F1920C960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2" name="Text Box 1">
          <a:extLst>
            <a:ext uri="{FF2B5EF4-FFF2-40B4-BE49-F238E27FC236}">
              <a16:creationId xmlns:a16="http://schemas.microsoft.com/office/drawing/2014/main" id="{6B33DE44-E695-4195-B5A5-A3029B0303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43" name="Text Box 2">
          <a:extLst>
            <a:ext uri="{FF2B5EF4-FFF2-40B4-BE49-F238E27FC236}">
              <a16:creationId xmlns:a16="http://schemas.microsoft.com/office/drawing/2014/main" id="{2696E545-7FDE-465E-AA1E-E79A7B17E1D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4" name="Text Box 1">
          <a:extLst>
            <a:ext uri="{FF2B5EF4-FFF2-40B4-BE49-F238E27FC236}">
              <a16:creationId xmlns:a16="http://schemas.microsoft.com/office/drawing/2014/main" id="{89349EE1-F9D1-4D16-994E-8E2CA39A5C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45" name="Text Box 2">
          <a:extLst>
            <a:ext uri="{FF2B5EF4-FFF2-40B4-BE49-F238E27FC236}">
              <a16:creationId xmlns:a16="http://schemas.microsoft.com/office/drawing/2014/main" id="{ADD6068E-F5CE-407D-B909-CA63E4BAE2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6" name="Text Box 1">
          <a:extLst>
            <a:ext uri="{FF2B5EF4-FFF2-40B4-BE49-F238E27FC236}">
              <a16:creationId xmlns:a16="http://schemas.microsoft.com/office/drawing/2014/main" id="{C86F60DB-7F75-4CB9-8C80-A7783CD07F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47" name="Text Box 2">
          <a:extLst>
            <a:ext uri="{FF2B5EF4-FFF2-40B4-BE49-F238E27FC236}">
              <a16:creationId xmlns:a16="http://schemas.microsoft.com/office/drawing/2014/main" id="{C561F7A5-B04A-4DB6-9577-6363BBF7CE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48" name="Text Box 1">
          <a:extLst>
            <a:ext uri="{FF2B5EF4-FFF2-40B4-BE49-F238E27FC236}">
              <a16:creationId xmlns:a16="http://schemas.microsoft.com/office/drawing/2014/main" id="{298A52C7-502A-472C-BA1D-369E033CD4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49" name="Text Box 2">
          <a:extLst>
            <a:ext uri="{FF2B5EF4-FFF2-40B4-BE49-F238E27FC236}">
              <a16:creationId xmlns:a16="http://schemas.microsoft.com/office/drawing/2014/main" id="{C4E0E2DE-610B-4D9B-83CF-45C3CDC779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50" name="Text Box 1">
          <a:extLst>
            <a:ext uri="{FF2B5EF4-FFF2-40B4-BE49-F238E27FC236}">
              <a16:creationId xmlns:a16="http://schemas.microsoft.com/office/drawing/2014/main" id="{5F955C0E-F01C-4E03-90E2-BA283D2E8F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1" name="Text Box 2">
          <a:extLst>
            <a:ext uri="{FF2B5EF4-FFF2-40B4-BE49-F238E27FC236}">
              <a16:creationId xmlns:a16="http://schemas.microsoft.com/office/drawing/2014/main" id="{18DAF4B0-C3E6-461A-8A8A-945FE643AD3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52" name="Text Box 1">
          <a:extLst>
            <a:ext uri="{FF2B5EF4-FFF2-40B4-BE49-F238E27FC236}">
              <a16:creationId xmlns:a16="http://schemas.microsoft.com/office/drawing/2014/main" id="{3F7AA004-680C-4E24-93D6-BA842B8A49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3" name="Text Box 2">
          <a:extLst>
            <a:ext uri="{FF2B5EF4-FFF2-40B4-BE49-F238E27FC236}">
              <a16:creationId xmlns:a16="http://schemas.microsoft.com/office/drawing/2014/main" id="{D9AD0572-7447-4604-BC89-85981A36B1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54" name="Text Box 1">
          <a:extLst>
            <a:ext uri="{FF2B5EF4-FFF2-40B4-BE49-F238E27FC236}">
              <a16:creationId xmlns:a16="http://schemas.microsoft.com/office/drawing/2014/main" id="{2F2F004A-0341-426F-BAAF-08EE2FD11A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5" name="Text Box 2">
          <a:extLst>
            <a:ext uri="{FF2B5EF4-FFF2-40B4-BE49-F238E27FC236}">
              <a16:creationId xmlns:a16="http://schemas.microsoft.com/office/drawing/2014/main" id="{DB4F79FF-5759-4F94-AC58-E7B59F3E3F3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56" name="Text Box 1">
          <a:extLst>
            <a:ext uri="{FF2B5EF4-FFF2-40B4-BE49-F238E27FC236}">
              <a16:creationId xmlns:a16="http://schemas.microsoft.com/office/drawing/2014/main" id="{B7AFBF06-D6CE-4100-9502-D768F2250D6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7" name="Text Box 2">
          <a:extLst>
            <a:ext uri="{FF2B5EF4-FFF2-40B4-BE49-F238E27FC236}">
              <a16:creationId xmlns:a16="http://schemas.microsoft.com/office/drawing/2014/main" id="{1C1C4461-9345-418D-81B4-384B8F0BBE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58" name="Text Box 1">
          <a:extLst>
            <a:ext uri="{FF2B5EF4-FFF2-40B4-BE49-F238E27FC236}">
              <a16:creationId xmlns:a16="http://schemas.microsoft.com/office/drawing/2014/main" id="{26995F2E-5077-40C3-96DA-183E5DBB963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59" name="Text Box 2">
          <a:extLst>
            <a:ext uri="{FF2B5EF4-FFF2-40B4-BE49-F238E27FC236}">
              <a16:creationId xmlns:a16="http://schemas.microsoft.com/office/drawing/2014/main" id="{8793D459-9B28-4675-A6B8-E4B048AEB97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0" name="Text Box 1">
          <a:extLst>
            <a:ext uri="{FF2B5EF4-FFF2-40B4-BE49-F238E27FC236}">
              <a16:creationId xmlns:a16="http://schemas.microsoft.com/office/drawing/2014/main" id="{1D079899-EAF0-4C63-8684-981A617152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61" name="Text Box 2">
          <a:extLst>
            <a:ext uri="{FF2B5EF4-FFF2-40B4-BE49-F238E27FC236}">
              <a16:creationId xmlns:a16="http://schemas.microsoft.com/office/drawing/2014/main" id="{6B580EEE-1E6E-46D1-B54A-187621C0B76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2" name="Text Box 1">
          <a:extLst>
            <a:ext uri="{FF2B5EF4-FFF2-40B4-BE49-F238E27FC236}">
              <a16:creationId xmlns:a16="http://schemas.microsoft.com/office/drawing/2014/main" id="{56C033F6-3575-4535-B338-423690BAE3B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63" name="Text Box 2">
          <a:extLst>
            <a:ext uri="{FF2B5EF4-FFF2-40B4-BE49-F238E27FC236}">
              <a16:creationId xmlns:a16="http://schemas.microsoft.com/office/drawing/2014/main" id="{81196F9A-897E-4513-AE20-B72C28346A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4" name="Text Box 1">
          <a:extLst>
            <a:ext uri="{FF2B5EF4-FFF2-40B4-BE49-F238E27FC236}">
              <a16:creationId xmlns:a16="http://schemas.microsoft.com/office/drawing/2014/main" id="{8677108F-44EA-49A2-B122-BBBE531778A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65" name="Text Box 2">
          <a:extLst>
            <a:ext uri="{FF2B5EF4-FFF2-40B4-BE49-F238E27FC236}">
              <a16:creationId xmlns:a16="http://schemas.microsoft.com/office/drawing/2014/main" id="{48EEADFD-72A5-4BEA-865C-857A6D2A14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6" name="Text Box 1">
          <a:extLst>
            <a:ext uri="{FF2B5EF4-FFF2-40B4-BE49-F238E27FC236}">
              <a16:creationId xmlns:a16="http://schemas.microsoft.com/office/drawing/2014/main" id="{2A269060-D321-4C46-94AB-F66F2108A8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67" name="Text Box 2">
          <a:extLst>
            <a:ext uri="{FF2B5EF4-FFF2-40B4-BE49-F238E27FC236}">
              <a16:creationId xmlns:a16="http://schemas.microsoft.com/office/drawing/2014/main" id="{B441334A-4BAB-4C87-AFB7-41D3817CCD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68" name="Text Box 1">
          <a:extLst>
            <a:ext uri="{FF2B5EF4-FFF2-40B4-BE49-F238E27FC236}">
              <a16:creationId xmlns:a16="http://schemas.microsoft.com/office/drawing/2014/main" id="{577E8C9A-DF71-4220-B90C-34324A19CF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69" name="Text Box 2">
          <a:extLst>
            <a:ext uri="{FF2B5EF4-FFF2-40B4-BE49-F238E27FC236}">
              <a16:creationId xmlns:a16="http://schemas.microsoft.com/office/drawing/2014/main" id="{F87443D3-1071-404D-A2E2-86BCC0BCDB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70" name="Text Box 1">
          <a:extLst>
            <a:ext uri="{FF2B5EF4-FFF2-40B4-BE49-F238E27FC236}">
              <a16:creationId xmlns:a16="http://schemas.microsoft.com/office/drawing/2014/main" id="{0883A918-24DC-4CB5-A27F-21B4AF485A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1" name="Text Box 2">
          <a:extLst>
            <a:ext uri="{FF2B5EF4-FFF2-40B4-BE49-F238E27FC236}">
              <a16:creationId xmlns:a16="http://schemas.microsoft.com/office/drawing/2014/main" id="{00C73559-4120-4E9A-80A5-2A91F7CA9E5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72" name="Text Box 1">
          <a:extLst>
            <a:ext uri="{FF2B5EF4-FFF2-40B4-BE49-F238E27FC236}">
              <a16:creationId xmlns:a16="http://schemas.microsoft.com/office/drawing/2014/main" id="{07E76B71-5E91-45C8-91BE-E2C1D2F856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3" name="Text Box 2">
          <a:extLst>
            <a:ext uri="{FF2B5EF4-FFF2-40B4-BE49-F238E27FC236}">
              <a16:creationId xmlns:a16="http://schemas.microsoft.com/office/drawing/2014/main" id="{CDF14A34-40CA-4B65-8384-B656D7122CD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74" name="Text Box 1">
          <a:extLst>
            <a:ext uri="{FF2B5EF4-FFF2-40B4-BE49-F238E27FC236}">
              <a16:creationId xmlns:a16="http://schemas.microsoft.com/office/drawing/2014/main" id="{E5BDEC4D-97AD-4E78-97FA-CB8100E84A2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5" name="Text Box 2">
          <a:extLst>
            <a:ext uri="{FF2B5EF4-FFF2-40B4-BE49-F238E27FC236}">
              <a16:creationId xmlns:a16="http://schemas.microsoft.com/office/drawing/2014/main" id="{7522AB4E-0152-48CD-B251-78CD411E24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76" name="Text Box 1">
          <a:extLst>
            <a:ext uri="{FF2B5EF4-FFF2-40B4-BE49-F238E27FC236}">
              <a16:creationId xmlns:a16="http://schemas.microsoft.com/office/drawing/2014/main" id="{396C1120-C2A1-4694-82F7-0AFEDF8225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7" name="Text Box 2">
          <a:extLst>
            <a:ext uri="{FF2B5EF4-FFF2-40B4-BE49-F238E27FC236}">
              <a16:creationId xmlns:a16="http://schemas.microsoft.com/office/drawing/2014/main" id="{C2731A2A-545C-4C0C-9EB6-8D79B4CFAC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78" name="Text Box 1">
          <a:extLst>
            <a:ext uri="{FF2B5EF4-FFF2-40B4-BE49-F238E27FC236}">
              <a16:creationId xmlns:a16="http://schemas.microsoft.com/office/drawing/2014/main" id="{47A74091-CF76-4528-9EC5-48DE2A13C7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79" name="Text Box 2">
          <a:extLst>
            <a:ext uri="{FF2B5EF4-FFF2-40B4-BE49-F238E27FC236}">
              <a16:creationId xmlns:a16="http://schemas.microsoft.com/office/drawing/2014/main" id="{EAC74691-83A8-4BF1-B4CB-89C0E3335E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0" name="Text Box 1">
          <a:extLst>
            <a:ext uri="{FF2B5EF4-FFF2-40B4-BE49-F238E27FC236}">
              <a16:creationId xmlns:a16="http://schemas.microsoft.com/office/drawing/2014/main" id="{F96971E7-004C-4916-BB15-DB0EFCDCADD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81" name="Text Box 2">
          <a:extLst>
            <a:ext uri="{FF2B5EF4-FFF2-40B4-BE49-F238E27FC236}">
              <a16:creationId xmlns:a16="http://schemas.microsoft.com/office/drawing/2014/main" id="{03C8ABBC-A26C-4D11-ABAD-B6A2647DD7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2" name="Text Box 1">
          <a:extLst>
            <a:ext uri="{FF2B5EF4-FFF2-40B4-BE49-F238E27FC236}">
              <a16:creationId xmlns:a16="http://schemas.microsoft.com/office/drawing/2014/main" id="{5606DBC5-352C-4D13-A23C-BE21FCFBF31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83" name="Text Box 2">
          <a:extLst>
            <a:ext uri="{FF2B5EF4-FFF2-40B4-BE49-F238E27FC236}">
              <a16:creationId xmlns:a16="http://schemas.microsoft.com/office/drawing/2014/main" id="{189BAF4B-060E-4A8D-B7A9-07BC1B87C6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4" name="Text Box 1">
          <a:extLst>
            <a:ext uri="{FF2B5EF4-FFF2-40B4-BE49-F238E27FC236}">
              <a16:creationId xmlns:a16="http://schemas.microsoft.com/office/drawing/2014/main" id="{A14563AB-6F19-47E3-8C53-D2DA25ED85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85" name="Text Box 2">
          <a:extLst>
            <a:ext uri="{FF2B5EF4-FFF2-40B4-BE49-F238E27FC236}">
              <a16:creationId xmlns:a16="http://schemas.microsoft.com/office/drawing/2014/main" id="{B9E8141B-F5E5-4DD9-A9A4-5D2223F1CF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6" name="Text Box 1">
          <a:extLst>
            <a:ext uri="{FF2B5EF4-FFF2-40B4-BE49-F238E27FC236}">
              <a16:creationId xmlns:a16="http://schemas.microsoft.com/office/drawing/2014/main" id="{86FA0475-CFAA-4B3E-A933-58E9618591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87" name="Text Box 2">
          <a:extLst>
            <a:ext uri="{FF2B5EF4-FFF2-40B4-BE49-F238E27FC236}">
              <a16:creationId xmlns:a16="http://schemas.microsoft.com/office/drawing/2014/main" id="{6C5D3579-5E2D-4D7D-B541-4509C80650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88" name="Text Box 1">
          <a:extLst>
            <a:ext uri="{FF2B5EF4-FFF2-40B4-BE49-F238E27FC236}">
              <a16:creationId xmlns:a16="http://schemas.microsoft.com/office/drawing/2014/main" id="{11722536-9CBE-4F7E-8A61-6C61F1FAAC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89" name="Text Box 2">
          <a:extLst>
            <a:ext uri="{FF2B5EF4-FFF2-40B4-BE49-F238E27FC236}">
              <a16:creationId xmlns:a16="http://schemas.microsoft.com/office/drawing/2014/main" id="{96F8058A-05A3-47BD-AB0C-A927823C69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90" name="Text Box 1">
          <a:extLst>
            <a:ext uri="{FF2B5EF4-FFF2-40B4-BE49-F238E27FC236}">
              <a16:creationId xmlns:a16="http://schemas.microsoft.com/office/drawing/2014/main" id="{AA5DF486-DB2A-4C83-A33A-E526361DAE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1" name="Text Box 2">
          <a:extLst>
            <a:ext uri="{FF2B5EF4-FFF2-40B4-BE49-F238E27FC236}">
              <a16:creationId xmlns:a16="http://schemas.microsoft.com/office/drawing/2014/main" id="{3BAF93ED-C6D0-47E2-A122-22639D1F90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92" name="Text Box 1">
          <a:extLst>
            <a:ext uri="{FF2B5EF4-FFF2-40B4-BE49-F238E27FC236}">
              <a16:creationId xmlns:a16="http://schemas.microsoft.com/office/drawing/2014/main" id="{0FC180C5-28B9-4F38-8D6E-0672C38D60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3" name="Text Box 2">
          <a:extLst>
            <a:ext uri="{FF2B5EF4-FFF2-40B4-BE49-F238E27FC236}">
              <a16:creationId xmlns:a16="http://schemas.microsoft.com/office/drawing/2014/main" id="{31632704-583A-4F00-87DE-D316680F7A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94" name="Text Box 1">
          <a:extLst>
            <a:ext uri="{FF2B5EF4-FFF2-40B4-BE49-F238E27FC236}">
              <a16:creationId xmlns:a16="http://schemas.microsoft.com/office/drawing/2014/main" id="{5CA4FEC1-3F92-4559-9C3C-C7E831AE87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5" name="Text Box 2">
          <a:extLst>
            <a:ext uri="{FF2B5EF4-FFF2-40B4-BE49-F238E27FC236}">
              <a16:creationId xmlns:a16="http://schemas.microsoft.com/office/drawing/2014/main" id="{300C6AC5-FDF5-4C0E-9B27-843AECC8537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96" name="Text Box 1">
          <a:extLst>
            <a:ext uri="{FF2B5EF4-FFF2-40B4-BE49-F238E27FC236}">
              <a16:creationId xmlns:a16="http://schemas.microsoft.com/office/drawing/2014/main" id="{359BF354-FE21-4511-9EAC-52FD008E9C9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7" name="Text Box 2">
          <a:extLst>
            <a:ext uri="{FF2B5EF4-FFF2-40B4-BE49-F238E27FC236}">
              <a16:creationId xmlns:a16="http://schemas.microsoft.com/office/drawing/2014/main" id="{3BAC61D6-CA97-4BAD-AC59-FCBF396A0E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898" name="Text Box 1">
          <a:extLst>
            <a:ext uri="{FF2B5EF4-FFF2-40B4-BE49-F238E27FC236}">
              <a16:creationId xmlns:a16="http://schemas.microsoft.com/office/drawing/2014/main" id="{3C587B31-C85A-4BFB-B4B9-BE42066AF8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899" name="Text Box 2">
          <a:extLst>
            <a:ext uri="{FF2B5EF4-FFF2-40B4-BE49-F238E27FC236}">
              <a16:creationId xmlns:a16="http://schemas.microsoft.com/office/drawing/2014/main" id="{AD0A8411-FA13-46FD-A084-4468993A469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0" name="Text Box 1">
          <a:extLst>
            <a:ext uri="{FF2B5EF4-FFF2-40B4-BE49-F238E27FC236}">
              <a16:creationId xmlns:a16="http://schemas.microsoft.com/office/drawing/2014/main" id="{4FE10C89-BE03-488D-B311-0B81CC3423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01" name="Text Box 2">
          <a:extLst>
            <a:ext uri="{FF2B5EF4-FFF2-40B4-BE49-F238E27FC236}">
              <a16:creationId xmlns:a16="http://schemas.microsoft.com/office/drawing/2014/main" id="{E530E6EB-584D-4EAE-9EDC-5CA884531BA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2" name="Text Box 1">
          <a:extLst>
            <a:ext uri="{FF2B5EF4-FFF2-40B4-BE49-F238E27FC236}">
              <a16:creationId xmlns:a16="http://schemas.microsoft.com/office/drawing/2014/main" id="{D50993D5-710E-47B4-84D4-7EA695384D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03" name="Text Box 2">
          <a:extLst>
            <a:ext uri="{FF2B5EF4-FFF2-40B4-BE49-F238E27FC236}">
              <a16:creationId xmlns:a16="http://schemas.microsoft.com/office/drawing/2014/main" id="{41A25B31-45EC-4786-978F-7887524E718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4" name="Text Box 1">
          <a:extLst>
            <a:ext uri="{FF2B5EF4-FFF2-40B4-BE49-F238E27FC236}">
              <a16:creationId xmlns:a16="http://schemas.microsoft.com/office/drawing/2014/main" id="{532CCAE2-B3AB-49B1-9C91-406A5A8937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05" name="Text Box 2">
          <a:extLst>
            <a:ext uri="{FF2B5EF4-FFF2-40B4-BE49-F238E27FC236}">
              <a16:creationId xmlns:a16="http://schemas.microsoft.com/office/drawing/2014/main" id="{389BE7AE-BC32-45D5-AFE6-A13E883901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6" name="Text Box 1">
          <a:extLst>
            <a:ext uri="{FF2B5EF4-FFF2-40B4-BE49-F238E27FC236}">
              <a16:creationId xmlns:a16="http://schemas.microsoft.com/office/drawing/2014/main" id="{9975F634-D35E-4294-BC85-354EBFEBDF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07" name="Text Box 2">
          <a:extLst>
            <a:ext uri="{FF2B5EF4-FFF2-40B4-BE49-F238E27FC236}">
              <a16:creationId xmlns:a16="http://schemas.microsoft.com/office/drawing/2014/main" id="{40F79FCD-6DFD-4ECE-A327-1229BD6730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08" name="Text Box 1">
          <a:extLst>
            <a:ext uri="{FF2B5EF4-FFF2-40B4-BE49-F238E27FC236}">
              <a16:creationId xmlns:a16="http://schemas.microsoft.com/office/drawing/2014/main" id="{EC9E1E59-ADB5-4EDD-95EF-C7C18441D1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09" name="Text Box 2">
          <a:extLst>
            <a:ext uri="{FF2B5EF4-FFF2-40B4-BE49-F238E27FC236}">
              <a16:creationId xmlns:a16="http://schemas.microsoft.com/office/drawing/2014/main" id="{EB9C16A8-A0D5-41B5-B8A2-6D976C90E8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10" name="Text Box 1">
          <a:extLst>
            <a:ext uri="{FF2B5EF4-FFF2-40B4-BE49-F238E27FC236}">
              <a16:creationId xmlns:a16="http://schemas.microsoft.com/office/drawing/2014/main" id="{4408E95D-D110-40DF-9D7E-AC1AB30865E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1" name="Text Box 2">
          <a:extLst>
            <a:ext uri="{FF2B5EF4-FFF2-40B4-BE49-F238E27FC236}">
              <a16:creationId xmlns:a16="http://schemas.microsoft.com/office/drawing/2014/main" id="{D873829D-294B-4E6D-9A6D-9963AB64DF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12" name="Text Box 1">
          <a:extLst>
            <a:ext uri="{FF2B5EF4-FFF2-40B4-BE49-F238E27FC236}">
              <a16:creationId xmlns:a16="http://schemas.microsoft.com/office/drawing/2014/main" id="{FB8D0E75-F2F0-493D-A15F-B55D402355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3" name="Text Box 2">
          <a:extLst>
            <a:ext uri="{FF2B5EF4-FFF2-40B4-BE49-F238E27FC236}">
              <a16:creationId xmlns:a16="http://schemas.microsoft.com/office/drawing/2014/main" id="{86612E7C-23AC-488D-9069-1198BE17F9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14" name="Text Box 1">
          <a:extLst>
            <a:ext uri="{FF2B5EF4-FFF2-40B4-BE49-F238E27FC236}">
              <a16:creationId xmlns:a16="http://schemas.microsoft.com/office/drawing/2014/main" id="{307392B9-0F42-4CB3-868F-7A40721AE22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5" name="Text Box 2">
          <a:extLst>
            <a:ext uri="{FF2B5EF4-FFF2-40B4-BE49-F238E27FC236}">
              <a16:creationId xmlns:a16="http://schemas.microsoft.com/office/drawing/2014/main" id="{5D008120-295D-4F17-9161-6054B08159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16" name="Text Box 1">
          <a:extLst>
            <a:ext uri="{FF2B5EF4-FFF2-40B4-BE49-F238E27FC236}">
              <a16:creationId xmlns:a16="http://schemas.microsoft.com/office/drawing/2014/main" id="{07785E95-D19C-4E7A-83AE-CCB9EFA710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7" name="Text Box 2">
          <a:extLst>
            <a:ext uri="{FF2B5EF4-FFF2-40B4-BE49-F238E27FC236}">
              <a16:creationId xmlns:a16="http://schemas.microsoft.com/office/drawing/2014/main" id="{710AD40E-A17E-4B8A-B4D6-E81F2D119F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18" name="Text Box 1">
          <a:extLst>
            <a:ext uri="{FF2B5EF4-FFF2-40B4-BE49-F238E27FC236}">
              <a16:creationId xmlns:a16="http://schemas.microsoft.com/office/drawing/2014/main" id="{E129596D-F4B4-4B00-9C5E-44E80A27CD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19" name="Text Box 2">
          <a:extLst>
            <a:ext uri="{FF2B5EF4-FFF2-40B4-BE49-F238E27FC236}">
              <a16:creationId xmlns:a16="http://schemas.microsoft.com/office/drawing/2014/main" id="{638CEBFA-3CE7-487F-99BD-5F17510D0C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0" name="Text Box 1">
          <a:extLst>
            <a:ext uri="{FF2B5EF4-FFF2-40B4-BE49-F238E27FC236}">
              <a16:creationId xmlns:a16="http://schemas.microsoft.com/office/drawing/2014/main" id="{62C6542B-10BD-41E6-BBB0-FE1B5720E8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21" name="Text Box 2">
          <a:extLst>
            <a:ext uri="{FF2B5EF4-FFF2-40B4-BE49-F238E27FC236}">
              <a16:creationId xmlns:a16="http://schemas.microsoft.com/office/drawing/2014/main" id="{3EC4FB9E-A332-46B1-9DB8-48FC6F0ACD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2" name="Text Box 1">
          <a:extLst>
            <a:ext uri="{FF2B5EF4-FFF2-40B4-BE49-F238E27FC236}">
              <a16:creationId xmlns:a16="http://schemas.microsoft.com/office/drawing/2014/main" id="{9B70521E-80ED-4741-AE25-97E0AA4825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23" name="Text Box 2">
          <a:extLst>
            <a:ext uri="{FF2B5EF4-FFF2-40B4-BE49-F238E27FC236}">
              <a16:creationId xmlns:a16="http://schemas.microsoft.com/office/drawing/2014/main" id="{E89CA352-42D6-49A0-BE57-7D22A290119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4" name="Text Box 1">
          <a:extLst>
            <a:ext uri="{FF2B5EF4-FFF2-40B4-BE49-F238E27FC236}">
              <a16:creationId xmlns:a16="http://schemas.microsoft.com/office/drawing/2014/main" id="{0943DE83-EA7A-40FA-B8EF-613B87531F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25" name="Text Box 2">
          <a:extLst>
            <a:ext uri="{FF2B5EF4-FFF2-40B4-BE49-F238E27FC236}">
              <a16:creationId xmlns:a16="http://schemas.microsoft.com/office/drawing/2014/main" id="{1527E25C-1CA3-4B81-9086-1231E1CC9C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6" name="Text Box 1">
          <a:extLst>
            <a:ext uri="{FF2B5EF4-FFF2-40B4-BE49-F238E27FC236}">
              <a16:creationId xmlns:a16="http://schemas.microsoft.com/office/drawing/2014/main" id="{4281A7EB-6D45-4903-B77C-D9D94241AC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27" name="Text Box 2">
          <a:extLst>
            <a:ext uri="{FF2B5EF4-FFF2-40B4-BE49-F238E27FC236}">
              <a16:creationId xmlns:a16="http://schemas.microsoft.com/office/drawing/2014/main" id="{6C76DAA6-0028-46D9-8999-DB4FF471C0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28" name="Text Box 1">
          <a:extLst>
            <a:ext uri="{FF2B5EF4-FFF2-40B4-BE49-F238E27FC236}">
              <a16:creationId xmlns:a16="http://schemas.microsoft.com/office/drawing/2014/main" id="{B68E22EC-2943-4872-9A13-78CA24153E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29" name="Text Box 2">
          <a:extLst>
            <a:ext uri="{FF2B5EF4-FFF2-40B4-BE49-F238E27FC236}">
              <a16:creationId xmlns:a16="http://schemas.microsoft.com/office/drawing/2014/main" id="{08772C1D-6A99-4F0E-A3A4-1D8BBCE836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30" name="Text Box 1">
          <a:extLst>
            <a:ext uri="{FF2B5EF4-FFF2-40B4-BE49-F238E27FC236}">
              <a16:creationId xmlns:a16="http://schemas.microsoft.com/office/drawing/2014/main" id="{034A80A0-FD09-4A44-8853-840A7179C5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1" name="Text Box 2">
          <a:extLst>
            <a:ext uri="{FF2B5EF4-FFF2-40B4-BE49-F238E27FC236}">
              <a16:creationId xmlns:a16="http://schemas.microsoft.com/office/drawing/2014/main" id="{235E4B59-19A8-4C7B-92C6-441DA9C4C7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32" name="Text Box 1">
          <a:extLst>
            <a:ext uri="{FF2B5EF4-FFF2-40B4-BE49-F238E27FC236}">
              <a16:creationId xmlns:a16="http://schemas.microsoft.com/office/drawing/2014/main" id="{2980C1A1-8AE5-4B37-8AF9-DEFECB62675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3" name="Text Box 2">
          <a:extLst>
            <a:ext uri="{FF2B5EF4-FFF2-40B4-BE49-F238E27FC236}">
              <a16:creationId xmlns:a16="http://schemas.microsoft.com/office/drawing/2014/main" id="{8BF6377A-8C91-47BE-B674-70866E3F39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34" name="Text Box 1">
          <a:extLst>
            <a:ext uri="{FF2B5EF4-FFF2-40B4-BE49-F238E27FC236}">
              <a16:creationId xmlns:a16="http://schemas.microsoft.com/office/drawing/2014/main" id="{74857A03-D84E-41D2-BCAD-8B76E42923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5" name="Text Box 2">
          <a:extLst>
            <a:ext uri="{FF2B5EF4-FFF2-40B4-BE49-F238E27FC236}">
              <a16:creationId xmlns:a16="http://schemas.microsoft.com/office/drawing/2014/main" id="{FA029EA3-C214-4E7C-9A81-AE191687E2E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36" name="Text Box 1">
          <a:extLst>
            <a:ext uri="{FF2B5EF4-FFF2-40B4-BE49-F238E27FC236}">
              <a16:creationId xmlns:a16="http://schemas.microsoft.com/office/drawing/2014/main" id="{45529D0B-7253-44F1-9837-CBCF9EC048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7" name="Text Box 2">
          <a:extLst>
            <a:ext uri="{FF2B5EF4-FFF2-40B4-BE49-F238E27FC236}">
              <a16:creationId xmlns:a16="http://schemas.microsoft.com/office/drawing/2014/main" id="{AD913443-0363-4630-8832-D3335799D76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38" name="Text Box 1">
          <a:extLst>
            <a:ext uri="{FF2B5EF4-FFF2-40B4-BE49-F238E27FC236}">
              <a16:creationId xmlns:a16="http://schemas.microsoft.com/office/drawing/2014/main" id="{1F3A2E00-9D71-441A-A903-9E8E0148BB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39" name="Text Box 2">
          <a:extLst>
            <a:ext uri="{FF2B5EF4-FFF2-40B4-BE49-F238E27FC236}">
              <a16:creationId xmlns:a16="http://schemas.microsoft.com/office/drawing/2014/main" id="{129C0DE7-6BA0-40C9-8674-8E5D17EB2D2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0" name="Text Box 1">
          <a:extLst>
            <a:ext uri="{FF2B5EF4-FFF2-40B4-BE49-F238E27FC236}">
              <a16:creationId xmlns:a16="http://schemas.microsoft.com/office/drawing/2014/main" id="{6FDE6FE3-8DDF-4388-90C7-A1E8C3F6D4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41" name="Text Box 2">
          <a:extLst>
            <a:ext uri="{FF2B5EF4-FFF2-40B4-BE49-F238E27FC236}">
              <a16:creationId xmlns:a16="http://schemas.microsoft.com/office/drawing/2014/main" id="{736798F7-3DA0-4DBF-AABA-2D28074C852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2" name="Text Box 1">
          <a:extLst>
            <a:ext uri="{FF2B5EF4-FFF2-40B4-BE49-F238E27FC236}">
              <a16:creationId xmlns:a16="http://schemas.microsoft.com/office/drawing/2014/main" id="{87F703F0-4732-409E-A6F7-B7AF0729E7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43" name="Text Box 2">
          <a:extLst>
            <a:ext uri="{FF2B5EF4-FFF2-40B4-BE49-F238E27FC236}">
              <a16:creationId xmlns:a16="http://schemas.microsoft.com/office/drawing/2014/main" id="{29016169-4C04-4952-B5BC-37315C6771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4" name="Text Box 1">
          <a:extLst>
            <a:ext uri="{FF2B5EF4-FFF2-40B4-BE49-F238E27FC236}">
              <a16:creationId xmlns:a16="http://schemas.microsoft.com/office/drawing/2014/main" id="{5CB11B74-F2D9-47F1-88B5-6FD3080C4D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45" name="Text Box 2">
          <a:extLst>
            <a:ext uri="{FF2B5EF4-FFF2-40B4-BE49-F238E27FC236}">
              <a16:creationId xmlns:a16="http://schemas.microsoft.com/office/drawing/2014/main" id="{E3E6AA63-2F0D-4C50-B667-91DDDF93048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6" name="Text Box 1">
          <a:extLst>
            <a:ext uri="{FF2B5EF4-FFF2-40B4-BE49-F238E27FC236}">
              <a16:creationId xmlns:a16="http://schemas.microsoft.com/office/drawing/2014/main" id="{1DC29D8F-5F78-46A3-AE67-5F7B06AFAC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47" name="Text Box 2">
          <a:extLst>
            <a:ext uri="{FF2B5EF4-FFF2-40B4-BE49-F238E27FC236}">
              <a16:creationId xmlns:a16="http://schemas.microsoft.com/office/drawing/2014/main" id="{0BC65700-80AB-46C8-A454-FAB8498C2F9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48" name="Text Box 1">
          <a:extLst>
            <a:ext uri="{FF2B5EF4-FFF2-40B4-BE49-F238E27FC236}">
              <a16:creationId xmlns:a16="http://schemas.microsoft.com/office/drawing/2014/main" id="{A603B8FD-D2F4-4882-BC05-C46519612D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49" name="Text Box 2">
          <a:extLst>
            <a:ext uri="{FF2B5EF4-FFF2-40B4-BE49-F238E27FC236}">
              <a16:creationId xmlns:a16="http://schemas.microsoft.com/office/drawing/2014/main" id="{FB3BB5E1-5414-4757-82C2-999D0827C6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50" name="Text Box 1">
          <a:extLst>
            <a:ext uri="{FF2B5EF4-FFF2-40B4-BE49-F238E27FC236}">
              <a16:creationId xmlns:a16="http://schemas.microsoft.com/office/drawing/2014/main" id="{6EA0D34D-6D98-4266-A798-3C59779601C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1" name="Text Box 2">
          <a:extLst>
            <a:ext uri="{FF2B5EF4-FFF2-40B4-BE49-F238E27FC236}">
              <a16:creationId xmlns:a16="http://schemas.microsoft.com/office/drawing/2014/main" id="{E4F05BD3-956C-440F-9504-5C76B11A3F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52" name="Text Box 1">
          <a:extLst>
            <a:ext uri="{FF2B5EF4-FFF2-40B4-BE49-F238E27FC236}">
              <a16:creationId xmlns:a16="http://schemas.microsoft.com/office/drawing/2014/main" id="{0C427878-2A80-4907-A31B-7F21B629F8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3" name="Text Box 2">
          <a:extLst>
            <a:ext uri="{FF2B5EF4-FFF2-40B4-BE49-F238E27FC236}">
              <a16:creationId xmlns:a16="http://schemas.microsoft.com/office/drawing/2014/main" id="{E5A314B8-CEF2-4510-BD54-50961930037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54" name="Text Box 1">
          <a:extLst>
            <a:ext uri="{FF2B5EF4-FFF2-40B4-BE49-F238E27FC236}">
              <a16:creationId xmlns:a16="http://schemas.microsoft.com/office/drawing/2014/main" id="{B6228149-2531-401A-A3AE-964529CEAA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5" name="Text Box 2">
          <a:extLst>
            <a:ext uri="{FF2B5EF4-FFF2-40B4-BE49-F238E27FC236}">
              <a16:creationId xmlns:a16="http://schemas.microsoft.com/office/drawing/2014/main" id="{BD091CB4-88BB-40FB-B4D9-322648F804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56" name="Text Box 1">
          <a:extLst>
            <a:ext uri="{FF2B5EF4-FFF2-40B4-BE49-F238E27FC236}">
              <a16:creationId xmlns:a16="http://schemas.microsoft.com/office/drawing/2014/main" id="{3C1DCC53-2DF9-4547-A64D-8D27B134F0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7" name="Text Box 2">
          <a:extLst>
            <a:ext uri="{FF2B5EF4-FFF2-40B4-BE49-F238E27FC236}">
              <a16:creationId xmlns:a16="http://schemas.microsoft.com/office/drawing/2014/main" id="{E77C3AC5-ACCE-45A0-848C-03E9DC39CE9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58" name="Text Box 1">
          <a:extLst>
            <a:ext uri="{FF2B5EF4-FFF2-40B4-BE49-F238E27FC236}">
              <a16:creationId xmlns:a16="http://schemas.microsoft.com/office/drawing/2014/main" id="{DAD2DBC0-C070-4185-9466-E9C8BEE2B3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59" name="Text Box 2">
          <a:extLst>
            <a:ext uri="{FF2B5EF4-FFF2-40B4-BE49-F238E27FC236}">
              <a16:creationId xmlns:a16="http://schemas.microsoft.com/office/drawing/2014/main" id="{FD8D9C66-ABD6-472D-B546-AEE8D243EA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0" name="Text Box 1">
          <a:extLst>
            <a:ext uri="{FF2B5EF4-FFF2-40B4-BE49-F238E27FC236}">
              <a16:creationId xmlns:a16="http://schemas.microsoft.com/office/drawing/2014/main" id="{682F847C-F57F-4C2B-A028-E8EA095C80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61" name="Text Box 2">
          <a:extLst>
            <a:ext uri="{FF2B5EF4-FFF2-40B4-BE49-F238E27FC236}">
              <a16:creationId xmlns:a16="http://schemas.microsoft.com/office/drawing/2014/main" id="{9BA29B7C-45BD-43E0-8925-7AE46426AF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2" name="Text Box 1">
          <a:extLst>
            <a:ext uri="{FF2B5EF4-FFF2-40B4-BE49-F238E27FC236}">
              <a16:creationId xmlns:a16="http://schemas.microsoft.com/office/drawing/2014/main" id="{225088E0-4D50-4328-A096-D29E48F37B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63" name="Text Box 2">
          <a:extLst>
            <a:ext uri="{FF2B5EF4-FFF2-40B4-BE49-F238E27FC236}">
              <a16:creationId xmlns:a16="http://schemas.microsoft.com/office/drawing/2014/main" id="{65D26782-3A80-4417-ADD6-6201DC9BBA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4" name="Text Box 1">
          <a:extLst>
            <a:ext uri="{FF2B5EF4-FFF2-40B4-BE49-F238E27FC236}">
              <a16:creationId xmlns:a16="http://schemas.microsoft.com/office/drawing/2014/main" id="{E30717E0-315F-4A91-9F04-22248A1B4C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65" name="Text Box 2">
          <a:extLst>
            <a:ext uri="{FF2B5EF4-FFF2-40B4-BE49-F238E27FC236}">
              <a16:creationId xmlns:a16="http://schemas.microsoft.com/office/drawing/2014/main" id="{E3FCEC6B-E1F5-4910-B954-FECE88EAA8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6" name="Text Box 1">
          <a:extLst>
            <a:ext uri="{FF2B5EF4-FFF2-40B4-BE49-F238E27FC236}">
              <a16:creationId xmlns:a16="http://schemas.microsoft.com/office/drawing/2014/main" id="{90CDE7C6-CBA7-4971-9DD7-9FF0908632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67" name="Text Box 2">
          <a:extLst>
            <a:ext uri="{FF2B5EF4-FFF2-40B4-BE49-F238E27FC236}">
              <a16:creationId xmlns:a16="http://schemas.microsoft.com/office/drawing/2014/main" id="{5F01FB4B-270A-47DB-B468-3BCED110E6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68" name="Text Box 1">
          <a:extLst>
            <a:ext uri="{FF2B5EF4-FFF2-40B4-BE49-F238E27FC236}">
              <a16:creationId xmlns:a16="http://schemas.microsoft.com/office/drawing/2014/main" id="{A4BAA4BD-C481-44EF-8206-FDF17AD662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69" name="Text Box 2">
          <a:extLst>
            <a:ext uri="{FF2B5EF4-FFF2-40B4-BE49-F238E27FC236}">
              <a16:creationId xmlns:a16="http://schemas.microsoft.com/office/drawing/2014/main" id="{AF188AF9-10AD-40E7-A8E7-1778E5F765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70" name="Text Box 1">
          <a:extLst>
            <a:ext uri="{FF2B5EF4-FFF2-40B4-BE49-F238E27FC236}">
              <a16:creationId xmlns:a16="http://schemas.microsoft.com/office/drawing/2014/main" id="{74F19CE2-FF9A-49AD-9CC3-7D49B23FBE7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1" name="Text Box 2">
          <a:extLst>
            <a:ext uri="{FF2B5EF4-FFF2-40B4-BE49-F238E27FC236}">
              <a16:creationId xmlns:a16="http://schemas.microsoft.com/office/drawing/2014/main" id="{0EB0FE99-AFA1-4434-A0D2-8267A6EA82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72" name="Text Box 1">
          <a:extLst>
            <a:ext uri="{FF2B5EF4-FFF2-40B4-BE49-F238E27FC236}">
              <a16:creationId xmlns:a16="http://schemas.microsoft.com/office/drawing/2014/main" id="{7299193A-EFC5-4EC7-9626-B63FE54D89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3" name="Text Box 2">
          <a:extLst>
            <a:ext uri="{FF2B5EF4-FFF2-40B4-BE49-F238E27FC236}">
              <a16:creationId xmlns:a16="http://schemas.microsoft.com/office/drawing/2014/main" id="{70259857-95BD-4AAA-9D0B-9CF0B57A08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74" name="Text Box 1">
          <a:extLst>
            <a:ext uri="{FF2B5EF4-FFF2-40B4-BE49-F238E27FC236}">
              <a16:creationId xmlns:a16="http://schemas.microsoft.com/office/drawing/2014/main" id="{8E77BF84-9FC4-4A39-9980-8806153520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5" name="Text Box 2">
          <a:extLst>
            <a:ext uri="{FF2B5EF4-FFF2-40B4-BE49-F238E27FC236}">
              <a16:creationId xmlns:a16="http://schemas.microsoft.com/office/drawing/2014/main" id="{0AB1D0DF-DEFB-4878-8945-FAC066B586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76" name="Text Box 1">
          <a:extLst>
            <a:ext uri="{FF2B5EF4-FFF2-40B4-BE49-F238E27FC236}">
              <a16:creationId xmlns:a16="http://schemas.microsoft.com/office/drawing/2014/main" id="{5BFBE2F1-C937-4FD3-8DCC-E9A534CBDE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7" name="Text Box 2">
          <a:extLst>
            <a:ext uri="{FF2B5EF4-FFF2-40B4-BE49-F238E27FC236}">
              <a16:creationId xmlns:a16="http://schemas.microsoft.com/office/drawing/2014/main" id="{90BEEDEF-ED3E-40A0-A477-6267A6ED245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78" name="Text Box 1">
          <a:extLst>
            <a:ext uri="{FF2B5EF4-FFF2-40B4-BE49-F238E27FC236}">
              <a16:creationId xmlns:a16="http://schemas.microsoft.com/office/drawing/2014/main" id="{C9D2D169-0BDF-4BD1-9C33-55B76E58A3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79" name="Text Box 2">
          <a:extLst>
            <a:ext uri="{FF2B5EF4-FFF2-40B4-BE49-F238E27FC236}">
              <a16:creationId xmlns:a16="http://schemas.microsoft.com/office/drawing/2014/main" id="{B937F787-DB89-4F3C-848F-98861CBFFCE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0" name="Text Box 1">
          <a:extLst>
            <a:ext uri="{FF2B5EF4-FFF2-40B4-BE49-F238E27FC236}">
              <a16:creationId xmlns:a16="http://schemas.microsoft.com/office/drawing/2014/main" id="{1CEBD1D2-F017-4963-92EA-A84E0EAA7FC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81" name="Text Box 2">
          <a:extLst>
            <a:ext uri="{FF2B5EF4-FFF2-40B4-BE49-F238E27FC236}">
              <a16:creationId xmlns:a16="http://schemas.microsoft.com/office/drawing/2014/main" id="{24026273-288A-461E-AC56-3060934965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2" name="Text Box 1">
          <a:extLst>
            <a:ext uri="{FF2B5EF4-FFF2-40B4-BE49-F238E27FC236}">
              <a16:creationId xmlns:a16="http://schemas.microsoft.com/office/drawing/2014/main" id="{A4C731ED-7FBE-4B8C-9CEA-0259CF5E312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83" name="Text Box 2">
          <a:extLst>
            <a:ext uri="{FF2B5EF4-FFF2-40B4-BE49-F238E27FC236}">
              <a16:creationId xmlns:a16="http://schemas.microsoft.com/office/drawing/2014/main" id="{D995F1EC-2B83-400F-AC60-5D11D8C121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4" name="Text Box 1">
          <a:extLst>
            <a:ext uri="{FF2B5EF4-FFF2-40B4-BE49-F238E27FC236}">
              <a16:creationId xmlns:a16="http://schemas.microsoft.com/office/drawing/2014/main" id="{F4E32486-193A-4C2F-9FF6-54B7AB82A00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85" name="Text Box 2">
          <a:extLst>
            <a:ext uri="{FF2B5EF4-FFF2-40B4-BE49-F238E27FC236}">
              <a16:creationId xmlns:a16="http://schemas.microsoft.com/office/drawing/2014/main" id="{CB4C3B8E-9C3E-4D85-B704-65C1444AD0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6" name="Text Box 1">
          <a:extLst>
            <a:ext uri="{FF2B5EF4-FFF2-40B4-BE49-F238E27FC236}">
              <a16:creationId xmlns:a16="http://schemas.microsoft.com/office/drawing/2014/main" id="{1C4D43C5-93E4-4422-A3AE-45D1FDBBA3C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87" name="Text Box 2">
          <a:extLst>
            <a:ext uri="{FF2B5EF4-FFF2-40B4-BE49-F238E27FC236}">
              <a16:creationId xmlns:a16="http://schemas.microsoft.com/office/drawing/2014/main" id="{7B3C216D-2331-457A-86BC-EE7BD1F12B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88" name="Text Box 1">
          <a:extLst>
            <a:ext uri="{FF2B5EF4-FFF2-40B4-BE49-F238E27FC236}">
              <a16:creationId xmlns:a16="http://schemas.microsoft.com/office/drawing/2014/main" id="{BCB50CFE-A1CF-43F4-B6A7-BF7322480A3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89" name="Text Box 2">
          <a:extLst>
            <a:ext uri="{FF2B5EF4-FFF2-40B4-BE49-F238E27FC236}">
              <a16:creationId xmlns:a16="http://schemas.microsoft.com/office/drawing/2014/main" id="{B46D5A90-6096-42D3-A78B-B97920D1B1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90" name="Text Box 1">
          <a:extLst>
            <a:ext uri="{FF2B5EF4-FFF2-40B4-BE49-F238E27FC236}">
              <a16:creationId xmlns:a16="http://schemas.microsoft.com/office/drawing/2014/main" id="{22397FF0-E1B7-4EE1-B636-93E1F7EF11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1" name="Text Box 2">
          <a:extLst>
            <a:ext uri="{FF2B5EF4-FFF2-40B4-BE49-F238E27FC236}">
              <a16:creationId xmlns:a16="http://schemas.microsoft.com/office/drawing/2014/main" id="{B91AB7B9-EAE2-4AC6-8148-8933F7AEB65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92" name="Text Box 1">
          <a:extLst>
            <a:ext uri="{FF2B5EF4-FFF2-40B4-BE49-F238E27FC236}">
              <a16:creationId xmlns:a16="http://schemas.microsoft.com/office/drawing/2014/main" id="{403B3CEC-B063-4C3C-95AD-64AB91685D2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3" name="Text Box 2">
          <a:extLst>
            <a:ext uri="{FF2B5EF4-FFF2-40B4-BE49-F238E27FC236}">
              <a16:creationId xmlns:a16="http://schemas.microsoft.com/office/drawing/2014/main" id="{0B56DD2A-B2B6-48B6-8AD5-BB01CCF9FC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94" name="Text Box 1">
          <a:extLst>
            <a:ext uri="{FF2B5EF4-FFF2-40B4-BE49-F238E27FC236}">
              <a16:creationId xmlns:a16="http://schemas.microsoft.com/office/drawing/2014/main" id="{2AD84958-DB43-4D7B-BD99-D9556C64530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5" name="Text Box 2">
          <a:extLst>
            <a:ext uri="{FF2B5EF4-FFF2-40B4-BE49-F238E27FC236}">
              <a16:creationId xmlns:a16="http://schemas.microsoft.com/office/drawing/2014/main" id="{293E484C-6FA8-4678-BBE2-92FD63EA9CE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96" name="Text Box 1">
          <a:extLst>
            <a:ext uri="{FF2B5EF4-FFF2-40B4-BE49-F238E27FC236}">
              <a16:creationId xmlns:a16="http://schemas.microsoft.com/office/drawing/2014/main" id="{0F6FA6A2-2CD9-4CE8-BBF1-EA5BF40354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7" name="Text Box 2">
          <a:extLst>
            <a:ext uri="{FF2B5EF4-FFF2-40B4-BE49-F238E27FC236}">
              <a16:creationId xmlns:a16="http://schemas.microsoft.com/office/drawing/2014/main" id="{2B81F282-77E1-4F7F-9056-97394DAC06D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1998" name="Text Box 1">
          <a:extLst>
            <a:ext uri="{FF2B5EF4-FFF2-40B4-BE49-F238E27FC236}">
              <a16:creationId xmlns:a16="http://schemas.microsoft.com/office/drawing/2014/main" id="{8AB15DAC-56E4-4414-BE1E-9D3D1D9FA7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1999" name="Text Box 2">
          <a:extLst>
            <a:ext uri="{FF2B5EF4-FFF2-40B4-BE49-F238E27FC236}">
              <a16:creationId xmlns:a16="http://schemas.microsoft.com/office/drawing/2014/main" id="{00854120-673C-42FF-B0D2-E0E4B5957F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0" name="Text Box 1">
          <a:extLst>
            <a:ext uri="{FF2B5EF4-FFF2-40B4-BE49-F238E27FC236}">
              <a16:creationId xmlns:a16="http://schemas.microsoft.com/office/drawing/2014/main" id="{00204195-A2AB-4DA6-8DE1-6C1816D6BC3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01" name="Text Box 2">
          <a:extLst>
            <a:ext uri="{FF2B5EF4-FFF2-40B4-BE49-F238E27FC236}">
              <a16:creationId xmlns:a16="http://schemas.microsoft.com/office/drawing/2014/main" id="{CBF48591-38FC-45F8-BE8E-D7DB839CBB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2" name="Text Box 1">
          <a:extLst>
            <a:ext uri="{FF2B5EF4-FFF2-40B4-BE49-F238E27FC236}">
              <a16:creationId xmlns:a16="http://schemas.microsoft.com/office/drawing/2014/main" id="{DC47CF9B-E5DA-41E3-8D16-6B369AD636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03" name="Text Box 2">
          <a:extLst>
            <a:ext uri="{FF2B5EF4-FFF2-40B4-BE49-F238E27FC236}">
              <a16:creationId xmlns:a16="http://schemas.microsoft.com/office/drawing/2014/main" id="{0C4B51D6-144E-461C-B0E5-63F9586807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4" name="Text Box 1">
          <a:extLst>
            <a:ext uri="{FF2B5EF4-FFF2-40B4-BE49-F238E27FC236}">
              <a16:creationId xmlns:a16="http://schemas.microsoft.com/office/drawing/2014/main" id="{1A3DB361-E175-432C-8E40-724744C4E9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05" name="Text Box 2">
          <a:extLst>
            <a:ext uri="{FF2B5EF4-FFF2-40B4-BE49-F238E27FC236}">
              <a16:creationId xmlns:a16="http://schemas.microsoft.com/office/drawing/2014/main" id="{8E2295A8-B399-409D-854A-882E8A304D2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6" name="Text Box 1">
          <a:extLst>
            <a:ext uri="{FF2B5EF4-FFF2-40B4-BE49-F238E27FC236}">
              <a16:creationId xmlns:a16="http://schemas.microsoft.com/office/drawing/2014/main" id="{FF45C80E-1874-41A1-8D7B-64330AA02D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07" name="Text Box 2">
          <a:extLst>
            <a:ext uri="{FF2B5EF4-FFF2-40B4-BE49-F238E27FC236}">
              <a16:creationId xmlns:a16="http://schemas.microsoft.com/office/drawing/2014/main" id="{9A82BDF3-C883-4CFE-A47B-7D3F42ECC5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08" name="Text Box 1">
          <a:extLst>
            <a:ext uri="{FF2B5EF4-FFF2-40B4-BE49-F238E27FC236}">
              <a16:creationId xmlns:a16="http://schemas.microsoft.com/office/drawing/2014/main" id="{4F731C91-A0BE-4BBF-99A6-0464C21CE1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09" name="Text Box 2">
          <a:extLst>
            <a:ext uri="{FF2B5EF4-FFF2-40B4-BE49-F238E27FC236}">
              <a16:creationId xmlns:a16="http://schemas.microsoft.com/office/drawing/2014/main" id="{C637E0EA-B417-46B1-8273-A804FF3383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10" name="Text Box 1">
          <a:extLst>
            <a:ext uri="{FF2B5EF4-FFF2-40B4-BE49-F238E27FC236}">
              <a16:creationId xmlns:a16="http://schemas.microsoft.com/office/drawing/2014/main" id="{8C9E482C-7A83-4645-BDFB-7CF2F24E2B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1" name="Text Box 2">
          <a:extLst>
            <a:ext uri="{FF2B5EF4-FFF2-40B4-BE49-F238E27FC236}">
              <a16:creationId xmlns:a16="http://schemas.microsoft.com/office/drawing/2014/main" id="{8E7AD928-BEE1-41B5-A4EC-CF75C94C09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12" name="Text Box 1">
          <a:extLst>
            <a:ext uri="{FF2B5EF4-FFF2-40B4-BE49-F238E27FC236}">
              <a16:creationId xmlns:a16="http://schemas.microsoft.com/office/drawing/2014/main" id="{9397CD7E-3B36-4435-BFBE-AF9C80E579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3" name="Text Box 2">
          <a:extLst>
            <a:ext uri="{FF2B5EF4-FFF2-40B4-BE49-F238E27FC236}">
              <a16:creationId xmlns:a16="http://schemas.microsoft.com/office/drawing/2014/main" id="{DBA759DE-C9F4-45AF-9730-80C5FC5BF10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14" name="Text Box 1">
          <a:extLst>
            <a:ext uri="{FF2B5EF4-FFF2-40B4-BE49-F238E27FC236}">
              <a16:creationId xmlns:a16="http://schemas.microsoft.com/office/drawing/2014/main" id="{321FCD81-3E46-4698-81F4-9ACB07162D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5" name="Text Box 2">
          <a:extLst>
            <a:ext uri="{FF2B5EF4-FFF2-40B4-BE49-F238E27FC236}">
              <a16:creationId xmlns:a16="http://schemas.microsoft.com/office/drawing/2014/main" id="{902F1608-CF35-447A-9316-B0AA794C632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16" name="Text Box 1">
          <a:extLst>
            <a:ext uri="{FF2B5EF4-FFF2-40B4-BE49-F238E27FC236}">
              <a16:creationId xmlns:a16="http://schemas.microsoft.com/office/drawing/2014/main" id="{EC1C1A07-B2CD-46C7-B956-55E051F71A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7" name="Text Box 2">
          <a:extLst>
            <a:ext uri="{FF2B5EF4-FFF2-40B4-BE49-F238E27FC236}">
              <a16:creationId xmlns:a16="http://schemas.microsoft.com/office/drawing/2014/main" id="{AB9F0712-2B3D-436F-B075-F28EE17E83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18" name="Text Box 1">
          <a:extLst>
            <a:ext uri="{FF2B5EF4-FFF2-40B4-BE49-F238E27FC236}">
              <a16:creationId xmlns:a16="http://schemas.microsoft.com/office/drawing/2014/main" id="{C6EDED70-1A8D-471D-8F3F-964B470901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19" name="Text Box 2">
          <a:extLst>
            <a:ext uri="{FF2B5EF4-FFF2-40B4-BE49-F238E27FC236}">
              <a16:creationId xmlns:a16="http://schemas.microsoft.com/office/drawing/2014/main" id="{B66F8D2B-5532-48E2-B5C4-29EF325DAFB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0" name="Text Box 1">
          <a:extLst>
            <a:ext uri="{FF2B5EF4-FFF2-40B4-BE49-F238E27FC236}">
              <a16:creationId xmlns:a16="http://schemas.microsoft.com/office/drawing/2014/main" id="{C82421BA-DED5-4D91-A837-B9217D228E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21" name="Text Box 2">
          <a:extLst>
            <a:ext uri="{FF2B5EF4-FFF2-40B4-BE49-F238E27FC236}">
              <a16:creationId xmlns:a16="http://schemas.microsoft.com/office/drawing/2014/main" id="{5150FEC5-AF0A-4CFF-BE8E-213C5E16FF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2" name="Text Box 1">
          <a:extLst>
            <a:ext uri="{FF2B5EF4-FFF2-40B4-BE49-F238E27FC236}">
              <a16:creationId xmlns:a16="http://schemas.microsoft.com/office/drawing/2014/main" id="{F32A9620-C4B8-4E81-A174-02C4171A727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23" name="Text Box 2">
          <a:extLst>
            <a:ext uri="{FF2B5EF4-FFF2-40B4-BE49-F238E27FC236}">
              <a16:creationId xmlns:a16="http://schemas.microsoft.com/office/drawing/2014/main" id="{6FF1453F-EFC8-4F44-A59D-5F09E5897B9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4" name="Text Box 1">
          <a:extLst>
            <a:ext uri="{FF2B5EF4-FFF2-40B4-BE49-F238E27FC236}">
              <a16:creationId xmlns:a16="http://schemas.microsoft.com/office/drawing/2014/main" id="{E6007BDD-7BCF-482E-A08B-BB5F2D566D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25" name="Text Box 2">
          <a:extLst>
            <a:ext uri="{FF2B5EF4-FFF2-40B4-BE49-F238E27FC236}">
              <a16:creationId xmlns:a16="http://schemas.microsoft.com/office/drawing/2014/main" id="{3B0ED281-F593-433B-8B80-A1593D2C60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6" name="Text Box 1">
          <a:extLst>
            <a:ext uri="{FF2B5EF4-FFF2-40B4-BE49-F238E27FC236}">
              <a16:creationId xmlns:a16="http://schemas.microsoft.com/office/drawing/2014/main" id="{3C74695A-036E-4B5A-B262-032843390C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27" name="Text Box 2">
          <a:extLst>
            <a:ext uri="{FF2B5EF4-FFF2-40B4-BE49-F238E27FC236}">
              <a16:creationId xmlns:a16="http://schemas.microsoft.com/office/drawing/2014/main" id="{7E92DD13-1BD6-4D8C-9B41-F8A57BB1E1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28" name="Text Box 1">
          <a:extLst>
            <a:ext uri="{FF2B5EF4-FFF2-40B4-BE49-F238E27FC236}">
              <a16:creationId xmlns:a16="http://schemas.microsoft.com/office/drawing/2014/main" id="{7305BDCC-48EE-4437-A7A5-EF1AF2056C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29" name="Text Box 2">
          <a:extLst>
            <a:ext uri="{FF2B5EF4-FFF2-40B4-BE49-F238E27FC236}">
              <a16:creationId xmlns:a16="http://schemas.microsoft.com/office/drawing/2014/main" id="{F8A20EF7-5E44-489A-9926-344399D9873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30" name="Text Box 1">
          <a:extLst>
            <a:ext uri="{FF2B5EF4-FFF2-40B4-BE49-F238E27FC236}">
              <a16:creationId xmlns:a16="http://schemas.microsoft.com/office/drawing/2014/main" id="{D90EB1CB-9B1A-4C24-9E04-684980C38CA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1" name="Text Box 2">
          <a:extLst>
            <a:ext uri="{FF2B5EF4-FFF2-40B4-BE49-F238E27FC236}">
              <a16:creationId xmlns:a16="http://schemas.microsoft.com/office/drawing/2014/main" id="{B397A02D-5901-44EC-9D0F-EDF9602A3C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32" name="Text Box 1">
          <a:extLst>
            <a:ext uri="{FF2B5EF4-FFF2-40B4-BE49-F238E27FC236}">
              <a16:creationId xmlns:a16="http://schemas.microsoft.com/office/drawing/2014/main" id="{11245A55-BF28-4A6C-9A28-F81D179793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3" name="Text Box 2">
          <a:extLst>
            <a:ext uri="{FF2B5EF4-FFF2-40B4-BE49-F238E27FC236}">
              <a16:creationId xmlns:a16="http://schemas.microsoft.com/office/drawing/2014/main" id="{0DBFA33C-E87E-4F6D-9633-08A6D8D844B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34" name="Text Box 1">
          <a:extLst>
            <a:ext uri="{FF2B5EF4-FFF2-40B4-BE49-F238E27FC236}">
              <a16:creationId xmlns:a16="http://schemas.microsoft.com/office/drawing/2014/main" id="{92C04FC0-DF05-4467-94F6-C1EC198B6C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5" name="Text Box 2">
          <a:extLst>
            <a:ext uri="{FF2B5EF4-FFF2-40B4-BE49-F238E27FC236}">
              <a16:creationId xmlns:a16="http://schemas.microsoft.com/office/drawing/2014/main" id="{1628426F-8D54-42F8-B1E9-14C461531A9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36" name="Text Box 1">
          <a:extLst>
            <a:ext uri="{FF2B5EF4-FFF2-40B4-BE49-F238E27FC236}">
              <a16:creationId xmlns:a16="http://schemas.microsoft.com/office/drawing/2014/main" id="{A7226488-A3E9-496D-AEB7-A2A01366AC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7" name="Text Box 2">
          <a:extLst>
            <a:ext uri="{FF2B5EF4-FFF2-40B4-BE49-F238E27FC236}">
              <a16:creationId xmlns:a16="http://schemas.microsoft.com/office/drawing/2014/main" id="{84CF60BC-90D7-48C8-92A1-74044D9D6F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38" name="Text Box 1">
          <a:extLst>
            <a:ext uri="{FF2B5EF4-FFF2-40B4-BE49-F238E27FC236}">
              <a16:creationId xmlns:a16="http://schemas.microsoft.com/office/drawing/2014/main" id="{4FD059DA-E1FF-4A9E-9378-7B91D9EA60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39" name="Text Box 2">
          <a:extLst>
            <a:ext uri="{FF2B5EF4-FFF2-40B4-BE49-F238E27FC236}">
              <a16:creationId xmlns:a16="http://schemas.microsoft.com/office/drawing/2014/main" id="{E386C1B5-5A5B-48F7-AE39-DA48404C10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0" name="Text Box 1">
          <a:extLst>
            <a:ext uri="{FF2B5EF4-FFF2-40B4-BE49-F238E27FC236}">
              <a16:creationId xmlns:a16="http://schemas.microsoft.com/office/drawing/2014/main" id="{03A286D0-16FA-430A-AA92-9E94B6D11E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41" name="Text Box 2">
          <a:extLst>
            <a:ext uri="{FF2B5EF4-FFF2-40B4-BE49-F238E27FC236}">
              <a16:creationId xmlns:a16="http://schemas.microsoft.com/office/drawing/2014/main" id="{70D4C7E4-481D-4ACA-8022-8F1FBBAA54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2" name="Text Box 1">
          <a:extLst>
            <a:ext uri="{FF2B5EF4-FFF2-40B4-BE49-F238E27FC236}">
              <a16:creationId xmlns:a16="http://schemas.microsoft.com/office/drawing/2014/main" id="{E2BC706C-9C1A-4C9A-9290-426C070F1C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43" name="Text Box 2">
          <a:extLst>
            <a:ext uri="{FF2B5EF4-FFF2-40B4-BE49-F238E27FC236}">
              <a16:creationId xmlns:a16="http://schemas.microsoft.com/office/drawing/2014/main" id="{19D4E1C8-F9E1-4095-ADE7-0BB0C282FA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4" name="Text Box 1">
          <a:extLst>
            <a:ext uri="{FF2B5EF4-FFF2-40B4-BE49-F238E27FC236}">
              <a16:creationId xmlns:a16="http://schemas.microsoft.com/office/drawing/2014/main" id="{76C994C4-13D9-462E-B3B0-E3C09B373E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45" name="Text Box 2">
          <a:extLst>
            <a:ext uri="{FF2B5EF4-FFF2-40B4-BE49-F238E27FC236}">
              <a16:creationId xmlns:a16="http://schemas.microsoft.com/office/drawing/2014/main" id="{79CE6E67-1674-43FE-9075-4118E762A4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6" name="Text Box 1">
          <a:extLst>
            <a:ext uri="{FF2B5EF4-FFF2-40B4-BE49-F238E27FC236}">
              <a16:creationId xmlns:a16="http://schemas.microsoft.com/office/drawing/2014/main" id="{6E15732C-6D33-4B75-A54B-ED5655C9A7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47" name="Text Box 2">
          <a:extLst>
            <a:ext uri="{FF2B5EF4-FFF2-40B4-BE49-F238E27FC236}">
              <a16:creationId xmlns:a16="http://schemas.microsoft.com/office/drawing/2014/main" id="{29CEA805-A160-4C4F-8CD0-39189BB441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48" name="Text Box 1">
          <a:extLst>
            <a:ext uri="{FF2B5EF4-FFF2-40B4-BE49-F238E27FC236}">
              <a16:creationId xmlns:a16="http://schemas.microsoft.com/office/drawing/2014/main" id="{32218AF2-F39F-47EE-9022-02C4F8C229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49" name="Text Box 2">
          <a:extLst>
            <a:ext uri="{FF2B5EF4-FFF2-40B4-BE49-F238E27FC236}">
              <a16:creationId xmlns:a16="http://schemas.microsoft.com/office/drawing/2014/main" id="{FC3D50EC-D03C-41BF-B34E-92BCCD5B3A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50" name="Text Box 1">
          <a:extLst>
            <a:ext uri="{FF2B5EF4-FFF2-40B4-BE49-F238E27FC236}">
              <a16:creationId xmlns:a16="http://schemas.microsoft.com/office/drawing/2014/main" id="{B254AF7B-10E6-488B-A6A5-4B32C37B84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1" name="Text Box 2">
          <a:extLst>
            <a:ext uri="{FF2B5EF4-FFF2-40B4-BE49-F238E27FC236}">
              <a16:creationId xmlns:a16="http://schemas.microsoft.com/office/drawing/2014/main" id="{4BFFB2B0-677B-42D2-9A58-D635DBC935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52" name="Text Box 1">
          <a:extLst>
            <a:ext uri="{FF2B5EF4-FFF2-40B4-BE49-F238E27FC236}">
              <a16:creationId xmlns:a16="http://schemas.microsoft.com/office/drawing/2014/main" id="{0457D903-ADFE-41BF-BA1C-E743BF536C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3" name="Text Box 2">
          <a:extLst>
            <a:ext uri="{FF2B5EF4-FFF2-40B4-BE49-F238E27FC236}">
              <a16:creationId xmlns:a16="http://schemas.microsoft.com/office/drawing/2014/main" id="{7C181FDC-ABB6-4CDC-A860-2C3C02C282F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54" name="Text Box 1">
          <a:extLst>
            <a:ext uri="{FF2B5EF4-FFF2-40B4-BE49-F238E27FC236}">
              <a16:creationId xmlns:a16="http://schemas.microsoft.com/office/drawing/2014/main" id="{E1605EE0-794A-4C08-96A1-0816A405C8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5" name="Text Box 2">
          <a:extLst>
            <a:ext uri="{FF2B5EF4-FFF2-40B4-BE49-F238E27FC236}">
              <a16:creationId xmlns:a16="http://schemas.microsoft.com/office/drawing/2014/main" id="{E3A0CF0D-A6FB-47D1-9D30-0D0247FA02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56" name="Text Box 1">
          <a:extLst>
            <a:ext uri="{FF2B5EF4-FFF2-40B4-BE49-F238E27FC236}">
              <a16:creationId xmlns:a16="http://schemas.microsoft.com/office/drawing/2014/main" id="{0C7BB2EC-931C-4402-A2A2-47E68B3A33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7" name="Text Box 2">
          <a:extLst>
            <a:ext uri="{FF2B5EF4-FFF2-40B4-BE49-F238E27FC236}">
              <a16:creationId xmlns:a16="http://schemas.microsoft.com/office/drawing/2014/main" id="{5F39BD06-B84D-4FFC-BFFF-24EDFD668C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58" name="Text Box 1">
          <a:extLst>
            <a:ext uri="{FF2B5EF4-FFF2-40B4-BE49-F238E27FC236}">
              <a16:creationId xmlns:a16="http://schemas.microsoft.com/office/drawing/2014/main" id="{D8B91C84-C30C-440F-9B60-A4D3F9E83D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59" name="Text Box 2">
          <a:extLst>
            <a:ext uri="{FF2B5EF4-FFF2-40B4-BE49-F238E27FC236}">
              <a16:creationId xmlns:a16="http://schemas.microsoft.com/office/drawing/2014/main" id="{39972934-EAB9-4713-9672-19446DD3EE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0" name="Text Box 1">
          <a:extLst>
            <a:ext uri="{FF2B5EF4-FFF2-40B4-BE49-F238E27FC236}">
              <a16:creationId xmlns:a16="http://schemas.microsoft.com/office/drawing/2014/main" id="{D44DAD52-9FFD-4D23-A2F0-66BCE00431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61" name="Text Box 2">
          <a:extLst>
            <a:ext uri="{FF2B5EF4-FFF2-40B4-BE49-F238E27FC236}">
              <a16:creationId xmlns:a16="http://schemas.microsoft.com/office/drawing/2014/main" id="{41CA6732-29B3-4F05-9DA0-FF46CD1C4F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2" name="Text Box 1">
          <a:extLst>
            <a:ext uri="{FF2B5EF4-FFF2-40B4-BE49-F238E27FC236}">
              <a16:creationId xmlns:a16="http://schemas.microsoft.com/office/drawing/2014/main" id="{3D604917-7E03-43F6-A285-731344F0BF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63" name="Text Box 2">
          <a:extLst>
            <a:ext uri="{FF2B5EF4-FFF2-40B4-BE49-F238E27FC236}">
              <a16:creationId xmlns:a16="http://schemas.microsoft.com/office/drawing/2014/main" id="{D7C34D72-B4CA-494B-AD13-3AF9D8BE24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4" name="Text Box 1">
          <a:extLst>
            <a:ext uri="{FF2B5EF4-FFF2-40B4-BE49-F238E27FC236}">
              <a16:creationId xmlns:a16="http://schemas.microsoft.com/office/drawing/2014/main" id="{D11FC508-BB94-4976-9842-1384829118D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65" name="Text Box 2">
          <a:extLst>
            <a:ext uri="{FF2B5EF4-FFF2-40B4-BE49-F238E27FC236}">
              <a16:creationId xmlns:a16="http://schemas.microsoft.com/office/drawing/2014/main" id="{F960760E-4C8B-47C7-8557-1E7F2BCA83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6" name="Text Box 1">
          <a:extLst>
            <a:ext uri="{FF2B5EF4-FFF2-40B4-BE49-F238E27FC236}">
              <a16:creationId xmlns:a16="http://schemas.microsoft.com/office/drawing/2014/main" id="{84BE1874-22C4-4ABD-BFD3-77C9CD5798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67" name="Text Box 2">
          <a:extLst>
            <a:ext uri="{FF2B5EF4-FFF2-40B4-BE49-F238E27FC236}">
              <a16:creationId xmlns:a16="http://schemas.microsoft.com/office/drawing/2014/main" id="{68C95199-DB33-4C24-841D-ADE7799724F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68" name="Text Box 1">
          <a:extLst>
            <a:ext uri="{FF2B5EF4-FFF2-40B4-BE49-F238E27FC236}">
              <a16:creationId xmlns:a16="http://schemas.microsoft.com/office/drawing/2014/main" id="{D2B12CA8-8F67-4B91-8177-54E227A91D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69" name="Text Box 2">
          <a:extLst>
            <a:ext uri="{FF2B5EF4-FFF2-40B4-BE49-F238E27FC236}">
              <a16:creationId xmlns:a16="http://schemas.microsoft.com/office/drawing/2014/main" id="{5C221CC5-CC4A-4203-8479-DEDDBCCE73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70" name="Text Box 1">
          <a:extLst>
            <a:ext uri="{FF2B5EF4-FFF2-40B4-BE49-F238E27FC236}">
              <a16:creationId xmlns:a16="http://schemas.microsoft.com/office/drawing/2014/main" id="{A698ABCB-68E7-410C-BA83-088B28C824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1" name="Text Box 2">
          <a:extLst>
            <a:ext uri="{FF2B5EF4-FFF2-40B4-BE49-F238E27FC236}">
              <a16:creationId xmlns:a16="http://schemas.microsoft.com/office/drawing/2014/main" id="{829879A8-EC75-4117-8227-F0C920E48C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72" name="Text Box 1">
          <a:extLst>
            <a:ext uri="{FF2B5EF4-FFF2-40B4-BE49-F238E27FC236}">
              <a16:creationId xmlns:a16="http://schemas.microsoft.com/office/drawing/2014/main" id="{8E11F3DF-2540-4BEF-A853-8C3AF2F637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3" name="Text Box 2">
          <a:extLst>
            <a:ext uri="{FF2B5EF4-FFF2-40B4-BE49-F238E27FC236}">
              <a16:creationId xmlns:a16="http://schemas.microsoft.com/office/drawing/2014/main" id="{67629138-34CF-4CE8-81DA-ED3C9263A3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74" name="Text Box 1">
          <a:extLst>
            <a:ext uri="{FF2B5EF4-FFF2-40B4-BE49-F238E27FC236}">
              <a16:creationId xmlns:a16="http://schemas.microsoft.com/office/drawing/2014/main" id="{8EE51251-643F-49C7-8F83-D460DD61B7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5" name="Text Box 2">
          <a:extLst>
            <a:ext uri="{FF2B5EF4-FFF2-40B4-BE49-F238E27FC236}">
              <a16:creationId xmlns:a16="http://schemas.microsoft.com/office/drawing/2014/main" id="{E9140BA0-2849-41E5-8947-01F0EE87C0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76" name="Text Box 1">
          <a:extLst>
            <a:ext uri="{FF2B5EF4-FFF2-40B4-BE49-F238E27FC236}">
              <a16:creationId xmlns:a16="http://schemas.microsoft.com/office/drawing/2014/main" id="{F5808417-7ACD-448C-A9B6-5544EC1AB5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7" name="Text Box 2">
          <a:extLst>
            <a:ext uri="{FF2B5EF4-FFF2-40B4-BE49-F238E27FC236}">
              <a16:creationId xmlns:a16="http://schemas.microsoft.com/office/drawing/2014/main" id="{C0A28DC9-DE61-4689-B982-66AD9C7CA0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78" name="Text Box 1">
          <a:extLst>
            <a:ext uri="{FF2B5EF4-FFF2-40B4-BE49-F238E27FC236}">
              <a16:creationId xmlns:a16="http://schemas.microsoft.com/office/drawing/2014/main" id="{708F01A0-59E3-4E10-BF10-1F91C70748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79" name="Text Box 2">
          <a:extLst>
            <a:ext uri="{FF2B5EF4-FFF2-40B4-BE49-F238E27FC236}">
              <a16:creationId xmlns:a16="http://schemas.microsoft.com/office/drawing/2014/main" id="{4530CDEE-D5D7-4FB5-9BA9-91D3ABD549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0" name="Text Box 1">
          <a:extLst>
            <a:ext uri="{FF2B5EF4-FFF2-40B4-BE49-F238E27FC236}">
              <a16:creationId xmlns:a16="http://schemas.microsoft.com/office/drawing/2014/main" id="{0C1D0692-AD6C-40E6-85E1-D422F9F33A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81" name="Text Box 2">
          <a:extLst>
            <a:ext uri="{FF2B5EF4-FFF2-40B4-BE49-F238E27FC236}">
              <a16:creationId xmlns:a16="http://schemas.microsoft.com/office/drawing/2014/main" id="{8FC5CE76-1709-417B-B016-C7A8AB61FD6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2" name="Text Box 1">
          <a:extLst>
            <a:ext uri="{FF2B5EF4-FFF2-40B4-BE49-F238E27FC236}">
              <a16:creationId xmlns:a16="http://schemas.microsoft.com/office/drawing/2014/main" id="{1BEF8B27-32B0-4BBD-A1EB-791704775C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83" name="Text Box 2">
          <a:extLst>
            <a:ext uri="{FF2B5EF4-FFF2-40B4-BE49-F238E27FC236}">
              <a16:creationId xmlns:a16="http://schemas.microsoft.com/office/drawing/2014/main" id="{F319F66A-AE11-4A67-82E8-3AAE3FD061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4" name="Text Box 1">
          <a:extLst>
            <a:ext uri="{FF2B5EF4-FFF2-40B4-BE49-F238E27FC236}">
              <a16:creationId xmlns:a16="http://schemas.microsoft.com/office/drawing/2014/main" id="{EDB10246-8C59-4AE7-809B-3D09DB13D4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85" name="Text Box 2">
          <a:extLst>
            <a:ext uri="{FF2B5EF4-FFF2-40B4-BE49-F238E27FC236}">
              <a16:creationId xmlns:a16="http://schemas.microsoft.com/office/drawing/2014/main" id="{F99A605A-60F2-4C75-852D-DA96576AFE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6" name="Text Box 1">
          <a:extLst>
            <a:ext uri="{FF2B5EF4-FFF2-40B4-BE49-F238E27FC236}">
              <a16:creationId xmlns:a16="http://schemas.microsoft.com/office/drawing/2014/main" id="{C9C974CC-0837-4E01-8343-D1E27AC1D1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87" name="Text Box 2">
          <a:extLst>
            <a:ext uri="{FF2B5EF4-FFF2-40B4-BE49-F238E27FC236}">
              <a16:creationId xmlns:a16="http://schemas.microsoft.com/office/drawing/2014/main" id="{E1D55A86-4E28-442D-8148-4AAED9CF91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88" name="Text Box 1">
          <a:extLst>
            <a:ext uri="{FF2B5EF4-FFF2-40B4-BE49-F238E27FC236}">
              <a16:creationId xmlns:a16="http://schemas.microsoft.com/office/drawing/2014/main" id="{6485B009-0A2E-4E5F-B49B-E067C7ACD55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89" name="Text Box 2">
          <a:extLst>
            <a:ext uri="{FF2B5EF4-FFF2-40B4-BE49-F238E27FC236}">
              <a16:creationId xmlns:a16="http://schemas.microsoft.com/office/drawing/2014/main" id="{FBE1B269-7251-4C99-825E-EEE1358FE4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90" name="Text Box 1">
          <a:extLst>
            <a:ext uri="{FF2B5EF4-FFF2-40B4-BE49-F238E27FC236}">
              <a16:creationId xmlns:a16="http://schemas.microsoft.com/office/drawing/2014/main" id="{E7E6B131-CBD4-4087-94D7-4EB9DB093B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1" name="Text Box 2">
          <a:extLst>
            <a:ext uri="{FF2B5EF4-FFF2-40B4-BE49-F238E27FC236}">
              <a16:creationId xmlns:a16="http://schemas.microsoft.com/office/drawing/2014/main" id="{EA1360D9-E388-4F09-ABD8-58924808AA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92" name="Text Box 1">
          <a:extLst>
            <a:ext uri="{FF2B5EF4-FFF2-40B4-BE49-F238E27FC236}">
              <a16:creationId xmlns:a16="http://schemas.microsoft.com/office/drawing/2014/main" id="{35AB9F2E-7022-4202-AFEF-518A7FEA5A0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3" name="Text Box 2">
          <a:extLst>
            <a:ext uri="{FF2B5EF4-FFF2-40B4-BE49-F238E27FC236}">
              <a16:creationId xmlns:a16="http://schemas.microsoft.com/office/drawing/2014/main" id="{461B4A37-85BD-48DA-86DB-425804291B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94" name="Text Box 1">
          <a:extLst>
            <a:ext uri="{FF2B5EF4-FFF2-40B4-BE49-F238E27FC236}">
              <a16:creationId xmlns:a16="http://schemas.microsoft.com/office/drawing/2014/main" id="{5ABC2DD6-1C2D-429D-A93E-540F945D26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5" name="Text Box 2">
          <a:extLst>
            <a:ext uri="{FF2B5EF4-FFF2-40B4-BE49-F238E27FC236}">
              <a16:creationId xmlns:a16="http://schemas.microsoft.com/office/drawing/2014/main" id="{49C11539-983B-44B5-8B44-173276F241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96" name="Text Box 1">
          <a:extLst>
            <a:ext uri="{FF2B5EF4-FFF2-40B4-BE49-F238E27FC236}">
              <a16:creationId xmlns:a16="http://schemas.microsoft.com/office/drawing/2014/main" id="{3D746C9E-3415-4245-8110-031A79FDF2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7" name="Text Box 2">
          <a:extLst>
            <a:ext uri="{FF2B5EF4-FFF2-40B4-BE49-F238E27FC236}">
              <a16:creationId xmlns:a16="http://schemas.microsoft.com/office/drawing/2014/main" id="{4B17C75D-3C32-41B2-823E-1E8CEB14DA8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098" name="Text Box 1">
          <a:extLst>
            <a:ext uri="{FF2B5EF4-FFF2-40B4-BE49-F238E27FC236}">
              <a16:creationId xmlns:a16="http://schemas.microsoft.com/office/drawing/2014/main" id="{05B0FBE4-D2F1-4F2E-9AAB-9A6723BCA4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099" name="Text Box 2">
          <a:extLst>
            <a:ext uri="{FF2B5EF4-FFF2-40B4-BE49-F238E27FC236}">
              <a16:creationId xmlns:a16="http://schemas.microsoft.com/office/drawing/2014/main" id="{B4CFFB0F-06AC-4AFB-A298-78DFB95ECB5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0" name="Text Box 1">
          <a:extLst>
            <a:ext uri="{FF2B5EF4-FFF2-40B4-BE49-F238E27FC236}">
              <a16:creationId xmlns:a16="http://schemas.microsoft.com/office/drawing/2014/main" id="{F8BCE5B7-5407-44B5-8D75-8B0BA956A8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01" name="Text Box 2">
          <a:extLst>
            <a:ext uri="{FF2B5EF4-FFF2-40B4-BE49-F238E27FC236}">
              <a16:creationId xmlns:a16="http://schemas.microsoft.com/office/drawing/2014/main" id="{DBA7C7AD-BD76-4D56-92BC-B1AE9F77FB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2" name="Text Box 1">
          <a:extLst>
            <a:ext uri="{FF2B5EF4-FFF2-40B4-BE49-F238E27FC236}">
              <a16:creationId xmlns:a16="http://schemas.microsoft.com/office/drawing/2014/main" id="{2493D444-A975-42E6-87C1-D9BD7A8FFB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03" name="Text Box 2">
          <a:extLst>
            <a:ext uri="{FF2B5EF4-FFF2-40B4-BE49-F238E27FC236}">
              <a16:creationId xmlns:a16="http://schemas.microsoft.com/office/drawing/2014/main" id="{971D1333-329D-4946-BD8E-7DE5833E00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4" name="Text Box 1">
          <a:extLst>
            <a:ext uri="{FF2B5EF4-FFF2-40B4-BE49-F238E27FC236}">
              <a16:creationId xmlns:a16="http://schemas.microsoft.com/office/drawing/2014/main" id="{62809A1D-E2C2-41F8-AEF8-0D361725E4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05" name="Text Box 2">
          <a:extLst>
            <a:ext uri="{FF2B5EF4-FFF2-40B4-BE49-F238E27FC236}">
              <a16:creationId xmlns:a16="http://schemas.microsoft.com/office/drawing/2014/main" id="{AC1F261D-0CC9-41EB-BB71-CFC6B2060D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6" name="Text Box 1">
          <a:extLst>
            <a:ext uri="{FF2B5EF4-FFF2-40B4-BE49-F238E27FC236}">
              <a16:creationId xmlns:a16="http://schemas.microsoft.com/office/drawing/2014/main" id="{E5022145-2255-4F1D-9B6A-160AC7A4B8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07" name="Text Box 2">
          <a:extLst>
            <a:ext uri="{FF2B5EF4-FFF2-40B4-BE49-F238E27FC236}">
              <a16:creationId xmlns:a16="http://schemas.microsoft.com/office/drawing/2014/main" id="{27785A2E-CC7B-4205-8E72-9C82014B4D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08" name="Text Box 1">
          <a:extLst>
            <a:ext uri="{FF2B5EF4-FFF2-40B4-BE49-F238E27FC236}">
              <a16:creationId xmlns:a16="http://schemas.microsoft.com/office/drawing/2014/main" id="{0F6137C9-4D84-4C5C-9D8C-F0BEC46D23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09" name="Text Box 2">
          <a:extLst>
            <a:ext uri="{FF2B5EF4-FFF2-40B4-BE49-F238E27FC236}">
              <a16:creationId xmlns:a16="http://schemas.microsoft.com/office/drawing/2014/main" id="{1C517385-BD94-410A-9F88-84F96574E27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10" name="Text Box 1">
          <a:extLst>
            <a:ext uri="{FF2B5EF4-FFF2-40B4-BE49-F238E27FC236}">
              <a16:creationId xmlns:a16="http://schemas.microsoft.com/office/drawing/2014/main" id="{90A00460-CBE1-4C5D-8F48-AE07D01A50B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1" name="Text Box 2">
          <a:extLst>
            <a:ext uri="{FF2B5EF4-FFF2-40B4-BE49-F238E27FC236}">
              <a16:creationId xmlns:a16="http://schemas.microsoft.com/office/drawing/2014/main" id="{BC6DF0E2-20DE-4E73-9F87-926A041190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12" name="Text Box 1">
          <a:extLst>
            <a:ext uri="{FF2B5EF4-FFF2-40B4-BE49-F238E27FC236}">
              <a16:creationId xmlns:a16="http://schemas.microsoft.com/office/drawing/2014/main" id="{84888475-ADEB-4F69-A400-1000B39B25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3" name="Text Box 2">
          <a:extLst>
            <a:ext uri="{FF2B5EF4-FFF2-40B4-BE49-F238E27FC236}">
              <a16:creationId xmlns:a16="http://schemas.microsoft.com/office/drawing/2014/main" id="{6C53D228-B25F-48A4-96B5-D6729597186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14" name="Text Box 1">
          <a:extLst>
            <a:ext uri="{FF2B5EF4-FFF2-40B4-BE49-F238E27FC236}">
              <a16:creationId xmlns:a16="http://schemas.microsoft.com/office/drawing/2014/main" id="{D818114D-4B07-4A41-8759-64D86E8955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5" name="Text Box 2">
          <a:extLst>
            <a:ext uri="{FF2B5EF4-FFF2-40B4-BE49-F238E27FC236}">
              <a16:creationId xmlns:a16="http://schemas.microsoft.com/office/drawing/2014/main" id="{A1018B44-3806-48CB-8298-5C737D781B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16" name="Text Box 1">
          <a:extLst>
            <a:ext uri="{FF2B5EF4-FFF2-40B4-BE49-F238E27FC236}">
              <a16:creationId xmlns:a16="http://schemas.microsoft.com/office/drawing/2014/main" id="{30D1AC9D-4901-496A-8533-00354432F8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7" name="Text Box 2">
          <a:extLst>
            <a:ext uri="{FF2B5EF4-FFF2-40B4-BE49-F238E27FC236}">
              <a16:creationId xmlns:a16="http://schemas.microsoft.com/office/drawing/2014/main" id="{007236B4-F56D-4C1C-9346-5CF1F1A8CC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18" name="Text Box 1">
          <a:extLst>
            <a:ext uri="{FF2B5EF4-FFF2-40B4-BE49-F238E27FC236}">
              <a16:creationId xmlns:a16="http://schemas.microsoft.com/office/drawing/2014/main" id="{2ED8C7AE-FAF9-4D0D-9DA1-651106BD94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19" name="Text Box 2">
          <a:extLst>
            <a:ext uri="{FF2B5EF4-FFF2-40B4-BE49-F238E27FC236}">
              <a16:creationId xmlns:a16="http://schemas.microsoft.com/office/drawing/2014/main" id="{52E45735-7716-4022-B68B-327876FE15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0" name="Text Box 1">
          <a:extLst>
            <a:ext uri="{FF2B5EF4-FFF2-40B4-BE49-F238E27FC236}">
              <a16:creationId xmlns:a16="http://schemas.microsoft.com/office/drawing/2014/main" id="{4E561420-7E08-48BF-B635-032DAE4E92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21" name="Text Box 2">
          <a:extLst>
            <a:ext uri="{FF2B5EF4-FFF2-40B4-BE49-F238E27FC236}">
              <a16:creationId xmlns:a16="http://schemas.microsoft.com/office/drawing/2014/main" id="{23B7B009-6C8F-4432-AF0A-E2D303C0C4E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2" name="Text Box 1">
          <a:extLst>
            <a:ext uri="{FF2B5EF4-FFF2-40B4-BE49-F238E27FC236}">
              <a16:creationId xmlns:a16="http://schemas.microsoft.com/office/drawing/2014/main" id="{866A2B7B-9012-40A0-89D2-1E518595F2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23" name="Text Box 2">
          <a:extLst>
            <a:ext uri="{FF2B5EF4-FFF2-40B4-BE49-F238E27FC236}">
              <a16:creationId xmlns:a16="http://schemas.microsoft.com/office/drawing/2014/main" id="{D72FAF5F-D7DA-497A-9755-9C4C334F78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4" name="Text Box 1">
          <a:extLst>
            <a:ext uri="{FF2B5EF4-FFF2-40B4-BE49-F238E27FC236}">
              <a16:creationId xmlns:a16="http://schemas.microsoft.com/office/drawing/2014/main" id="{5C71DDE7-0FA1-4848-BE95-4205A52D57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25" name="Text Box 2">
          <a:extLst>
            <a:ext uri="{FF2B5EF4-FFF2-40B4-BE49-F238E27FC236}">
              <a16:creationId xmlns:a16="http://schemas.microsoft.com/office/drawing/2014/main" id="{A93D4BBE-94E6-4F59-9149-A995CB51F01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6" name="Text Box 1">
          <a:extLst>
            <a:ext uri="{FF2B5EF4-FFF2-40B4-BE49-F238E27FC236}">
              <a16:creationId xmlns:a16="http://schemas.microsoft.com/office/drawing/2014/main" id="{99B4CC0E-AB2F-48BB-9514-FD78292E0C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27" name="Text Box 2">
          <a:extLst>
            <a:ext uri="{FF2B5EF4-FFF2-40B4-BE49-F238E27FC236}">
              <a16:creationId xmlns:a16="http://schemas.microsoft.com/office/drawing/2014/main" id="{D6AF9635-DB9F-4832-9326-B80A1C7CCB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28" name="Text Box 1">
          <a:extLst>
            <a:ext uri="{FF2B5EF4-FFF2-40B4-BE49-F238E27FC236}">
              <a16:creationId xmlns:a16="http://schemas.microsoft.com/office/drawing/2014/main" id="{FE6E8CEC-D35C-45FD-A70B-EF4CC5C157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29" name="Text Box 2">
          <a:extLst>
            <a:ext uri="{FF2B5EF4-FFF2-40B4-BE49-F238E27FC236}">
              <a16:creationId xmlns:a16="http://schemas.microsoft.com/office/drawing/2014/main" id="{2C0BAC00-7AF9-46F8-A06C-BBF17AC185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30" name="Text Box 1">
          <a:extLst>
            <a:ext uri="{FF2B5EF4-FFF2-40B4-BE49-F238E27FC236}">
              <a16:creationId xmlns:a16="http://schemas.microsoft.com/office/drawing/2014/main" id="{4018495A-CED4-4E9D-BB59-3A1E7CEE22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1" name="Text Box 2">
          <a:extLst>
            <a:ext uri="{FF2B5EF4-FFF2-40B4-BE49-F238E27FC236}">
              <a16:creationId xmlns:a16="http://schemas.microsoft.com/office/drawing/2014/main" id="{171A27B8-7FF9-4189-906E-A88C56DF62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32" name="Text Box 1">
          <a:extLst>
            <a:ext uri="{FF2B5EF4-FFF2-40B4-BE49-F238E27FC236}">
              <a16:creationId xmlns:a16="http://schemas.microsoft.com/office/drawing/2014/main" id="{CC4E08CF-1B03-4E7B-8391-024EAEF872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3" name="Text Box 2">
          <a:extLst>
            <a:ext uri="{FF2B5EF4-FFF2-40B4-BE49-F238E27FC236}">
              <a16:creationId xmlns:a16="http://schemas.microsoft.com/office/drawing/2014/main" id="{FCE60945-FF31-4771-AC60-0C79C15BCF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34" name="Text Box 1">
          <a:extLst>
            <a:ext uri="{FF2B5EF4-FFF2-40B4-BE49-F238E27FC236}">
              <a16:creationId xmlns:a16="http://schemas.microsoft.com/office/drawing/2014/main" id="{83F85210-EC7C-4864-85CE-FE70BB7B80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5" name="Text Box 2">
          <a:extLst>
            <a:ext uri="{FF2B5EF4-FFF2-40B4-BE49-F238E27FC236}">
              <a16:creationId xmlns:a16="http://schemas.microsoft.com/office/drawing/2014/main" id="{283C9286-5442-4396-86BA-410007E04D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36" name="Text Box 1">
          <a:extLst>
            <a:ext uri="{FF2B5EF4-FFF2-40B4-BE49-F238E27FC236}">
              <a16:creationId xmlns:a16="http://schemas.microsoft.com/office/drawing/2014/main" id="{F7D2DA18-30E3-43FE-83D9-7B84FEC1AD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7" name="Text Box 2">
          <a:extLst>
            <a:ext uri="{FF2B5EF4-FFF2-40B4-BE49-F238E27FC236}">
              <a16:creationId xmlns:a16="http://schemas.microsoft.com/office/drawing/2014/main" id="{C9BAFECA-E9A7-422A-A8FD-98B8153CD3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38" name="Text Box 1">
          <a:extLst>
            <a:ext uri="{FF2B5EF4-FFF2-40B4-BE49-F238E27FC236}">
              <a16:creationId xmlns:a16="http://schemas.microsoft.com/office/drawing/2014/main" id="{0BD48DEE-177B-4F4D-B7AC-7562908F51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39" name="Text Box 2">
          <a:extLst>
            <a:ext uri="{FF2B5EF4-FFF2-40B4-BE49-F238E27FC236}">
              <a16:creationId xmlns:a16="http://schemas.microsoft.com/office/drawing/2014/main" id="{F6484063-3B0E-401B-85EB-D428FAEC7C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0" name="Text Box 1">
          <a:extLst>
            <a:ext uri="{FF2B5EF4-FFF2-40B4-BE49-F238E27FC236}">
              <a16:creationId xmlns:a16="http://schemas.microsoft.com/office/drawing/2014/main" id="{88D3F8F8-2B87-4F39-ABE2-3D784BC935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41" name="Text Box 2">
          <a:extLst>
            <a:ext uri="{FF2B5EF4-FFF2-40B4-BE49-F238E27FC236}">
              <a16:creationId xmlns:a16="http://schemas.microsoft.com/office/drawing/2014/main" id="{9AD72D34-9B1D-4590-984F-A1B68C7720C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2" name="Text Box 1">
          <a:extLst>
            <a:ext uri="{FF2B5EF4-FFF2-40B4-BE49-F238E27FC236}">
              <a16:creationId xmlns:a16="http://schemas.microsoft.com/office/drawing/2014/main" id="{5B021F5B-9A8C-4723-AD66-32C205BBFE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43" name="Text Box 2">
          <a:extLst>
            <a:ext uri="{FF2B5EF4-FFF2-40B4-BE49-F238E27FC236}">
              <a16:creationId xmlns:a16="http://schemas.microsoft.com/office/drawing/2014/main" id="{7D663306-EC41-4BF2-A004-8C54630F34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4" name="Text Box 1">
          <a:extLst>
            <a:ext uri="{FF2B5EF4-FFF2-40B4-BE49-F238E27FC236}">
              <a16:creationId xmlns:a16="http://schemas.microsoft.com/office/drawing/2014/main" id="{A5352697-9BAC-431E-A42B-A3C2A9B3B0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45" name="Text Box 2">
          <a:extLst>
            <a:ext uri="{FF2B5EF4-FFF2-40B4-BE49-F238E27FC236}">
              <a16:creationId xmlns:a16="http://schemas.microsoft.com/office/drawing/2014/main" id="{CE973BC9-1F10-46CF-A1A8-20617DB0AD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6" name="Text Box 1">
          <a:extLst>
            <a:ext uri="{FF2B5EF4-FFF2-40B4-BE49-F238E27FC236}">
              <a16:creationId xmlns:a16="http://schemas.microsoft.com/office/drawing/2014/main" id="{833B77E3-9050-4BAC-90D5-A2F83050DD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47" name="Text Box 2">
          <a:extLst>
            <a:ext uri="{FF2B5EF4-FFF2-40B4-BE49-F238E27FC236}">
              <a16:creationId xmlns:a16="http://schemas.microsoft.com/office/drawing/2014/main" id="{5AF8FACC-305E-450D-901F-BA788EB4BD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48" name="Text Box 1">
          <a:extLst>
            <a:ext uri="{FF2B5EF4-FFF2-40B4-BE49-F238E27FC236}">
              <a16:creationId xmlns:a16="http://schemas.microsoft.com/office/drawing/2014/main" id="{83D14D90-4498-47E1-B0B6-E38C3EC6D5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49" name="Text Box 2">
          <a:extLst>
            <a:ext uri="{FF2B5EF4-FFF2-40B4-BE49-F238E27FC236}">
              <a16:creationId xmlns:a16="http://schemas.microsoft.com/office/drawing/2014/main" id="{C31349DA-2BC1-4495-B2A4-E975701E4E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50" name="Text Box 1">
          <a:extLst>
            <a:ext uri="{FF2B5EF4-FFF2-40B4-BE49-F238E27FC236}">
              <a16:creationId xmlns:a16="http://schemas.microsoft.com/office/drawing/2014/main" id="{F243B76A-A499-4066-B1AD-D39D276F04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1" name="Text Box 2">
          <a:extLst>
            <a:ext uri="{FF2B5EF4-FFF2-40B4-BE49-F238E27FC236}">
              <a16:creationId xmlns:a16="http://schemas.microsoft.com/office/drawing/2014/main" id="{09E19CFD-E0BC-4916-8C63-042C9FEF024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52" name="Text Box 1">
          <a:extLst>
            <a:ext uri="{FF2B5EF4-FFF2-40B4-BE49-F238E27FC236}">
              <a16:creationId xmlns:a16="http://schemas.microsoft.com/office/drawing/2014/main" id="{292B91D9-2B99-48EF-AF43-FC407790F4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3" name="Text Box 2">
          <a:extLst>
            <a:ext uri="{FF2B5EF4-FFF2-40B4-BE49-F238E27FC236}">
              <a16:creationId xmlns:a16="http://schemas.microsoft.com/office/drawing/2014/main" id="{564704C2-65B2-4718-BD88-AAF308C09D0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54" name="Text Box 1">
          <a:extLst>
            <a:ext uri="{FF2B5EF4-FFF2-40B4-BE49-F238E27FC236}">
              <a16:creationId xmlns:a16="http://schemas.microsoft.com/office/drawing/2014/main" id="{BDE5C357-374F-47DE-965C-FD327AB1EF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5" name="Text Box 2">
          <a:extLst>
            <a:ext uri="{FF2B5EF4-FFF2-40B4-BE49-F238E27FC236}">
              <a16:creationId xmlns:a16="http://schemas.microsoft.com/office/drawing/2014/main" id="{FF110185-2893-411D-BE4E-1FA5F1D898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56" name="Text Box 1">
          <a:extLst>
            <a:ext uri="{FF2B5EF4-FFF2-40B4-BE49-F238E27FC236}">
              <a16:creationId xmlns:a16="http://schemas.microsoft.com/office/drawing/2014/main" id="{F316B657-05DC-4FE5-BF0A-242460993E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7" name="Text Box 2">
          <a:extLst>
            <a:ext uri="{FF2B5EF4-FFF2-40B4-BE49-F238E27FC236}">
              <a16:creationId xmlns:a16="http://schemas.microsoft.com/office/drawing/2014/main" id="{1AA7CA92-98A6-4BEF-AA70-CF565B2984C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58" name="Text Box 1">
          <a:extLst>
            <a:ext uri="{FF2B5EF4-FFF2-40B4-BE49-F238E27FC236}">
              <a16:creationId xmlns:a16="http://schemas.microsoft.com/office/drawing/2014/main" id="{84F06FDB-C1BE-4502-A8C5-881CBA69C2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59" name="Text Box 2">
          <a:extLst>
            <a:ext uri="{FF2B5EF4-FFF2-40B4-BE49-F238E27FC236}">
              <a16:creationId xmlns:a16="http://schemas.microsoft.com/office/drawing/2014/main" id="{B84467A3-419B-428D-9F2B-2648EF44A5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0" name="Text Box 1">
          <a:extLst>
            <a:ext uri="{FF2B5EF4-FFF2-40B4-BE49-F238E27FC236}">
              <a16:creationId xmlns:a16="http://schemas.microsoft.com/office/drawing/2014/main" id="{27A09379-556D-43E8-B1AF-F5399D8CCA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61" name="Text Box 2">
          <a:extLst>
            <a:ext uri="{FF2B5EF4-FFF2-40B4-BE49-F238E27FC236}">
              <a16:creationId xmlns:a16="http://schemas.microsoft.com/office/drawing/2014/main" id="{70E3AD3E-26B9-48F7-9FC8-CF1B44E527F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2" name="Text Box 1">
          <a:extLst>
            <a:ext uri="{FF2B5EF4-FFF2-40B4-BE49-F238E27FC236}">
              <a16:creationId xmlns:a16="http://schemas.microsoft.com/office/drawing/2014/main" id="{7E10E6C1-D1EF-47F7-B066-29C6D20CCC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63" name="Text Box 2">
          <a:extLst>
            <a:ext uri="{FF2B5EF4-FFF2-40B4-BE49-F238E27FC236}">
              <a16:creationId xmlns:a16="http://schemas.microsoft.com/office/drawing/2014/main" id="{35D44F3E-1AAA-4E50-A40B-119589BE453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4" name="Text Box 1">
          <a:extLst>
            <a:ext uri="{FF2B5EF4-FFF2-40B4-BE49-F238E27FC236}">
              <a16:creationId xmlns:a16="http://schemas.microsoft.com/office/drawing/2014/main" id="{23C63B6E-D149-49D1-B1BF-84B6C3FDA8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65" name="Text Box 2">
          <a:extLst>
            <a:ext uri="{FF2B5EF4-FFF2-40B4-BE49-F238E27FC236}">
              <a16:creationId xmlns:a16="http://schemas.microsoft.com/office/drawing/2014/main" id="{580C8D5E-1B52-4248-87B6-B10A94C089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6" name="Text Box 1">
          <a:extLst>
            <a:ext uri="{FF2B5EF4-FFF2-40B4-BE49-F238E27FC236}">
              <a16:creationId xmlns:a16="http://schemas.microsoft.com/office/drawing/2014/main" id="{22A31587-DBDA-4735-8529-2FCF65E751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67" name="Text Box 2">
          <a:extLst>
            <a:ext uri="{FF2B5EF4-FFF2-40B4-BE49-F238E27FC236}">
              <a16:creationId xmlns:a16="http://schemas.microsoft.com/office/drawing/2014/main" id="{DDB35B09-E854-4520-BD4E-B253F63C03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68" name="Text Box 1">
          <a:extLst>
            <a:ext uri="{FF2B5EF4-FFF2-40B4-BE49-F238E27FC236}">
              <a16:creationId xmlns:a16="http://schemas.microsoft.com/office/drawing/2014/main" id="{D9F93BD5-05D9-4525-A02A-00266C0E368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69" name="Text Box 2">
          <a:extLst>
            <a:ext uri="{FF2B5EF4-FFF2-40B4-BE49-F238E27FC236}">
              <a16:creationId xmlns:a16="http://schemas.microsoft.com/office/drawing/2014/main" id="{406CF7EF-342C-4BD4-B89E-4F2E1F4895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70" name="Text Box 1">
          <a:extLst>
            <a:ext uri="{FF2B5EF4-FFF2-40B4-BE49-F238E27FC236}">
              <a16:creationId xmlns:a16="http://schemas.microsoft.com/office/drawing/2014/main" id="{55139E44-4BD7-4644-949A-7B23F05BF4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1" name="Text Box 2">
          <a:extLst>
            <a:ext uri="{FF2B5EF4-FFF2-40B4-BE49-F238E27FC236}">
              <a16:creationId xmlns:a16="http://schemas.microsoft.com/office/drawing/2014/main" id="{615DDA64-06A3-4EFA-84AE-CBE07C5E5C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72" name="Text Box 1">
          <a:extLst>
            <a:ext uri="{FF2B5EF4-FFF2-40B4-BE49-F238E27FC236}">
              <a16:creationId xmlns:a16="http://schemas.microsoft.com/office/drawing/2014/main" id="{F26361C8-9D01-431B-BA54-11F651E12E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3" name="Text Box 2">
          <a:extLst>
            <a:ext uri="{FF2B5EF4-FFF2-40B4-BE49-F238E27FC236}">
              <a16:creationId xmlns:a16="http://schemas.microsoft.com/office/drawing/2014/main" id="{3F22E5B4-E0C3-4037-A866-437219803B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74" name="Text Box 1">
          <a:extLst>
            <a:ext uri="{FF2B5EF4-FFF2-40B4-BE49-F238E27FC236}">
              <a16:creationId xmlns:a16="http://schemas.microsoft.com/office/drawing/2014/main" id="{A42FD644-EAA6-41ED-8F49-26127A17CF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5" name="Text Box 2">
          <a:extLst>
            <a:ext uri="{FF2B5EF4-FFF2-40B4-BE49-F238E27FC236}">
              <a16:creationId xmlns:a16="http://schemas.microsoft.com/office/drawing/2014/main" id="{9BB2F371-E7D5-47DE-BDE2-FACBECE668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76" name="Text Box 1">
          <a:extLst>
            <a:ext uri="{FF2B5EF4-FFF2-40B4-BE49-F238E27FC236}">
              <a16:creationId xmlns:a16="http://schemas.microsoft.com/office/drawing/2014/main" id="{4BA14256-0B1B-453B-9683-D486A51F277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7" name="Text Box 2">
          <a:extLst>
            <a:ext uri="{FF2B5EF4-FFF2-40B4-BE49-F238E27FC236}">
              <a16:creationId xmlns:a16="http://schemas.microsoft.com/office/drawing/2014/main" id="{BFB7D23E-9FBE-448C-9A51-88EB1534DA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78" name="Text Box 1">
          <a:extLst>
            <a:ext uri="{FF2B5EF4-FFF2-40B4-BE49-F238E27FC236}">
              <a16:creationId xmlns:a16="http://schemas.microsoft.com/office/drawing/2014/main" id="{0C546FEE-C255-4539-8910-94C16396DF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79" name="Text Box 2">
          <a:extLst>
            <a:ext uri="{FF2B5EF4-FFF2-40B4-BE49-F238E27FC236}">
              <a16:creationId xmlns:a16="http://schemas.microsoft.com/office/drawing/2014/main" id="{A95094D6-9965-4744-80C0-E898A7F52B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0" name="Text Box 1">
          <a:extLst>
            <a:ext uri="{FF2B5EF4-FFF2-40B4-BE49-F238E27FC236}">
              <a16:creationId xmlns:a16="http://schemas.microsoft.com/office/drawing/2014/main" id="{A56271A8-1F97-4830-AF86-3C95117EA8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81" name="Text Box 2">
          <a:extLst>
            <a:ext uri="{FF2B5EF4-FFF2-40B4-BE49-F238E27FC236}">
              <a16:creationId xmlns:a16="http://schemas.microsoft.com/office/drawing/2014/main" id="{CC9FB2B4-26D7-4AD4-9766-688005BE57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2" name="Text Box 1">
          <a:extLst>
            <a:ext uri="{FF2B5EF4-FFF2-40B4-BE49-F238E27FC236}">
              <a16:creationId xmlns:a16="http://schemas.microsoft.com/office/drawing/2014/main" id="{08C3540A-4740-4473-A244-1C6361971A6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83" name="Text Box 2">
          <a:extLst>
            <a:ext uri="{FF2B5EF4-FFF2-40B4-BE49-F238E27FC236}">
              <a16:creationId xmlns:a16="http://schemas.microsoft.com/office/drawing/2014/main" id="{45D8B7D2-DE08-4E67-95A7-C78CF80A25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4" name="Text Box 1">
          <a:extLst>
            <a:ext uri="{FF2B5EF4-FFF2-40B4-BE49-F238E27FC236}">
              <a16:creationId xmlns:a16="http://schemas.microsoft.com/office/drawing/2014/main" id="{ECEFDFFC-8E70-43E6-AFD3-508C04DD54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85" name="Text Box 2">
          <a:extLst>
            <a:ext uri="{FF2B5EF4-FFF2-40B4-BE49-F238E27FC236}">
              <a16:creationId xmlns:a16="http://schemas.microsoft.com/office/drawing/2014/main" id="{F9609CEC-B353-4968-9D2E-55927A5818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6" name="Text Box 1">
          <a:extLst>
            <a:ext uri="{FF2B5EF4-FFF2-40B4-BE49-F238E27FC236}">
              <a16:creationId xmlns:a16="http://schemas.microsoft.com/office/drawing/2014/main" id="{EBC4945B-1B05-4AD7-88D7-CFDA812728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87" name="Text Box 2">
          <a:extLst>
            <a:ext uri="{FF2B5EF4-FFF2-40B4-BE49-F238E27FC236}">
              <a16:creationId xmlns:a16="http://schemas.microsoft.com/office/drawing/2014/main" id="{6B74B62E-8237-4116-99B2-E67D98B1A81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88" name="Text Box 1">
          <a:extLst>
            <a:ext uri="{FF2B5EF4-FFF2-40B4-BE49-F238E27FC236}">
              <a16:creationId xmlns:a16="http://schemas.microsoft.com/office/drawing/2014/main" id="{00CE1479-81FE-44A9-B799-A7F67E9A43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89" name="Text Box 2">
          <a:extLst>
            <a:ext uri="{FF2B5EF4-FFF2-40B4-BE49-F238E27FC236}">
              <a16:creationId xmlns:a16="http://schemas.microsoft.com/office/drawing/2014/main" id="{D22FAFBF-D537-415F-AB96-F52F020EC21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90" name="Text Box 1">
          <a:extLst>
            <a:ext uri="{FF2B5EF4-FFF2-40B4-BE49-F238E27FC236}">
              <a16:creationId xmlns:a16="http://schemas.microsoft.com/office/drawing/2014/main" id="{1E32262C-4B23-47B2-81B5-F12CEBE77F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1" name="Text Box 2">
          <a:extLst>
            <a:ext uri="{FF2B5EF4-FFF2-40B4-BE49-F238E27FC236}">
              <a16:creationId xmlns:a16="http://schemas.microsoft.com/office/drawing/2014/main" id="{F21EDC3E-5C9D-4484-B6C0-88E33815F1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92" name="Text Box 1">
          <a:extLst>
            <a:ext uri="{FF2B5EF4-FFF2-40B4-BE49-F238E27FC236}">
              <a16:creationId xmlns:a16="http://schemas.microsoft.com/office/drawing/2014/main" id="{6AAC9121-7E25-4885-AC39-5DDF1FC70BD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3" name="Text Box 2">
          <a:extLst>
            <a:ext uri="{FF2B5EF4-FFF2-40B4-BE49-F238E27FC236}">
              <a16:creationId xmlns:a16="http://schemas.microsoft.com/office/drawing/2014/main" id="{85C63F6E-CE36-462C-9887-4FAE00A597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94" name="Text Box 1">
          <a:extLst>
            <a:ext uri="{FF2B5EF4-FFF2-40B4-BE49-F238E27FC236}">
              <a16:creationId xmlns:a16="http://schemas.microsoft.com/office/drawing/2014/main" id="{90275956-83B2-44B4-9DAF-FF4C78EFF7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5" name="Text Box 2">
          <a:extLst>
            <a:ext uri="{FF2B5EF4-FFF2-40B4-BE49-F238E27FC236}">
              <a16:creationId xmlns:a16="http://schemas.microsoft.com/office/drawing/2014/main" id="{85E5A059-952F-45CD-9468-274E1637BC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96" name="Text Box 1">
          <a:extLst>
            <a:ext uri="{FF2B5EF4-FFF2-40B4-BE49-F238E27FC236}">
              <a16:creationId xmlns:a16="http://schemas.microsoft.com/office/drawing/2014/main" id="{ED5479D7-CCB8-4239-A799-2FB3ED376C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7" name="Text Box 2">
          <a:extLst>
            <a:ext uri="{FF2B5EF4-FFF2-40B4-BE49-F238E27FC236}">
              <a16:creationId xmlns:a16="http://schemas.microsoft.com/office/drawing/2014/main" id="{BF6C5FE9-F345-48C4-84A4-567C00AEDD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198" name="Text Box 1">
          <a:extLst>
            <a:ext uri="{FF2B5EF4-FFF2-40B4-BE49-F238E27FC236}">
              <a16:creationId xmlns:a16="http://schemas.microsoft.com/office/drawing/2014/main" id="{FC48EFCF-35EB-48FE-80B9-CA4814BF7F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199" name="Text Box 2">
          <a:extLst>
            <a:ext uri="{FF2B5EF4-FFF2-40B4-BE49-F238E27FC236}">
              <a16:creationId xmlns:a16="http://schemas.microsoft.com/office/drawing/2014/main" id="{72D84C13-D09A-4473-B02C-4E0D79855F2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0" name="Text Box 1">
          <a:extLst>
            <a:ext uri="{FF2B5EF4-FFF2-40B4-BE49-F238E27FC236}">
              <a16:creationId xmlns:a16="http://schemas.microsoft.com/office/drawing/2014/main" id="{7D8EAA7E-8CDD-4510-BC76-904F8AF57A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01" name="Text Box 2">
          <a:extLst>
            <a:ext uri="{FF2B5EF4-FFF2-40B4-BE49-F238E27FC236}">
              <a16:creationId xmlns:a16="http://schemas.microsoft.com/office/drawing/2014/main" id="{902091F4-2C88-4A5F-A4A4-ABA12D2045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2" name="Text Box 1">
          <a:extLst>
            <a:ext uri="{FF2B5EF4-FFF2-40B4-BE49-F238E27FC236}">
              <a16:creationId xmlns:a16="http://schemas.microsoft.com/office/drawing/2014/main" id="{4EE9CA32-BD41-4546-821D-F3805DC967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03" name="Text Box 2">
          <a:extLst>
            <a:ext uri="{FF2B5EF4-FFF2-40B4-BE49-F238E27FC236}">
              <a16:creationId xmlns:a16="http://schemas.microsoft.com/office/drawing/2014/main" id="{04E18A61-73A3-4291-99C6-6ED1FA81E8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4" name="Text Box 1">
          <a:extLst>
            <a:ext uri="{FF2B5EF4-FFF2-40B4-BE49-F238E27FC236}">
              <a16:creationId xmlns:a16="http://schemas.microsoft.com/office/drawing/2014/main" id="{0A4DC191-8332-459B-BDB3-977F1DE60C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05" name="Text Box 2">
          <a:extLst>
            <a:ext uri="{FF2B5EF4-FFF2-40B4-BE49-F238E27FC236}">
              <a16:creationId xmlns:a16="http://schemas.microsoft.com/office/drawing/2014/main" id="{81043190-5E91-4205-B2FB-540CBA7262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6" name="Text Box 1">
          <a:extLst>
            <a:ext uri="{FF2B5EF4-FFF2-40B4-BE49-F238E27FC236}">
              <a16:creationId xmlns:a16="http://schemas.microsoft.com/office/drawing/2014/main" id="{299C4F9D-1B08-472F-B4CC-1F5E7E871D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07" name="Text Box 2">
          <a:extLst>
            <a:ext uri="{FF2B5EF4-FFF2-40B4-BE49-F238E27FC236}">
              <a16:creationId xmlns:a16="http://schemas.microsoft.com/office/drawing/2014/main" id="{A5571D3A-0AEA-492F-90A9-E8074AFB693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08" name="Text Box 1">
          <a:extLst>
            <a:ext uri="{FF2B5EF4-FFF2-40B4-BE49-F238E27FC236}">
              <a16:creationId xmlns:a16="http://schemas.microsoft.com/office/drawing/2014/main" id="{76F3F00C-D622-46F3-8615-F5B7068E8A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09" name="Text Box 2">
          <a:extLst>
            <a:ext uri="{FF2B5EF4-FFF2-40B4-BE49-F238E27FC236}">
              <a16:creationId xmlns:a16="http://schemas.microsoft.com/office/drawing/2014/main" id="{2907B5BD-D1C2-4D1B-BB0A-A03ABE8883A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10" name="Text Box 1">
          <a:extLst>
            <a:ext uri="{FF2B5EF4-FFF2-40B4-BE49-F238E27FC236}">
              <a16:creationId xmlns:a16="http://schemas.microsoft.com/office/drawing/2014/main" id="{4D734016-F42B-4234-A45F-3613E7B57A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1" name="Text Box 2">
          <a:extLst>
            <a:ext uri="{FF2B5EF4-FFF2-40B4-BE49-F238E27FC236}">
              <a16:creationId xmlns:a16="http://schemas.microsoft.com/office/drawing/2014/main" id="{89C53992-DA90-41A8-9F46-DF9F675B62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12" name="Text Box 1">
          <a:extLst>
            <a:ext uri="{FF2B5EF4-FFF2-40B4-BE49-F238E27FC236}">
              <a16:creationId xmlns:a16="http://schemas.microsoft.com/office/drawing/2014/main" id="{66EEE0E3-CFB7-41F8-A387-651767059B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3" name="Text Box 2">
          <a:extLst>
            <a:ext uri="{FF2B5EF4-FFF2-40B4-BE49-F238E27FC236}">
              <a16:creationId xmlns:a16="http://schemas.microsoft.com/office/drawing/2014/main" id="{4EF3ED7E-AC94-4688-A18C-499D2EC54B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14" name="Text Box 1">
          <a:extLst>
            <a:ext uri="{FF2B5EF4-FFF2-40B4-BE49-F238E27FC236}">
              <a16:creationId xmlns:a16="http://schemas.microsoft.com/office/drawing/2014/main" id="{0D1B22EA-10AC-4091-863C-F1C07BB9F6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5" name="Text Box 2">
          <a:extLst>
            <a:ext uri="{FF2B5EF4-FFF2-40B4-BE49-F238E27FC236}">
              <a16:creationId xmlns:a16="http://schemas.microsoft.com/office/drawing/2014/main" id="{EAA14D8C-3829-4990-B955-BFD332D734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16" name="Text Box 1">
          <a:extLst>
            <a:ext uri="{FF2B5EF4-FFF2-40B4-BE49-F238E27FC236}">
              <a16:creationId xmlns:a16="http://schemas.microsoft.com/office/drawing/2014/main" id="{552C0C29-33A9-4EC2-8B0A-752841BCDC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7" name="Text Box 2">
          <a:extLst>
            <a:ext uri="{FF2B5EF4-FFF2-40B4-BE49-F238E27FC236}">
              <a16:creationId xmlns:a16="http://schemas.microsoft.com/office/drawing/2014/main" id="{DBF1B868-9D63-4CFF-B50B-5CD0430FFA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18" name="Text Box 1">
          <a:extLst>
            <a:ext uri="{FF2B5EF4-FFF2-40B4-BE49-F238E27FC236}">
              <a16:creationId xmlns:a16="http://schemas.microsoft.com/office/drawing/2014/main" id="{5EDB3031-F9C6-4E86-87AE-88EF08DFE61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19" name="Text Box 2">
          <a:extLst>
            <a:ext uri="{FF2B5EF4-FFF2-40B4-BE49-F238E27FC236}">
              <a16:creationId xmlns:a16="http://schemas.microsoft.com/office/drawing/2014/main" id="{94C1E888-126C-49EF-9B6D-223E2D55FD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0" name="Text Box 1">
          <a:extLst>
            <a:ext uri="{FF2B5EF4-FFF2-40B4-BE49-F238E27FC236}">
              <a16:creationId xmlns:a16="http://schemas.microsoft.com/office/drawing/2014/main" id="{50FCC503-DCA0-4676-95FF-C1BA4F55E1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21" name="Text Box 2">
          <a:extLst>
            <a:ext uri="{FF2B5EF4-FFF2-40B4-BE49-F238E27FC236}">
              <a16:creationId xmlns:a16="http://schemas.microsoft.com/office/drawing/2014/main" id="{969588D8-6686-4335-97F2-E2E6DC17C5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2" name="Text Box 1">
          <a:extLst>
            <a:ext uri="{FF2B5EF4-FFF2-40B4-BE49-F238E27FC236}">
              <a16:creationId xmlns:a16="http://schemas.microsoft.com/office/drawing/2014/main" id="{3F366417-240B-4BBA-B0CE-3AF215CF34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23" name="Text Box 2">
          <a:extLst>
            <a:ext uri="{FF2B5EF4-FFF2-40B4-BE49-F238E27FC236}">
              <a16:creationId xmlns:a16="http://schemas.microsoft.com/office/drawing/2014/main" id="{05AA0188-DF0A-4582-A73F-801FF98450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4" name="Text Box 1">
          <a:extLst>
            <a:ext uri="{FF2B5EF4-FFF2-40B4-BE49-F238E27FC236}">
              <a16:creationId xmlns:a16="http://schemas.microsoft.com/office/drawing/2014/main" id="{B0ED10CA-ABF8-48F2-BB99-CF78C5F991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25" name="Text Box 2">
          <a:extLst>
            <a:ext uri="{FF2B5EF4-FFF2-40B4-BE49-F238E27FC236}">
              <a16:creationId xmlns:a16="http://schemas.microsoft.com/office/drawing/2014/main" id="{920DCABB-2A0B-4991-8968-5636102A93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6" name="Text Box 1">
          <a:extLst>
            <a:ext uri="{FF2B5EF4-FFF2-40B4-BE49-F238E27FC236}">
              <a16:creationId xmlns:a16="http://schemas.microsoft.com/office/drawing/2014/main" id="{E86918FE-8E2D-4844-B2A8-50FF85000D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27" name="Text Box 2">
          <a:extLst>
            <a:ext uri="{FF2B5EF4-FFF2-40B4-BE49-F238E27FC236}">
              <a16:creationId xmlns:a16="http://schemas.microsoft.com/office/drawing/2014/main" id="{17D3C7E7-DE61-418C-96EF-D6C8F57C7A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28" name="Text Box 1">
          <a:extLst>
            <a:ext uri="{FF2B5EF4-FFF2-40B4-BE49-F238E27FC236}">
              <a16:creationId xmlns:a16="http://schemas.microsoft.com/office/drawing/2014/main" id="{728733F3-5891-42E3-97F8-FC309ED6D9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29" name="Text Box 2">
          <a:extLst>
            <a:ext uri="{FF2B5EF4-FFF2-40B4-BE49-F238E27FC236}">
              <a16:creationId xmlns:a16="http://schemas.microsoft.com/office/drawing/2014/main" id="{B7B786E0-D03D-4B3C-A8D5-CBA92EA9BEC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30" name="Text Box 1">
          <a:extLst>
            <a:ext uri="{FF2B5EF4-FFF2-40B4-BE49-F238E27FC236}">
              <a16:creationId xmlns:a16="http://schemas.microsoft.com/office/drawing/2014/main" id="{568F5CF2-4C28-4065-8460-D5ECAF357D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1" name="Text Box 2">
          <a:extLst>
            <a:ext uri="{FF2B5EF4-FFF2-40B4-BE49-F238E27FC236}">
              <a16:creationId xmlns:a16="http://schemas.microsoft.com/office/drawing/2014/main" id="{89571917-BF6E-466C-8816-8F17DF8D6EE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32" name="Text Box 1">
          <a:extLst>
            <a:ext uri="{FF2B5EF4-FFF2-40B4-BE49-F238E27FC236}">
              <a16:creationId xmlns:a16="http://schemas.microsoft.com/office/drawing/2014/main" id="{F2B8B90A-E5F0-47F6-AF4A-4C08AA541F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3" name="Text Box 2">
          <a:extLst>
            <a:ext uri="{FF2B5EF4-FFF2-40B4-BE49-F238E27FC236}">
              <a16:creationId xmlns:a16="http://schemas.microsoft.com/office/drawing/2014/main" id="{8AEF91B7-43FB-4A1D-870D-0D8082BDA2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34" name="Text Box 1">
          <a:extLst>
            <a:ext uri="{FF2B5EF4-FFF2-40B4-BE49-F238E27FC236}">
              <a16:creationId xmlns:a16="http://schemas.microsoft.com/office/drawing/2014/main" id="{85B89BB6-2B08-433D-AEF7-BEE1391373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5" name="Text Box 2">
          <a:extLst>
            <a:ext uri="{FF2B5EF4-FFF2-40B4-BE49-F238E27FC236}">
              <a16:creationId xmlns:a16="http://schemas.microsoft.com/office/drawing/2014/main" id="{CCF3E666-E2D9-40D1-8993-E0DEF1F217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36" name="Text Box 1">
          <a:extLst>
            <a:ext uri="{FF2B5EF4-FFF2-40B4-BE49-F238E27FC236}">
              <a16:creationId xmlns:a16="http://schemas.microsoft.com/office/drawing/2014/main" id="{410D7B4C-FEBD-4F37-ADB0-12876143FE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7" name="Text Box 2">
          <a:extLst>
            <a:ext uri="{FF2B5EF4-FFF2-40B4-BE49-F238E27FC236}">
              <a16:creationId xmlns:a16="http://schemas.microsoft.com/office/drawing/2014/main" id="{923E32CF-03F1-4834-846D-C31AFF88DC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38" name="Text Box 1">
          <a:extLst>
            <a:ext uri="{FF2B5EF4-FFF2-40B4-BE49-F238E27FC236}">
              <a16:creationId xmlns:a16="http://schemas.microsoft.com/office/drawing/2014/main" id="{4084AA8A-D2C1-43C8-92EE-0883175597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39" name="Text Box 2">
          <a:extLst>
            <a:ext uri="{FF2B5EF4-FFF2-40B4-BE49-F238E27FC236}">
              <a16:creationId xmlns:a16="http://schemas.microsoft.com/office/drawing/2014/main" id="{23B6432E-1EA5-4EBE-8BCD-12D1A340FD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0" name="Text Box 1">
          <a:extLst>
            <a:ext uri="{FF2B5EF4-FFF2-40B4-BE49-F238E27FC236}">
              <a16:creationId xmlns:a16="http://schemas.microsoft.com/office/drawing/2014/main" id="{96644DF0-A90E-4378-A03E-066ACCC8B8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41" name="Text Box 2">
          <a:extLst>
            <a:ext uri="{FF2B5EF4-FFF2-40B4-BE49-F238E27FC236}">
              <a16:creationId xmlns:a16="http://schemas.microsoft.com/office/drawing/2014/main" id="{0B32066E-096B-47EC-A384-739E75BE5C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2" name="Text Box 1">
          <a:extLst>
            <a:ext uri="{FF2B5EF4-FFF2-40B4-BE49-F238E27FC236}">
              <a16:creationId xmlns:a16="http://schemas.microsoft.com/office/drawing/2014/main" id="{8E4A831C-B216-4507-A657-67B8E561F0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43" name="Text Box 2">
          <a:extLst>
            <a:ext uri="{FF2B5EF4-FFF2-40B4-BE49-F238E27FC236}">
              <a16:creationId xmlns:a16="http://schemas.microsoft.com/office/drawing/2014/main" id="{4DEE829C-89CE-4433-BF4B-D56760B8093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4" name="Text Box 1">
          <a:extLst>
            <a:ext uri="{FF2B5EF4-FFF2-40B4-BE49-F238E27FC236}">
              <a16:creationId xmlns:a16="http://schemas.microsoft.com/office/drawing/2014/main" id="{6F61CE8C-F65C-43B1-B852-7459602FDF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45" name="Text Box 2">
          <a:extLst>
            <a:ext uri="{FF2B5EF4-FFF2-40B4-BE49-F238E27FC236}">
              <a16:creationId xmlns:a16="http://schemas.microsoft.com/office/drawing/2014/main" id="{58208984-4348-4F59-B6E6-DB3D1D0C837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6" name="Text Box 1">
          <a:extLst>
            <a:ext uri="{FF2B5EF4-FFF2-40B4-BE49-F238E27FC236}">
              <a16:creationId xmlns:a16="http://schemas.microsoft.com/office/drawing/2014/main" id="{9AEE46B3-25FD-45FB-91A9-FFF62E33F6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47" name="Text Box 2">
          <a:extLst>
            <a:ext uri="{FF2B5EF4-FFF2-40B4-BE49-F238E27FC236}">
              <a16:creationId xmlns:a16="http://schemas.microsoft.com/office/drawing/2014/main" id="{62B32E44-2C5B-4AFF-8F53-9B166C51F3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48" name="Text Box 1">
          <a:extLst>
            <a:ext uri="{FF2B5EF4-FFF2-40B4-BE49-F238E27FC236}">
              <a16:creationId xmlns:a16="http://schemas.microsoft.com/office/drawing/2014/main" id="{34E8D962-9712-4C45-9999-EA0DA167EB1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49" name="Text Box 2">
          <a:extLst>
            <a:ext uri="{FF2B5EF4-FFF2-40B4-BE49-F238E27FC236}">
              <a16:creationId xmlns:a16="http://schemas.microsoft.com/office/drawing/2014/main" id="{5F521F6D-F7A7-427B-9EAA-4D104194BA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50" name="Text Box 1">
          <a:extLst>
            <a:ext uri="{FF2B5EF4-FFF2-40B4-BE49-F238E27FC236}">
              <a16:creationId xmlns:a16="http://schemas.microsoft.com/office/drawing/2014/main" id="{48D9FC10-C5DA-4CCB-B0AC-77A0C30A32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1" name="Text Box 2">
          <a:extLst>
            <a:ext uri="{FF2B5EF4-FFF2-40B4-BE49-F238E27FC236}">
              <a16:creationId xmlns:a16="http://schemas.microsoft.com/office/drawing/2014/main" id="{645FDCAA-FFCC-422D-B854-ABE977F780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52" name="Text Box 1">
          <a:extLst>
            <a:ext uri="{FF2B5EF4-FFF2-40B4-BE49-F238E27FC236}">
              <a16:creationId xmlns:a16="http://schemas.microsoft.com/office/drawing/2014/main" id="{D40A9A3B-A0B9-4497-B33E-639A1BF382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3" name="Text Box 2">
          <a:extLst>
            <a:ext uri="{FF2B5EF4-FFF2-40B4-BE49-F238E27FC236}">
              <a16:creationId xmlns:a16="http://schemas.microsoft.com/office/drawing/2014/main" id="{2F5C1636-1967-4D57-91D0-6F7DA2DE2B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54" name="Text Box 1">
          <a:extLst>
            <a:ext uri="{FF2B5EF4-FFF2-40B4-BE49-F238E27FC236}">
              <a16:creationId xmlns:a16="http://schemas.microsoft.com/office/drawing/2014/main" id="{01A243A2-23EF-485F-92B0-066C6BC6B4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5" name="Text Box 2">
          <a:extLst>
            <a:ext uri="{FF2B5EF4-FFF2-40B4-BE49-F238E27FC236}">
              <a16:creationId xmlns:a16="http://schemas.microsoft.com/office/drawing/2014/main" id="{A41D9295-BEB4-4E31-B9DE-EBD80075D1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56" name="Text Box 1">
          <a:extLst>
            <a:ext uri="{FF2B5EF4-FFF2-40B4-BE49-F238E27FC236}">
              <a16:creationId xmlns:a16="http://schemas.microsoft.com/office/drawing/2014/main" id="{A0791456-697F-47E9-94C5-A25090D0F8D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7" name="Text Box 2">
          <a:extLst>
            <a:ext uri="{FF2B5EF4-FFF2-40B4-BE49-F238E27FC236}">
              <a16:creationId xmlns:a16="http://schemas.microsoft.com/office/drawing/2014/main" id="{0A135F55-018E-40AA-94FF-149D47C0E6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58" name="Text Box 1">
          <a:extLst>
            <a:ext uri="{FF2B5EF4-FFF2-40B4-BE49-F238E27FC236}">
              <a16:creationId xmlns:a16="http://schemas.microsoft.com/office/drawing/2014/main" id="{63ABCBAE-CEF2-43D6-AE72-49C97F309F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59" name="Text Box 2">
          <a:extLst>
            <a:ext uri="{FF2B5EF4-FFF2-40B4-BE49-F238E27FC236}">
              <a16:creationId xmlns:a16="http://schemas.microsoft.com/office/drawing/2014/main" id="{DFD40DCF-BFFC-4CE8-92BD-7E2EC783E1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0" name="Text Box 1">
          <a:extLst>
            <a:ext uri="{FF2B5EF4-FFF2-40B4-BE49-F238E27FC236}">
              <a16:creationId xmlns:a16="http://schemas.microsoft.com/office/drawing/2014/main" id="{08E1C702-2365-46BC-858D-B8268527BE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61" name="Text Box 2">
          <a:extLst>
            <a:ext uri="{FF2B5EF4-FFF2-40B4-BE49-F238E27FC236}">
              <a16:creationId xmlns:a16="http://schemas.microsoft.com/office/drawing/2014/main" id="{5FB36AFE-46E4-47E5-9783-28DD8B4F9E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2" name="Text Box 1">
          <a:extLst>
            <a:ext uri="{FF2B5EF4-FFF2-40B4-BE49-F238E27FC236}">
              <a16:creationId xmlns:a16="http://schemas.microsoft.com/office/drawing/2014/main" id="{BC940513-8C79-4E5C-973D-33490806BB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63" name="Text Box 2">
          <a:extLst>
            <a:ext uri="{FF2B5EF4-FFF2-40B4-BE49-F238E27FC236}">
              <a16:creationId xmlns:a16="http://schemas.microsoft.com/office/drawing/2014/main" id="{97307A4D-B320-49EB-B9BA-3266CD8036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4" name="Text Box 1">
          <a:extLst>
            <a:ext uri="{FF2B5EF4-FFF2-40B4-BE49-F238E27FC236}">
              <a16:creationId xmlns:a16="http://schemas.microsoft.com/office/drawing/2014/main" id="{0852FAC5-F86B-4E14-8E8E-FF208D1DE0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65" name="Text Box 2">
          <a:extLst>
            <a:ext uri="{FF2B5EF4-FFF2-40B4-BE49-F238E27FC236}">
              <a16:creationId xmlns:a16="http://schemas.microsoft.com/office/drawing/2014/main" id="{CE618439-BE77-4236-A35F-F213A1A308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6" name="Text Box 1">
          <a:extLst>
            <a:ext uri="{FF2B5EF4-FFF2-40B4-BE49-F238E27FC236}">
              <a16:creationId xmlns:a16="http://schemas.microsoft.com/office/drawing/2014/main" id="{D4592047-4405-4631-AC84-5009F51ABD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67" name="Text Box 2">
          <a:extLst>
            <a:ext uri="{FF2B5EF4-FFF2-40B4-BE49-F238E27FC236}">
              <a16:creationId xmlns:a16="http://schemas.microsoft.com/office/drawing/2014/main" id="{18CDC48C-75B5-4DE7-AA54-1077118A0C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68" name="Text Box 1">
          <a:extLst>
            <a:ext uri="{FF2B5EF4-FFF2-40B4-BE49-F238E27FC236}">
              <a16:creationId xmlns:a16="http://schemas.microsoft.com/office/drawing/2014/main" id="{4B168516-8E8F-464E-BF37-2F2F4B3E229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69" name="Text Box 2">
          <a:extLst>
            <a:ext uri="{FF2B5EF4-FFF2-40B4-BE49-F238E27FC236}">
              <a16:creationId xmlns:a16="http://schemas.microsoft.com/office/drawing/2014/main" id="{E2359449-D257-494E-BC87-EB8B421F61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70" name="Text Box 1">
          <a:extLst>
            <a:ext uri="{FF2B5EF4-FFF2-40B4-BE49-F238E27FC236}">
              <a16:creationId xmlns:a16="http://schemas.microsoft.com/office/drawing/2014/main" id="{314D14AC-FFAB-435F-AF19-CAE49FA0B0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1" name="Text Box 2">
          <a:extLst>
            <a:ext uri="{FF2B5EF4-FFF2-40B4-BE49-F238E27FC236}">
              <a16:creationId xmlns:a16="http://schemas.microsoft.com/office/drawing/2014/main" id="{09EC9FE1-3CEB-4439-84EE-C2CBD729AD5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72" name="Text Box 1">
          <a:extLst>
            <a:ext uri="{FF2B5EF4-FFF2-40B4-BE49-F238E27FC236}">
              <a16:creationId xmlns:a16="http://schemas.microsoft.com/office/drawing/2014/main" id="{250EFE42-C7C6-4167-9E60-08B8BA9476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3" name="Text Box 2">
          <a:extLst>
            <a:ext uri="{FF2B5EF4-FFF2-40B4-BE49-F238E27FC236}">
              <a16:creationId xmlns:a16="http://schemas.microsoft.com/office/drawing/2014/main" id="{87C8CC59-5406-438B-84B3-AD5361D46A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74" name="Text Box 1">
          <a:extLst>
            <a:ext uri="{FF2B5EF4-FFF2-40B4-BE49-F238E27FC236}">
              <a16:creationId xmlns:a16="http://schemas.microsoft.com/office/drawing/2014/main" id="{BBB07940-BA9B-4977-84E9-8145B9C2A8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5" name="Text Box 2">
          <a:extLst>
            <a:ext uri="{FF2B5EF4-FFF2-40B4-BE49-F238E27FC236}">
              <a16:creationId xmlns:a16="http://schemas.microsoft.com/office/drawing/2014/main" id="{2AB7CBC9-7150-478B-B40B-75DAF8DB21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76" name="Text Box 1">
          <a:extLst>
            <a:ext uri="{FF2B5EF4-FFF2-40B4-BE49-F238E27FC236}">
              <a16:creationId xmlns:a16="http://schemas.microsoft.com/office/drawing/2014/main" id="{BE85BA6A-F4B5-4989-AF22-3973865E14F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7" name="Text Box 2">
          <a:extLst>
            <a:ext uri="{FF2B5EF4-FFF2-40B4-BE49-F238E27FC236}">
              <a16:creationId xmlns:a16="http://schemas.microsoft.com/office/drawing/2014/main" id="{A93B3A68-5F66-48FC-AEA2-E6B8D7066C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78" name="Text Box 1">
          <a:extLst>
            <a:ext uri="{FF2B5EF4-FFF2-40B4-BE49-F238E27FC236}">
              <a16:creationId xmlns:a16="http://schemas.microsoft.com/office/drawing/2014/main" id="{7E3CA1C5-FDAB-4CA7-83AA-ADE12BE507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79" name="Text Box 2">
          <a:extLst>
            <a:ext uri="{FF2B5EF4-FFF2-40B4-BE49-F238E27FC236}">
              <a16:creationId xmlns:a16="http://schemas.microsoft.com/office/drawing/2014/main" id="{BA1EEAA6-1AD3-4C66-BDDC-8DD7F9D632E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0" name="Text Box 1">
          <a:extLst>
            <a:ext uri="{FF2B5EF4-FFF2-40B4-BE49-F238E27FC236}">
              <a16:creationId xmlns:a16="http://schemas.microsoft.com/office/drawing/2014/main" id="{F59D7264-056B-4BF7-9D9E-BD3FB83538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81" name="Text Box 2">
          <a:extLst>
            <a:ext uri="{FF2B5EF4-FFF2-40B4-BE49-F238E27FC236}">
              <a16:creationId xmlns:a16="http://schemas.microsoft.com/office/drawing/2014/main" id="{014277D9-BE0F-4FAC-8CB8-2401C8070D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2" name="Text Box 1">
          <a:extLst>
            <a:ext uri="{FF2B5EF4-FFF2-40B4-BE49-F238E27FC236}">
              <a16:creationId xmlns:a16="http://schemas.microsoft.com/office/drawing/2014/main" id="{51B2D3C9-3D18-44A0-92B7-4F25C42DD4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83" name="Text Box 2">
          <a:extLst>
            <a:ext uri="{FF2B5EF4-FFF2-40B4-BE49-F238E27FC236}">
              <a16:creationId xmlns:a16="http://schemas.microsoft.com/office/drawing/2014/main" id="{C5115FE6-A4E3-4B36-AAB8-3E8FADC09C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4" name="Text Box 1">
          <a:extLst>
            <a:ext uri="{FF2B5EF4-FFF2-40B4-BE49-F238E27FC236}">
              <a16:creationId xmlns:a16="http://schemas.microsoft.com/office/drawing/2014/main" id="{3557AAF4-E7FA-44AA-84FA-DFA7CEA725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85" name="Text Box 2">
          <a:extLst>
            <a:ext uri="{FF2B5EF4-FFF2-40B4-BE49-F238E27FC236}">
              <a16:creationId xmlns:a16="http://schemas.microsoft.com/office/drawing/2014/main" id="{337A89AA-134F-4056-AD66-41A5A5695E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6" name="Text Box 1">
          <a:extLst>
            <a:ext uri="{FF2B5EF4-FFF2-40B4-BE49-F238E27FC236}">
              <a16:creationId xmlns:a16="http://schemas.microsoft.com/office/drawing/2014/main" id="{DCB7C22C-8962-4D04-854F-9628A7166B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87" name="Text Box 2">
          <a:extLst>
            <a:ext uri="{FF2B5EF4-FFF2-40B4-BE49-F238E27FC236}">
              <a16:creationId xmlns:a16="http://schemas.microsoft.com/office/drawing/2014/main" id="{8899F849-17EF-4946-AE6F-FBEF0B5BA3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88" name="Text Box 1">
          <a:extLst>
            <a:ext uri="{FF2B5EF4-FFF2-40B4-BE49-F238E27FC236}">
              <a16:creationId xmlns:a16="http://schemas.microsoft.com/office/drawing/2014/main" id="{72CFB73B-B2D2-48B5-9D93-F05EC5A3F9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89" name="Text Box 2">
          <a:extLst>
            <a:ext uri="{FF2B5EF4-FFF2-40B4-BE49-F238E27FC236}">
              <a16:creationId xmlns:a16="http://schemas.microsoft.com/office/drawing/2014/main" id="{86B71438-D893-4C3E-BB7D-6CADB9B7FF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90" name="Text Box 1">
          <a:extLst>
            <a:ext uri="{FF2B5EF4-FFF2-40B4-BE49-F238E27FC236}">
              <a16:creationId xmlns:a16="http://schemas.microsoft.com/office/drawing/2014/main" id="{6B6E616C-8999-46CC-8DAC-79A05AA765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1" name="Text Box 2">
          <a:extLst>
            <a:ext uri="{FF2B5EF4-FFF2-40B4-BE49-F238E27FC236}">
              <a16:creationId xmlns:a16="http://schemas.microsoft.com/office/drawing/2014/main" id="{B8D32F1D-DF8B-4AAB-B133-1425659A81E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92" name="Text Box 1">
          <a:extLst>
            <a:ext uri="{FF2B5EF4-FFF2-40B4-BE49-F238E27FC236}">
              <a16:creationId xmlns:a16="http://schemas.microsoft.com/office/drawing/2014/main" id="{ED658003-5D90-444B-9568-0C22925F380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3" name="Text Box 2">
          <a:extLst>
            <a:ext uri="{FF2B5EF4-FFF2-40B4-BE49-F238E27FC236}">
              <a16:creationId xmlns:a16="http://schemas.microsoft.com/office/drawing/2014/main" id="{C0B7F5BD-4D8C-4AF9-B5D9-7252D0F03E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94" name="Text Box 1">
          <a:extLst>
            <a:ext uri="{FF2B5EF4-FFF2-40B4-BE49-F238E27FC236}">
              <a16:creationId xmlns:a16="http://schemas.microsoft.com/office/drawing/2014/main" id="{24B4BF08-E710-4C92-9286-AE05451BE6D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5" name="Text Box 2">
          <a:extLst>
            <a:ext uri="{FF2B5EF4-FFF2-40B4-BE49-F238E27FC236}">
              <a16:creationId xmlns:a16="http://schemas.microsoft.com/office/drawing/2014/main" id="{0BD86D55-5794-4533-9204-9DB5D4BB455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96" name="Text Box 1">
          <a:extLst>
            <a:ext uri="{FF2B5EF4-FFF2-40B4-BE49-F238E27FC236}">
              <a16:creationId xmlns:a16="http://schemas.microsoft.com/office/drawing/2014/main" id="{C5E5123C-C587-4D58-BF51-7BEA56450F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7" name="Text Box 2">
          <a:extLst>
            <a:ext uri="{FF2B5EF4-FFF2-40B4-BE49-F238E27FC236}">
              <a16:creationId xmlns:a16="http://schemas.microsoft.com/office/drawing/2014/main" id="{4C532A3B-4387-42E6-8186-E8396AE3A6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298" name="Text Box 1">
          <a:extLst>
            <a:ext uri="{FF2B5EF4-FFF2-40B4-BE49-F238E27FC236}">
              <a16:creationId xmlns:a16="http://schemas.microsoft.com/office/drawing/2014/main" id="{FCEB9686-CCAC-4FF5-A31F-AD198CE65D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299" name="Text Box 2">
          <a:extLst>
            <a:ext uri="{FF2B5EF4-FFF2-40B4-BE49-F238E27FC236}">
              <a16:creationId xmlns:a16="http://schemas.microsoft.com/office/drawing/2014/main" id="{B63F9506-EFB9-4B34-BD14-E30E8D3CF3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0" name="Text Box 1">
          <a:extLst>
            <a:ext uri="{FF2B5EF4-FFF2-40B4-BE49-F238E27FC236}">
              <a16:creationId xmlns:a16="http://schemas.microsoft.com/office/drawing/2014/main" id="{2DD57D91-5DD2-4232-B4B1-3E36E6B5B0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01" name="Text Box 2">
          <a:extLst>
            <a:ext uri="{FF2B5EF4-FFF2-40B4-BE49-F238E27FC236}">
              <a16:creationId xmlns:a16="http://schemas.microsoft.com/office/drawing/2014/main" id="{DEBD9159-7231-4FDB-BB05-FEE7F40094B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3C05A838-1E9C-4075-A83D-92BA59D12A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03" name="Text Box 2">
          <a:extLst>
            <a:ext uri="{FF2B5EF4-FFF2-40B4-BE49-F238E27FC236}">
              <a16:creationId xmlns:a16="http://schemas.microsoft.com/office/drawing/2014/main" id="{E0527BC0-6378-4484-B218-A26441D339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4" name="Text Box 1">
          <a:extLst>
            <a:ext uri="{FF2B5EF4-FFF2-40B4-BE49-F238E27FC236}">
              <a16:creationId xmlns:a16="http://schemas.microsoft.com/office/drawing/2014/main" id="{151A092C-DE5B-475B-A451-9D6FFEB4589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05" name="Text Box 2">
          <a:extLst>
            <a:ext uri="{FF2B5EF4-FFF2-40B4-BE49-F238E27FC236}">
              <a16:creationId xmlns:a16="http://schemas.microsoft.com/office/drawing/2014/main" id="{AF149C66-214F-46DF-A0B0-5EF53C082B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6" name="Text Box 1">
          <a:extLst>
            <a:ext uri="{FF2B5EF4-FFF2-40B4-BE49-F238E27FC236}">
              <a16:creationId xmlns:a16="http://schemas.microsoft.com/office/drawing/2014/main" id="{C3FF9262-3A49-4670-8B57-C062718D0A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07" name="Text Box 2">
          <a:extLst>
            <a:ext uri="{FF2B5EF4-FFF2-40B4-BE49-F238E27FC236}">
              <a16:creationId xmlns:a16="http://schemas.microsoft.com/office/drawing/2014/main" id="{3D8D6135-D768-448A-A21C-8ABB42C59D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08" name="Text Box 1">
          <a:extLst>
            <a:ext uri="{FF2B5EF4-FFF2-40B4-BE49-F238E27FC236}">
              <a16:creationId xmlns:a16="http://schemas.microsoft.com/office/drawing/2014/main" id="{137A7B56-623D-42F5-887A-DB9B6A1511C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09" name="Text Box 2">
          <a:extLst>
            <a:ext uri="{FF2B5EF4-FFF2-40B4-BE49-F238E27FC236}">
              <a16:creationId xmlns:a16="http://schemas.microsoft.com/office/drawing/2014/main" id="{C260DAA5-2A11-43FD-B7DB-7305BB35FD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10" name="Text Box 1">
          <a:extLst>
            <a:ext uri="{FF2B5EF4-FFF2-40B4-BE49-F238E27FC236}">
              <a16:creationId xmlns:a16="http://schemas.microsoft.com/office/drawing/2014/main" id="{C238F780-9ECC-4464-B513-740E35C664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1" name="Text Box 2">
          <a:extLst>
            <a:ext uri="{FF2B5EF4-FFF2-40B4-BE49-F238E27FC236}">
              <a16:creationId xmlns:a16="http://schemas.microsoft.com/office/drawing/2014/main" id="{E7AE0DFE-1753-432E-9EDA-FCDC26168A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12" name="Text Box 1">
          <a:extLst>
            <a:ext uri="{FF2B5EF4-FFF2-40B4-BE49-F238E27FC236}">
              <a16:creationId xmlns:a16="http://schemas.microsoft.com/office/drawing/2014/main" id="{45B129B2-6B36-493D-B160-CADD1A91A1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3" name="Text Box 2">
          <a:extLst>
            <a:ext uri="{FF2B5EF4-FFF2-40B4-BE49-F238E27FC236}">
              <a16:creationId xmlns:a16="http://schemas.microsoft.com/office/drawing/2014/main" id="{B3E05A4C-AFE2-408F-89C2-BD2D9F6963E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14" name="Text Box 1">
          <a:extLst>
            <a:ext uri="{FF2B5EF4-FFF2-40B4-BE49-F238E27FC236}">
              <a16:creationId xmlns:a16="http://schemas.microsoft.com/office/drawing/2014/main" id="{391B2564-43DC-41F0-9262-6DAB371B3F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5" name="Text Box 2">
          <a:extLst>
            <a:ext uri="{FF2B5EF4-FFF2-40B4-BE49-F238E27FC236}">
              <a16:creationId xmlns:a16="http://schemas.microsoft.com/office/drawing/2014/main" id="{B536C1D6-27E5-4BE1-968A-C86FF2102C8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16" name="Text Box 1">
          <a:extLst>
            <a:ext uri="{FF2B5EF4-FFF2-40B4-BE49-F238E27FC236}">
              <a16:creationId xmlns:a16="http://schemas.microsoft.com/office/drawing/2014/main" id="{CA89C35C-38AE-4A25-A339-F4F805DDA0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7" name="Text Box 2">
          <a:extLst>
            <a:ext uri="{FF2B5EF4-FFF2-40B4-BE49-F238E27FC236}">
              <a16:creationId xmlns:a16="http://schemas.microsoft.com/office/drawing/2014/main" id="{4065FCB1-A64E-4381-8FB7-4BB819778F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18" name="Text Box 1">
          <a:extLst>
            <a:ext uri="{FF2B5EF4-FFF2-40B4-BE49-F238E27FC236}">
              <a16:creationId xmlns:a16="http://schemas.microsoft.com/office/drawing/2014/main" id="{AC8097AC-7DD0-4E9F-B833-F40994DA0C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19" name="Text Box 2">
          <a:extLst>
            <a:ext uri="{FF2B5EF4-FFF2-40B4-BE49-F238E27FC236}">
              <a16:creationId xmlns:a16="http://schemas.microsoft.com/office/drawing/2014/main" id="{6C1943AC-16F9-4D7D-80F3-BB4F81FF6B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0" name="Text Box 1">
          <a:extLst>
            <a:ext uri="{FF2B5EF4-FFF2-40B4-BE49-F238E27FC236}">
              <a16:creationId xmlns:a16="http://schemas.microsoft.com/office/drawing/2014/main" id="{A44B7E9F-9EBC-4B60-8EF1-84E3806016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21" name="Text Box 2">
          <a:extLst>
            <a:ext uri="{FF2B5EF4-FFF2-40B4-BE49-F238E27FC236}">
              <a16:creationId xmlns:a16="http://schemas.microsoft.com/office/drawing/2014/main" id="{E776D753-8B30-447F-9FF1-0D2752F62B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2" name="Text Box 1">
          <a:extLst>
            <a:ext uri="{FF2B5EF4-FFF2-40B4-BE49-F238E27FC236}">
              <a16:creationId xmlns:a16="http://schemas.microsoft.com/office/drawing/2014/main" id="{45D8FE5C-40C3-4A11-9C93-8A890F3FCA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23" name="Text Box 2">
          <a:extLst>
            <a:ext uri="{FF2B5EF4-FFF2-40B4-BE49-F238E27FC236}">
              <a16:creationId xmlns:a16="http://schemas.microsoft.com/office/drawing/2014/main" id="{2EF043C0-3140-43AA-8118-A0F3144DC8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4" name="Text Box 1">
          <a:extLst>
            <a:ext uri="{FF2B5EF4-FFF2-40B4-BE49-F238E27FC236}">
              <a16:creationId xmlns:a16="http://schemas.microsoft.com/office/drawing/2014/main" id="{39C5BA52-F76F-49CA-903D-40ECB944CF5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25" name="Text Box 2">
          <a:extLst>
            <a:ext uri="{FF2B5EF4-FFF2-40B4-BE49-F238E27FC236}">
              <a16:creationId xmlns:a16="http://schemas.microsoft.com/office/drawing/2014/main" id="{F45C57B5-CA6A-46A1-93C7-7A8BA603E5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6" name="Text Box 1">
          <a:extLst>
            <a:ext uri="{FF2B5EF4-FFF2-40B4-BE49-F238E27FC236}">
              <a16:creationId xmlns:a16="http://schemas.microsoft.com/office/drawing/2014/main" id="{13DC7CE5-B908-42CF-B8A1-4C138163F4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27" name="Text Box 2">
          <a:extLst>
            <a:ext uri="{FF2B5EF4-FFF2-40B4-BE49-F238E27FC236}">
              <a16:creationId xmlns:a16="http://schemas.microsoft.com/office/drawing/2014/main" id="{B41D2B40-B827-4C46-89E0-529EFC6E9C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28" name="Text Box 1">
          <a:extLst>
            <a:ext uri="{FF2B5EF4-FFF2-40B4-BE49-F238E27FC236}">
              <a16:creationId xmlns:a16="http://schemas.microsoft.com/office/drawing/2014/main" id="{E2ACC99D-DACA-49B5-8123-9906BD57A7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29" name="Text Box 2">
          <a:extLst>
            <a:ext uri="{FF2B5EF4-FFF2-40B4-BE49-F238E27FC236}">
              <a16:creationId xmlns:a16="http://schemas.microsoft.com/office/drawing/2014/main" id="{CEA60F5F-E845-4B4D-8BFB-F3C750FC1D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30" name="Text Box 1">
          <a:extLst>
            <a:ext uri="{FF2B5EF4-FFF2-40B4-BE49-F238E27FC236}">
              <a16:creationId xmlns:a16="http://schemas.microsoft.com/office/drawing/2014/main" id="{29F09899-BF3C-4721-B70E-4CBFCAA0A9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1" name="Text Box 2">
          <a:extLst>
            <a:ext uri="{FF2B5EF4-FFF2-40B4-BE49-F238E27FC236}">
              <a16:creationId xmlns:a16="http://schemas.microsoft.com/office/drawing/2014/main" id="{E66F1D06-6BA0-43A7-9A2E-F973A0CA96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32" name="Text Box 1">
          <a:extLst>
            <a:ext uri="{FF2B5EF4-FFF2-40B4-BE49-F238E27FC236}">
              <a16:creationId xmlns:a16="http://schemas.microsoft.com/office/drawing/2014/main" id="{564C60E2-B432-40E0-973F-194F11B481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3" name="Text Box 2">
          <a:extLst>
            <a:ext uri="{FF2B5EF4-FFF2-40B4-BE49-F238E27FC236}">
              <a16:creationId xmlns:a16="http://schemas.microsoft.com/office/drawing/2014/main" id="{65EEF77C-E47E-468F-ABDD-6373AED774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34" name="Text Box 1">
          <a:extLst>
            <a:ext uri="{FF2B5EF4-FFF2-40B4-BE49-F238E27FC236}">
              <a16:creationId xmlns:a16="http://schemas.microsoft.com/office/drawing/2014/main" id="{8E5AF3EF-ABD9-4A4E-BCBC-4A574B19ED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5" name="Text Box 2">
          <a:extLst>
            <a:ext uri="{FF2B5EF4-FFF2-40B4-BE49-F238E27FC236}">
              <a16:creationId xmlns:a16="http://schemas.microsoft.com/office/drawing/2014/main" id="{3C063779-FE59-4AD1-AB7D-42FC86A1CB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36" name="Text Box 1">
          <a:extLst>
            <a:ext uri="{FF2B5EF4-FFF2-40B4-BE49-F238E27FC236}">
              <a16:creationId xmlns:a16="http://schemas.microsoft.com/office/drawing/2014/main" id="{C4CC59A8-681C-4C26-98AC-77ABC9E2EE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7" name="Text Box 2">
          <a:extLst>
            <a:ext uri="{FF2B5EF4-FFF2-40B4-BE49-F238E27FC236}">
              <a16:creationId xmlns:a16="http://schemas.microsoft.com/office/drawing/2014/main" id="{21D6561E-0819-4ED5-A870-EC52448462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38" name="Text Box 1">
          <a:extLst>
            <a:ext uri="{FF2B5EF4-FFF2-40B4-BE49-F238E27FC236}">
              <a16:creationId xmlns:a16="http://schemas.microsoft.com/office/drawing/2014/main" id="{F666F630-A241-4654-9A83-8EEE7F6174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39" name="Text Box 2">
          <a:extLst>
            <a:ext uri="{FF2B5EF4-FFF2-40B4-BE49-F238E27FC236}">
              <a16:creationId xmlns:a16="http://schemas.microsoft.com/office/drawing/2014/main" id="{7874E856-BD35-40CA-B0B7-2EB51CAF29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0" name="Text Box 1">
          <a:extLst>
            <a:ext uri="{FF2B5EF4-FFF2-40B4-BE49-F238E27FC236}">
              <a16:creationId xmlns:a16="http://schemas.microsoft.com/office/drawing/2014/main" id="{E1DB239A-1FFB-49C4-B9AD-71DA09554D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41" name="Text Box 2">
          <a:extLst>
            <a:ext uri="{FF2B5EF4-FFF2-40B4-BE49-F238E27FC236}">
              <a16:creationId xmlns:a16="http://schemas.microsoft.com/office/drawing/2014/main" id="{2A73AF3C-0B92-48C7-AE17-377CF0347A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2" name="Text Box 1">
          <a:extLst>
            <a:ext uri="{FF2B5EF4-FFF2-40B4-BE49-F238E27FC236}">
              <a16:creationId xmlns:a16="http://schemas.microsoft.com/office/drawing/2014/main" id="{9EB7F932-F4AB-48A4-A43A-71270ABF45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43" name="Text Box 2">
          <a:extLst>
            <a:ext uri="{FF2B5EF4-FFF2-40B4-BE49-F238E27FC236}">
              <a16:creationId xmlns:a16="http://schemas.microsoft.com/office/drawing/2014/main" id="{E2A7EAA5-BDFF-4528-932B-B5B4A4375C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4" name="Text Box 1">
          <a:extLst>
            <a:ext uri="{FF2B5EF4-FFF2-40B4-BE49-F238E27FC236}">
              <a16:creationId xmlns:a16="http://schemas.microsoft.com/office/drawing/2014/main" id="{1CEBA408-C5D3-45C7-B847-CAC870F584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45" name="Text Box 2">
          <a:extLst>
            <a:ext uri="{FF2B5EF4-FFF2-40B4-BE49-F238E27FC236}">
              <a16:creationId xmlns:a16="http://schemas.microsoft.com/office/drawing/2014/main" id="{473835E3-7C87-4C53-B7FA-DC07B835D5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6" name="Text Box 1">
          <a:extLst>
            <a:ext uri="{FF2B5EF4-FFF2-40B4-BE49-F238E27FC236}">
              <a16:creationId xmlns:a16="http://schemas.microsoft.com/office/drawing/2014/main" id="{742932C2-8036-4F52-BBCB-80BD719861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47" name="Text Box 2">
          <a:extLst>
            <a:ext uri="{FF2B5EF4-FFF2-40B4-BE49-F238E27FC236}">
              <a16:creationId xmlns:a16="http://schemas.microsoft.com/office/drawing/2014/main" id="{58E495B0-9D7A-438D-A68B-A6F99138C2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48" name="Text Box 1">
          <a:extLst>
            <a:ext uri="{FF2B5EF4-FFF2-40B4-BE49-F238E27FC236}">
              <a16:creationId xmlns:a16="http://schemas.microsoft.com/office/drawing/2014/main" id="{D63B5F67-900F-437A-81FB-19748B13F9D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49" name="Text Box 2">
          <a:extLst>
            <a:ext uri="{FF2B5EF4-FFF2-40B4-BE49-F238E27FC236}">
              <a16:creationId xmlns:a16="http://schemas.microsoft.com/office/drawing/2014/main" id="{769D0E4F-8257-4427-AA7F-AB11BD7BD2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50" name="Text Box 1">
          <a:extLst>
            <a:ext uri="{FF2B5EF4-FFF2-40B4-BE49-F238E27FC236}">
              <a16:creationId xmlns:a16="http://schemas.microsoft.com/office/drawing/2014/main" id="{58A95165-1B58-4026-9E2C-847F2EBB4F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1" name="Text Box 2">
          <a:extLst>
            <a:ext uri="{FF2B5EF4-FFF2-40B4-BE49-F238E27FC236}">
              <a16:creationId xmlns:a16="http://schemas.microsoft.com/office/drawing/2014/main" id="{622E53D1-0912-4296-8105-1C971DF0D0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52" name="Text Box 1">
          <a:extLst>
            <a:ext uri="{FF2B5EF4-FFF2-40B4-BE49-F238E27FC236}">
              <a16:creationId xmlns:a16="http://schemas.microsoft.com/office/drawing/2014/main" id="{C9569FBF-ECBA-4265-A8D2-B142BE4BE2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3" name="Text Box 2">
          <a:extLst>
            <a:ext uri="{FF2B5EF4-FFF2-40B4-BE49-F238E27FC236}">
              <a16:creationId xmlns:a16="http://schemas.microsoft.com/office/drawing/2014/main" id="{1933136A-37B7-4D92-B15F-66A70AA81CE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54" name="Text Box 1">
          <a:extLst>
            <a:ext uri="{FF2B5EF4-FFF2-40B4-BE49-F238E27FC236}">
              <a16:creationId xmlns:a16="http://schemas.microsoft.com/office/drawing/2014/main" id="{F91EDBCD-C6B2-49CF-AED1-331EBB7D21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5" name="Text Box 2">
          <a:extLst>
            <a:ext uri="{FF2B5EF4-FFF2-40B4-BE49-F238E27FC236}">
              <a16:creationId xmlns:a16="http://schemas.microsoft.com/office/drawing/2014/main" id="{51E2715B-235A-4DA0-8E3A-1388D489F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56" name="Text Box 1">
          <a:extLst>
            <a:ext uri="{FF2B5EF4-FFF2-40B4-BE49-F238E27FC236}">
              <a16:creationId xmlns:a16="http://schemas.microsoft.com/office/drawing/2014/main" id="{57BBC9D9-68C0-4B7A-A417-23162161EE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7" name="Text Box 2">
          <a:extLst>
            <a:ext uri="{FF2B5EF4-FFF2-40B4-BE49-F238E27FC236}">
              <a16:creationId xmlns:a16="http://schemas.microsoft.com/office/drawing/2014/main" id="{381A1DEE-77CA-4DDC-B71B-EFF2D91556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58" name="Text Box 1">
          <a:extLst>
            <a:ext uri="{FF2B5EF4-FFF2-40B4-BE49-F238E27FC236}">
              <a16:creationId xmlns:a16="http://schemas.microsoft.com/office/drawing/2014/main" id="{8FE93EC3-1DB2-4F13-AB3E-4A60CE0EFB8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59" name="Text Box 2">
          <a:extLst>
            <a:ext uri="{FF2B5EF4-FFF2-40B4-BE49-F238E27FC236}">
              <a16:creationId xmlns:a16="http://schemas.microsoft.com/office/drawing/2014/main" id="{8F4CA9D7-5AA5-4CC7-9BC1-D12BFA3607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0" name="Text Box 1">
          <a:extLst>
            <a:ext uri="{FF2B5EF4-FFF2-40B4-BE49-F238E27FC236}">
              <a16:creationId xmlns:a16="http://schemas.microsoft.com/office/drawing/2014/main" id="{DA3B0D0B-48B1-4501-8C1F-233E5BA415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61" name="Text Box 2">
          <a:extLst>
            <a:ext uri="{FF2B5EF4-FFF2-40B4-BE49-F238E27FC236}">
              <a16:creationId xmlns:a16="http://schemas.microsoft.com/office/drawing/2014/main" id="{D8A457F1-E1F7-4199-A90A-14E8F4D9A0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2" name="Text Box 1">
          <a:extLst>
            <a:ext uri="{FF2B5EF4-FFF2-40B4-BE49-F238E27FC236}">
              <a16:creationId xmlns:a16="http://schemas.microsoft.com/office/drawing/2014/main" id="{492FBD81-56C5-426B-ACA8-C4EAFAA908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63" name="Text Box 2">
          <a:extLst>
            <a:ext uri="{FF2B5EF4-FFF2-40B4-BE49-F238E27FC236}">
              <a16:creationId xmlns:a16="http://schemas.microsoft.com/office/drawing/2014/main" id="{E6BCD1A7-8C6A-4452-8D35-9958FFF1B2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4" name="Text Box 1">
          <a:extLst>
            <a:ext uri="{FF2B5EF4-FFF2-40B4-BE49-F238E27FC236}">
              <a16:creationId xmlns:a16="http://schemas.microsoft.com/office/drawing/2014/main" id="{6EDDB2B6-0293-4814-88D8-D73D2070A2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65" name="Text Box 2">
          <a:extLst>
            <a:ext uri="{FF2B5EF4-FFF2-40B4-BE49-F238E27FC236}">
              <a16:creationId xmlns:a16="http://schemas.microsoft.com/office/drawing/2014/main" id="{1F15CF42-8AF3-4715-A29D-0360963EAD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6" name="Text Box 1">
          <a:extLst>
            <a:ext uri="{FF2B5EF4-FFF2-40B4-BE49-F238E27FC236}">
              <a16:creationId xmlns:a16="http://schemas.microsoft.com/office/drawing/2014/main" id="{8B2EF9F8-298F-44FE-A77F-BB8038126F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67" name="Text Box 2">
          <a:extLst>
            <a:ext uri="{FF2B5EF4-FFF2-40B4-BE49-F238E27FC236}">
              <a16:creationId xmlns:a16="http://schemas.microsoft.com/office/drawing/2014/main" id="{9032F1BD-51FB-4EFC-BE3D-A53550C248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68" name="Text Box 1">
          <a:extLst>
            <a:ext uri="{FF2B5EF4-FFF2-40B4-BE49-F238E27FC236}">
              <a16:creationId xmlns:a16="http://schemas.microsoft.com/office/drawing/2014/main" id="{79B3827F-F9A1-47B2-AE46-73D515C710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69" name="Text Box 2">
          <a:extLst>
            <a:ext uri="{FF2B5EF4-FFF2-40B4-BE49-F238E27FC236}">
              <a16:creationId xmlns:a16="http://schemas.microsoft.com/office/drawing/2014/main" id="{4E6266E2-395F-479B-8E6A-84C6B888135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70" name="Text Box 1">
          <a:extLst>
            <a:ext uri="{FF2B5EF4-FFF2-40B4-BE49-F238E27FC236}">
              <a16:creationId xmlns:a16="http://schemas.microsoft.com/office/drawing/2014/main" id="{AD0EE186-5AD7-435F-ACEB-4805EDC3CD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1" name="Text Box 2">
          <a:extLst>
            <a:ext uri="{FF2B5EF4-FFF2-40B4-BE49-F238E27FC236}">
              <a16:creationId xmlns:a16="http://schemas.microsoft.com/office/drawing/2014/main" id="{2CEC056E-2F9F-423C-9E80-8DC98BD02F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72" name="Text Box 1">
          <a:extLst>
            <a:ext uri="{FF2B5EF4-FFF2-40B4-BE49-F238E27FC236}">
              <a16:creationId xmlns:a16="http://schemas.microsoft.com/office/drawing/2014/main" id="{BC43F56F-CAC6-4817-8F07-237D8DD75DD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3" name="Text Box 2">
          <a:extLst>
            <a:ext uri="{FF2B5EF4-FFF2-40B4-BE49-F238E27FC236}">
              <a16:creationId xmlns:a16="http://schemas.microsoft.com/office/drawing/2014/main" id="{D269E0CE-9DFF-4CAF-BD2B-5CF86382D2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74" name="Text Box 1">
          <a:extLst>
            <a:ext uri="{FF2B5EF4-FFF2-40B4-BE49-F238E27FC236}">
              <a16:creationId xmlns:a16="http://schemas.microsoft.com/office/drawing/2014/main" id="{F8F5DBAB-1815-4C2A-9613-8D7F88FE28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5" name="Text Box 2">
          <a:extLst>
            <a:ext uri="{FF2B5EF4-FFF2-40B4-BE49-F238E27FC236}">
              <a16:creationId xmlns:a16="http://schemas.microsoft.com/office/drawing/2014/main" id="{00B4DF43-7F80-40E2-8A42-E3DDA2A55E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76" name="Text Box 1">
          <a:extLst>
            <a:ext uri="{FF2B5EF4-FFF2-40B4-BE49-F238E27FC236}">
              <a16:creationId xmlns:a16="http://schemas.microsoft.com/office/drawing/2014/main" id="{22768228-2A3C-449C-A36A-51F66A43BD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7" name="Text Box 2">
          <a:extLst>
            <a:ext uri="{FF2B5EF4-FFF2-40B4-BE49-F238E27FC236}">
              <a16:creationId xmlns:a16="http://schemas.microsoft.com/office/drawing/2014/main" id="{44DE4256-495A-49C8-BB92-8D88D99CCE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78" name="Text Box 1">
          <a:extLst>
            <a:ext uri="{FF2B5EF4-FFF2-40B4-BE49-F238E27FC236}">
              <a16:creationId xmlns:a16="http://schemas.microsoft.com/office/drawing/2014/main" id="{57471923-7E8B-4914-95ED-FC6B340338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79" name="Text Box 2">
          <a:extLst>
            <a:ext uri="{FF2B5EF4-FFF2-40B4-BE49-F238E27FC236}">
              <a16:creationId xmlns:a16="http://schemas.microsoft.com/office/drawing/2014/main" id="{274F8DAA-19F6-4D2D-BEDB-1A0255A8B0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0" name="Text Box 1">
          <a:extLst>
            <a:ext uri="{FF2B5EF4-FFF2-40B4-BE49-F238E27FC236}">
              <a16:creationId xmlns:a16="http://schemas.microsoft.com/office/drawing/2014/main" id="{47D5548B-C08E-4995-B3C4-EDF361F8B4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81" name="Text Box 2">
          <a:extLst>
            <a:ext uri="{FF2B5EF4-FFF2-40B4-BE49-F238E27FC236}">
              <a16:creationId xmlns:a16="http://schemas.microsoft.com/office/drawing/2014/main" id="{EB63A610-64EA-4886-BE7A-6A68B605DAB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2" name="Text Box 1">
          <a:extLst>
            <a:ext uri="{FF2B5EF4-FFF2-40B4-BE49-F238E27FC236}">
              <a16:creationId xmlns:a16="http://schemas.microsoft.com/office/drawing/2014/main" id="{0CB80DD2-DBCD-4220-A00C-DAE591BEDAD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83" name="Text Box 2">
          <a:extLst>
            <a:ext uri="{FF2B5EF4-FFF2-40B4-BE49-F238E27FC236}">
              <a16:creationId xmlns:a16="http://schemas.microsoft.com/office/drawing/2014/main" id="{B0F62503-4BF9-4840-93CB-1A35229449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4" name="Text Box 1">
          <a:extLst>
            <a:ext uri="{FF2B5EF4-FFF2-40B4-BE49-F238E27FC236}">
              <a16:creationId xmlns:a16="http://schemas.microsoft.com/office/drawing/2014/main" id="{50FDA95A-BDE1-43C6-8BC6-A39210E021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85" name="Text Box 2">
          <a:extLst>
            <a:ext uri="{FF2B5EF4-FFF2-40B4-BE49-F238E27FC236}">
              <a16:creationId xmlns:a16="http://schemas.microsoft.com/office/drawing/2014/main" id="{BBEAFB1C-B234-444E-B733-A106FD2B76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6" name="Text Box 1">
          <a:extLst>
            <a:ext uri="{FF2B5EF4-FFF2-40B4-BE49-F238E27FC236}">
              <a16:creationId xmlns:a16="http://schemas.microsoft.com/office/drawing/2014/main" id="{83BBE68E-94E8-4232-B60F-13FBAE605A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87" name="Text Box 2">
          <a:extLst>
            <a:ext uri="{FF2B5EF4-FFF2-40B4-BE49-F238E27FC236}">
              <a16:creationId xmlns:a16="http://schemas.microsoft.com/office/drawing/2014/main" id="{0B01AFDE-3083-438A-A24A-A2C89A2A05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88" name="Text Box 1">
          <a:extLst>
            <a:ext uri="{FF2B5EF4-FFF2-40B4-BE49-F238E27FC236}">
              <a16:creationId xmlns:a16="http://schemas.microsoft.com/office/drawing/2014/main" id="{912AE9FC-A864-42CA-9D24-15183CCF01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89" name="Text Box 2">
          <a:extLst>
            <a:ext uri="{FF2B5EF4-FFF2-40B4-BE49-F238E27FC236}">
              <a16:creationId xmlns:a16="http://schemas.microsoft.com/office/drawing/2014/main" id="{BF722086-DDE3-48BD-9D40-0F545551EFE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90" name="Text Box 1">
          <a:extLst>
            <a:ext uri="{FF2B5EF4-FFF2-40B4-BE49-F238E27FC236}">
              <a16:creationId xmlns:a16="http://schemas.microsoft.com/office/drawing/2014/main" id="{8CEF0355-E9BB-45A2-B1C5-7ED9A6E71A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1" name="Text Box 2">
          <a:extLst>
            <a:ext uri="{FF2B5EF4-FFF2-40B4-BE49-F238E27FC236}">
              <a16:creationId xmlns:a16="http://schemas.microsoft.com/office/drawing/2014/main" id="{4CC5A332-2230-4211-B3F4-6A7AD5DDE9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92" name="Text Box 1">
          <a:extLst>
            <a:ext uri="{FF2B5EF4-FFF2-40B4-BE49-F238E27FC236}">
              <a16:creationId xmlns:a16="http://schemas.microsoft.com/office/drawing/2014/main" id="{D033D32A-C440-40A2-9C1D-95DDC77254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3" name="Text Box 2">
          <a:extLst>
            <a:ext uri="{FF2B5EF4-FFF2-40B4-BE49-F238E27FC236}">
              <a16:creationId xmlns:a16="http://schemas.microsoft.com/office/drawing/2014/main" id="{52054468-024E-41FD-AFF1-B5E90FF6E04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94" name="Text Box 1">
          <a:extLst>
            <a:ext uri="{FF2B5EF4-FFF2-40B4-BE49-F238E27FC236}">
              <a16:creationId xmlns:a16="http://schemas.microsoft.com/office/drawing/2014/main" id="{C138786A-8B9A-4AB9-8C76-7F19E808D6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5" name="Text Box 2">
          <a:extLst>
            <a:ext uri="{FF2B5EF4-FFF2-40B4-BE49-F238E27FC236}">
              <a16:creationId xmlns:a16="http://schemas.microsoft.com/office/drawing/2014/main" id="{BFE5C8D0-1F32-456C-9C7F-8A2A40F7937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96" name="Text Box 1">
          <a:extLst>
            <a:ext uri="{FF2B5EF4-FFF2-40B4-BE49-F238E27FC236}">
              <a16:creationId xmlns:a16="http://schemas.microsoft.com/office/drawing/2014/main" id="{A69EEDCA-20CF-4E03-8440-5A0E63B6CF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7" name="Text Box 2">
          <a:extLst>
            <a:ext uri="{FF2B5EF4-FFF2-40B4-BE49-F238E27FC236}">
              <a16:creationId xmlns:a16="http://schemas.microsoft.com/office/drawing/2014/main" id="{DF14434D-1EC0-4C59-8576-CCD38640A3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398" name="Text Box 1">
          <a:extLst>
            <a:ext uri="{FF2B5EF4-FFF2-40B4-BE49-F238E27FC236}">
              <a16:creationId xmlns:a16="http://schemas.microsoft.com/office/drawing/2014/main" id="{AE7CEEC6-2FFC-4FDF-846B-1A5C27A10F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399" name="Text Box 2">
          <a:extLst>
            <a:ext uri="{FF2B5EF4-FFF2-40B4-BE49-F238E27FC236}">
              <a16:creationId xmlns:a16="http://schemas.microsoft.com/office/drawing/2014/main" id="{A579A3FA-2DE7-4FE5-8930-7ED3B1566E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0" name="Text Box 1">
          <a:extLst>
            <a:ext uri="{FF2B5EF4-FFF2-40B4-BE49-F238E27FC236}">
              <a16:creationId xmlns:a16="http://schemas.microsoft.com/office/drawing/2014/main" id="{57ECFA2F-F952-4F69-B74B-8768EBC0C1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01" name="Text Box 2">
          <a:extLst>
            <a:ext uri="{FF2B5EF4-FFF2-40B4-BE49-F238E27FC236}">
              <a16:creationId xmlns:a16="http://schemas.microsoft.com/office/drawing/2014/main" id="{C3DA04A3-2775-466E-B1CB-A8C191F4450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2" name="Text Box 1">
          <a:extLst>
            <a:ext uri="{FF2B5EF4-FFF2-40B4-BE49-F238E27FC236}">
              <a16:creationId xmlns:a16="http://schemas.microsoft.com/office/drawing/2014/main" id="{BB884575-6BAB-4046-A51E-75530EAC771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03" name="Text Box 2">
          <a:extLst>
            <a:ext uri="{FF2B5EF4-FFF2-40B4-BE49-F238E27FC236}">
              <a16:creationId xmlns:a16="http://schemas.microsoft.com/office/drawing/2014/main" id="{2B9FE39C-A2CC-43B7-A10D-DC0EC5F146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4" name="Text Box 1">
          <a:extLst>
            <a:ext uri="{FF2B5EF4-FFF2-40B4-BE49-F238E27FC236}">
              <a16:creationId xmlns:a16="http://schemas.microsoft.com/office/drawing/2014/main" id="{1DCFAE3B-E080-4CD4-BA84-BB247035C8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05" name="Text Box 2">
          <a:extLst>
            <a:ext uri="{FF2B5EF4-FFF2-40B4-BE49-F238E27FC236}">
              <a16:creationId xmlns:a16="http://schemas.microsoft.com/office/drawing/2014/main" id="{153DEF4E-EE9A-498F-BFF8-715CEE5C21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6" name="Text Box 1">
          <a:extLst>
            <a:ext uri="{FF2B5EF4-FFF2-40B4-BE49-F238E27FC236}">
              <a16:creationId xmlns:a16="http://schemas.microsoft.com/office/drawing/2014/main" id="{53C57D70-1749-4E20-B569-1318C20327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07" name="Text Box 2">
          <a:extLst>
            <a:ext uri="{FF2B5EF4-FFF2-40B4-BE49-F238E27FC236}">
              <a16:creationId xmlns:a16="http://schemas.microsoft.com/office/drawing/2014/main" id="{F07A932F-D3B0-4A3E-BD40-05EC983E74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08" name="Text Box 1">
          <a:extLst>
            <a:ext uri="{FF2B5EF4-FFF2-40B4-BE49-F238E27FC236}">
              <a16:creationId xmlns:a16="http://schemas.microsoft.com/office/drawing/2014/main" id="{92E40BDC-653B-42CB-94FD-5DE425A855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09" name="Text Box 2">
          <a:extLst>
            <a:ext uri="{FF2B5EF4-FFF2-40B4-BE49-F238E27FC236}">
              <a16:creationId xmlns:a16="http://schemas.microsoft.com/office/drawing/2014/main" id="{7066765D-11EC-4F6F-8E63-7894398DD32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10" name="Text Box 1">
          <a:extLst>
            <a:ext uri="{FF2B5EF4-FFF2-40B4-BE49-F238E27FC236}">
              <a16:creationId xmlns:a16="http://schemas.microsoft.com/office/drawing/2014/main" id="{9D4BF9A6-0D5D-4DBA-9646-EEAC9D4F555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1" name="Text Box 2">
          <a:extLst>
            <a:ext uri="{FF2B5EF4-FFF2-40B4-BE49-F238E27FC236}">
              <a16:creationId xmlns:a16="http://schemas.microsoft.com/office/drawing/2014/main" id="{617CBA14-069E-4332-932D-35803779CD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12" name="Text Box 1">
          <a:extLst>
            <a:ext uri="{FF2B5EF4-FFF2-40B4-BE49-F238E27FC236}">
              <a16:creationId xmlns:a16="http://schemas.microsoft.com/office/drawing/2014/main" id="{AB2356E5-64AD-4167-930C-99BF51E3C3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3" name="Text Box 2">
          <a:extLst>
            <a:ext uri="{FF2B5EF4-FFF2-40B4-BE49-F238E27FC236}">
              <a16:creationId xmlns:a16="http://schemas.microsoft.com/office/drawing/2014/main" id="{D1F15E48-2CA5-45D4-B47D-3C3C31E2920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14" name="Text Box 1">
          <a:extLst>
            <a:ext uri="{FF2B5EF4-FFF2-40B4-BE49-F238E27FC236}">
              <a16:creationId xmlns:a16="http://schemas.microsoft.com/office/drawing/2014/main" id="{47BD96F6-4E23-443B-B35D-E12F25DC83B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5" name="Text Box 2">
          <a:extLst>
            <a:ext uri="{FF2B5EF4-FFF2-40B4-BE49-F238E27FC236}">
              <a16:creationId xmlns:a16="http://schemas.microsoft.com/office/drawing/2014/main" id="{EECCE27B-7D00-44B3-A582-100B318E0C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16" name="Text Box 1">
          <a:extLst>
            <a:ext uri="{FF2B5EF4-FFF2-40B4-BE49-F238E27FC236}">
              <a16:creationId xmlns:a16="http://schemas.microsoft.com/office/drawing/2014/main" id="{388540A6-84D4-48DD-A265-B451ACF81E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7" name="Text Box 2">
          <a:extLst>
            <a:ext uri="{FF2B5EF4-FFF2-40B4-BE49-F238E27FC236}">
              <a16:creationId xmlns:a16="http://schemas.microsoft.com/office/drawing/2014/main" id="{5090DA25-BEEC-46F4-8494-E811AE1DE1C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18" name="Text Box 1">
          <a:extLst>
            <a:ext uri="{FF2B5EF4-FFF2-40B4-BE49-F238E27FC236}">
              <a16:creationId xmlns:a16="http://schemas.microsoft.com/office/drawing/2014/main" id="{FF22FBAA-A7DF-4338-9ADE-08DBF5A596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19" name="Text Box 2">
          <a:extLst>
            <a:ext uri="{FF2B5EF4-FFF2-40B4-BE49-F238E27FC236}">
              <a16:creationId xmlns:a16="http://schemas.microsoft.com/office/drawing/2014/main" id="{DA77C21D-DCAC-4CCA-98A3-468DDC48EA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0" name="Text Box 1">
          <a:extLst>
            <a:ext uri="{FF2B5EF4-FFF2-40B4-BE49-F238E27FC236}">
              <a16:creationId xmlns:a16="http://schemas.microsoft.com/office/drawing/2014/main" id="{405D8C6C-DF1C-49D5-BC8D-DD54C2EB27D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21" name="Text Box 2">
          <a:extLst>
            <a:ext uri="{FF2B5EF4-FFF2-40B4-BE49-F238E27FC236}">
              <a16:creationId xmlns:a16="http://schemas.microsoft.com/office/drawing/2014/main" id="{1724B329-AB82-46C9-85F3-2DF5ABCD29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2" name="Text Box 1">
          <a:extLst>
            <a:ext uri="{FF2B5EF4-FFF2-40B4-BE49-F238E27FC236}">
              <a16:creationId xmlns:a16="http://schemas.microsoft.com/office/drawing/2014/main" id="{3DA4574E-6810-418C-83F7-4CE974703BC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23" name="Text Box 2">
          <a:extLst>
            <a:ext uri="{FF2B5EF4-FFF2-40B4-BE49-F238E27FC236}">
              <a16:creationId xmlns:a16="http://schemas.microsoft.com/office/drawing/2014/main" id="{E1E73589-F9B5-4389-9E34-FFDE83ECD5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4" name="Text Box 1">
          <a:extLst>
            <a:ext uri="{FF2B5EF4-FFF2-40B4-BE49-F238E27FC236}">
              <a16:creationId xmlns:a16="http://schemas.microsoft.com/office/drawing/2014/main" id="{97C73F9D-024E-4F91-909A-1FEA86FB5C7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25" name="Text Box 2">
          <a:extLst>
            <a:ext uri="{FF2B5EF4-FFF2-40B4-BE49-F238E27FC236}">
              <a16:creationId xmlns:a16="http://schemas.microsoft.com/office/drawing/2014/main" id="{66A8558E-E3E1-49CB-B7F2-9B13FE59892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6" name="Text Box 1">
          <a:extLst>
            <a:ext uri="{FF2B5EF4-FFF2-40B4-BE49-F238E27FC236}">
              <a16:creationId xmlns:a16="http://schemas.microsoft.com/office/drawing/2014/main" id="{D1B6E1D3-74A1-4B5E-A24E-AE9FDAD163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27" name="Text Box 2">
          <a:extLst>
            <a:ext uri="{FF2B5EF4-FFF2-40B4-BE49-F238E27FC236}">
              <a16:creationId xmlns:a16="http://schemas.microsoft.com/office/drawing/2014/main" id="{E8B52A32-740A-473D-A2D0-667524EA01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28" name="Text Box 1">
          <a:extLst>
            <a:ext uri="{FF2B5EF4-FFF2-40B4-BE49-F238E27FC236}">
              <a16:creationId xmlns:a16="http://schemas.microsoft.com/office/drawing/2014/main" id="{B2420481-9B68-4EFF-9A81-54D9625382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29" name="Text Box 2">
          <a:extLst>
            <a:ext uri="{FF2B5EF4-FFF2-40B4-BE49-F238E27FC236}">
              <a16:creationId xmlns:a16="http://schemas.microsoft.com/office/drawing/2014/main" id="{C4B7A8CC-49C2-4A65-9391-03183AC3C7A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30" name="Text Box 1">
          <a:extLst>
            <a:ext uri="{FF2B5EF4-FFF2-40B4-BE49-F238E27FC236}">
              <a16:creationId xmlns:a16="http://schemas.microsoft.com/office/drawing/2014/main" id="{53DCDB4F-E334-46CC-B592-57D14992C5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1" name="Text Box 2">
          <a:extLst>
            <a:ext uri="{FF2B5EF4-FFF2-40B4-BE49-F238E27FC236}">
              <a16:creationId xmlns:a16="http://schemas.microsoft.com/office/drawing/2014/main" id="{13C2FD6C-0B79-4F44-B4DC-8AAF167058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32" name="Text Box 1">
          <a:extLst>
            <a:ext uri="{FF2B5EF4-FFF2-40B4-BE49-F238E27FC236}">
              <a16:creationId xmlns:a16="http://schemas.microsoft.com/office/drawing/2014/main" id="{DDCA2011-A379-4901-8179-4E880B7EFB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3" name="Text Box 2">
          <a:extLst>
            <a:ext uri="{FF2B5EF4-FFF2-40B4-BE49-F238E27FC236}">
              <a16:creationId xmlns:a16="http://schemas.microsoft.com/office/drawing/2014/main" id="{844B60CC-1512-4836-B900-9C98621450E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34" name="Text Box 1">
          <a:extLst>
            <a:ext uri="{FF2B5EF4-FFF2-40B4-BE49-F238E27FC236}">
              <a16:creationId xmlns:a16="http://schemas.microsoft.com/office/drawing/2014/main" id="{FC2A9063-DAF2-4A95-8D40-9A15D94B28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5" name="Text Box 2">
          <a:extLst>
            <a:ext uri="{FF2B5EF4-FFF2-40B4-BE49-F238E27FC236}">
              <a16:creationId xmlns:a16="http://schemas.microsoft.com/office/drawing/2014/main" id="{6A897F81-D5F2-4D96-948B-357D0E2E4DF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36" name="Text Box 1">
          <a:extLst>
            <a:ext uri="{FF2B5EF4-FFF2-40B4-BE49-F238E27FC236}">
              <a16:creationId xmlns:a16="http://schemas.microsoft.com/office/drawing/2014/main" id="{DCB94B4E-7B25-432E-8C90-9518716A97A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7" name="Text Box 2">
          <a:extLst>
            <a:ext uri="{FF2B5EF4-FFF2-40B4-BE49-F238E27FC236}">
              <a16:creationId xmlns:a16="http://schemas.microsoft.com/office/drawing/2014/main" id="{034B4762-6307-4CFC-985A-01889B1B45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38" name="Text Box 1">
          <a:extLst>
            <a:ext uri="{FF2B5EF4-FFF2-40B4-BE49-F238E27FC236}">
              <a16:creationId xmlns:a16="http://schemas.microsoft.com/office/drawing/2014/main" id="{405D4E5E-A40F-4880-9EAB-CAD4C7B85DD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39" name="Text Box 2">
          <a:extLst>
            <a:ext uri="{FF2B5EF4-FFF2-40B4-BE49-F238E27FC236}">
              <a16:creationId xmlns:a16="http://schemas.microsoft.com/office/drawing/2014/main" id="{977B35C4-BCF9-46AB-8AEA-BCB3A564BA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0" name="Text Box 1">
          <a:extLst>
            <a:ext uri="{FF2B5EF4-FFF2-40B4-BE49-F238E27FC236}">
              <a16:creationId xmlns:a16="http://schemas.microsoft.com/office/drawing/2014/main" id="{383D7F00-D478-4508-9F8F-3122C778B8A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41" name="Text Box 2">
          <a:extLst>
            <a:ext uri="{FF2B5EF4-FFF2-40B4-BE49-F238E27FC236}">
              <a16:creationId xmlns:a16="http://schemas.microsoft.com/office/drawing/2014/main" id="{401CA5F0-45FA-4E8F-AF68-FFE0C94FC18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2" name="Text Box 1">
          <a:extLst>
            <a:ext uri="{FF2B5EF4-FFF2-40B4-BE49-F238E27FC236}">
              <a16:creationId xmlns:a16="http://schemas.microsoft.com/office/drawing/2014/main" id="{B81BE6B5-1011-4DA2-B7C3-08AB413D6D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43" name="Text Box 2">
          <a:extLst>
            <a:ext uri="{FF2B5EF4-FFF2-40B4-BE49-F238E27FC236}">
              <a16:creationId xmlns:a16="http://schemas.microsoft.com/office/drawing/2014/main" id="{878D3B6A-8DE0-4FD7-9DDD-853436A1AB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4" name="Text Box 1">
          <a:extLst>
            <a:ext uri="{FF2B5EF4-FFF2-40B4-BE49-F238E27FC236}">
              <a16:creationId xmlns:a16="http://schemas.microsoft.com/office/drawing/2014/main" id="{D81AB02E-BB91-40FE-BE3C-4B790D04F4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45" name="Text Box 2">
          <a:extLst>
            <a:ext uri="{FF2B5EF4-FFF2-40B4-BE49-F238E27FC236}">
              <a16:creationId xmlns:a16="http://schemas.microsoft.com/office/drawing/2014/main" id="{F79B10D1-BE25-44EB-A9FD-903127B6AB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6" name="Text Box 1">
          <a:extLst>
            <a:ext uri="{FF2B5EF4-FFF2-40B4-BE49-F238E27FC236}">
              <a16:creationId xmlns:a16="http://schemas.microsoft.com/office/drawing/2014/main" id="{37787321-F6C3-4A97-8145-AE4DEA8D65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47" name="Text Box 2">
          <a:extLst>
            <a:ext uri="{FF2B5EF4-FFF2-40B4-BE49-F238E27FC236}">
              <a16:creationId xmlns:a16="http://schemas.microsoft.com/office/drawing/2014/main" id="{61E5CD3C-C89F-4440-BA30-3892F09357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48" name="Text Box 1">
          <a:extLst>
            <a:ext uri="{FF2B5EF4-FFF2-40B4-BE49-F238E27FC236}">
              <a16:creationId xmlns:a16="http://schemas.microsoft.com/office/drawing/2014/main" id="{F16E2C8D-5397-4B05-B14D-BB1A466C516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49" name="Text Box 2">
          <a:extLst>
            <a:ext uri="{FF2B5EF4-FFF2-40B4-BE49-F238E27FC236}">
              <a16:creationId xmlns:a16="http://schemas.microsoft.com/office/drawing/2014/main" id="{4F723CDB-9E46-42F8-9717-012EF1056B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50" name="Text Box 1">
          <a:extLst>
            <a:ext uri="{FF2B5EF4-FFF2-40B4-BE49-F238E27FC236}">
              <a16:creationId xmlns:a16="http://schemas.microsoft.com/office/drawing/2014/main" id="{2C9527F8-8F87-4556-AC88-BFE38575AC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1" name="Text Box 2">
          <a:extLst>
            <a:ext uri="{FF2B5EF4-FFF2-40B4-BE49-F238E27FC236}">
              <a16:creationId xmlns:a16="http://schemas.microsoft.com/office/drawing/2014/main" id="{AFDB7292-B5CC-4FE6-9962-A44C7CCB5F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52" name="Text Box 1">
          <a:extLst>
            <a:ext uri="{FF2B5EF4-FFF2-40B4-BE49-F238E27FC236}">
              <a16:creationId xmlns:a16="http://schemas.microsoft.com/office/drawing/2014/main" id="{D2F9B689-7505-4742-A6AA-1BC545D9BE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3" name="Text Box 2">
          <a:extLst>
            <a:ext uri="{FF2B5EF4-FFF2-40B4-BE49-F238E27FC236}">
              <a16:creationId xmlns:a16="http://schemas.microsoft.com/office/drawing/2014/main" id="{1496C67E-AA18-4022-8A78-DDCB1D8C652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54" name="Text Box 1">
          <a:extLst>
            <a:ext uri="{FF2B5EF4-FFF2-40B4-BE49-F238E27FC236}">
              <a16:creationId xmlns:a16="http://schemas.microsoft.com/office/drawing/2014/main" id="{E3615FBF-0C90-4965-80CE-59763F6B4A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5" name="Text Box 2">
          <a:extLst>
            <a:ext uri="{FF2B5EF4-FFF2-40B4-BE49-F238E27FC236}">
              <a16:creationId xmlns:a16="http://schemas.microsoft.com/office/drawing/2014/main" id="{20F0C6AF-BCC0-4AC8-9C39-64E926A512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56" name="Text Box 1">
          <a:extLst>
            <a:ext uri="{FF2B5EF4-FFF2-40B4-BE49-F238E27FC236}">
              <a16:creationId xmlns:a16="http://schemas.microsoft.com/office/drawing/2014/main" id="{4865791D-B869-43AE-96BF-0ECFDF5211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7" name="Text Box 2">
          <a:extLst>
            <a:ext uri="{FF2B5EF4-FFF2-40B4-BE49-F238E27FC236}">
              <a16:creationId xmlns:a16="http://schemas.microsoft.com/office/drawing/2014/main" id="{6922988D-1DBE-42B7-80C2-41D0CF56D3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58" name="Text Box 1">
          <a:extLst>
            <a:ext uri="{FF2B5EF4-FFF2-40B4-BE49-F238E27FC236}">
              <a16:creationId xmlns:a16="http://schemas.microsoft.com/office/drawing/2014/main" id="{C131F500-CB33-497B-A97D-6342B9B7A1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59" name="Text Box 2">
          <a:extLst>
            <a:ext uri="{FF2B5EF4-FFF2-40B4-BE49-F238E27FC236}">
              <a16:creationId xmlns:a16="http://schemas.microsoft.com/office/drawing/2014/main" id="{F6F33B4F-F511-4452-A8C8-AC9CB640258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0" name="Text Box 1">
          <a:extLst>
            <a:ext uri="{FF2B5EF4-FFF2-40B4-BE49-F238E27FC236}">
              <a16:creationId xmlns:a16="http://schemas.microsoft.com/office/drawing/2014/main" id="{A002BEF2-3030-4147-A6C8-2D3C92B297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61" name="Text Box 2">
          <a:extLst>
            <a:ext uri="{FF2B5EF4-FFF2-40B4-BE49-F238E27FC236}">
              <a16:creationId xmlns:a16="http://schemas.microsoft.com/office/drawing/2014/main" id="{EBF29B37-E760-4980-A91D-DA12B7DD10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2" name="Text Box 1">
          <a:extLst>
            <a:ext uri="{FF2B5EF4-FFF2-40B4-BE49-F238E27FC236}">
              <a16:creationId xmlns:a16="http://schemas.microsoft.com/office/drawing/2014/main" id="{CABB14A1-C201-490E-94C5-A31E43D8204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63" name="Text Box 2">
          <a:extLst>
            <a:ext uri="{FF2B5EF4-FFF2-40B4-BE49-F238E27FC236}">
              <a16:creationId xmlns:a16="http://schemas.microsoft.com/office/drawing/2014/main" id="{4EF16E3A-3271-4532-A516-3D9A9B75C6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4" name="Text Box 1">
          <a:extLst>
            <a:ext uri="{FF2B5EF4-FFF2-40B4-BE49-F238E27FC236}">
              <a16:creationId xmlns:a16="http://schemas.microsoft.com/office/drawing/2014/main" id="{9B0C45E4-BF24-49C0-897B-3D50C636F9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65" name="Text Box 2">
          <a:extLst>
            <a:ext uri="{FF2B5EF4-FFF2-40B4-BE49-F238E27FC236}">
              <a16:creationId xmlns:a16="http://schemas.microsoft.com/office/drawing/2014/main" id="{054D3E4E-57EC-4CA1-A3BF-3CD5313696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6" name="Text Box 1">
          <a:extLst>
            <a:ext uri="{FF2B5EF4-FFF2-40B4-BE49-F238E27FC236}">
              <a16:creationId xmlns:a16="http://schemas.microsoft.com/office/drawing/2014/main" id="{6077848D-69EC-4ED7-81F2-6BC50DA62A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67" name="Text Box 2">
          <a:extLst>
            <a:ext uri="{FF2B5EF4-FFF2-40B4-BE49-F238E27FC236}">
              <a16:creationId xmlns:a16="http://schemas.microsoft.com/office/drawing/2014/main" id="{2E8DE263-6877-40B3-B799-9BD320F6EB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68" name="Text Box 1">
          <a:extLst>
            <a:ext uri="{FF2B5EF4-FFF2-40B4-BE49-F238E27FC236}">
              <a16:creationId xmlns:a16="http://schemas.microsoft.com/office/drawing/2014/main" id="{A27DE485-35C1-4789-8F72-B1B88017EC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69" name="Text Box 2">
          <a:extLst>
            <a:ext uri="{FF2B5EF4-FFF2-40B4-BE49-F238E27FC236}">
              <a16:creationId xmlns:a16="http://schemas.microsoft.com/office/drawing/2014/main" id="{7A4EF3E8-14AD-4282-8975-4D82A4AF1B6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70" name="Text Box 1">
          <a:extLst>
            <a:ext uri="{FF2B5EF4-FFF2-40B4-BE49-F238E27FC236}">
              <a16:creationId xmlns:a16="http://schemas.microsoft.com/office/drawing/2014/main" id="{17ADC634-89E3-4E12-87C9-345846B357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1" name="Text Box 2">
          <a:extLst>
            <a:ext uri="{FF2B5EF4-FFF2-40B4-BE49-F238E27FC236}">
              <a16:creationId xmlns:a16="http://schemas.microsoft.com/office/drawing/2014/main" id="{16761C3B-B948-47AC-BFD9-A7CFA81F43C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72" name="Text Box 1">
          <a:extLst>
            <a:ext uri="{FF2B5EF4-FFF2-40B4-BE49-F238E27FC236}">
              <a16:creationId xmlns:a16="http://schemas.microsoft.com/office/drawing/2014/main" id="{7DD9DC1E-CD20-4488-AE7B-6BE06FF9F38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3" name="Text Box 2">
          <a:extLst>
            <a:ext uri="{FF2B5EF4-FFF2-40B4-BE49-F238E27FC236}">
              <a16:creationId xmlns:a16="http://schemas.microsoft.com/office/drawing/2014/main" id="{8B4E2DC3-F873-4183-956D-4CFA0D8944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74" name="Text Box 1">
          <a:extLst>
            <a:ext uri="{FF2B5EF4-FFF2-40B4-BE49-F238E27FC236}">
              <a16:creationId xmlns:a16="http://schemas.microsoft.com/office/drawing/2014/main" id="{98DA0DB2-DF04-497B-A47A-FF9F039C659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5" name="Text Box 2">
          <a:extLst>
            <a:ext uri="{FF2B5EF4-FFF2-40B4-BE49-F238E27FC236}">
              <a16:creationId xmlns:a16="http://schemas.microsoft.com/office/drawing/2014/main" id="{74FEBED9-209B-4A7C-9FA4-5CA37DBE165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76" name="Text Box 1">
          <a:extLst>
            <a:ext uri="{FF2B5EF4-FFF2-40B4-BE49-F238E27FC236}">
              <a16:creationId xmlns:a16="http://schemas.microsoft.com/office/drawing/2014/main" id="{ADF99BBC-5A58-4F99-9332-1F125142B7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7" name="Text Box 2">
          <a:extLst>
            <a:ext uri="{FF2B5EF4-FFF2-40B4-BE49-F238E27FC236}">
              <a16:creationId xmlns:a16="http://schemas.microsoft.com/office/drawing/2014/main" id="{9D8E4C08-78A9-4A63-97F7-53BF0F7022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78" name="Text Box 1">
          <a:extLst>
            <a:ext uri="{FF2B5EF4-FFF2-40B4-BE49-F238E27FC236}">
              <a16:creationId xmlns:a16="http://schemas.microsoft.com/office/drawing/2014/main" id="{8AD3D3B4-EB34-4BD5-957F-3E3997A828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79" name="Text Box 2">
          <a:extLst>
            <a:ext uri="{FF2B5EF4-FFF2-40B4-BE49-F238E27FC236}">
              <a16:creationId xmlns:a16="http://schemas.microsoft.com/office/drawing/2014/main" id="{D3B1766F-7AAA-4450-A56B-D2F85A195C8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0" name="Text Box 1">
          <a:extLst>
            <a:ext uri="{FF2B5EF4-FFF2-40B4-BE49-F238E27FC236}">
              <a16:creationId xmlns:a16="http://schemas.microsoft.com/office/drawing/2014/main" id="{007995A0-C1EC-4CA9-91F6-FFA348B5ABE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81" name="Text Box 2">
          <a:extLst>
            <a:ext uri="{FF2B5EF4-FFF2-40B4-BE49-F238E27FC236}">
              <a16:creationId xmlns:a16="http://schemas.microsoft.com/office/drawing/2014/main" id="{B0B005C2-3EFD-4749-A7F3-50698DBB33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2" name="Text Box 1">
          <a:extLst>
            <a:ext uri="{FF2B5EF4-FFF2-40B4-BE49-F238E27FC236}">
              <a16:creationId xmlns:a16="http://schemas.microsoft.com/office/drawing/2014/main" id="{C9A6C8BC-4203-4BB6-88AC-A60544D59E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83" name="Text Box 2">
          <a:extLst>
            <a:ext uri="{FF2B5EF4-FFF2-40B4-BE49-F238E27FC236}">
              <a16:creationId xmlns:a16="http://schemas.microsoft.com/office/drawing/2014/main" id="{F04C5894-A640-4B99-90FC-3ED9F2CB3A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4" name="Text Box 1">
          <a:extLst>
            <a:ext uri="{FF2B5EF4-FFF2-40B4-BE49-F238E27FC236}">
              <a16:creationId xmlns:a16="http://schemas.microsoft.com/office/drawing/2014/main" id="{4DC45C52-DD35-459A-9096-1AB04993FB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85" name="Text Box 2">
          <a:extLst>
            <a:ext uri="{FF2B5EF4-FFF2-40B4-BE49-F238E27FC236}">
              <a16:creationId xmlns:a16="http://schemas.microsoft.com/office/drawing/2014/main" id="{1B861D59-84DC-454F-BD6E-E1FEE95F582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6" name="Text Box 1">
          <a:extLst>
            <a:ext uri="{FF2B5EF4-FFF2-40B4-BE49-F238E27FC236}">
              <a16:creationId xmlns:a16="http://schemas.microsoft.com/office/drawing/2014/main" id="{B487661A-38B5-47CC-8E7A-628AB6CE64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87" name="Text Box 2">
          <a:extLst>
            <a:ext uri="{FF2B5EF4-FFF2-40B4-BE49-F238E27FC236}">
              <a16:creationId xmlns:a16="http://schemas.microsoft.com/office/drawing/2014/main" id="{139F4C57-32EE-4E15-AB39-3F7E47DD8F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88" name="Text Box 1">
          <a:extLst>
            <a:ext uri="{FF2B5EF4-FFF2-40B4-BE49-F238E27FC236}">
              <a16:creationId xmlns:a16="http://schemas.microsoft.com/office/drawing/2014/main" id="{2F7E8268-D4CD-48CA-8A79-29D5E3D5BF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89" name="Text Box 2">
          <a:extLst>
            <a:ext uri="{FF2B5EF4-FFF2-40B4-BE49-F238E27FC236}">
              <a16:creationId xmlns:a16="http://schemas.microsoft.com/office/drawing/2014/main" id="{2F234BBF-01BA-46C8-A27E-89AF52EC9B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90" name="Text Box 1">
          <a:extLst>
            <a:ext uri="{FF2B5EF4-FFF2-40B4-BE49-F238E27FC236}">
              <a16:creationId xmlns:a16="http://schemas.microsoft.com/office/drawing/2014/main" id="{B8871F68-DDED-4D3A-B189-33FAE45E44C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1" name="Text Box 2">
          <a:extLst>
            <a:ext uri="{FF2B5EF4-FFF2-40B4-BE49-F238E27FC236}">
              <a16:creationId xmlns:a16="http://schemas.microsoft.com/office/drawing/2014/main" id="{798B99E5-9F9A-48A8-97C1-077A3500D9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92" name="Text Box 1">
          <a:extLst>
            <a:ext uri="{FF2B5EF4-FFF2-40B4-BE49-F238E27FC236}">
              <a16:creationId xmlns:a16="http://schemas.microsoft.com/office/drawing/2014/main" id="{2A469E53-B374-4A05-A3BA-6C41A62EE54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3" name="Text Box 2">
          <a:extLst>
            <a:ext uri="{FF2B5EF4-FFF2-40B4-BE49-F238E27FC236}">
              <a16:creationId xmlns:a16="http://schemas.microsoft.com/office/drawing/2014/main" id="{37087C35-FCC0-4DE6-BF8F-E9266D4936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94" name="Text Box 1">
          <a:extLst>
            <a:ext uri="{FF2B5EF4-FFF2-40B4-BE49-F238E27FC236}">
              <a16:creationId xmlns:a16="http://schemas.microsoft.com/office/drawing/2014/main" id="{FED8B491-B954-4439-A97F-FEC66A9AB6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5" name="Text Box 2">
          <a:extLst>
            <a:ext uri="{FF2B5EF4-FFF2-40B4-BE49-F238E27FC236}">
              <a16:creationId xmlns:a16="http://schemas.microsoft.com/office/drawing/2014/main" id="{E1AD9872-E069-4BEE-801C-112AE85692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96" name="Text Box 1">
          <a:extLst>
            <a:ext uri="{FF2B5EF4-FFF2-40B4-BE49-F238E27FC236}">
              <a16:creationId xmlns:a16="http://schemas.microsoft.com/office/drawing/2014/main" id="{2979C105-4306-4E97-8BB9-F20BDB42FDF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7" name="Text Box 2">
          <a:extLst>
            <a:ext uri="{FF2B5EF4-FFF2-40B4-BE49-F238E27FC236}">
              <a16:creationId xmlns:a16="http://schemas.microsoft.com/office/drawing/2014/main" id="{A787166D-2D50-4352-96C3-F1454889A9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498" name="Text Box 1">
          <a:extLst>
            <a:ext uri="{FF2B5EF4-FFF2-40B4-BE49-F238E27FC236}">
              <a16:creationId xmlns:a16="http://schemas.microsoft.com/office/drawing/2014/main" id="{99044493-5F7F-4CCB-8BA0-82B00CC33B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499" name="Text Box 2">
          <a:extLst>
            <a:ext uri="{FF2B5EF4-FFF2-40B4-BE49-F238E27FC236}">
              <a16:creationId xmlns:a16="http://schemas.microsoft.com/office/drawing/2014/main" id="{FDE20C47-442A-4E90-A225-B1A3C3F41E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0" name="Text Box 1">
          <a:extLst>
            <a:ext uri="{FF2B5EF4-FFF2-40B4-BE49-F238E27FC236}">
              <a16:creationId xmlns:a16="http://schemas.microsoft.com/office/drawing/2014/main" id="{53C17671-3878-4F34-946C-099A79C58B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01" name="Text Box 2">
          <a:extLst>
            <a:ext uri="{FF2B5EF4-FFF2-40B4-BE49-F238E27FC236}">
              <a16:creationId xmlns:a16="http://schemas.microsoft.com/office/drawing/2014/main" id="{D119C327-FE7F-49B0-B95C-10F7B2EC16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2" name="Text Box 1">
          <a:extLst>
            <a:ext uri="{FF2B5EF4-FFF2-40B4-BE49-F238E27FC236}">
              <a16:creationId xmlns:a16="http://schemas.microsoft.com/office/drawing/2014/main" id="{E2A799AA-3AE5-4683-9CEA-140DF84407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03" name="Text Box 2">
          <a:extLst>
            <a:ext uri="{FF2B5EF4-FFF2-40B4-BE49-F238E27FC236}">
              <a16:creationId xmlns:a16="http://schemas.microsoft.com/office/drawing/2014/main" id="{B16CA5E9-56D5-4C1D-9E79-B00DF5A15D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4" name="Text Box 1">
          <a:extLst>
            <a:ext uri="{FF2B5EF4-FFF2-40B4-BE49-F238E27FC236}">
              <a16:creationId xmlns:a16="http://schemas.microsoft.com/office/drawing/2014/main" id="{A08CA8BD-7D1F-49CD-B312-7ECB55DC699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05" name="Text Box 2">
          <a:extLst>
            <a:ext uri="{FF2B5EF4-FFF2-40B4-BE49-F238E27FC236}">
              <a16:creationId xmlns:a16="http://schemas.microsoft.com/office/drawing/2014/main" id="{C8A63D4D-43A8-4554-A583-B616C892BE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6" name="Text Box 1">
          <a:extLst>
            <a:ext uri="{FF2B5EF4-FFF2-40B4-BE49-F238E27FC236}">
              <a16:creationId xmlns:a16="http://schemas.microsoft.com/office/drawing/2014/main" id="{8689D89E-B832-4768-A417-8457219254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07" name="Text Box 2">
          <a:extLst>
            <a:ext uri="{FF2B5EF4-FFF2-40B4-BE49-F238E27FC236}">
              <a16:creationId xmlns:a16="http://schemas.microsoft.com/office/drawing/2014/main" id="{682FEBB1-412D-4C0C-8083-A83F68D106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08" name="Text Box 1">
          <a:extLst>
            <a:ext uri="{FF2B5EF4-FFF2-40B4-BE49-F238E27FC236}">
              <a16:creationId xmlns:a16="http://schemas.microsoft.com/office/drawing/2014/main" id="{6AB5D3C9-E534-4A43-8CD3-0D31E38C54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09" name="Text Box 2">
          <a:extLst>
            <a:ext uri="{FF2B5EF4-FFF2-40B4-BE49-F238E27FC236}">
              <a16:creationId xmlns:a16="http://schemas.microsoft.com/office/drawing/2014/main" id="{0BE43424-7015-40B7-B941-559F7C2797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10" name="Text Box 1">
          <a:extLst>
            <a:ext uri="{FF2B5EF4-FFF2-40B4-BE49-F238E27FC236}">
              <a16:creationId xmlns:a16="http://schemas.microsoft.com/office/drawing/2014/main" id="{CC24AC41-CE89-4FFA-85A1-F45B8DFD241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1" name="Text Box 2">
          <a:extLst>
            <a:ext uri="{FF2B5EF4-FFF2-40B4-BE49-F238E27FC236}">
              <a16:creationId xmlns:a16="http://schemas.microsoft.com/office/drawing/2014/main" id="{C38D9346-11F4-41F3-89F7-8705A0B09DE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12" name="Text Box 1">
          <a:extLst>
            <a:ext uri="{FF2B5EF4-FFF2-40B4-BE49-F238E27FC236}">
              <a16:creationId xmlns:a16="http://schemas.microsoft.com/office/drawing/2014/main" id="{875B7B91-992A-4FDE-8830-E6FAF6D53D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3" name="Text Box 2">
          <a:extLst>
            <a:ext uri="{FF2B5EF4-FFF2-40B4-BE49-F238E27FC236}">
              <a16:creationId xmlns:a16="http://schemas.microsoft.com/office/drawing/2014/main" id="{18F16092-E942-4189-878D-E9E1BD3150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14" name="Text Box 1">
          <a:extLst>
            <a:ext uri="{FF2B5EF4-FFF2-40B4-BE49-F238E27FC236}">
              <a16:creationId xmlns:a16="http://schemas.microsoft.com/office/drawing/2014/main" id="{2074C348-18E8-4399-BEE2-8F8F1178F4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5" name="Text Box 2">
          <a:extLst>
            <a:ext uri="{FF2B5EF4-FFF2-40B4-BE49-F238E27FC236}">
              <a16:creationId xmlns:a16="http://schemas.microsoft.com/office/drawing/2014/main" id="{B90576AC-0168-4D37-A14B-B681FBB36E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16" name="Text Box 1">
          <a:extLst>
            <a:ext uri="{FF2B5EF4-FFF2-40B4-BE49-F238E27FC236}">
              <a16:creationId xmlns:a16="http://schemas.microsoft.com/office/drawing/2014/main" id="{20276BB7-E3A8-4A97-A844-6B51841203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7" name="Text Box 2">
          <a:extLst>
            <a:ext uri="{FF2B5EF4-FFF2-40B4-BE49-F238E27FC236}">
              <a16:creationId xmlns:a16="http://schemas.microsoft.com/office/drawing/2014/main" id="{62746980-0F94-46F1-9E61-5496790ECC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18" name="Text Box 1">
          <a:extLst>
            <a:ext uri="{FF2B5EF4-FFF2-40B4-BE49-F238E27FC236}">
              <a16:creationId xmlns:a16="http://schemas.microsoft.com/office/drawing/2014/main" id="{AB67432C-57C0-43FF-AD88-C3E9FA43A5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19" name="Text Box 2">
          <a:extLst>
            <a:ext uri="{FF2B5EF4-FFF2-40B4-BE49-F238E27FC236}">
              <a16:creationId xmlns:a16="http://schemas.microsoft.com/office/drawing/2014/main" id="{56DB2D9F-60F6-403E-BA11-C6BFD4953B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0" name="Text Box 1">
          <a:extLst>
            <a:ext uri="{FF2B5EF4-FFF2-40B4-BE49-F238E27FC236}">
              <a16:creationId xmlns:a16="http://schemas.microsoft.com/office/drawing/2014/main" id="{773BE377-B1BB-400D-97ED-BAB375F160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21" name="Text Box 2">
          <a:extLst>
            <a:ext uri="{FF2B5EF4-FFF2-40B4-BE49-F238E27FC236}">
              <a16:creationId xmlns:a16="http://schemas.microsoft.com/office/drawing/2014/main" id="{24B23AA3-B014-40AF-8655-3ADAF2D3FC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2" name="Text Box 1">
          <a:extLst>
            <a:ext uri="{FF2B5EF4-FFF2-40B4-BE49-F238E27FC236}">
              <a16:creationId xmlns:a16="http://schemas.microsoft.com/office/drawing/2014/main" id="{EBEE5421-C8E2-4366-8901-105AE32A6D4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23" name="Text Box 2">
          <a:extLst>
            <a:ext uri="{FF2B5EF4-FFF2-40B4-BE49-F238E27FC236}">
              <a16:creationId xmlns:a16="http://schemas.microsoft.com/office/drawing/2014/main" id="{A41F22A9-A77C-41F5-9216-63597142397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4" name="Text Box 1">
          <a:extLst>
            <a:ext uri="{FF2B5EF4-FFF2-40B4-BE49-F238E27FC236}">
              <a16:creationId xmlns:a16="http://schemas.microsoft.com/office/drawing/2014/main" id="{1D8AFD78-9444-4A76-B9A3-A39991F6B7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25" name="Text Box 2">
          <a:extLst>
            <a:ext uri="{FF2B5EF4-FFF2-40B4-BE49-F238E27FC236}">
              <a16:creationId xmlns:a16="http://schemas.microsoft.com/office/drawing/2014/main" id="{6141D703-F43E-43BD-9AA2-A35734DC3D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6" name="Text Box 1">
          <a:extLst>
            <a:ext uri="{FF2B5EF4-FFF2-40B4-BE49-F238E27FC236}">
              <a16:creationId xmlns:a16="http://schemas.microsoft.com/office/drawing/2014/main" id="{DB60B5AE-3A80-41DB-8AE8-0F86A7A3E3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27" name="Text Box 2">
          <a:extLst>
            <a:ext uri="{FF2B5EF4-FFF2-40B4-BE49-F238E27FC236}">
              <a16:creationId xmlns:a16="http://schemas.microsoft.com/office/drawing/2014/main" id="{40180938-9262-403C-BCAE-84F15B849C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28" name="Text Box 1">
          <a:extLst>
            <a:ext uri="{FF2B5EF4-FFF2-40B4-BE49-F238E27FC236}">
              <a16:creationId xmlns:a16="http://schemas.microsoft.com/office/drawing/2014/main" id="{E0DEE4E5-98AF-4DBC-B765-57C562E58B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29" name="Text Box 2">
          <a:extLst>
            <a:ext uri="{FF2B5EF4-FFF2-40B4-BE49-F238E27FC236}">
              <a16:creationId xmlns:a16="http://schemas.microsoft.com/office/drawing/2014/main" id="{4F328383-B3BD-4071-90D8-E54095A8DD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30" name="Text Box 1">
          <a:extLst>
            <a:ext uri="{FF2B5EF4-FFF2-40B4-BE49-F238E27FC236}">
              <a16:creationId xmlns:a16="http://schemas.microsoft.com/office/drawing/2014/main" id="{0628AB85-B8FE-43A5-B222-ADD21F0F84D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1" name="Text Box 2">
          <a:extLst>
            <a:ext uri="{FF2B5EF4-FFF2-40B4-BE49-F238E27FC236}">
              <a16:creationId xmlns:a16="http://schemas.microsoft.com/office/drawing/2014/main" id="{E2F1B1BB-1EBF-416A-8996-9613A04277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32" name="Text Box 1">
          <a:extLst>
            <a:ext uri="{FF2B5EF4-FFF2-40B4-BE49-F238E27FC236}">
              <a16:creationId xmlns:a16="http://schemas.microsoft.com/office/drawing/2014/main" id="{4ADE76B3-1C0E-4FFD-AA89-A8C2EF0999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3" name="Text Box 2">
          <a:extLst>
            <a:ext uri="{FF2B5EF4-FFF2-40B4-BE49-F238E27FC236}">
              <a16:creationId xmlns:a16="http://schemas.microsoft.com/office/drawing/2014/main" id="{9E88E454-BBA7-4CBB-89A6-6652CE221D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34" name="Text Box 1">
          <a:extLst>
            <a:ext uri="{FF2B5EF4-FFF2-40B4-BE49-F238E27FC236}">
              <a16:creationId xmlns:a16="http://schemas.microsoft.com/office/drawing/2014/main" id="{490D8B6C-0640-4755-8DE2-7D291F7A1F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5" name="Text Box 2">
          <a:extLst>
            <a:ext uri="{FF2B5EF4-FFF2-40B4-BE49-F238E27FC236}">
              <a16:creationId xmlns:a16="http://schemas.microsoft.com/office/drawing/2014/main" id="{6B6388EF-A4A9-46C2-8E7B-2A396C8A19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36" name="Text Box 1">
          <a:extLst>
            <a:ext uri="{FF2B5EF4-FFF2-40B4-BE49-F238E27FC236}">
              <a16:creationId xmlns:a16="http://schemas.microsoft.com/office/drawing/2014/main" id="{776C22D9-D0E3-4723-A34E-187E141787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7" name="Text Box 2">
          <a:extLst>
            <a:ext uri="{FF2B5EF4-FFF2-40B4-BE49-F238E27FC236}">
              <a16:creationId xmlns:a16="http://schemas.microsoft.com/office/drawing/2014/main" id="{B54D75A5-1151-4AB3-A3C8-F9ABF5CB9C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38" name="Text Box 1">
          <a:extLst>
            <a:ext uri="{FF2B5EF4-FFF2-40B4-BE49-F238E27FC236}">
              <a16:creationId xmlns:a16="http://schemas.microsoft.com/office/drawing/2014/main" id="{9284C228-A114-421B-A4C0-F3945B1A16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39" name="Text Box 2">
          <a:extLst>
            <a:ext uri="{FF2B5EF4-FFF2-40B4-BE49-F238E27FC236}">
              <a16:creationId xmlns:a16="http://schemas.microsoft.com/office/drawing/2014/main" id="{9B0ABBB9-D8C2-4E00-B0D0-216F05289AC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0" name="Text Box 1">
          <a:extLst>
            <a:ext uri="{FF2B5EF4-FFF2-40B4-BE49-F238E27FC236}">
              <a16:creationId xmlns:a16="http://schemas.microsoft.com/office/drawing/2014/main" id="{764E5E01-1864-4F23-B804-30E1A9B5B15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41" name="Text Box 2">
          <a:extLst>
            <a:ext uri="{FF2B5EF4-FFF2-40B4-BE49-F238E27FC236}">
              <a16:creationId xmlns:a16="http://schemas.microsoft.com/office/drawing/2014/main" id="{CE109980-57D1-4426-BE28-715B7A58697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2" name="Text Box 1">
          <a:extLst>
            <a:ext uri="{FF2B5EF4-FFF2-40B4-BE49-F238E27FC236}">
              <a16:creationId xmlns:a16="http://schemas.microsoft.com/office/drawing/2014/main" id="{CE1D14A9-AE21-4DE1-83DD-B0C4FB60C9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43" name="Text Box 2">
          <a:extLst>
            <a:ext uri="{FF2B5EF4-FFF2-40B4-BE49-F238E27FC236}">
              <a16:creationId xmlns:a16="http://schemas.microsoft.com/office/drawing/2014/main" id="{15BF3E1A-32AC-41F0-8F94-8957879147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4" name="Text Box 1">
          <a:extLst>
            <a:ext uri="{FF2B5EF4-FFF2-40B4-BE49-F238E27FC236}">
              <a16:creationId xmlns:a16="http://schemas.microsoft.com/office/drawing/2014/main" id="{2DDBA5DA-4ECE-44BD-B544-0268FA83DE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45" name="Text Box 2">
          <a:extLst>
            <a:ext uri="{FF2B5EF4-FFF2-40B4-BE49-F238E27FC236}">
              <a16:creationId xmlns:a16="http://schemas.microsoft.com/office/drawing/2014/main" id="{81BF00A2-80C9-4F2E-9E39-0C486B2517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6" name="Text Box 1">
          <a:extLst>
            <a:ext uri="{FF2B5EF4-FFF2-40B4-BE49-F238E27FC236}">
              <a16:creationId xmlns:a16="http://schemas.microsoft.com/office/drawing/2014/main" id="{09779D68-2197-4020-8222-3ED7F4111E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47" name="Text Box 2">
          <a:extLst>
            <a:ext uri="{FF2B5EF4-FFF2-40B4-BE49-F238E27FC236}">
              <a16:creationId xmlns:a16="http://schemas.microsoft.com/office/drawing/2014/main" id="{EE813C22-ADAF-44FB-A693-8A86CF3168F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48" name="Text Box 1">
          <a:extLst>
            <a:ext uri="{FF2B5EF4-FFF2-40B4-BE49-F238E27FC236}">
              <a16:creationId xmlns:a16="http://schemas.microsoft.com/office/drawing/2014/main" id="{3DAD1305-12C7-4C91-827E-923E4C7CB5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49" name="Text Box 2">
          <a:extLst>
            <a:ext uri="{FF2B5EF4-FFF2-40B4-BE49-F238E27FC236}">
              <a16:creationId xmlns:a16="http://schemas.microsoft.com/office/drawing/2014/main" id="{FE359802-D6AD-41F4-BE34-A1E6BA2B29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50" name="Text Box 1">
          <a:extLst>
            <a:ext uri="{FF2B5EF4-FFF2-40B4-BE49-F238E27FC236}">
              <a16:creationId xmlns:a16="http://schemas.microsoft.com/office/drawing/2014/main" id="{13287E79-F3C4-4501-84CB-210CA0E9A03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1" name="Text Box 2">
          <a:extLst>
            <a:ext uri="{FF2B5EF4-FFF2-40B4-BE49-F238E27FC236}">
              <a16:creationId xmlns:a16="http://schemas.microsoft.com/office/drawing/2014/main" id="{6E54A96B-33CE-42C8-A870-697ADF1DA37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52" name="Text Box 1">
          <a:extLst>
            <a:ext uri="{FF2B5EF4-FFF2-40B4-BE49-F238E27FC236}">
              <a16:creationId xmlns:a16="http://schemas.microsoft.com/office/drawing/2014/main" id="{C185F977-D171-4F74-92F6-F09E715C9C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3" name="Text Box 2">
          <a:extLst>
            <a:ext uri="{FF2B5EF4-FFF2-40B4-BE49-F238E27FC236}">
              <a16:creationId xmlns:a16="http://schemas.microsoft.com/office/drawing/2014/main" id="{CFF1A046-14BA-4998-AF4C-BCEDCBA527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54" name="Text Box 1">
          <a:extLst>
            <a:ext uri="{FF2B5EF4-FFF2-40B4-BE49-F238E27FC236}">
              <a16:creationId xmlns:a16="http://schemas.microsoft.com/office/drawing/2014/main" id="{25EFA4B3-F9D1-4BEA-BD46-BA680CE6ED2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5" name="Text Box 2">
          <a:extLst>
            <a:ext uri="{FF2B5EF4-FFF2-40B4-BE49-F238E27FC236}">
              <a16:creationId xmlns:a16="http://schemas.microsoft.com/office/drawing/2014/main" id="{2EEB29B9-6547-4D57-B36C-AAF2F71F02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56" name="Text Box 1">
          <a:extLst>
            <a:ext uri="{FF2B5EF4-FFF2-40B4-BE49-F238E27FC236}">
              <a16:creationId xmlns:a16="http://schemas.microsoft.com/office/drawing/2014/main" id="{8EDC3EE7-6BAB-4571-94BC-3F7472D24E8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7" name="Text Box 2">
          <a:extLst>
            <a:ext uri="{FF2B5EF4-FFF2-40B4-BE49-F238E27FC236}">
              <a16:creationId xmlns:a16="http://schemas.microsoft.com/office/drawing/2014/main" id="{3C6A0A9C-652F-498A-ABFE-4DF44535D18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58" name="Text Box 1">
          <a:extLst>
            <a:ext uri="{FF2B5EF4-FFF2-40B4-BE49-F238E27FC236}">
              <a16:creationId xmlns:a16="http://schemas.microsoft.com/office/drawing/2014/main" id="{1B402185-DF43-475C-9F33-3A127F516C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59" name="Text Box 2">
          <a:extLst>
            <a:ext uri="{FF2B5EF4-FFF2-40B4-BE49-F238E27FC236}">
              <a16:creationId xmlns:a16="http://schemas.microsoft.com/office/drawing/2014/main" id="{DE802EE4-CD01-430D-93C9-9D176E01C06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0" name="Text Box 1">
          <a:extLst>
            <a:ext uri="{FF2B5EF4-FFF2-40B4-BE49-F238E27FC236}">
              <a16:creationId xmlns:a16="http://schemas.microsoft.com/office/drawing/2014/main" id="{E3AB6E36-74F1-4D50-B3D7-784DC6E94A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61" name="Text Box 2">
          <a:extLst>
            <a:ext uri="{FF2B5EF4-FFF2-40B4-BE49-F238E27FC236}">
              <a16:creationId xmlns:a16="http://schemas.microsoft.com/office/drawing/2014/main" id="{CD8ECD61-1AC0-47F7-9188-0449A92AC59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2" name="Text Box 1">
          <a:extLst>
            <a:ext uri="{FF2B5EF4-FFF2-40B4-BE49-F238E27FC236}">
              <a16:creationId xmlns:a16="http://schemas.microsoft.com/office/drawing/2014/main" id="{C88E8773-7A6F-442C-8041-770C7C2B01D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63" name="Text Box 2">
          <a:extLst>
            <a:ext uri="{FF2B5EF4-FFF2-40B4-BE49-F238E27FC236}">
              <a16:creationId xmlns:a16="http://schemas.microsoft.com/office/drawing/2014/main" id="{20A82F3A-36C9-4EA4-AA4C-4A56C1DF28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4" name="Text Box 1">
          <a:extLst>
            <a:ext uri="{FF2B5EF4-FFF2-40B4-BE49-F238E27FC236}">
              <a16:creationId xmlns:a16="http://schemas.microsoft.com/office/drawing/2014/main" id="{274634D1-047D-4994-996E-F641C1EE1D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65" name="Text Box 2">
          <a:extLst>
            <a:ext uri="{FF2B5EF4-FFF2-40B4-BE49-F238E27FC236}">
              <a16:creationId xmlns:a16="http://schemas.microsoft.com/office/drawing/2014/main" id="{7C3B736B-C0E9-4281-94BC-6F1027146F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6" name="Text Box 1">
          <a:extLst>
            <a:ext uri="{FF2B5EF4-FFF2-40B4-BE49-F238E27FC236}">
              <a16:creationId xmlns:a16="http://schemas.microsoft.com/office/drawing/2014/main" id="{3D2BAC0C-63D8-4551-BED3-6E5EBE2166F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67" name="Text Box 2">
          <a:extLst>
            <a:ext uri="{FF2B5EF4-FFF2-40B4-BE49-F238E27FC236}">
              <a16:creationId xmlns:a16="http://schemas.microsoft.com/office/drawing/2014/main" id="{BA8A05A0-503C-4B03-928D-C3CF81FA90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68" name="Text Box 1">
          <a:extLst>
            <a:ext uri="{FF2B5EF4-FFF2-40B4-BE49-F238E27FC236}">
              <a16:creationId xmlns:a16="http://schemas.microsoft.com/office/drawing/2014/main" id="{C0DAE362-4A1E-4CD9-BBCB-13F98FF4CC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69" name="Text Box 2">
          <a:extLst>
            <a:ext uri="{FF2B5EF4-FFF2-40B4-BE49-F238E27FC236}">
              <a16:creationId xmlns:a16="http://schemas.microsoft.com/office/drawing/2014/main" id="{DEF934B4-85D6-45E4-89F3-A38A36E7B1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70" name="Text Box 1">
          <a:extLst>
            <a:ext uri="{FF2B5EF4-FFF2-40B4-BE49-F238E27FC236}">
              <a16:creationId xmlns:a16="http://schemas.microsoft.com/office/drawing/2014/main" id="{6C579AEA-DCC3-4A00-BDD8-7526EF6503E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1" name="Text Box 2">
          <a:extLst>
            <a:ext uri="{FF2B5EF4-FFF2-40B4-BE49-F238E27FC236}">
              <a16:creationId xmlns:a16="http://schemas.microsoft.com/office/drawing/2014/main" id="{6FAB23F2-8CAE-46C5-A2F9-6DAB454B38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72" name="Text Box 1">
          <a:extLst>
            <a:ext uri="{FF2B5EF4-FFF2-40B4-BE49-F238E27FC236}">
              <a16:creationId xmlns:a16="http://schemas.microsoft.com/office/drawing/2014/main" id="{9397F6F0-90F8-457C-97CE-8441CF31EF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3" name="Text Box 2">
          <a:extLst>
            <a:ext uri="{FF2B5EF4-FFF2-40B4-BE49-F238E27FC236}">
              <a16:creationId xmlns:a16="http://schemas.microsoft.com/office/drawing/2014/main" id="{54BFD558-6DFE-4474-8E06-631CB5813D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74" name="Text Box 1">
          <a:extLst>
            <a:ext uri="{FF2B5EF4-FFF2-40B4-BE49-F238E27FC236}">
              <a16:creationId xmlns:a16="http://schemas.microsoft.com/office/drawing/2014/main" id="{99CBA529-5F36-4207-9CCB-85EDBF20A3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5" name="Text Box 2">
          <a:extLst>
            <a:ext uri="{FF2B5EF4-FFF2-40B4-BE49-F238E27FC236}">
              <a16:creationId xmlns:a16="http://schemas.microsoft.com/office/drawing/2014/main" id="{266827F1-D746-46DD-98DA-A21009699B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76" name="Text Box 1">
          <a:extLst>
            <a:ext uri="{FF2B5EF4-FFF2-40B4-BE49-F238E27FC236}">
              <a16:creationId xmlns:a16="http://schemas.microsoft.com/office/drawing/2014/main" id="{B7A6B660-1DD0-4441-8C52-60E9C49FED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7" name="Text Box 2">
          <a:extLst>
            <a:ext uri="{FF2B5EF4-FFF2-40B4-BE49-F238E27FC236}">
              <a16:creationId xmlns:a16="http://schemas.microsoft.com/office/drawing/2014/main" id="{089E50D9-6F4F-4C98-88A6-9542F9DC6D0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78" name="Text Box 1">
          <a:extLst>
            <a:ext uri="{FF2B5EF4-FFF2-40B4-BE49-F238E27FC236}">
              <a16:creationId xmlns:a16="http://schemas.microsoft.com/office/drawing/2014/main" id="{5B959A66-D355-4705-938B-71FACEA3B0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79" name="Text Box 2">
          <a:extLst>
            <a:ext uri="{FF2B5EF4-FFF2-40B4-BE49-F238E27FC236}">
              <a16:creationId xmlns:a16="http://schemas.microsoft.com/office/drawing/2014/main" id="{66C656E0-7735-45CA-9A4E-FAF0D3A0C3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0" name="Text Box 1">
          <a:extLst>
            <a:ext uri="{FF2B5EF4-FFF2-40B4-BE49-F238E27FC236}">
              <a16:creationId xmlns:a16="http://schemas.microsoft.com/office/drawing/2014/main" id="{CD5B7125-445B-4532-8913-F754003BC2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81" name="Text Box 2">
          <a:extLst>
            <a:ext uri="{FF2B5EF4-FFF2-40B4-BE49-F238E27FC236}">
              <a16:creationId xmlns:a16="http://schemas.microsoft.com/office/drawing/2014/main" id="{E5CE3597-A680-4E48-8D11-72C3A0AAD4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2" name="Text Box 1">
          <a:extLst>
            <a:ext uri="{FF2B5EF4-FFF2-40B4-BE49-F238E27FC236}">
              <a16:creationId xmlns:a16="http://schemas.microsoft.com/office/drawing/2014/main" id="{D4D99C73-95F3-420D-895F-6A52FA948EF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83" name="Text Box 2">
          <a:extLst>
            <a:ext uri="{FF2B5EF4-FFF2-40B4-BE49-F238E27FC236}">
              <a16:creationId xmlns:a16="http://schemas.microsoft.com/office/drawing/2014/main" id="{14132ABE-E370-4F46-A29D-9504A7D498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4" name="Text Box 1">
          <a:extLst>
            <a:ext uri="{FF2B5EF4-FFF2-40B4-BE49-F238E27FC236}">
              <a16:creationId xmlns:a16="http://schemas.microsoft.com/office/drawing/2014/main" id="{5AC78C44-4C29-4004-8CE6-1D031FFE8F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85" name="Text Box 2">
          <a:extLst>
            <a:ext uri="{FF2B5EF4-FFF2-40B4-BE49-F238E27FC236}">
              <a16:creationId xmlns:a16="http://schemas.microsoft.com/office/drawing/2014/main" id="{718C52CC-517B-4D3C-BE6A-9823C3C836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6" name="Text Box 1">
          <a:extLst>
            <a:ext uri="{FF2B5EF4-FFF2-40B4-BE49-F238E27FC236}">
              <a16:creationId xmlns:a16="http://schemas.microsoft.com/office/drawing/2014/main" id="{3AA9563C-05F7-4FD7-A9D3-96366B063FD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87" name="Text Box 2">
          <a:extLst>
            <a:ext uri="{FF2B5EF4-FFF2-40B4-BE49-F238E27FC236}">
              <a16:creationId xmlns:a16="http://schemas.microsoft.com/office/drawing/2014/main" id="{645EE789-E2C5-4316-BBCD-8964B65733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88" name="Text Box 1">
          <a:extLst>
            <a:ext uri="{FF2B5EF4-FFF2-40B4-BE49-F238E27FC236}">
              <a16:creationId xmlns:a16="http://schemas.microsoft.com/office/drawing/2014/main" id="{2E1582CE-8A5E-4190-9747-81C33E6B49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89" name="Text Box 2">
          <a:extLst>
            <a:ext uri="{FF2B5EF4-FFF2-40B4-BE49-F238E27FC236}">
              <a16:creationId xmlns:a16="http://schemas.microsoft.com/office/drawing/2014/main" id="{2D1C62B2-0247-4B69-A01F-A496FE05B2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90" name="Text Box 1">
          <a:extLst>
            <a:ext uri="{FF2B5EF4-FFF2-40B4-BE49-F238E27FC236}">
              <a16:creationId xmlns:a16="http://schemas.microsoft.com/office/drawing/2014/main" id="{C389E72F-926E-4879-B1A6-32360FA1B83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1" name="Text Box 2">
          <a:extLst>
            <a:ext uri="{FF2B5EF4-FFF2-40B4-BE49-F238E27FC236}">
              <a16:creationId xmlns:a16="http://schemas.microsoft.com/office/drawing/2014/main" id="{0D5F820D-888C-45AD-8819-3A64736FEE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92" name="Text Box 1">
          <a:extLst>
            <a:ext uri="{FF2B5EF4-FFF2-40B4-BE49-F238E27FC236}">
              <a16:creationId xmlns:a16="http://schemas.microsoft.com/office/drawing/2014/main" id="{FACC0644-DB2F-4CAE-8E61-1F4C49D701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3" name="Text Box 2">
          <a:extLst>
            <a:ext uri="{FF2B5EF4-FFF2-40B4-BE49-F238E27FC236}">
              <a16:creationId xmlns:a16="http://schemas.microsoft.com/office/drawing/2014/main" id="{3B698C7D-E8F1-4ED6-B331-F720DFF2529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94" name="Text Box 1">
          <a:extLst>
            <a:ext uri="{FF2B5EF4-FFF2-40B4-BE49-F238E27FC236}">
              <a16:creationId xmlns:a16="http://schemas.microsoft.com/office/drawing/2014/main" id="{8F45B6BB-777C-45CF-8771-A649912526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5" name="Text Box 2">
          <a:extLst>
            <a:ext uri="{FF2B5EF4-FFF2-40B4-BE49-F238E27FC236}">
              <a16:creationId xmlns:a16="http://schemas.microsoft.com/office/drawing/2014/main" id="{CFF8ECF8-CF0F-4A46-B1F7-57EF9F51D2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96" name="Text Box 1">
          <a:extLst>
            <a:ext uri="{FF2B5EF4-FFF2-40B4-BE49-F238E27FC236}">
              <a16:creationId xmlns:a16="http://schemas.microsoft.com/office/drawing/2014/main" id="{E442DF21-2285-4888-AAC0-EBBEF0F483D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7" name="Text Box 2">
          <a:extLst>
            <a:ext uri="{FF2B5EF4-FFF2-40B4-BE49-F238E27FC236}">
              <a16:creationId xmlns:a16="http://schemas.microsoft.com/office/drawing/2014/main" id="{3E0B62FA-364A-40D9-B145-61ED2281C12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598" name="Text Box 1">
          <a:extLst>
            <a:ext uri="{FF2B5EF4-FFF2-40B4-BE49-F238E27FC236}">
              <a16:creationId xmlns:a16="http://schemas.microsoft.com/office/drawing/2014/main" id="{FA48129B-8F92-4A93-A869-8942D8A634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599" name="Text Box 2">
          <a:extLst>
            <a:ext uri="{FF2B5EF4-FFF2-40B4-BE49-F238E27FC236}">
              <a16:creationId xmlns:a16="http://schemas.microsoft.com/office/drawing/2014/main" id="{C17C7934-BFF2-4DBE-999D-0C3220AFFA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0" name="Text Box 1">
          <a:extLst>
            <a:ext uri="{FF2B5EF4-FFF2-40B4-BE49-F238E27FC236}">
              <a16:creationId xmlns:a16="http://schemas.microsoft.com/office/drawing/2014/main" id="{4211EA97-22DD-4E68-B81C-0A6E08BA33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01" name="Text Box 2">
          <a:extLst>
            <a:ext uri="{FF2B5EF4-FFF2-40B4-BE49-F238E27FC236}">
              <a16:creationId xmlns:a16="http://schemas.microsoft.com/office/drawing/2014/main" id="{5146E451-6FF2-4098-B1ED-6B660006C3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2" name="Text Box 1">
          <a:extLst>
            <a:ext uri="{FF2B5EF4-FFF2-40B4-BE49-F238E27FC236}">
              <a16:creationId xmlns:a16="http://schemas.microsoft.com/office/drawing/2014/main" id="{237CCF20-A5C2-4EF6-BEF4-9047499A44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03" name="Text Box 2">
          <a:extLst>
            <a:ext uri="{FF2B5EF4-FFF2-40B4-BE49-F238E27FC236}">
              <a16:creationId xmlns:a16="http://schemas.microsoft.com/office/drawing/2014/main" id="{34005B42-F32F-4909-83F3-7729FDBD967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4" name="Text Box 1">
          <a:extLst>
            <a:ext uri="{FF2B5EF4-FFF2-40B4-BE49-F238E27FC236}">
              <a16:creationId xmlns:a16="http://schemas.microsoft.com/office/drawing/2014/main" id="{EC15D37B-19CC-49F6-9450-31A63B3D78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05" name="Text Box 2">
          <a:extLst>
            <a:ext uri="{FF2B5EF4-FFF2-40B4-BE49-F238E27FC236}">
              <a16:creationId xmlns:a16="http://schemas.microsoft.com/office/drawing/2014/main" id="{C9AB083B-6AA5-44B2-A17E-F0F67BF3FD7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6" name="Text Box 1">
          <a:extLst>
            <a:ext uri="{FF2B5EF4-FFF2-40B4-BE49-F238E27FC236}">
              <a16:creationId xmlns:a16="http://schemas.microsoft.com/office/drawing/2014/main" id="{4AF585B7-551F-4B6F-A6F7-83576E79095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07" name="Text Box 2">
          <a:extLst>
            <a:ext uri="{FF2B5EF4-FFF2-40B4-BE49-F238E27FC236}">
              <a16:creationId xmlns:a16="http://schemas.microsoft.com/office/drawing/2014/main" id="{9E2F23DF-C0D9-4492-BA38-D9C46A6825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08" name="Text Box 1">
          <a:extLst>
            <a:ext uri="{FF2B5EF4-FFF2-40B4-BE49-F238E27FC236}">
              <a16:creationId xmlns:a16="http://schemas.microsoft.com/office/drawing/2014/main" id="{DB6BEF0E-52B0-4C02-ACCC-75E7F81494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09" name="Text Box 2">
          <a:extLst>
            <a:ext uri="{FF2B5EF4-FFF2-40B4-BE49-F238E27FC236}">
              <a16:creationId xmlns:a16="http://schemas.microsoft.com/office/drawing/2014/main" id="{C2E7ED51-F6AB-425B-9BDA-80313C616F2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10" name="Text Box 1">
          <a:extLst>
            <a:ext uri="{FF2B5EF4-FFF2-40B4-BE49-F238E27FC236}">
              <a16:creationId xmlns:a16="http://schemas.microsoft.com/office/drawing/2014/main" id="{FBE58D06-BB99-4943-B044-457B670CA9B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1" name="Text Box 2">
          <a:extLst>
            <a:ext uri="{FF2B5EF4-FFF2-40B4-BE49-F238E27FC236}">
              <a16:creationId xmlns:a16="http://schemas.microsoft.com/office/drawing/2014/main" id="{337F02A7-FA37-4755-9923-699BBAEFDE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12" name="Text Box 1">
          <a:extLst>
            <a:ext uri="{FF2B5EF4-FFF2-40B4-BE49-F238E27FC236}">
              <a16:creationId xmlns:a16="http://schemas.microsoft.com/office/drawing/2014/main" id="{5C894CA7-D416-413A-9516-F7D9F6F2EF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3" name="Text Box 2">
          <a:extLst>
            <a:ext uri="{FF2B5EF4-FFF2-40B4-BE49-F238E27FC236}">
              <a16:creationId xmlns:a16="http://schemas.microsoft.com/office/drawing/2014/main" id="{9E7EB60A-3E05-437A-9504-FBD26BA160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14" name="Text Box 1">
          <a:extLst>
            <a:ext uri="{FF2B5EF4-FFF2-40B4-BE49-F238E27FC236}">
              <a16:creationId xmlns:a16="http://schemas.microsoft.com/office/drawing/2014/main" id="{760D3747-0BF1-467C-B35D-8C2578AACB5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5" name="Text Box 2">
          <a:extLst>
            <a:ext uri="{FF2B5EF4-FFF2-40B4-BE49-F238E27FC236}">
              <a16:creationId xmlns:a16="http://schemas.microsoft.com/office/drawing/2014/main" id="{02582DE6-508F-4249-9951-9DB6151F82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16" name="Text Box 1">
          <a:extLst>
            <a:ext uri="{FF2B5EF4-FFF2-40B4-BE49-F238E27FC236}">
              <a16:creationId xmlns:a16="http://schemas.microsoft.com/office/drawing/2014/main" id="{A624E4EB-8F96-47C4-9039-70BC78F5DBC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7" name="Text Box 2">
          <a:extLst>
            <a:ext uri="{FF2B5EF4-FFF2-40B4-BE49-F238E27FC236}">
              <a16:creationId xmlns:a16="http://schemas.microsoft.com/office/drawing/2014/main" id="{7D31150A-0004-4DD3-8F27-BF4BA974C4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18" name="Text Box 1">
          <a:extLst>
            <a:ext uri="{FF2B5EF4-FFF2-40B4-BE49-F238E27FC236}">
              <a16:creationId xmlns:a16="http://schemas.microsoft.com/office/drawing/2014/main" id="{730B281D-62E9-4138-AF90-DEB649ECE1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19" name="Text Box 2">
          <a:extLst>
            <a:ext uri="{FF2B5EF4-FFF2-40B4-BE49-F238E27FC236}">
              <a16:creationId xmlns:a16="http://schemas.microsoft.com/office/drawing/2014/main" id="{D3C9ABAD-EB3E-44CF-ACDF-9A4392B3B7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0" name="Text Box 1">
          <a:extLst>
            <a:ext uri="{FF2B5EF4-FFF2-40B4-BE49-F238E27FC236}">
              <a16:creationId xmlns:a16="http://schemas.microsoft.com/office/drawing/2014/main" id="{41B92757-B411-4E35-93FA-DA89A30C8A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21" name="Text Box 2">
          <a:extLst>
            <a:ext uri="{FF2B5EF4-FFF2-40B4-BE49-F238E27FC236}">
              <a16:creationId xmlns:a16="http://schemas.microsoft.com/office/drawing/2014/main" id="{35A4CB19-703E-4B71-A3C5-B6BF111882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2" name="Text Box 1">
          <a:extLst>
            <a:ext uri="{FF2B5EF4-FFF2-40B4-BE49-F238E27FC236}">
              <a16:creationId xmlns:a16="http://schemas.microsoft.com/office/drawing/2014/main" id="{FD38FBA9-B023-4740-8406-86B12DE2921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23" name="Text Box 2">
          <a:extLst>
            <a:ext uri="{FF2B5EF4-FFF2-40B4-BE49-F238E27FC236}">
              <a16:creationId xmlns:a16="http://schemas.microsoft.com/office/drawing/2014/main" id="{E738931B-6A26-411E-BD48-AD97CA6588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4" name="Text Box 1">
          <a:extLst>
            <a:ext uri="{FF2B5EF4-FFF2-40B4-BE49-F238E27FC236}">
              <a16:creationId xmlns:a16="http://schemas.microsoft.com/office/drawing/2014/main" id="{4EF47111-0B37-4B65-9894-24717E786C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25" name="Text Box 2">
          <a:extLst>
            <a:ext uri="{FF2B5EF4-FFF2-40B4-BE49-F238E27FC236}">
              <a16:creationId xmlns:a16="http://schemas.microsoft.com/office/drawing/2014/main" id="{302AE677-C756-4BE0-A76A-AC184922D5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6" name="Text Box 1">
          <a:extLst>
            <a:ext uri="{FF2B5EF4-FFF2-40B4-BE49-F238E27FC236}">
              <a16:creationId xmlns:a16="http://schemas.microsoft.com/office/drawing/2014/main" id="{7FCC2B2F-1285-481E-83FB-111F564B5F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27" name="Text Box 2">
          <a:extLst>
            <a:ext uri="{FF2B5EF4-FFF2-40B4-BE49-F238E27FC236}">
              <a16:creationId xmlns:a16="http://schemas.microsoft.com/office/drawing/2014/main" id="{B07D8455-A1F2-4306-B307-962674E11E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28" name="Text Box 1">
          <a:extLst>
            <a:ext uri="{FF2B5EF4-FFF2-40B4-BE49-F238E27FC236}">
              <a16:creationId xmlns:a16="http://schemas.microsoft.com/office/drawing/2014/main" id="{8BF6694A-2342-41B5-B0FD-CE62A20799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29" name="Text Box 2">
          <a:extLst>
            <a:ext uri="{FF2B5EF4-FFF2-40B4-BE49-F238E27FC236}">
              <a16:creationId xmlns:a16="http://schemas.microsoft.com/office/drawing/2014/main" id="{2C1435C8-F4C0-403B-AEDF-979A495227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30" name="Text Box 1">
          <a:extLst>
            <a:ext uri="{FF2B5EF4-FFF2-40B4-BE49-F238E27FC236}">
              <a16:creationId xmlns:a16="http://schemas.microsoft.com/office/drawing/2014/main" id="{5F2C0CC6-5062-46F8-ADA0-3CE77F35E19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1" name="Text Box 2">
          <a:extLst>
            <a:ext uri="{FF2B5EF4-FFF2-40B4-BE49-F238E27FC236}">
              <a16:creationId xmlns:a16="http://schemas.microsoft.com/office/drawing/2014/main" id="{69F5C5A2-40D7-4089-88DF-AFCC3C0A94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32" name="Text Box 1">
          <a:extLst>
            <a:ext uri="{FF2B5EF4-FFF2-40B4-BE49-F238E27FC236}">
              <a16:creationId xmlns:a16="http://schemas.microsoft.com/office/drawing/2014/main" id="{ADE60BF9-F794-423D-A580-E5C3A0A875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3" name="Text Box 2">
          <a:extLst>
            <a:ext uri="{FF2B5EF4-FFF2-40B4-BE49-F238E27FC236}">
              <a16:creationId xmlns:a16="http://schemas.microsoft.com/office/drawing/2014/main" id="{0326DE78-E05F-4FED-9F68-F13BE9F31A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34" name="Text Box 1">
          <a:extLst>
            <a:ext uri="{FF2B5EF4-FFF2-40B4-BE49-F238E27FC236}">
              <a16:creationId xmlns:a16="http://schemas.microsoft.com/office/drawing/2014/main" id="{12F26B0A-B685-4DD9-BFA5-8880BC5BF0E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5" name="Text Box 2">
          <a:extLst>
            <a:ext uri="{FF2B5EF4-FFF2-40B4-BE49-F238E27FC236}">
              <a16:creationId xmlns:a16="http://schemas.microsoft.com/office/drawing/2014/main" id="{2FCEA33B-8B51-43F8-B031-FAD1AE5581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36" name="Text Box 1">
          <a:extLst>
            <a:ext uri="{FF2B5EF4-FFF2-40B4-BE49-F238E27FC236}">
              <a16:creationId xmlns:a16="http://schemas.microsoft.com/office/drawing/2014/main" id="{DD144421-3956-45B7-AF76-EBA2CC0C47A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7" name="Text Box 2">
          <a:extLst>
            <a:ext uri="{FF2B5EF4-FFF2-40B4-BE49-F238E27FC236}">
              <a16:creationId xmlns:a16="http://schemas.microsoft.com/office/drawing/2014/main" id="{49EC0846-70D8-4842-B7CF-BDD7A6C786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38" name="Text Box 1">
          <a:extLst>
            <a:ext uri="{FF2B5EF4-FFF2-40B4-BE49-F238E27FC236}">
              <a16:creationId xmlns:a16="http://schemas.microsoft.com/office/drawing/2014/main" id="{F7AE917E-915F-494F-A7B3-38EED4EC1F4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39" name="Text Box 2">
          <a:extLst>
            <a:ext uri="{FF2B5EF4-FFF2-40B4-BE49-F238E27FC236}">
              <a16:creationId xmlns:a16="http://schemas.microsoft.com/office/drawing/2014/main" id="{3B4FF8F7-5D1E-40B4-90C8-4C94D329F7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0" name="Text Box 1">
          <a:extLst>
            <a:ext uri="{FF2B5EF4-FFF2-40B4-BE49-F238E27FC236}">
              <a16:creationId xmlns:a16="http://schemas.microsoft.com/office/drawing/2014/main" id="{399037F9-6AE7-4618-BE25-6E09E032563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41" name="Text Box 2">
          <a:extLst>
            <a:ext uri="{FF2B5EF4-FFF2-40B4-BE49-F238E27FC236}">
              <a16:creationId xmlns:a16="http://schemas.microsoft.com/office/drawing/2014/main" id="{CDD3CC6F-67B5-4439-8EED-D84EF5FE47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2" name="Text Box 1">
          <a:extLst>
            <a:ext uri="{FF2B5EF4-FFF2-40B4-BE49-F238E27FC236}">
              <a16:creationId xmlns:a16="http://schemas.microsoft.com/office/drawing/2014/main" id="{7F075151-313B-4674-9D1A-57DE5E12DC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43" name="Text Box 2">
          <a:extLst>
            <a:ext uri="{FF2B5EF4-FFF2-40B4-BE49-F238E27FC236}">
              <a16:creationId xmlns:a16="http://schemas.microsoft.com/office/drawing/2014/main" id="{8D50140C-EF7F-464C-B9C5-95499538ED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4" name="Text Box 1">
          <a:extLst>
            <a:ext uri="{FF2B5EF4-FFF2-40B4-BE49-F238E27FC236}">
              <a16:creationId xmlns:a16="http://schemas.microsoft.com/office/drawing/2014/main" id="{13490573-E24D-450D-A5CB-6066E5A01A1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45" name="Text Box 2">
          <a:extLst>
            <a:ext uri="{FF2B5EF4-FFF2-40B4-BE49-F238E27FC236}">
              <a16:creationId xmlns:a16="http://schemas.microsoft.com/office/drawing/2014/main" id="{CB19BB33-58AE-4B90-A276-A73CB55E563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6" name="Text Box 1">
          <a:extLst>
            <a:ext uri="{FF2B5EF4-FFF2-40B4-BE49-F238E27FC236}">
              <a16:creationId xmlns:a16="http://schemas.microsoft.com/office/drawing/2014/main" id="{51984B3F-32BC-49FA-B38D-EB9EEBEA5E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47" name="Text Box 2">
          <a:extLst>
            <a:ext uri="{FF2B5EF4-FFF2-40B4-BE49-F238E27FC236}">
              <a16:creationId xmlns:a16="http://schemas.microsoft.com/office/drawing/2014/main" id="{5E088EB2-F915-44A8-93FF-D208F427E8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48" name="Text Box 1">
          <a:extLst>
            <a:ext uri="{FF2B5EF4-FFF2-40B4-BE49-F238E27FC236}">
              <a16:creationId xmlns:a16="http://schemas.microsoft.com/office/drawing/2014/main" id="{F64BEF93-72CF-41E3-9F64-BC4DA24325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49" name="Text Box 2">
          <a:extLst>
            <a:ext uri="{FF2B5EF4-FFF2-40B4-BE49-F238E27FC236}">
              <a16:creationId xmlns:a16="http://schemas.microsoft.com/office/drawing/2014/main" id="{D55C0C18-59A1-4C48-841F-3053EF118F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50" name="Text Box 1">
          <a:extLst>
            <a:ext uri="{FF2B5EF4-FFF2-40B4-BE49-F238E27FC236}">
              <a16:creationId xmlns:a16="http://schemas.microsoft.com/office/drawing/2014/main" id="{889A1565-1379-45FF-8814-9D3C2B11CE3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1" name="Text Box 2">
          <a:extLst>
            <a:ext uri="{FF2B5EF4-FFF2-40B4-BE49-F238E27FC236}">
              <a16:creationId xmlns:a16="http://schemas.microsoft.com/office/drawing/2014/main" id="{C1759ABE-F3F1-4A0A-8335-65133B152B8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52" name="Text Box 1">
          <a:extLst>
            <a:ext uri="{FF2B5EF4-FFF2-40B4-BE49-F238E27FC236}">
              <a16:creationId xmlns:a16="http://schemas.microsoft.com/office/drawing/2014/main" id="{F9F6C6DE-3845-4B41-9177-8DAAAC8FDA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3" name="Text Box 2">
          <a:extLst>
            <a:ext uri="{FF2B5EF4-FFF2-40B4-BE49-F238E27FC236}">
              <a16:creationId xmlns:a16="http://schemas.microsoft.com/office/drawing/2014/main" id="{42D18E69-31FE-4665-925D-68C182879C6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54" name="Text Box 1">
          <a:extLst>
            <a:ext uri="{FF2B5EF4-FFF2-40B4-BE49-F238E27FC236}">
              <a16:creationId xmlns:a16="http://schemas.microsoft.com/office/drawing/2014/main" id="{881945CF-5152-4857-9787-711F576309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5" name="Text Box 2">
          <a:extLst>
            <a:ext uri="{FF2B5EF4-FFF2-40B4-BE49-F238E27FC236}">
              <a16:creationId xmlns:a16="http://schemas.microsoft.com/office/drawing/2014/main" id="{D5DC3462-9537-43B8-A556-8C1EA20B50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56" name="Text Box 1">
          <a:extLst>
            <a:ext uri="{FF2B5EF4-FFF2-40B4-BE49-F238E27FC236}">
              <a16:creationId xmlns:a16="http://schemas.microsoft.com/office/drawing/2014/main" id="{81C465DC-892E-4945-A70C-777A74F08A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7" name="Text Box 2">
          <a:extLst>
            <a:ext uri="{FF2B5EF4-FFF2-40B4-BE49-F238E27FC236}">
              <a16:creationId xmlns:a16="http://schemas.microsoft.com/office/drawing/2014/main" id="{E9C22365-07FF-4816-8CB6-ECB26C5058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58" name="Text Box 1">
          <a:extLst>
            <a:ext uri="{FF2B5EF4-FFF2-40B4-BE49-F238E27FC236}">
              <a16:creationId xmlns:a16="http://schemas.microsoft.com/office/drawing/2014/main" id="{0FE6DCE1-3230-4CB7-88BC-BD801D903F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59" name="Text Box 2">
          <a:extLst>
            <a:ext uri="{FF2B5EF4-FFF2-40B4-BE49-F238E27FC236}">
              <a16:creationId xmlns:a16="http://schemas.microsoft.com/office/drawing/2014/main" id="{0EFF3D01-A342-4F7C-8C4D-2304425594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0" name="Text Box 1">
          <a:extLst>
            <a:ext uri="{FF2B5EF4-FFF2-40B4-BE49-F238E27FC236}">
              <a16:creationId xmlns:a16="http://schemas.microsoft.com/office/drawing/2014/main" id="{C34C1F38-8FD8-4280-B40A-C0C000DA3D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61" name="Text Box 2">
          <a:extLst>
            <a:ext uri="{FF2B5EF4-FFF2-40B4-BE49-F238E27FC236}">
              <a16:creationId xmlns:a16="http://schemas.microsoft.com/office/drawing/2014/main" id="{2481A9B0-EBE5-4125-B70B-7EB826510C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2" name="Text Box 1">
          <a:extLst>
            <a:ext uri="{FF2B5EF4-FFF2-40B4-BE49-F238E27FC236}">
              <a16:creationId xmlns:a16="http://schemas.microsoft.com/office/drawing/2014/main" id="{8CB109E1-4FFA-412F-A9ED-9BBEDF1F123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63" name="Text Box 2">
          <a:extLst>
            <a:ext uri="{FF2B5EF4-FFF2-40B4-BE49-F238E27FC236}">
              <a16:creationId xmlns:a16="http://schemas.microsoft.com/office/drawing/2014/main" id="{F4E6A247-E58E-4C99-A8A9-8F9CD8BA27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4" name="Text Box 1">
          <a:extLst>
            <a:ext uri="{FF2B5EF4-FFF2-40B4-BE49-F238E27FC236}">
              <a16:creationId xmlns:a16="http://schemas.microsoft.com/office/drawing/2014/main" id="{2DD82737-0259-4786-8953-4590E778454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65" name="Text Box 2">
          <a:extLst>
            <a:ext uri="{FF2B5EF4-FFF2-40B4-BE49-F238E27FC236}">
              <a16:creationId xmlns:a16="http://schemas.microsoft.com/office/drawing/2014/main" id="{B4CFB3B8-22B1-4C8B-9BE9-3176CFDF34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6" name="Text Box 1">
          <a:extLst>
            <a:ext uri="{FF2B5EF4-FFF2-40B4-BE49-F238E27FC236}">
              <a16:creationId xmlns:a16="http://schemas.microsoft.com/office/drawing/2014/main" id="{C569B6AB-9111-4384-900D-D3AE952472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67" name="Text Box 2">
          <a:extLst>
            <a:ext uri="{FF2B5EF4-FFF2-40B4-BE49-F238E27FC236}">
              <a16:creationId xmlns:a16="http://schemas.microsoft.com/office/drawing/2014/main" id="{6936148F-AEEB-46EA-9B8D-7000DD7DD1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68" name="Text Box 1">
          <a:extLst>
            <a:ext uri="{FF2B5EF4-FFF2-40B4-BE49-F238E27FC236}">
              <a16:creationId xmlns:a16="http://schemas.microsoft.com/office/drawing/2014/main" id="{FB6353FE-08D7-4349-8007-33087479B2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69" name="Text Box 2">
          <a:extLst>
            <a:ext uri="{FF2B5EF4-FFF2-40B4-BE49-F238E27FC236}">
              <a16:creationId xmlns:a16="http://schemas.microsoft.com/office/drawing/2014/main" id="{BA50CEA5-A44F-4EAB-91D7-6C66284282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70" name="Text Box 1">
          <a:extLst>
            <a:ext uri="{FF2B5EF4-FFF2-40B4-BE49-F238E27FC236}">
              <a16:creationId xmlns:a16="http://schemas.microsoft.com/office/drawing/2014/main" id="{0BF92DCA-2A03-4475-8B76-EF839816AA6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1" name="Text Box 2">
          <a:extLst>
            <a:ext uri="{FF2B5EF4-FFF2-40B4-BE49-F238E27FC236}">
              <a16:creationId xmlns:a16="http://schemas.microsoft.com/office/drawing/2014/main" id="{115FDC8B-EB88-47B2-8D47-C7232B9273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72" name="Text Box 1">
          <a:extLst>
            <a:ext uri="{FF2B5EF4-FFF2-40B4-BE49-F238E27FC236}">
              <a16:creationId xmlns:a16="http://schemas.microsoft.com/office/drawing/2014/main" id="{A8E0859E-5172-474A-B9D5-04747BBF2E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3" name="Text Box 2">
          <a:extLst>
            <a:ext uri="{FF2B5EF4-FFF2-40B4-BE49-F238E27FC236}">
              <a16:creationId xmlns:a16="http://schemas.microsoft.com/office/drawing/2014/main" id="{0831EDAE-8AE9-48F3-B786-D4D1A40133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74" name="Text Box 1">
          <a:extLst>
            <a:ext uri="{FF2B5EF4-FFF2-40B4-BE49-F238E27FC236}">
              <a16:creationId xmlns:a16="http://schemas.microsoft.com/office/drawing/2014/main" id="{ACC46F1F-D013-41D3-B2EA-B1954F670D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5" name="Text Box 2">
          <a:extLst>
            <a:ext uri="{FF2B5EF4-FFF2-40B4-BE49-F238E27FC236}">
              <a16:creationId xmlns:a16="http://schemas.microsoft.com/office/drawing/2014/main" id="{B402933F-8E08-440D-99B5-C924E8CCFB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76" name="Text Box 1">
          <a:extLst>
            <a:ext uri="{FF2B5EF4-FFF2-40B4-BE49-F238E27FC236}">
              <a16:creationId xmlns:a16="http://schemas.microsoft.com/office/drawing/2014/main" id="{24C08E6B-218F-448E-94A9-43C9A7E822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7" name="Text Box 2">
          <a:extLst>
            <a:ext uri="{FF2B5EF4-FFF2-40B4-BE49-F238E27FC236}">
              <a16:creationId xmlns:a16="http://schemas.microsoft.com/office/drawing/2014/main" id="{90DEF36D-3E7D-4BB6-9827-5FF41D442F8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78" name="Text Box 1">
          <a:extLst>
            <a:ext uri="{FF2B5EF4-FFF2-40B4-BE49-F238E27FC236}">
              <a16:creationId xmlns:a16="http://schemas.microsoft.com/office/drawing/2014/main" id="{9040E131-0C02-4047-B265-C6AA6208A1A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79" name="Text Box 2">
          <a:extLst>
            <a:ext uri="{FF2B5EF4-FFF2-40B4-BE49-F238E27FC236}">
              <a16:creationId xmlns:a16="http://schemas.microsoft.com/office/drawing/2014/main" id="{78C976CD-949D-414F-97A3-F3293D8C97F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0" name="Text Box 1">
          <a:extLst>
            <a:ext uri="{FF2B5EF4-FFF2-40B4-BE49-F238E27FC236}">
              <a16:creationId xmlns:a16="http://schemas.microsoft.com/office/drawing/2014/main" id="{426C8D32-0BF9-4605-8537-53F15591AA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81" name="Text Box 2">
          <a:extLst>
            <a:ext uri="{FF2B5EF4-FFF2-40B4-BE49-F238E27FC236}">
              <a16:creationId xmlns:a16="http://schemas.microsoft.com/office/drawing/2014/main" id="{09BCA617-290E-4567-BFA7-8B4B68F00F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2" name="Text Box 1">
          <a:extLst>
            <a:ext uri="{FF2B5EF4-FFF2-40B4-BE49-F238E27FC236}">
              <a16:creationId xmlns:a16="http://schemas.microsoft.com/office/drawing/2014/main" id="{38F04944-8E58-4018-88D4-979B0EC245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83" name="Text Box 2">
          <a:extLst>
            <a:ext uri="{FF2B5EF4-FFF2-40B4-BE49-F238E27FC236}">
              <a16:creationId xmlns:a16="http://schemas.microsoft.com/office/drawing/2014/main" id="{4CF11BAB-C988-4FEE-8D1F-AEF8524697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4" name="Text Box 1">
          <a:extLst>
            <a:ext uri="{FF2B5EF4-FFF2-40B4-BE49-F238E27FC236}">
              <a16:creationId xmlns:a16="http://schemas.microsoft.com/office/drawing/2014/main" id="{A4E75C1A-2DE8-42CC-9923-E0AEA52E266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85" name="Text Box 2">
          <a:extLst>
            <a:ext uri="{FF2B5EF4-FFF2-40B4-BE49-F238E27FC236}">
              <a16:creationId xmlns:a16="http://schemas.microsoft.com/office/drawing/2014/main" id="{732FB42C-E9E6-448C-B1C4-0C915B900C5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6" name="Text Box 1">
          <a:extLst>
            <a:ext uri="{FF2B5EF4-FFF2-40B4-BE49-F238E27FC236}">
              <a16:creationId xmlns:a16="http://schemas.microsoft.com/office/drawing/2014/main" id="{AB2FAEFE-3DDC-4384-8B88-1832B7254F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87" name="Text Box 2">
          <a:extLst>
            <a:ext uri="{FF2B5EF4-FFF2-40B4-BE49-F238E27FC236}">
              <a16:creationId xmlns:a16="http://schemas.microsoft.com/office/drawing/2014/main" id="{200F181E-46F0-4CA3-975C-FF7879DE52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88" name="Text Box 1">
          <a:extLst>
            <a:ext uri="{FF2B5EF4-FFF2-40B4-BE49-F238E27FC236}">
              <a16:creationId xmlns:a16="http://schemas.microsoft.com/office/drawing/2014/main" id="{E5D9E210-F61D-4845-B664-CDE5CF8ED5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89" name="Text Box 2">
          <a:extLst>
            <a:ext uri="{FF2B5EF4-FFF2-40B4-BE49-F238E27FC236}">
              <a16:creationId xmlns:a16="http://schemas.microsoft.com/office/drawing/2014/main" id="{B752BB8B-2771-478D-910A-58B5521942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90" name="Text Box 1">
          <a:extLst>
            <a:ext uri="{FF2B5EF4-FFF2-40B4-BE49-F238E27FC236}">
              <a16:creationId xmlns:a16="http://schemas.microsoft.com/office/drawing/2014/main" id="{29D2DF1F-C743-456F-BC00-47E996A2E5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1" name="Text Box 2">
          <a:extLst>
            <a:ext uri="{FF2B5EF4-FFF2-40B4-BE49-F238E27FC236}">
              <a16:creationId xmlns:a16="http://schemas.microsoft.com/office/drawing/2014/main" id="{EF05F777-DC67-4210-96FE-E960673EEC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92" name="Text Box 1">
          <a:extLst>
            <a:ext uri="{FF2B5EF4-FFF2-40B4-BE49-F238E27FC236}">
              <a16:creationId xmlns:a16="http://schemas.microsoft.com/office/drawing/2014/main" id="{901C8581-577A-4EB2-9D44-47514550E8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3" name="Text Box 2">
          <a:extLst>
            <a:ext uri="{FF2B5EF4-FFF2-40B4-BE49-F238E27FC236}">
              <a16:creationId xmlns:a16="http://schemas.microsoft.com/office/drawing/2014/main" id="{3D21C203-4D64-461D-A182-E4A4AE78997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94" name="Text Box 1">
          <a:extLst>
            <a:ext uri="{FF2B5EF4-FFF2-40B4-BE49-F238E27FC236}">
              <a16:creationId xmlns:a16="http://schemas.microsoft.com/office/drawing/2014/main" id="{3D2A3E60-B560-47CB-B4FF-5CF5CB7961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5" name="Text Box 2">
          <a:extLst>
            <a:ext uri="{FF2B5EF4-FFF2-40B4-BE49-F238E27FC236}">
              <a16:creationId xmlns:a16="http://schemas.microsoft.com/office/drawing/2014/main" id="{6F141E89-310A-433A-9E0F-39218BA6A83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96" name="Text Box 1">
          <a:extLst>
            <a:ext uri="{FF2B5EF4-FFF2-40B4-BE49-F238E27FC236}">
              <a16:creationId xmlns:a16="http://schemas.microsoft.com/office/drawing/2014/main" id="{B5ADF093-F2F3-4F3E-8D7B-11B01DDA5E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7" name="Text Box 2">
          <a:extLst>
            <a:ext uri="{FF2B5EF4-FFF2-40B4-BE49-F238E27FC236}">
              <a16:creationId xmlns:a16="http://schemas.microsoft.com/office/drawing/2014/main" id="{A9A723A8-935D-42EC-88CF-5B0B11C8196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698" name="Text Box 1">
          <a:extLst>
            <a:ext uri="{FF2B5EF4-FFF2-40B4-BE49-F238E27FC236}">
              <a16:creationId xmlns:a16="http://schemas.microsoft.com/office/drawing/2014/main" id="{C02B3C22-36F9-4193-B211-E2E17315EA1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699" name="Text Box 2">
          <a:extLst>
            <a:ext uri="{FF2B5EF4-FFF2-40B4-BE49-F238E27FC236}">
              <a16:creationId xmlns:a16="http://schemas.microsoft.com/office/drawing/2014/main" id="{A53EF0F0-2969-4770-9F8B-2F6945B3A6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0" name="Text Box 1">
          <a:extLst>
            <a:ext uri="{FF2B5EF4-FFF2-40B4-BE49-F238E27FC236}">
              <a16:creationId xmlns:a16="http://schemas.microsoft.com/office/drawing/2014/main" id="{0F333575-EEC6-41C3-8FD8-BA1D018312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01" name="Text Box 2">
          <a:extLst>
            <a:ext uri="{FF2B5EF4-FFF2-40B4-BE49-F238E27FC236}">
              <a16:creationId xmlns:a16="http://schemas.microsoft.com/office/drawing/2014/main" id="{D3278336-FD6D-426E-A61E-6FDDAE3912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2" name="Text Box 1">
          <a:extLst>
            <a:ext uri="{FF2B5EF4-FFF2-40B4-BE49-F238E27FC236}">
              <a16:creationId xmlns:a16="http://schemas.microsoft.com/office/drawing/2014/main" id="{4428730A-C90C-4DB6-87C6-92603E1304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03" name="Text Box 2">
          <a:extLst>
            <a:ext uri="{FF2B5EF4-FFF2-40B4-BE49-F238E27FC236}">
              <a16:creationId xmlns:a16="http://schemas.microsoft.com/office/drawing/2014/main" id="{F18BE9DE-8A85-44E7-AD75-8C12958CD8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4" name="Text Box 1">
          <a:extLst>
            <a:ext uri="{FF2B5EF4-FFF2-40B4-BE49-F238E27FC236}">
              <a16:creationId xmlns:a16="http://schemas.microsoft.com/office/drawing/2014/main" id="{682EBB82-77E3-46D2-90BD-DBDF018DA6E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05" name="Text Box 2">
          <a:extLst>
            <a:ext uri="{FF2B5EF4-FFF2-40B4-BE49-F238E27FC236}">
              <a16:creationId xmlns:a16="http://schemas.microsoft.com/office/drawing/2014/main" id="{DFC15024-8E8F-46BE-B44A-FD94C23D0A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6" name="Text Box 1">
          <a:extLst>
            <a:ext uri="{FF2B5EF4-FFF2-40B4-BE49-F238E27FC236}">
              <a16:creationId xmlns:a16="http://schemas.microsoft.com/office/drawing/2014/main" id="{2E785032-9EAC-4998-BF88-ADE580B02A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07" name="Text Box 2">
          <a:extLst>
            <a:ext uri="{FF2B5EF4-FFF2-40B4-BE49-F238E27FC236}">
              <a16:creationId xmlns:a16="http://schemas.microsoft.com/office/drawing/2014/main" id="{E06B669F-7F1A-4D66-95C9-208E2989EC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08" name="Text Box 1">
          <a:extLst>
            <a:ext uri="{FF2B5EF4-FFF2-40B4-BE49-F238E27FC236}">
              <a16:creationId xmlns:a16="http://schemas.microsoft.com/office/drawing/2014/main" id="{A54E6AFF-9864-49C0-8F8C-AE48B74C2D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09" name="Text Box 2">
          <a:extLst>
            <a:ext uri="{FF2B5EF4-FFF2-40B4-BE49-F238E27FC236}">
              <a16:creationId xmlns:a16="http://schemas.microsoft.com/office/drawing/2014/main" id="{A22C9411-AF3B-4D1D-AF27-D57484B411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10" name="Text Box 1">
          <a:extLst>
            <a:ext uri="{FF2B5EF4-FFF2-40B4-BE49-F238E27FC236}">
              <a16:creationId xmlns:a16="http://schemas.microsoft.com/office/drawing/2014/main" id="{9CEB03D5-F3C9-471D-B658-96B7C302BA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1" name="Text Box 2">
          <a:extLst>
            <a:ext uri="{FF2B5EF4-FFF2-40B4-BE49-F238E27FC236}">
              <a16:creationId xmlns:a16="http://schemas.microsoft.com/office/drawing/2014/main" id="{93B9060D-642C-4124-9C01-E4D5D5B45C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12" name="Text Box 1">
          <a:extLst>
            <a:ext uri="{FF2B5EF4-FFF2-40B4-BE49-F238E27FC236}">
              <a16:creationId xmlns:a16="http://schemas.microsoft.com/office/drawing/2014/main" id="{6F1A7DE2-00BD-4DED-9D7C-E65717DF34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3" name="Text Box 2">
          <a:extLst>
            <a:ext uri="{FF2B5EF4-FFF2-40B4-BE49-F238E27FC236}">
              <a16:creationId xmlns:a16="http://schemas.microsoft.com/office/drawing/2014/main" id="{1CA6175C-8A3F-4170-BC21-1932C8812D1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14" name="Text Box 1">
          <a:extLst>
            <a:ext uri="{FF2B5EF4-FFF2-40B4-BE49-F238E27FC236}">
              <a16:creationId xmlns:a16="http://schemas.microsoft.com/office/drawing/2014/main" id="{29772BB5-F145-489D-87CC-9086C0B38F5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5" name="Text Box 2">
          <a:extLst>
            <a:ext uri="{FF2B5EF4-FFF2-40B4-BE49-F238E27FC236}">
              <a16:creationId xmlns:a16="http://schemas.microsoft.com/office/drawing/2014/main" id="{F6CA7383-C5A1-4A0A-AC4E-05B406336D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16" name="Text Box 1">
          <a:extLst>
            <a:ext uri="{FF2B5EF4-FFF2-40B4-BE49-F238E27FC236}">
              <a16:creationId xmlns:a16="http://schemas.microsoft.com/office/drawing/2014/main" id="{D568F9A4-62D3-4243-96E9-F68D16B824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7" name="Text Box 2">
          <a:extLst>
            <a:ext uri="{FF2B5EF4-FFF2-40B4-BE49-F238E27FC236}">
              <a16:creationId xmlns:a16="http://schemas.microsoft.com/office/drawing/2014/main" id="{8E68C476-CFE7-446D-B5D3-05C06F9E00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18" name="Text Box 1">
          <a:extLst>
            <a:ext uri="{FF2B5EF4-FFF2-40B4-BE49-F238E27FC236}">
              <a16:creationId xmlns:a16="http://schemas.microsoft.com/office/drawing/2014/main" id="{FD8E9E54-8B1A-495C-AFAF-6A136563895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19" name="Text Box 2">
          <a:extLst>
            <a:ext uri="{FF2B5EF4-FFF2-40B4-BE49-F238E27FC236}">
              <a16:creationId xmlns:a16="http://schemas.microsoft.com/office/drawing/2014/main" id="{D8201A6F-3AD4-4738-8676-AE2FC63642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0" name="Text Box 1">
          <a:extLst>
            <a:ext uri="{FF2B5EF4-FFF2-40B4-BE49-F238E27FC236}">
              <a16:creationId xmlns:a16="http://schemas.microsoft.com/office/drawing/2014/main" id="{9D03B9EC-CE00-428A-8F9D-3D73C429B44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21" name="Text Box 2">
          <a:extLst>
            <a:ext uri="{FF2B5EF4-FFF2-40B4-BE49-F238E27FC236}">
              <a16:creationId xmlns:a16="http://schemas.microsoft.com/office/drawing/2014/main" id="{2741E012-CFB1-41B2-9998-201B4AC678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2" name="Text Box 1">
          <a:extLst>
            <a:ext uri="{FF2B5EF4-FFF2-40B4-BE49-F238E27FC236}">
              <a16:creationId xmlns:a16="http://schemas.microsoft.com/office/drawing/2014/main" id="{6E23EDE4-46CF-4531-B1E4-C8F130DBE6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23" name="Text Box 2">
          <a:extLst>
            <a:ext uri="{FF2B5EF4-FFF2-40B4-BE49-F238E27FC236}">
              <a16:creationId xmlns:a16="http://schemas.microsoft.com/office/drawing/2014/main" id="{FBA01B4E-D0D2-4EAE-A8C4-2349BB93B5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4" name="Text Box 1">
          <a:extLst>
            <a:ext uri="{FF2B5EF4-FFF2-40B4-BE49-F238E27FC236}">
              <a16:creationId xmlns:a16="http://schemas.microsoft.com/office/drawing/2014/main" id="{5AD9D068-FAEC-4B15-B4FE-FAB4616214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25" name="Text Box 2">
          <a:extLst>
            <a:ext uri="{FF2B5EF4-FFF2-40B4-BE49-F238E27FC236}">
              <a16:creationId xmlns:a16="http://schemas.microsoft.com/office/drawing/2014/main" id="{A50A2C85-E8E9-4827-BB58-492B2C1CB1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6" name="Text Box 1">
          <a:extLst>
            <a:ext uri="{FF2B5EF4-FFF2-40B4-BE49-F238E27FC236}">
              <a16:creationId xmlns:a16="http://schemas.microsoft.com/office/drawing/2014/main" id="{2113E1B8-7739-4C1D-9D58-E9E8C370EF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27" name="Text Box 2">
          <a:extLst>
            <a:ext uri="{FF2B5EF4-FFF2-40B4-BE49-F238E27FC236}">
              <a16:creationId xmlns:a16="http://schemas.microsoft.com/office/drawing/2014/main" id="{58C2A551-ACA8-40EA-A686-413535719F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28" name="Text Box 1">
          <a:extLst>
            <a:ext uri="{FF2B5EF4-FFF2-40B4-BE49-F238E27FC236}">
              <a16:creationId xmlns:a16="http://schemas.microsoft.com/office/drawing/2014/main" id="{E7AA2BA0-A1C3-4662-B612-7FCD93669F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29" name="Text Box 2">
          <a:extLst>
            <a:ext uri="{FF2B5EF4-FFF2-40B4-BE49-F238E27FC236}">
              <a16:creationId xmlns:a16="http://schemas.microsoft.com/office/drawing/2014/main" id="{B3955B8B-74AD-4E20-8128-BD8F43F498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30" name="Text Box 1">
          <a:extLst>
            <a:ext uri="{FF2B5EF4-FFF2-40B4-BE49-F238E27FC236}">
              <a16:creationId xmlns:a16="http://schemas.microsoft.com/office/drawing/2014/main" id="{8731913D-A3DF-478F-915B-D8B39AD81AA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1" name="Text Box 2">
          <a:extLst>
            <a:ext uri="{FF2B5EF4-FFF2-40B4-BE49-F238E27FC236}">
              <a16:creationId xmlns:a16="http://schemas.microsoft.com/office/drawing/2014/main" id="{21931AEC-BFEE-41BE-9B59-E7F5CE302D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32" name="Text Box 1">
          <a:extLst>
            <a:ext uri="{FF2B5EF4-FFF2-40B4-BE49-F238E27FC236}">
              <a16:creationId xmlns:a16="http://schemas.microsoft.com/office/drawing/2014/main" id="{689730D2-CA21-4FEA-B189-34C2534E3F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3" name="Text Box 2">
          <a:extLst>
            <a:ext uri="{FF2B5EF4-FFF2-40B4-BE49-F238E27FC236}">
              <a16:creationId xmlns:a16="http://schemas.microsoft.com/office/drawing/2014/main" id="{1429332D-5A04-4BB6-A3FC-268355A1E2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34" name="Text Box 1">
          <a:extLst>
            <a:ext uri="{FF2B5EF4-FFF2-40B4-BE49-F238E27FC236}">
              <a16:creationId xmlns:a16="http://schemas.microsoft.com/office/drawing/2014/main" id="{4029684D-9504-41F6-ADA4-174237EAC5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5" name="Text Box 2">
          <a:extLst>
            <a:ext uri="{FF2B5EF4-FFF2-40B4-BE49-F238E27FC236}">
              <a16:creationId xmlns:a16="http://schemas.microsoft.com/office/drawing/2014/main" id="{0C69232F-6495-4A57-BE18-DD23A9D6EF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36" name="Text Box 1">
          <a:extLst>
            <a:ext uri="{FF2B5EF4-FFF2-40B4-BE49-F238E27FC236}">
              <a16:creationId xmlns:a16="http://schemas.microsoft.com/office/drawing/2014/main" id="{4E56E411-AA74-4A08-A3FE-AB7AF47AE9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7" name="Text Box 2">
          <a:extLst>
            <a:ext uri="{FF2B5EF4-FFF2-40B4-BE49-F238E27FC236}">
              <a16:creationId xmlns:a16="http://schemas.microsoft.com/office/drawing/2014/main" id="{7A5FBC64-8329-45C5-AD24-35F2151DFF2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38" name="Text Box 1">
          <a:extLst>
            <a:ext uri="{FF2B5EF4-FFF2-40B4-BE49-F238E27FC236}">
              <a16:creationId xmlns:a16="http://schemas.microsoft.com/office/drawing/2014/main" id="{5E17B85F-6D19-41D3-A2E7-E75774FDCBB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39" name="Text Box 2">
          <a:extLst>
            <a:ext uri="{FF2B5EF4-FFF2-40B4-BE49-F238E27FC236}">
              <a16:creationId xmlns:a16="http://schemas.microsoft.com/office/drawing/2014/main" id="{2AA0CC6C-9C42-4992-9789-A19EAAC2F6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0" name="Text Box 1">
          <a:extLst>
            <a:ext uri="{FF2B5EF4-FFF2-40B4-BE49-F238E27FC236}">
              <a16:creationId xmlns:a16="http://schemas.microsoft.com/office/drawing/2014/main" id="{4E8DB996-E107-4D3D-9B2C-27B59325DDC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41" name="Text Box 2">
          <a:extLst>
            <a:ext uri="{FF2B5EF4-FFF2-40B4-BE49-F238E27FC236}">
              <a16:creationId xmlns:a16="http://schemas.microsoft.com/office/drawing/2014/main" id="{AE22AA2E-B78C-4E4B-8C11-B525EDB5CA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2" name="Text Box 1">
          <a:extLst>
            <a:ext uri="{FF2B5EF4-FFF2-40B4-BE49-F238E27FC236}">
              <a16:creationId xmlns:a16="http://schemas.microsoft.com/office/drawing/2014/main" id="{1B02297B-D198-44B0-8932-1C8F9F99CD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43" name="Text Box 2">
          <a:extLst>
            <a:ext uri="{FF2B5EF4-FFF2-40B4-BE49-F238E27FC236}">
              <a16:creationId xmlns:a16="http://schemas.microsoft.com/office/drawing/2014/main" id="{56709901-3566-4E3E-A849-79DC38CC856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4" name="Text Box 1">
          <a:extLst>
            <a:ext uri="{FF2B5EF4-FFF2-40B4-BE49-F238E27FC236}">
              <a16:creationId xmlns:a16="http://schemas.microsoft.com/office/drawing/2014/main" id="{9D7CE7FA-38E1-4FD8-8EBF-673ADED6699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45" name="Text Box 2">
          <a:extLst>
            <a:ext uri="{FF2B5EF4-FFF2-40B4-BE49-F238E27FC236}">
              <a16:creationId xmlns:a16="http://schemas.microsoft.com/office/drawing/2014/main" id="{609FB71D-CCF4-41C7-8D41-30AEA3DF9F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6" name="Text Box 1">
          <a:extLst>
            <a:ext uri="{FF2B5EF4-FFF2-40B4-BE49-F238E27FC236}">
              <a16:creationId xmlns:a16="http://schemas.microsoft.com/office/drawing/2014/main" id="{270EF75D-17DC-4946-B042-F2E819FBB9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47" name="Text Box 2">
          <a:extLst>
            <a:ext uri="{FF2B5EF4-FFF2-40B4-BE49-F238E27FC236}">
              <a16:creationId xmlns:a16="http://schemas.microsoft.com/office/drawing/2014/main" id="{442C35D6-4DD7-4978-99AB-D4F220330D2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48" name="Text Box 1">
          <a:extLst>
            <a:ext uri="{FF2B5EF4-FFF2-40B4-BE49-F238E27FC236}">
              <a16:creationId xmlns:a16="http://schemas.microsoft.com/office/drawing/2014/main" id="{C10EDBE3-DBA5-48C7-8560-2847364E468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49" name="Text Box 2">
          <a:extLst>
            <a:ext uri="{FF2B5EF4-FFF2-40B4-BE49-F238E27FC236}">
              <a16:creationId xmlns:a16="http://schemas.microsoft.com/office/drawing/2014/main" id="{E3743E43-2CAB-4251-BD7D-9E268E46CF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50" name="Text Box 1">
          <a:extLst>
            <a:ext uri="{FF2B5EF4-FFF2-40B4-BE49-F238E27FC236}">
              <a16:creationId xmlns:a16="http://schemas.microsoft.com/office/drawing/2014/main" id="{EE592EC3-E9A3-4FC4-B652-F78C354F6FC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1" name="Text Box 2">
          <a:extLst>
            <a:ext uri="{FF2B5EF4-FFF2-40B4-BE49-F238E27FC236}">
              <a16:creationId xmlns:a16="http://schemas.microsoft.com/office/drawing/2014/main" id="{C2DE1A0D-6660-4224-B8B9-B5A5587E668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52" name="Text Box 1">
          <a:extLst>
            <a:ext uri="{FF2B5EF4-FFF2-40B4-BE49-F238E27FC236}">
              <a16:creationId xmlns:a16="http://schemas.microsoft.com/office/drawing/2014/main" id="{1C2DF998-BA54-4F12-8212-0D9835FE8D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3" name="Text Box 2">
          <a:extLst>
            <a:ext uri="{FF2B5EF4-FFF2-40B4-BE49-F238E27FC236}">
              <a16:creationId xmlns:a16="http://schemas.microsoft.com/office/drawing/2014/main" id="{22D23831-35EC-44DC-A6CB-7D497A8358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54" name="Text Box 1">
          <a:extLst>
            <a:ext uri="{FF2B5EF4-FFF2-40B4-BE49-F238E27FC236}">
              <a16:creationId xmlns:a16="http://schemas.microsoft.com/office/drawing/2014/main" id="{C77A47F6-7D9A-4066-A5F5-819A56D0DE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5" name="Text Box 2">
          <a:extLst>
            <a:ext uri="{FF2B5EF4-FFF2-40B4-BE49-F238E27FC236}">
              <a16:creationId xmlns:a16="http://schemas.microsoft.com/office/drawing/2014/main" id="{A587AB63-79A1-4744-AFBD-8206838CCA9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56" name="Text Box 1">
          <a:extLst>
            <a:ext uri="{FF2B5EF4-FFF2-40B4-BE49-F238E27FC236}">
              <a16:creationId xmlns:a16="http://schemas.microsoft.com/office/drawing/2014/main" id="{048A2C57-E158-4F37-A250-6CB62FCFE9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7" name="Text Box 2">
          <a:extLst>
            <a:ext uri="{FF2B5EF4-FFF2-40B4-BE49-F238E27FC236}">
              <a16:creationId xmlns:a16="http://schemas.microsoft.com/office/drawing/2014/main" id="{E9D01B46-D3D2-4777-B355-A136BB11813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58" name="Text Box 1">
          <a:extLst>
            <a:ext uri="{FF2B5EF4-FFF2-40B4-BE49-F238E27FC236}">
              <a16:creationId xmlns:a16="http://schemas.microsoft.com/office/drawing/2014/main" id="{9C45BBAD-2AEB-4AB2-B9DE-C032B8D874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59" name="Text Box 2">
          <a:extLst>
            <a:ext uri="{FF2B5EF4-FFF2-40B4-BE49-F238E27FC236}">
              <a16:creationId xmlns:a16="http://schemas.microsoft.com/office/drawing/2014/main" id="{4D165EF6-8110-48E4-B4DC-D244A3BF32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0" name="Text Box 1">
          <a:extLst>
            <a:ext uri="{FF2B5EF4-FFF2-40B4-BE49-F238E27FC236}">
              <a16:creationId xmlns:a16="http://schemas.microsoft.com/office/drawing/2014/main" id="{10744904-EC6C-43AE-8D94-33DA66E8CEF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61" name="Text Box 2">
          <a:extLst>
            <a:ext uri="{FF2B5EF4-FFF2-40B4-BE49-F238E27FC236}">
              <a16:creationId xmlns:a16="http://schemas.microsoft.com/office/drawing/2014/main" id="{8D968BE1-6923-4F03-9124-FEA68100769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2" name="Text Box 1">
          <a:extLst>
            <a:ext uri="{FF2B5EF4-FFF2-40B4-BE49-F238E27FC236}">
              <a16:creationId xmlns:a16="http://schemas.microsoft.com/office/drawing/2014/main" id="{3967E130-892E-4F45-90C7-6D022C5576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63" name="Text Box 2">
          <a:extLst>
            <a:ext uri="{FF2B5EF4-FFF2-40B4-BE49-F238E27FC236}">
              <a16:creationId xmlns:a16="http://schemas.microsoft.com/office/drawing/2014/main" id="{CC6F7AB5-8E90-4EA3-8CB5-27BC64E581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4" name="Text Box 1">
          <a:extLst>
            <a:ext uri="{FF2B5EF4-FFF2-40B4-BE49-F238E27FC236}">
              <a16:creationId xmlns:a16="http://schemas.microsoft.com/office/drawing/2014/main" id="{702B5494-13BE-494B-8DC0-32EC658362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65" name="Text Box 2">
          <a:extLst>
            <a:ext uri="{FF2B5EF4-FFF2-40B4-BE49-F238E27FC236}">
              <a16:creationId xmlns:a16="http://schemas.microsoft.com/office/drawing/2014/main" id="{F28DE429-CE22-4DE0-8CB1-961B1761232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6" name="Text Box 1">
          <a:extLst>
            <a:ext uri="{FF2B5EF4-FFF2-40B4-BE49-F238E27FC236}">
              <a16:creationId xmlns:a16="http://schemas.microsoft.com/office/drawing/2014/main" id="{3D532499-B60F-4374-911A-0DA7127AF7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67" name="Text Box 2">
          <a:extLst>
            <a:ext uri="{FF2B5EF4-FFF2-40B4-BE49-F238E27FC236}">
              <a16:creationId xmlns:a16="http://schemas.microsoft.com/office/drawing/2014/main" id="{94B2482B-45DE-4F68-801D-98A80AF241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68" name="Text Box 1">
          <a:extLst>
            <a:ext uri="{FF2B5EF4-FFF2-40B4-BE49-F238E27FC236}">
              <a16:creationId xmlns:a16="http://schemas.microsoft.com/office/drawing/2014/main" id="{FEE06F2F-FA4F-441A-A710-7F7EC8DD209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69" name="Text Box 2">
          <a:extLst>
            <a:ext uri="{FF2B5EF4-FFF2-40B4-BE49-F238E27FC236}">
              <a16:creationId xmlns:a16="http://schemas.microsoft.com/office/drawing/2014/main" id="{E1EF14E0-B238-4584-8493-3F7BDEE7D6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70" name="Text Box 1">
          <a:extLst>
            <a:ext uri="{FF2B5EF4-FFF2-40B4-BE49-F238E27FC236}">
              <a16:creationId xmlns:a16="http://schemas.microsoft.com/office/drawing/2014/main" id="{964FFDD1-A0B9-410E-B674-F4BBD52EA4A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1" name="Text Box 2">
          <a:extLst>
            <a:ext uri="{FF2B5EF4-FFF2-40B4-BE49-F238E27FC236}">
              <a16:creationId xmlns:a16="http://schemas.microsoft.com/office/drawing/2014/main" id="{B886D064-D15C-467C-AE41-75491004AD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72" name="Text Box 1">
          <a:extLst>
            <a:ext uri="{FF2B5EF4-FFF2-40B4-BE49-F238E27FC236}">
              <a16:creationId xmlns:a16="http://schemas.microsoft.com/office/drawing/2014/main" id="{3989E9A3-F1CE-432B-B1AE-1D076DD71B0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3" name="Text Box 2">
          <a:extLst>
            <a:ext uri="{FF2B5EF4-FFF2-40B4-BE49-F238E27FC236}">
              <a16:creationId xmlns:a16="http://schemas.microsoft.com/office/drawing/2014/main" id="{F650DCE6-3066-41DA-95E5-D926A4DB33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74" name="Text Box 1">
          <a:extLst>
            <a:ext uri="{FF2B5EF4-FFF2-40B4-BE49-F238E27FC236}">
              <a16:creationId xmlns:a16="http://schemas.microsoft.com/office/drawing/2014/main" id="{6DBB324C-0EB1-4A7E-96CC-9F487A5DDA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5" name="Text Box 2">
          <a:extLst>
            <a:ext uri="{FF2B5EF4-FFF2-40B4-BE49-F238E27FC236}">
              <a16:creationId xmlns:a16="http://schemas.microsoft.com/office/drawing/2014/main" id="{FE09C7BC-A0E3-4094-904D-4CE5DB8E294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76" name="Text Box 1">
          <a:extLst>
            <a:ext uri="{FF2B5EF4-FFF2-40B4-BE49-F238E27FC236}">
              <a16:creationId xmlns:a16="http://schemas.microsoft.com/office/drawing/2014/main" id="{E774974F-52FE-4803-8AC9-AE5AD9CF4A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7" name="Text Box 2">
          <a:extLst>
            <a:ext uri="{FF2B5EF4-FFF2-40B4-BE49-F238E27FC236}">
              <a16:creationId xmlns:a16="http://schemas.microsoft.com/office/drawing/2014/main" id="{2AEDBD1C-DF79-4F22-8181-723AB8CA59E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78" name="Text Box 1">
          <a:extLst>
            <a:ext uri="{FF2B5EF4-FFF2-40B4-BE49-F238E27FC236}">
              <a16:creationId xmlns:a16="http://schemas.microsoft.com/office/drawing/2014/main" id="{4DD4BE1F-A7DF-4A34-B900-0434FFAD0D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79" name="Text Box 2">
          <a:extLst>
            <a:ext uri="{FF2B5EF4-FFF2-40B4-BE49-F238E27FC236}">
              <a16:creationId xmlns:a16="http://schemas.microsoft.com/office/drawing/2014/main" id="{33C43D8D-64AF-46F3-91DF-0C05D25393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0" name="Text Box 1">
          <a:extLst>
            <a:ext uri="{FF2B5EF4-FFF2-40B4-BE49-F238E27FC236}">
              <a16:creationId xmlns:a16="http://schemas.microsoft.com/office/drawing/2014/main" id="{76310DDA-9EDB-42EF-8A2A-377F811FAB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81" name="Text Box 2">
          <a:extLst>
            <a:ext uri="{FF2B5EF4-FFF2-40B4-BE49-F238E27FC236}">
              <a16:creationId xmlns:a16="http://schemas.microsoft.com/office/drawing/2014/main" id="{A0225F2F-8AA3-4C12-8900-325F379AF8D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2" name="Text Box 1">
          <a:extLst>
            <a:ext uri="{FF2B5EF4-FFF2-40B4-BE49-F238E27FC236}">
              <a16:creationId xmlns:a16="http://schemas.microsoft.com/office/drawing/2014/main" id="{0FBB66C3-EDA6-450A-A416-62FAC6D3602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83" name="Text Box 2">
          <a:extLst>
            <a:ext uri="{FF2B5EF4-FFF2-40B4-BE49-F238E27FC236}">
              <a16:creationId xmlns:a16="http://schemas.microsoft.com/office/drawing/2014/main" id="{5AEECE05-75B4-428D-AF6D-317F0AFEE2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4" name="Text Box 1">
          <a:extLst>
            <a:ext uri="{FF2B5EF4-FFF2-40B4-BE49-F238E27FC236}">
              <a16:creationId xmlns:a16="http://schemas.microsoft.com/office/drawing/2014/main" id="{8537405D-363A-4AF3-834F-4654E0509F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85" name="Text Box 2">
          <a:extLst>
            <a:ext uri="{FF2B5EF4-FFF2-40B4-BE49-F238E27FC236}">
              <a16:creationId xmlns:a16="http://schemas.microsoft.com/office/drawing/2014/main" id="{44AD4B09-76B2-4050-8B5C-88E8204C07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6" name="Text Box 1">
          <a:extLst>
            <a:ext uri="{FF2B5EF4-FFF2-40B4-BE49-F238E27FC236}">
              <a16:creationId xmlns:a16="http://schemas.microsoft.com/office/drawing/2014/main" id="{F5DE53E3-4F51-447F-B370-EC057F0B5EA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87" name="Text Box 2">
          <a:extLst>
            <a:ext uri="{FF2B5EF4-FFF2-40B4-BE49-F238E27FC236}">
              <a16:creationId xmlns:a16="http://schemas.microsoft.com/office/drawing/2014/main" id="{FD38CE7D-9F8F-48BC-A698-4E6BEAF07F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88" name="Text Box 1">
          <a:extLst>
            <a:ext uri="{FF2B5EF4-FFF2-40B4-BE49-F238E27FC236}">
              <a16:creationId xmlns:a16="http://schemas.microsoft.com/office/drawing/2014/main" id="{3A12F9E4-ED61-4DF3-A637-3021CC37C9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89" name="Text Box 2">
          <a:extLst>
            <a:ext uri="{FF2B5EF4-FFF2-40B4-BE49-F238E27FC236}">
              <a16:creationId xmlns:a16="http://schemas.microsoft.com/office/drawing/2014/main" id="{CBA7FAA4-BC39-49BD-A8CF-D0CF6A82153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90" name="Text Box 1">
          <a:extLst>
            <a:ext uri="{FF2B5EF4-FFF2-40B4-BE49-F238E27FC236}">
              <a16:creationId xmlns:a16="http://schemas.microsoft.com/office/drawing/2014/main" id="{5FA9DD02-EDF0-4FC1-953F-207189A83B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1" name="Text Box 2">
          <a:extLst>
            <a:ext uri="{FF2B5EF4-FFF2-40B4-BE49-F238E27FC236}">
              <a16:creationId xmlns:a16="http://schemas.microsoft.com/office/drawing/2014/main" id="{8549DDDA-FB0F-4CDD-BD66-685835E455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92" name="Text Box 1">
          <a:extLst>
            <a:ext uri="{FF2B5EF4-FFF2-40B4-BE49-F238E27FC236}">
              <a16:creationId xmlns:a16="http://schemas.microsoft.com/office/drawing/2014/main" id="{37972373-FB6B-4265-957C-531EB3FB90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3" name="Text Box 2">
          <a:extLst>
            <a:ext uri="{FF2B5EF4-FFF2-40B4-BE49-F238E27FC236}">
              <a16:creationId xmlns:a16="http://schemas.microsoft.com/office/drawing/2014/main" id="{41C8EDFB-6F3F-4325-AB11-B886E65258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94" name="Text Box 1">
          <a:extLst>
            <a:ext uri="{FF2B5EF4-FFF2-40B4-BE49-F238E27FC236}">
              <a16:creationId xmlns:a16="http://schemas.microsoft.com/office/drawing/2014/main" id="{37EDA0ED-0E5B-4F40-901E-22716264F58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5" name="Text Box 2">
          <a:extLst>
            <a:ext uri="{FF2B5EF4-FFF2-40B4-BE49-F238E27FC236}">
              <a16:creationId xmlns:a16="http://schemas.microsoft.com/office/drawing/2014/main" id="{21C8B0F2-78DA-4C15-8862-8658784A5A8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96" name="Text Box 1">
          <a:extLst>
            <a:ext uri="{FF2B5EF4-FFF2-40B4-BE49-F238E27FC236}">
              <a16:creationId xmlns:a16="http://schemas.microsoft.com/office/drawing/2014/main" id="{B2D452DD-4ADB-4434-925F-4521BAA2D3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7" name="Text Box 2">
          <a:extLst>
            <a:ext uri="{FF2B5EF4-FFF2-40B4-BE49-F238E27FC236}">
              <a16:creationId xmlns:a16="http://schemas.microsoft.com/office/drawing/2014/main" id="{F2D0F418-A7B4-4E61-A49F-3E612BC611A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798" name="Text Box 1">
          <a:extLst>
            <a:ext uri="{FF2B5EF4-FFF2-40B4-BE49-F238E27FC236}">
              <a16:creationId xmlns:a16="http://schemas.microsoft.com/office/drawing/2014/main" id="{B79B8C2E-9914-4FFB-BCD8-343915A901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799" name="Text Box 2">
          <a:extLst>
            <a:ext uri="{FF2B5EF4-FFF2-40B4-BE49-F238E27FC236}">
              <a16:creationId xmlns:a16="http://schemas.microsoft.com/office/drawing/2014/main" id="{05293B8E-9832-475E-A7D6-F7AFB875EA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0" name="Text Box 1">
          <a:extLst>
            <a:ext uri="{FF2B5EF4-FFF2-40B4-BE49-F238E27FC236}">
              <a16:creationId xmlns:a16="http://schemas.microsoft.com/office/drawing/2014/main" id="{0970B459-695B-4131-A113-5265925C71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01" name="Text Box 2">
          <a:extLst>
            <a:ext uri="{FF2B5EF4-FFF2-40B4-BE49-F238E27FC236}">
              <a16:creationId xmlns:a16="http://schemas.microsoft.com/office/drawing/2014/main" id="{7A1AF259-E8AB-41A0-BB88-EFD6605812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2" name="Text Box 1">
          <a:extLst>
            <a:ext uri="{FF2B5EF4-FFF2-40B4-BE49-F238E27FC236}">
              <a16:creationId xmlns:a16="http://schemas.microsoft.com/office/drawing/2014/main" id="{84CF3AD8-3AE7-4370-BCFC-E940ED4CEAB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03" name="Text Box 2">
          <a:extLst>
            <a:ext uri="{FF2B5EF4-FFF2-40B4-BE49-F238E27FC236}">
              <a16:creationId xmlns:a16="http://schemas.microsoft.com/office/drawing/2014/main" id="{B8A457A6-42D8-416F-8E91-7AF78E10D61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4" name="Text Box 1">
          <a:extLst>
            <a:ext uri="{FF2B5EF4-FFF2-40B4-BE49-F238E27FC236}">
              <a16:creationId xmlns:a16="http://schemas.microsoft.com/office/drawing/2014/main" id="{9E6729EF-67AE-44AB-97E6-192FF73BAF0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05" name="Text Box 2">
          <a:extLst>
            <a:ext uri="{FF2B5EF4-FFF2-40B4-BE49-F238E27FC236}">
              <a16:creationId xmlns:a16="http://schemas.microsoft.com/office/drawing/2014/main" id="{5F75A95B-F159-4A0F-9216-0A47444FF4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6" name="Text Box 1">
          <a:extLst>
            <a:ext uri="{FF2B5EF4-FFF2-40B4-BE49-F238E27FC236}">
              <a16:creationId xmlns:a16="http://schemas.microsoft.com/office/drawing/2014/main" id="{5747DC39-366A-4BBE-AC3C-24360598E32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07" name="Text Box 2">
          <a:extLst>
            <a:ext uri="{FF2B5EF4-FFF2-40B4-BE49-F238E27FC236}">
              <a16:creationId xmlns:a16="http://schemas.microsoft.com/office/drawing/2014/main" id="{B0DDE794-F22D-40B0-BECB-AFDA5DB9F8A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08" name="Text Box 1">
          <a:extLst>
            <a:ext uri="{FF2B5EF4-FFF2-40B4-BE49-F238E27FC236}">
              <a16:creationId xmlns:a16="http://schemas.microsoft.com/office/drawing/2014/main" id="{EB0EE034-03C7-48FA-A2B0-4EB237A1FC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09" name="Text Box 2">
          <a:extLst>
            <a:ext uri="{FF2B5EF4-FFF2-40B4-BE49-F238E27FC236}">
              <a16:creationId xmlns:a16="http://schemas.microsoft.com/office/drawing/2014/main" id="{DE624B24-9000-429B-80D8-9BAFAB5CF9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10" name="Text Box 1">
          <a:extLst>
            <a:ext uri="{FF2B5EF4-FFF2-40B4-BE49-F238E27FC236}">
              <a16:creationId xmlns:a16="http://schemas.microsoft.com/office/drawing/2014/main" id="{5B9D984E-4E85-4D1C-BA18-B4D205DB1AA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1" name="Text Box 2">
          <a:extLst>
            <a:ext uri="{FF2B5EF4-FFF2-40B4-BE49-F238E27FC236}">
              <a16:creationId xmlns:a16="http://schemas.microsoft.com/office/drawing/2014/main" id="{7CD1BD83-9133-47DD-9ECD-D79EA3F504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12" name="Text Box 1">
          <a:extLst>
            <a:ext uri="{FF2B5EF4-FFF2-40B4-BE49-F238E27FC236}">
              <a16:creationId xmlns:a16="http://schemas.microsoft.com/office/drawing/2014/main" id="{DEC6292D-D7AA-495E-8250-4FD77E4308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3" name="Text Box 2">
          <a:extLst>
            <a:ext uri="{FF2B5EF4-FFF2-40B4-BE49-F238E27FC236}">
              <a16:creationId xmlns:a16="http://schemas.microsoft.com/office/drawing/2014/main" id="{61080641-E4F9-4361-AB0E-642DFE74307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14" name="Text Box 1">
          <a:extLst>
            <a:ext uri="{FF2B5EF4-FFF2-40B4-BE49-F238E27FC236}">
              <a16:creationId xmlns:a16="http://schemas.microsoft.com/office/drawing/2014/main" id="{D2B03A0D-43DF-4922-84F7-53389696F45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5" name="Text Box 2">
          <a:extLst>
            <a:ext uri="{FF2B5EF4-FFF2-40B4-BE49-F238E27FC236}">
              <a16:creationId xmlns:a16="http://schemas.microsoft.com/office/drawing/2014/main" id="{D663D219-978E-41C2-92BD-EE9D9EAFA4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16" name="Text Box 1">
          <a:extLst>
            <a:ext uri="{FF2B5EF4-FFF2-40B4-BE49-F238E27FC236}">
              <a16:creationId xmlns:a16="http://schemas.microsoft.com/office/drawing/2014/main" id="{0D9A2FB8-22E3-4630-9233-F42BAD46FB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7" name="Text Box 2">
          <a:extLst>
            <a:ext uri="{FF2B5EF4-FFF2-40B4-BE49-F238E27FC236}">
              <a16:creationId xmlns:a16="http://schemas.microsoft.com/office/drawing/2014/main" id="{24EC95A1-06B9-4B7C-B1E2-0616A337A1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18" name="Text Box 1">
          <a:extLst>
            <a:ext uri="{FF2B5EF4-FFF2-40B4-BE49-F238E27FC236}">
              <a16:creationId xmlns:a16="http://schemas.microsoft.com/office/drawing/2014/main" id="{A99606F9-1772-4E59-93F2-A8A27AD0A53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19" name="Text Box 2">
          <a:extLst>
            <a:ext uri="{FF2B5EF4-FFF2-40B4-BE49-F238E27FC236}">
              <a16:creationId xmlns:a16="http://schemas.microsoft.com/office/drawing/2014/main" id="{12FB15C6-C020-4847-8EF6-201721A147C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0" name="Text Box 1">
          <a:extLst>
            <a:ext uri="{FF2B5EF4-FFF2-40B4-BE49-F238E27FC236}">
              <a16:creationId xmlns:a16="http://schemas.microsoft.com/office/drawing/2014/main" id="{D7449282-0906-4A32-98C2-2696CC1B1C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21" name="Text Box 2">
          <a:extLst>
            <a:ext uri="{FF2B5EF4-FFF2-40B4-BE49-F238E27FC236}">
              <a16:creationId xmlns:a16="http://schemas.microsoft.com/office/drawing/2014/main" id="{C266133D-2E35-4782-84C1-303AAFF66D9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2" name="Text Box 1">
          <a:extLst>
            <a:ext uri="{FF2B5EF4-FFF2-40B4-BE49-F238E27FC236}">
              <a16:creationId xmlns:a16="http://schemas.microsoft.com/office/drawing/2014/main" id="{D2E3C22B-3C58-47EB-B6D2-C7CF748FCE6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23" name="Text Box 2">
          <a:extLst>
            <a:ext uri="{FF2B5EF4-FFF2-40B4-BE49-F238E27FC236}">
              <a16:creationId xmlns:a16="http://schemas.microsoft.com/office/drawing/2014/main" id="{7154C120-E6EF-4159-A6BC-ACC4BE19C4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4" name="Text Box 1">
          <a:extLst>
            <a:ext uri="{FF2B5EF4-FFF2-40B4-BE49-F238E27FC236}">
              <a16:creationId xmlns:a16="http://schemas.microsoft.com/office/drawing/2014/main" id="{72BF617D-7C68-4E85-AE77-E71C2E5E14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25" name="Text Box 2">
          <a:extLst>
            <a:ext uri="{FF2B5EF4-FFF2-40B4-BE49-F238E27FC236}">
              <a16:creationId xmlns:a16="http://schemas.microsoft.com/office/drawing/2014/main" id="{9C039C19-AF66-4695-8845-7600DED07AD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6" name="Text Box 1">
          <a:extLst>
            <a:ext uri="{FF2B5EF4-FFF2-40B4-BE49-F238E27FC236}">
              <a16:creationId xmlns:a16="http://schemas.microsoft.com/office/drawing/2014/main" id="{3D2C2CCD-6A91-4E4A-8D8D-30BEE83F1B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27" name="Text Box 2">
          <a:extLst>
            <a:ext uri="{FF2B5EF4-FFF2-40B4-BE49-F238E27FC236}">
              <a16:creationId xmlns:a16="http://schemas.microsoft.com/office/drawing/2014/main" id="{90C2602D-DD65-40EC-BC5C-9710A7E881E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28" name="Text Box 1">
          <a:extLst>
            <a:ext uri="{FF2B5EF4-FFF2-40B4-BE49-F238E27FC236}">
              <a16:creationId xmlns:a16="http://schemas.microsoft.com/office/drawing/2014/main" id="{C335E7BE-F6BB-4AD9-B97C-1A3BE1FFCC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29" name="Text Box 2">
          <a:extLst>
            <a:ext uri="{FF2B5EF4-FFF2-40B4-BE49-F238E27FC236}">
              <a16:creationId xmlns:a16="http://schemas.microsoft.com/office/drawing/2014/main" id="{61644827-0AB1-4420-90C7-0EC0BBE7BD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30" name="Text Box 1">
          <a:extLst>
            <a:ext uri="{FF2B5EF4-FFF2-40B4-BE49-F238E27FC236}">
              <a16:creationId xmlns:a16="http://schemas.microsoft.com/office/drawing/2014/main" id="{3FD9BE2E-3809-476F-A511-2A9166EAE0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1" name="Text Box 2">
          <a:extLst>
            <a:ext uri="{FF2B5EF4-FFF2-40B4-BE49-F238E27FC236}">
              <a16:creationId xmlns:a16="http://schemas.microsoft.com/office/drawing/2014/main" id="{BFA754CC-4AB7-40A7-A733-5D440F45CC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32" name="Text Box 1">
          <a:extLst>
            <a:ext uri="{FF2B5EF4-FFF2-40B4-BE49-F238E27FC236}">
              <a16:creationId xmlns:a16="http://schemas.microsoft.com/office/drawing/2014/main" id="{2B3344CE-1AFC-42FD-A8BD-DB8336F281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3" name="Text Box 2">
          <a:extLst>
            <a:ext uri="{FF2B5EF4-FFF2-40B4-BE49-F238E27FC236}">
              <a16:creationId xmlns:a16="http://schemas.microsoft.com/office/drawing/2014/main" id="{FC1052D2-7BF4-49A4-A647-3CA3C7A313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34" name="Text Box 1">
          <a:extLst>
            <a:ext uri="{FF2B5EF4-FFF2-40B4-BE49-F238E27FC236}">
              <a16:creationId xmlns:a16="http://schemas.microsoft.com/office/drawing/2014/main" id="{8D6E400D-3618-45BE-BF08-D43E4D3619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5" name="Text Box 2">
          <a:extLst>
            <a:ext uri="{FF2B5EF4-FFF2-40B4-BE49-F238E27FC236}">
              <a16:creationId xmlns:a16="http://schemas.microsoft.com/office/drawing/2014/main" id="{132044FD-C6C8-4DAA-9C89-C6FE256913A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36" name="Text Box 1">
          <a:extLst>
            <a:ext uri="{FF2B5EF4-FFF2-40B4-BE49-F238E27FC236}">
              <a16:creationId xmlns:a16="http://schemas.microsoft.com/office/drawing/2014/main" id="{DB406C1B-9562-44E7-AA66-1F75B236375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7" name="Text Box 2">
          <a:extLst>
            <a:ext uri="{FF2B5EF4-FFF2-40B4-BE49-F238E27FC236}">
              <a16:creationId xmlns:a16="http://schemas.microsoft.com/office/drawing/2014/main" id="{79D32787-1DE3-48D5-83A4-0B049B556F2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38" name="Text Box 1">
          <a:extLst>
            <a:ext uri="{FF2B5EF4-FFF2-40B4-BE49-F238E27FC236}">
              <a16:creationId xmlns:a16="http://schemas.microsoft.com/office/drawing/2014/main" id="{90A51CEE-38A5-4BDA-80C9-C5C47B78327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39" name="Text Box 2">
          <a:extLst>
            <a:ext uri="{FF2B5EF4-FFF2-40B4-BE49-F238E27FC236}">
              <a16:creationId xmlns:a16="http://schemas.microsoft.com/office/drawing/2014/main" id="{9CE632EB-82BB-4977-98C2-11C9836B4B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0" name="Text Box 1">
          <a:extLst>
            <a:ext uri="{FF2B5EF4-FFF2-40B4-BE49-F238E27FC236}">
              <a16:creationId xmlns:a16="http://schemas.microsoft.com/office/drawing/2014/main" id="{A4652DB4-B917-4347-A55C-5925ED2361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41" name="Text Box 2">
          <a:extLst>
            <a:ext uri="{FF2B5EF4-FFF2-40B4-BE49-F238E27FC236}">
              <a16:creationId xmlns:a16="http://schemas.microsoft.com/office/drawing/2014/main" id="{8AC9FC53-C8DC-4492-A559-E52707E1AC7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2" name="Text Box 1">
          <a:extLst>
            <a:ext uri="{FF2B5EF4-FFF2-40B4-BE49-F238E27FC236}">
              <a16:creationId xmlns:a16="http://schemas.microsoft.com/office/drawing/2014/main" id="{6050E032-40DF-405B-A2BA-2C0BD71E130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43" name="Text Box 2">
          <a:extLst>
            <a:ext uri="{FF2B5EF4-FFF2-40B4-BE49-F238E27FC236}">
              <a16:creationId xmlns:a16="http://schemas.microsoft.com/office/drawing/2014/main" id="{EFC903EF-1D09-495E-9849-E7F46E11D5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4" name="Text Box 1">
          <a:extLst>
            <a:ext uri="{FF2B5EF4-FFF2-40B4-BE49-F238E27FC236}">
              <a16:creationId xmlns:a16="http://schemas.microsoft.com/office/drawing/2014/main" id="{35440BD5-AA25-415D-88DF-0D4682C13F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45" name="Text Box 2">
          <a:extLst>
            <a:ext uri="{FF2B5EF4-FFF2-40B4-BE49-F238E27FC236}">
              <a16:creationId xmlns:a16="http://schemas.microsoft.com/office/drawing/2014/main" id="{69D28EB4-7410-4068-A751-B87010EC62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6" name="Text Box 1">
          <a:extLst>
            <a:ext uri="{FF2B5EF4-FFF2-40B4-BE49-F238E27FC236}">
              <a16:creationId xmlns:a16="http://schemas.microsoft.com/office/drawing/2014/main" id="{CE1951D9-9F97-4C3C-B100-F2A3FF7BC1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47" name="Text Box 2">
          <a:extLst>
            <a:ext uri="{FF2B5EF4-FFF2-40B4-BE49-F238E27FC236}">
              <a16:creationId xmlns:a16="http://schemas.microsoft.com/office/drawing/2014/main" id="{EE05594B-CCD0-4C65-8F14-8738C142DE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48" name="Text Box 1">
          <a:extLst>
            <a:ext uri="{FF2B5EF4-FFF2-40B4-BE49-F238E27FC236}">
              <a16:creationId xmlns:a16="http://schemas.microsoft.com/office/drawing/2014/main" id="{34378907-CF87-493E-A736-816294F408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49" name="Text Box 2">
          <a:extLst>
            <a:ext uri="{FF2B5EF4-FFF2-40B4-BE49-F238E27FC236}">
              <a16:creationId xmlns:a16="http://schemas.microsoft.com/office/drawing/2014/main" id="{50ED5D80-7D62-4581-85AF-65D49E66A2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50" name="Text Box 1">
          <a:extLst>
            <a:ext uri="{FF2B5EF4-FFF2-40B4-BE49-F238E27FC236}">
              <a16:creationId xmlns:a16="http://schemas.microsoft.com/office/drawing/2014/main" id="{57372207-5CD5-4B86-90E4-D648262F77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1" name="Text Box 2">
          <a:extLst>
            <a:ext uri="{FF2B5EF4-FFF2-40B4-BE49-F238E27FC236}">
              <a16:creationId xmlns:a16="http://schemas.microsoft.com/office/drawing/2014/main" id="{AFA431D1-15FE-4C60-B1F2-02CCFB61DCD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52" name="Text Box 1">
          <a:extLst>
            <a:ext uri="{FF2B5EF4-FFF2-40B4-BE49-F238E27FC236}">
              <a16:creationId xmlns:a16="http://schemas.microsoft.com/office/drawing/2014/main" id="{445C377D-4B52-4D4D-B8B5-885D74EEC0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3" name="Text Box 2">
          <a:extLst>
            <a:ext uri="{FF2B5EF4-FFF2-40B4-BE49-F238E27FC236}">
              <a16:creationId xmlns:a16="http://schemas.microsoft.com/office/drawing/2014/main" id="{0695829F-6A0F-43C8-A46B-A9AE74BE2B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54" name="Text Box 1">
          <a:extLst>
            <a:ext uri="{FF2B5EF4-FFF2-40B4-BE49-F238E27FC236}">
              <a16:creationId xmlns:a16="http://schemas.microsoft.com/office/drawing/2014/main" id="{0B91BD13-1FAF-4EB7-9960-C33505BC54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5" name="Text Box 2">
          <a:extLst>
            <a:ext uri="{FF2B5EF4-FFF2-40B4-BE49-F238E27FC236}">
              <a16:creationId xmlns:a16="http://schemas.microsoft.com/office/drawing/2014/main" id="{5E6EC1CE-D4CC-45EA-8655-FC74E0507C2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56" name="Text Box 1">
          <a:extLst>
            <a:ext uri="{FF2B5EF4-FFF2-40B4-BE49-F238E27FC236}">
              <a16:creationId xmlns:a16="http://schemas.microsoft.com/office/drawing/2014/main" id="{86A5EB6C-A103-4FC3-B940-2B0DB3FA36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7" name="Text Box 2">
          <a:extLst>
            <a:ext uri="{FF2B5EF4-FFF2-40B4-BE49-F238E27FC236}">
              <a16:creationId xmlns:a16="http://schemas.microsoft.com/office/drawing/2014/main" id="{CB35F7C5-60AC-4FE1-B448-E36385279A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58" name="Text Box 1">
          <a:extLst>
            <a:ext uri="{FF2B5EF4-FFF2-40B4-BE49-F238E27FC236}">
              <a16:creationId xmlns:a16="http://schemas.microsoft.com/office/drawing/2014/main" id="{B2B1192A-5807-449A-AE77-CD8CCFA24BA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59" name="Text Box 2">
          <a:extLst>
            <a:ext uri="{FF2B5EF4-FFF2-40B4-BE49-F238E27FC236}">
              <a16:creationId xmlns:a16="http://schemas.microsoft.com/office/drawing/2014/main" id="{56BEA3E1-4997-4D23-A2A7-8A9D670A04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0" name="Text Box 1">
          <a:extLst>
            <a:ext uri="{FF2B5EF4-FFF2-40B4-BE49-F238E27FC236}">
              <a16:creationId xmlns:a16="http://schemas.microsoft.com/office/drawing/2014/main" id="{20F35D04-8520-421C-B7C6-42BD8AC6BB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61" name="Text Box 2">
          <a:extLst>
            <a:ext uri="{FF2B5EF4-FFF2-40B4-BE49-F238E27FC236}">
              <a16:creationId xmlns:a16="http://schemas.microsoft.com/office/drawing/2014/main" id="{6A1C2666-A185-4E0F-8730-9710E2B32E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2" name="Text Box 1">
          <a:extLst>
            <a:ext uri="{FF2B5EF4-FFF2-40B4-BE49-F238E27FC236}">
              <a16:creationId xmlns:a16="http://schemas.microsoft.com/office/drawing/2014/main" id="{CA6EC747-4DD7-4065-B0CA-65DFD6B0C0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63" name="Text Box 2">
          <a:extLst>
            <a:ext uri="{FF2B5EF4-FFF2-40B4-BE49-F238E27FC236}">
              <a16:creationId xmlns:a16="http://schemas.microsoft.com/office/drawing/2014/main" id="{9BCDCC50-4905-450D-BCE5-BECB0DBBAD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4" name="Text Box 1">
          <a:extLst>
            <a:ext uri="{FF2B5EF4-FFF2-40B4-BE49-F238E27FC236}">
              <a16:creationId xmlns:a16="http://schemas.microsoft.com/office/drawing/2014/main" id="{29295338-13AB-4427-A84A-AE82E20E8AE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65" name="Text Box 2">
          <a:extLst>
            <a:ext uri="{FF2B5EF4-FFF2-40B4-BE49-F238E27FC236}">
              <a16:creationId xmlns:a16="http://schemas.microsoft.com/office/drawing/2014/main" id="{1D27542D-F7CF-4C6E-9A9E-6D9E6526C2A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6" name="Text Box 1">
          <a:extLst>
            <a:ext uri="{FF2B5EF4-FFF2-40B4-BE49-F238E27FC236}">
              <a16:creationId xmlns:a16="http://schemas.microsoft.com/office/drawing/2014/main" id="{D5A20962-05B4-403B-AD4F-A57C392E6E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67" name="Text Box 2">
          <a:extLst>
            <a:ext uri="{FF2B5EF4-FFF2-40B4-BE49-F238E27FC236}">
              <a16:creationId xmlns:a16="http://schemas.microsoft.com/office/drawing/2014/main" id="{D5569DDC-5FD2-4764-820B-ABDF7D1E99A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68" name="Text Box 1">
          <a:extLst>
            <a:ext uri="{FF2B5EF4-FFF2-40B4-BE49-F238E27FC236}">
              <a16:creationId xmlns:a16="http://schemas.microsoft.com/office/drawing/2014/main" id="{4E9A15B8-8F17-40FF-A160-12FFCEB74D9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69" name="Text Box 2">
          <a:extLst>
            <a:ext uri="{FF2B5EF4-FFF2-40B4-BE49-F238E27FC236}">
              <a16:creationId xmlns:a16="http://schemas.microsoft.com/office/drawing/2014/main" id="{5A74E97D-07A8-4BD9-A276-7307894FC3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70" name="Text Box 1">
          <a:extLst>
            <a:ext uri="{FF2B5EF4-FFF2-40B4-BE49-F238E27FC236}">
              <a16:creationId xmlns:a16="http://schemas.microsoft.com/office/drawing/2014/main" id="{F572425D-5BD9-4ED4-B23C-0C292BBD372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1" name="Text Box 2">
          <a:extLst>
            <a:ext uri="{FF2B5EF4-FFF2-40B4-BE49-F238E27FC236}">
              <a16:creationId xmlns:a16="http://schemas.microsoft.com/office/drawing/2014/main" id="{FB969946-835B-4CFA-B6E4-20832F817D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72" name="Text Box 1">
          <a:extLst>
            <a:ext uri="{FF2B5EF4-FFF2-40B4-BE49-F238E27FC236}">
              <a16:creationId xmlns:a16="http://schemas.microsoft.com/office/drawing/2014/main" id="{473A8A2B-5B89-4C1F-A62F-60E9AD2FB43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3" name="Text Box 2">
          <a:extLst>
            <a:ext uri="{FF2B5EF4-FFF2-40B4-BE49-F238E27FC236}">
              <a16:creationId xmlns:a16="http://schemas.microsoft.com/office/drawing/2014/main" id="{C382AE9B-EE1A-4DF7-B792-1B1E8120E1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74" name="Text Box 1">
          <a:extLst>
            <a:ext uri="{FF2B5EF4-FFF2-40B4-BE49-F238E27FC236}">
              <a16:creationId xmlns:a16="http://schemas.microsoft.com/office/drawing/2014/main" id="{B96404B3-7FF3-463F-9E5A-52522A7CCF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5" name="Text Box 2">
          <a:extLst>
            <a:ext uri="{FF2B5EF4-FFF2-40B4-BE49-F238E27FC236}">
              <a16:creationId xmlns:a16="http://schemas.microsoft.com/office/drawing/2014/main" id="{AC907A85-3830-42D8-B633-2A1F5C0B2F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76" name="Text Box 1">
          <a:extLst>
            <a:ext uri="{FF2B5EF4-FFF2-40B4-BE49-F238E27FC236}">
              <a16:creationId xmlns:a16="http://schemas.microsoft.com/office/drawing/2014/main" id="{AD43E1BE-3397-441F-9FD5-8D3638AC75C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7" name="Text Box 2">
          <a:extLst>
            <a:ext uri="{FF2B5EF4-FFF2-40B4-BE49-F238E27FC236}">
              <a16:creationId xmlns:a16="http://schemas.microsoft.com/office/drawing/2014/main" id="{D5558F3D-C546-40B0-87E5-7AF07B593F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78" name="Text Box 1">
          <a:extLst>
            <a:ext uri="{FF2B5EF4-FFF2-40B4-BE49-F238E27FC236}">
              <a16:creationId xmlns:a16="http://schemas.microsoft.com/office/drawing/2014/main" id="{873E3063-CBF7-4AF1-B918-06D662208F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79" name="Text Box 2">
          <a:extLst>
            <a:ext uri="{FF2B5EF4-FFF2-40B4-BE49-F238E27FC236}">
              <a16:creationId xmlns:a16="http://schemas.microsoft.com/office/drawing/2014/main" id="{B17F8B64-4CA9-4CAA-977B-9C9802DB15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0" name="Text Box 1">
          <a:extLst>
            <a:ext uri="{FF2B5EF4-FFF2-40B4-BE49-F238E27FC236}">
              <a16:creationId xmlns:a16="http://schemas.microsoft.com/office/drawing/2014/main" id="{BA843C62-CEFF-4F7E-A579-DA8AC9D19E3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81" name="Text Box 2">
          <a:extLst>
            <a:ext uri="{FF2B5EF4-FFF2-40B4-BE49-F238E27FC236}">
              <a16:creationId xmlns:a16="http://schemas.microsoft.com/office/drawing/2014/main" id="{C70096EB-9573-4B3B-8BF6-B9DD35DAF15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2" name="Text Box 1">
          <a:extLst>
            <a:ext uri="{FF2B5EF4-FFF2-40B4-BE49-F238E27FC236}">
              <a16:creationId xmlns:a16="http://schemas.microsoft.com/office/drawing/2014/main" id="{BED70D3B-F8F6-42B1-BCB5-C681EC9D417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83" name="Text Box 2">
          <a:extLst>
            <a:ext uri="{FF2B5EF4-FFF2-40B4-BE49-F238E27FC236}">
              <a16:creationId xmlns:a16="http://schemas.microsoft.com/office/drawing/2014/main" id="{9E0CBF54-FF15-4D88-93FD-48FD37AEFD9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4" name="Text Box 1">
          <a:extLst>
            <a:ext uri="{FF2B5EF4-FFF2-40B4-BE49-F238E27FC236}">
              <a16:creationId xmlns:a16="http://schemas.microsoft.com/office/drawing/2014/main" id="{A3817508-8F3D-4D06-824B-9C4EE1E4FA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85" name="Text Box 2">
          <a:extLst>
            <a:ext uri="{FF2B5EF4-FFF2-40B4-BE49-F238E27FC236}">
              <a16:creationId xmlns:a16="http://schemas.microsoft.com/office/drawing/2014/main" id="{70A1F25A-1A3C-44C2-9F57-346D18A33C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6" name="Text Box 1">
          <a:extLst>
            <a:ext uri="{FF2B5EF4-FFF2-40B4-BE49-F238E27FC236}">
              <a16:creationId xmlns:a16="http://schemas.microsoft.com/office/drawing/2014/main" id="{43B22247-CBC4-42DD-9B65-5817DB32DF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87" name="Text Box 2">
          <a:extLst>
            <a:ext uri="{FF2B5EF4-FFF2-40B4-BE49-F238E27FC236}">
              <a16:creationId xmlns:a16="http://schemas.microsoft.com/office/drawing/2014/main" id="{412EFF11-C6A1-4E9D-9A7C-5097E10688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88" name="Text Box 1">
          <a:extLst>
            <a:ext uri="{FF2B5EF4-FFF2-40B4-BE49-F238E27FC236}">
              <a16:creationId xmlns:a16="http://schemas.microsoft.com/office/drawing/2014/main" id="{8F2964FB-3C45-49D3-9BFB-9B9F8D9BA61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89" name="Text Box 2">
          <a:extLst>
            <a:ext uri="{FF2B5EF4-FFF2-40B4-BE49-F238E27FC236}">
              <a16:creationId xmlns:a16="http://schemas.microsoft.com/office/drawing/2014/main" id="{F5679B19-9704-4C14-933A-03A3D0E234F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90" name="Text Box 1">
          <a:extLst>
            <a:ext uri="{FF2B5EF4-FFF2-40B4-BE49-F238E27FC236}">
              <a16:creationId xmlns:a16="http://schemas.microsoft.com/office/drawing/2014/main" id="{7320C6D8-10C5-45B1-B3B8-F3D98DA0C4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1" name="Text Box 2">
          <a:extLst>
            <a:ext uri="{FF2B5EF4-FFF2-40B4-BE49-F238E27FC236}">
              <a16:creationId xmlns:a16="http://schemas.microsoft.com/office/drawing/2014/main" id="{6D65F486-D2D6-475B-A001-517AB7DA9C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92" name="Text Box 1">
          <a:extLst>
            <a:ext uri="{FF2B5EF4-FFF2-40B4-BE49-F238E27FC236}">
              <a16:creationId xmlns:a16="http://schemas.microsoft.com/office/drawing/2014/main" id="{CA041F52-05B3-4C68-A795-45387F476E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3" name="Text Box 2">
          <a:extLst>
            <a:ext uri="{FF2B5EF4-FFF2-40B4-BE49-F238E27FC236}">
              <a16:creationId xmlns:a16="http://schemas.microsoft.com/office/drawing/2014/main" id="{B7FEE115-E631-44A8-9E61-F9DEA6963EC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94" name="Text Box 1">
          <a:extLst>
            <a:ext uri="{FF2B5EF4-FFF2-40B4-BE49-F238E27FC236}">
              <a16:creationId xmlns:a16="http://schemas.microsoft.com/office/drawing/2014/main" id="{8F8BAC24-28ED-4B2B-B44A-3742B3C346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5" name="Text Box 2">
          <a:extLst>
            <a:ext uri="{FF2B5EF4-FFF2-40B4-BE49-F238E27FC236}">
              <a16:creationId xmlns:a16="http://schemas.microsoft.com/office/drawing/2014/main" id="{21EF8A6B-A050-4D58-8C4C-6D5DA879C6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96" name="Text Box 1">
          <a:extLst>
            <a:ext uri="{FF2B5EF4-FFF2-40B4-BE49-F238E27FC236}">
              <a16:creationId xmlns:a16="http://schemas.microsoft.com/office/drawing/2014/main" id="{C729085A-9B2E-41DF-9E26-555EF7B4A7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7" name="Text Box 2">
          <a:extLst>
            <a:ext uri="{FF2B5EF4-FFF2-40B4-BE49-F238E27FC236}">
              <a16:creationId xmlns:a16="http://schemas.microsoft.com/office/drawing/2014/main" id="{A95024F8-2D7D-4DC3-9905-9DBE9063CD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898" name="Text Box 1">
          <a:extLst>
            <a:ext uri="{FF2B5EF4-FFF2-40B4-BE49-F238E27FC236}">
              <a16:creationId xmlns:a16="http://schemas.microsoft.com/office/drawing/2014/main" id="{88AF216A-A758-4FDF-B818-608D511FFE9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899" name="Text Box 2">
          <a:extLst>
            <a:ext uri="{FF2B5EF4-FFF2-40B4-BE49-F238E27FC236}">
              <a16:creationId xmlns:a16="http://schemas.microsoft.com/office/drawing/2014/main" id="{8D109EE6-6A6F-4EBB-B745-0710B86AC37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0" name="Text Box 1">
          <a:extLst>
            <a:ext uri="{FF2B5EF4-FFF2-40B4-BE49-F238E27FC236}">
              <a16:creationId xmlns:a16="http://schemas.microsoft.com/office/drawing/2014/main" id="{C594CF8A-BEB4-4729-BA43-BC09C0C5356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01" name="Text Box 2">
          <a:extLst>
            <a:ext uri="{FF2B5EF4-FFF2-40B4-BE49-F238E27FC236}">
              <a16:creationId xmlns:a16="http://schemas.microsoft.com/office/drawing/2014/main" id="{0A1CCF5A-AF4A-490A-B658-E8CE9B2578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2" name="Text Box 1">
          <a:extLst>
            <a:ext uri="{FF2B5EF4-FFF2-40B4-BE49-F238E27FC236}">
              <a16:creationId xmlns:a16="http://schemas.microsoft.com/office/drawing/2014/main" id="{4D529D54-E049-4F36-83EF-98574DBFCA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03" name="Text Box 2">
          <a:extLst>
            <a:ext uri="{FF2B5EF4-FFF2-40B4-BE49-F238E27FC236}">
              <a16:creationId xmlns:a16="http://schemas.microsoft.com/office/drawing/2014/main" id="{2B0BB865-AE7E-4EEC-B685-71BCC19145E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4" name="Text Box 1">
          <a:extLst>
            <a:ext uri="{FF2B5EF4-FFF2-40B4-BE49-F238E27FC236}">
              <a16:creationId xmlns:a16="http://schemas.microsoft.com/office/drawing/2014/main" id="{12E16C84-5CE2-442D-8B55-A5722D1D75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05" name="Text Box 2">
          <a:extLst>
            <a:ext uri="{FF2B5EF4-FFF2-40B4-BE49-F238E27FC236}">
              <a16:creationId xmlns:a16="http://schemas.microsoft.com/office/drawing/2014/main" id="{3F750E02-D49E-42F5-9DE6-CE73C7E434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6" name="Text Box 1">
          <a:extLst>
            <a:ext uri="{FF2B5EF4-FFF2-40B4-BE49-F238E27FC236}">
              <a16:creationId xmlns:a16="http://schemas.microsoft.com/office/drawing/2014/main" id="{316A197E-7DB2-45A8-A037-0245FEAD50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07" name="Text Box 2">
          <a:extLst>
            <a:ext uri="{FF2B5EF4-FFF2-40B4-BE49-F238E27FC236}">
              <a16:creationId xmlns:a16="http://schemas.microsoft.com/office/drawing/2014/main" id="{736F6484-506A-40FD-8F67-40A6161852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08" name="Text Box 1">
          <a:extLst>
            <a:ext uri="{FF2B5EF4-FFF2-40B4-BE49-F238E27FC236}">
              <a16:creationId xmlns:a16="http://schemas.microsoft.com/office/drawing/2014/main" id="{D8B84249-C47A-4E5D-BDD2-5B5A534FED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09" name="Text Box 2">
          <a:extLst>
            <a:ext uri="{FF2B5EF4-FFF2-40B4-BE49-F238E27FC236}">
              <a16:creationId xmlns:a16="http://schemas.microsoft.com/office/drawing/2014/main" id="{088457C3-CA5C-43AA-9960-007424C1BF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10" name="Text Box 1">
          <a:extLst>
            <a:ext uri="{FF2B5EF4-FFF2-40B4-BE49-F238E27FC236}">
              <a16:creationId xmlns:a16="http://schemas.microsoft.com/office/drawing/2014/main" id="{9B0B1138-58A5-4520-951C-5E643C296E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1" name="Text Box 2">
          <a:extLst>
            <a:ext uri="{FF2B5EF4-FFF2-40B4-BE49-F238E27FC236}">
              <a16:creationId xmlns:a16="http://schemas.microsoft.com/office/drawing/2014/main" id="{0ED96AA2-B320-46C6-AC1F-DD47035FF9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12" name="Text Box 1">
          <a:extLst>
            <a:ext uri="{FF2B5EF4-FFF2-40B4-BE49-F238E27FC236}">
              <a16:creationId xmlns:a16="http://schemas.microsoft.com/office/drawing/2014/main" id="{8A76458B-D01F-41F7-A4E7-5A36B9D8B14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3" name="Text Box 2">
          <a:extLst>
            <a:ext uri="{FF2B5EF4-FFF2-40B4-BE49-F238E27FC236}">
              <a16:creationId xmlns:a16="http://schemas.microsoft.com/office/drawing/2014/main" id="{D0D15016-EA60-45FA-A0FA-58561055E4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14" name="Text Box 1">
          <a:extLst>
            <a:ext uri="{FF2B5EF4-FFF2-40B4-BE49-F238E27FC236}">
              <a16:creationId xmlns:a16="http://schemas.microsoft.com/office/drawing/2014/main" id="{B80FC0C9-B0F0-460B-BE31-2D8348D9E8C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5" name="Text Box 2">
          <a:extLst>
            <a:ext uri="{FF2B5EF4-FFF2-40B4-BE49-F238E27FC236}">
              <a16:creationId xmlns:a16="http://schemas.microsoft.com/office/drawing/2014/main" id="{FCC657A1-E232-46A5-BB64-DB5AB375279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16" name="Text Box 1">
          <a:extLst>
            <a:ext uri="{FF2B5EF4-FFF2-40B4-BE49-F238E27FC236}">
              <a16:creationId xmlns:a16="http://schemas.microsoft.com/office/drawing/2014/main" id="{215FFB3B-349F-4F6A-A244-05494F4B9B7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7" name="Text Box 2">
          <a:extLst>
            <a:ext uri="{FF2B5EF4-FFF2-40B4-BE49-F238E27FC236}">
              <a16:creationId xmlns:a16="http://schemas.microsoft.com/office/drawing/2014/main" id="{0306025A-72D6-4BED-894E-50386F46D7B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18" name="Text Box 1">
          <a:extLst>
            <a:ext uri="{FF2B5EF4-FFF2-40B4-BE49-F238E27FC236}">
              <a16:creationId xmlns:a16="http://schemas.microsoft.com/office/drawing/2014/main" id="{25663840-C53A-464C-A11E-9DAAAC47A5D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19" name="Text Box 2">
          <a:extLst>
            <a:ext uri="{FF2B5EF4-FFF2-40B4-BE49-F238E27FC236}">
              <a16:creationId xmlns:a16="http://schemas.microsoft.com/office/drawing/2014/main" id="{A98B67B4-2E22-4892-AD68-6BC57FC9AD0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0" name="Text Box 1">
          <a:extLst>
            <a:ext uri="{FF2B5EF4-FFF2-40B4-BE49-F238E27FC236}">
              <a16:creationId xmlns:a16="http://schemas.microsoft.com/office/drawing/2014/main" id="{A3807386-8CB3-4EFA-959A-8135F7ED72D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21" name="Text Box 2">
          <a:extLst>
            <a:ext uri="{FF2B5EF4-FFF2-40B4-BE49-F238E27FC236}">
              <a16:creationId xmlns:a16="http://schemas.microsoft.com/office/drawing/2014/main" id="{37E06770-3B60-4222-8298-822DE1424FF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2" name="Text Box 1">
          <a:extLst>
            <a:ext uri="{FF2B5EF4-FFF2-40B4-BE49-F238E27FC236}">
              <a16:creationId xmlns:a16="http://schemas.microsoft.com/office/drawing/2014/main" id="{924405F8-8F52-484E-AEF8-0A0899B5E8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23" name="Text Box 2">
          <a:extLst>
            <a:ext uri="{FF2B5EF4-FFF2-40B4-BE49-F238E27FC236}">
              <a16:creationId xmlns:a16="http://schemas.microsoft.com/office/drawing/2014/main" id="{FEE6CF46-F073-4175-9F9E-026EA215BE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4" name="Text Box 1">
          <a:extLst>
            <a:ext uri="{FF2B5EF4-FFF2-40B4-BE49-F238E27FC236}">
              <a16:creationId xmlns:a16="http://schemas.microsoft.com/office/drawing/2014/main" id="{9CCB590F-F398-417C-BCD4-CCCD14BF925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25" name="Text Box 2">
          <a:extLst>
            <a:ext uri="{FF2B5EF4-FFF2-40B4-BE49-F238E27FC236}">
              <a16:creationId xmlns:a16="http://schemas.microsoft.com/office/drawing/2014/main" id="{4C04C9C9-1FC8-423C-962D-52F86A6DAD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6" name="Text Box 1">
          <a:extLst>
            <a:ext uri="{FF2B5EF4-FFF2-40B4-BE49-F238E27FC236}">
              <a16:creationId xmlns:a16="http://schemas.microsoft.com/office/drawing/2014/main" id="{17882283-D6F2-4635-9E8B-6660732D74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27" name="Text Box 2">
          <a:extLst>
            <a:ext uri="{FF2B5EF4-FFF2-40B4-BE49-F238E27FC236}">
              <a16:creationId xmlns:a16="http://schemas.microsoft.com/office/drawing/2014/main" id="{D27657A7-A843-46B5-8CD7-C55B91434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28" name="Text Box 1">
          <a:extLst>
            <a:ext uri="{FF2B5EF4-FFF2-40B4-BE49-F238E27FC236}">
              <a16:creationId xmlns:a16="http://schemas.microsoft.com/office/drawing/2014/main" id="{D53373E3-90EE-4077-A163-65A21299ABF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29" name="Text Box 2">
          <a:extLst>
            <a:ext uri="{FF2B5EF4-FFF2-40B4-BE49-F238E27FC236}">
              <a16:creationId xmlns:a16="http://schemas.microsoft.com/office/drawing/2014/main" id="{56C16F98-D0A9-43CD-A863-0BC16E855CB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30" name="Text Box 1">
          <a:extLst>
            <a:ext uri="{FF2B5EF4-FFF2-40B4-BE49-F238E27FC236}">
              <a16:creationId xmlns:a16="http://schemas.microsoft.com/office/drawing/2014/main" id="{24CFD64F-954F-431C-AC62-7B96AFCD3B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1" name="Text Box 2">
          <a:extLst>
            <a:ext uri="{FF2B5EF4-FFF2-40B4-BE49-F238E27FC236}">
              <a16:creationId xmlns:a16="http://schemas.microsoft.com/office/drawing/2014/main" id="{6744386A-9E19-416D-9E11-C8E3FE9D122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32" name="Text Box 1">
          <a:extLst>
            <a:ext uri="{FF2B5EF4-FFF2-40B4-BE49-F238E27FC236}">
              <a16:creationId xmlns:a16="http://schemas.microsoft.com/office/drawing/2014/main" id="{D3B4B39C-75B6-4B6B-AF7E-66845303BA6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3" name="Text Box 2">
          <a:extLst>
            <a:ext uri="{FF2B5EF4-FFF2-40B4-BE49-F238E27FC236}">
              <a16:creationId xmlns:a16="http://schemas.microsoft.com/office/drawing/2014/main" id="{8E605C66-3B17-430B-9651-A3C10C1F10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34" name="Text Box 1">
          <a:extLst>
            <a:ext uri="{FF2B5EF4-FFF2-40B4-BE49-F238E27FC236}">
              <a16:creationId xmlns:a16="http://schemas.microsoft.com/office/drawing/2014/main" id="{59002495-B7D3-4C6D-9F1B-2DBE85291D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5" name="Text Box 2">
          <a:extLst>
            <a:ext uri="{FF2B5EF4-FFF2-40B4-BE49-F238E27FC236}">
              <a16:creationId xmlns:a16="http://schemas.microsoft.com/office/drawing/2014/main" id="{6EEB8E59-09AA-4468-AD0D-897501F017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36" name="Text Box 1">
          <a:extLst>
            <a:ext uri="{FF2B5EF4-FFF2-40B4-BE49-F238E27FC236}">
              <a16:creationId xmlns:a16="http://schemas.microsoft.com/office/drawing/2014/main" id="{CF4DB2D9-E565-4EAB-B890-375A98290E7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7" name="Text Box 2">
          <a:extLst>
            <a:ext uri="{FF2B5EF4-FFF2-40B4-BE49-F238E27FC236}">
              <a16:creationId xmlns:a16="http://schemas.microsoft.com/office/drawing/2014/main" id="{5F28DBED-4C61-4639-8EB4-4354B10DDDC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38" name="Text Box 1">
          <a:extLst>
            <a:ext uri="{FF2B5EF4-FFF2-40B4-BE49-F238E27FC236}">
              <a16:creationId xmlns:a16="http://schemas.microsoft.com/office/drawing/2014/main" id="{8BC58BAB-1EE5-459E-B87C-3F5832DEF47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39" name="Text Box 2">
          <a:extLst>
            <a:ext uri="{FF2B5EF4-FFF2-40B4-BE49-F238E27FC236}">
              <a16:creationId xmlns:a16="http://schemas.microsoft.com/office/drawing/2014/main" id="{B4082724-3FC1-4EBF-AC86-D0AA73FA22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0" name="Text Box 1">
          <a:extLst>
            <a:ext uri="{FF2B5EF4-FFF2-40B4-BE49-F238E27FC236}">
              <a16:creationId xmlns:a16="http://schemas.microsoft.com/office/drawing/2014/main" id="{A91415E0-7589-49AB-B136-AA5BA14AE9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41" name="Text Box 2">
          <a:extLst>
            <a:ext uri="{FF2B5EF4-FFF2-40B4-BE49-F238E27FC236}">
              <a16:creationId xmlns:a16="http://schemas.microsoft.com/office/drawing/2014/main" id="{9855AEA5-709A-4A0B-8E18-A7511CBF19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2" name="Text Box 1">
          <a:extLst>
            <a:ext uri="{FF2B5EF4-FFF2-40B4-BE49-F238E27FC236}">
              <a16:creationId xmlns:a16="http://schemas.microsoft.com/office/drawing/2014/main" id="{9997BC19-CB40-429E-A824-7823DE0950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43" name="Text Box 2">
          <a:extLst>
            <a:ext uri="{FF2B5EF4-FFF2-40B4-BE49-F238E27FC236}">
              <a16:creationId xmlns:a16="http://schemas.microsoft.com/office/drawing/2014/main" id="{76808E8C-EDF3-4982-A0A2-133343F6485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4" name="Text Box 1">
          <a:extLst>
            <a:ext uri="{FF2B5EF4-FFF2-40B4-BE49-F238E27FC236}">
              <a16:creationId xmlns:a16="http://schemas.microsoft.com/office/drawing/2014/main" id="{19DA434C-11A0-4723-88EA-D5523F386AC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45" name="Text Box 2">
          <a:extLst>
            <a:ext uri="{FF2B5EF4-FFF2-40B4-BE49-F238E27FC236}">
              <a16:creationId xmlns:a16="http://schemas.microsoft.com/office/drawing/2014/main" id="{CC298951-EEE9-4346-8D56-8B40BEA485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6" name="Text Box 1">
          <a:extLst>
            <a:ext uri="{FF2B5EF4-FFF2-40B4-BE49-F238E27FC236}">
              <a16:creationId xmlns:a16="http://schemas.microsoft.com/office/drawing/2014/main" id="{8CBDF56E-54D2-4A63-A44C-35C59F84F0C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47" name="Text Box 2">
          <a:extLst>
            <a:ext uri="{FF2B5EF4-FFF2-40B4-BE49-F238E27FC236}">
              <a16:creationId xmlns:a16="http://schemas.microsoft.com/office/drawing/2014/main" id="{3D64877A-F61B-4026-8E6F-CDC9CE4A51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48" name="Text Box 1">
          <a:extLst>
            <a:ext uri="{FF2B5EF4-FFF2-40B4-BE49-F238E27FC236}">
              <a16:creationId xmlns:a16="http://schemas.microsoft.com/office/drawing/2014/main" id="{B168674C-103B-4C65-8EC5-A73C308C79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49" name="Text Box 2">
          <a:extLst>
            <a:ext uri="{FF2B5EF4-FFF2-40B4-BE49-F238E27FC236}">
              <a16:creationId xmlns:a16="http://schemas.microsoft.com/office/drawing/2014/main" id="{2C6E8626-C0E1-4649-A481-214510690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50" name="Text Box 1">
          <a:extLst>
            <a:ext uri="{FF2B5EF4-FFF2-40B4-BE49-F238E27FC236}">
              <a16:creationId xmlns:a16="http://schemas.microsoft.com/office/drawing/2014/main" id="{2188BE83-94ED-41EA-A178-0DA05780CE6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1" name="Text Box 2">
          <a:extLst>
            <a:ext uri="{FF2B5EF4-FFF2-40B4-BE49-F238E27FC236}">
              <a16:creationId xmlns:a16="http://schemas.microsoft.com/office/drawing/2014/main" id="{CD89474E-1903-4D62-8505-BA7FF606F13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52" name="Text Box 1">
          <a:extLst>
            <a:ext uri="{FF2B5EF4-FFF2-40B4-BE49-F238E27FC236}">
              <a16:creationId xmlns:a16="http://schemas.microsoft.com/office/drawing/2014/main" id="{572EEEBA-2BC9-46BD-9D2D-A103FC08C9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3" name="Text Box 2">
          <a:extLst>
            <a:ext uri="{FF2B5EF4-FFF2-40B4-BE49-F238E27FC236}">
              <a16:creationId xmlns:a16="http://schemas.microsoft.com/office/drawing/2014/main" id="{5A95B7AA-D89A-4594-BEA9-9639F63929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54" name="Text Box 1">
          <a:extLst>
            <a:ext uri="{FF2B5EF4-FFF2-40B4-BE49-F238E27FC236}">
              <a16:creationId xmlns:a16="http://schemas.microsoft.com/office/drawing/2014/main" id="{08F999CD-8C9A-4F79-9E0B-70102A035F2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5" name="Text Box 2">
          <a:extLst>
            <a:ext uri="{FF2B5EF4-FFF2-40B4-BE49-F238E27FC236}">
              <a16:creationId xmlns:a16="http://schemas.microsoft.com/office/drawing/2014/main" id="{364A1078-AD53-4D37-81BF-5C56D9760D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56" name="Text Box 1">
          <a:extLst>
            <a:ext uri="{FF2B5EF4-FFF2-40B4-BE49-F238E27FC236}">
              <a16:creationId xmlns:a16="http://schemas.microsoft.com/office/drawing/2014/main" id="{DF2963F8-4112-4F53-9481-BE10D942C7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7" name="Text Box 2">
          <a:extLst>
            <a:ext uri="{FF2B5EF4-FFF2-40B4-BE49-F238E27FC236}">
              <a16:creationId xmlns:a16="http://schemas.microsoft.com/office/drawing/2014/main" id="{E6D2D068-D3AD-4D85-A948-60EB93A2F9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58" name="Text Box 1">
          <a:extLst>
            <a:ext uri="{FF2B5EF4-FFF2-40B4-BE49-F238E27FC236}">
              <a16:creationId xmlns:a16="http://schemas.microsoft.com/office/drawing/2014/main" id="{2F23DB13-B0A2-47F4-A271-440F77AC5B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59" name="Text Box 2">
          <a:extLst>
            <a:ext uri="{FF2B5EF4-FFF2-40B4-BE49-F238E27FC236}">
              <a16:creationId xmlns:a16="http://schemas.microsoft.com/office/drawing/2014/main" id="{7A6DFB1C-3A6D-43A7-90BE-EF026879D3D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0" name="Text Box 1">
          <a:extLst>
            <a:ext uri="{FF2B5EF4-FFF2-40B4-BE49-F238E27FC236}">
              <a16:creationId xmlns:a16="http://schemas.microsoft.com/office/drawing/2014/main" id="{E3992A39-ED2B-4756-A005-1313D1525F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61" name="Text Box 2">
          <a:extLst>
            <a:ext uri="{FF2B5EF4-FFF2-40B4-BE49-F238E27FC236}">
              <a16:creationId xmlns:a16="http://schemas.microsoft.com/office/drawing/2014/main" id="{4E5FE40B-CE89-4DAF-8A9C-FE7D5BF1E8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2" name="Text Box 1">
          <a:extLst>
            <a:ext uri="{FF2B5EF4-FFF2-40B4-BE49-F238E27FC236}">
              <a16:creationId xmlns:a16="http://schemas.microsoft.com/office/drawing/2014/main" id="{D127D353-FB4D-429D-9D45-B69CB807D3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63" name="Text Box 2">
          <a:extLst>
            <a:ext uri="{FF2B5EF4-FFF2-40B4-BE49-F238E27FC236}">
              <a16:creationId xmlns:a16="http://schemas.microsoft.com/office/drawing/2014/main" id="{19D10E55-788D-4A93-AAAA-D6D485D8A2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4" name="Text Box 1">
          <a:extLst>
            <a:ext uri="{FF2B5EF4-FFF2-40B4-BE49-F238E27FC236}">
              <a16:creationId xmlns:a16="http://schemas.microsoft.com/office/drawing/2014/main" id="{746E729D-10AA-4341-A387-ABB259ED084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65" name="Text Box 2">
          <a:extLst>
            <a:ext uri="{FF2B5EF4-FFF2-40B4-BE49-F238E27FC236}">
              <a16:creationId xmlns:a16="http://schemas.microsoft.com/office/drawing/2014/main" id="{1275C998-B85D-4385-9981-AB6E3C3B297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6" name="Text Box 1">
          <a:extLst>
            <a:ext uri="{FF2B5EF4-FFF2-40B4-BE49-F238E27FC236}">
              <a16:creationId xmlns:a16="http://schemas.microsoft.com/office/drawing/2014/main" id="{48A9B80A-D6BE-43E1-A6B8-D1B6CDC4A2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67" name="Text Box 2">
          <a:extLst>
            <a:ext uri="{FF2B5EF4-FFF2-40B4-BE49-F238E27FC236}">
              <a16:creationId xmlns:a16="http://schemas.microsoft.com/office/drawing/2014/main" id="{3FDFFFF9-833A-43CC-9EA7-5299C96103D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68" name="Text Box 1">
          <a:extLst>
            <a:ext uri="{FF2B5EF4-FFF2-40B4-BE49-F238E27FC236}">
              <a16:creationId xmlns:a16="http://schemas.microsoft.com/office/drawing/2014/main" id="{B38B198D-75E2-47B3-BDE5-813DBA5587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69" name="Text Box 2">
          <a:extLst>
            <a:ext uri="{FF2B5EF4-FFF2-40B4-BE49-F238E27FC236}">
              <a16:creationId xmlns:a16="http://schemas.microsoft.com/office/drawing/2014/main" id="{EE3B67F0-306D-4806-8ED7-FF5768C317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70" name="Text Box 1">
          <a:extLst>
            <a:ext uri="{FF2B5EF4-FFF2-40B4-BE49-F238E27FC236}">
              <a16:creationId xmlns:a16="http://schemas.microsoft.com/office/drawing/2014/main" id="{83CA01B5-A829-4E30-8FB0-84705CB8C6B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1" name="Text Box 2">
          <a:extLst>
            <a:ext uri="{FF2B5EF4-FFF2-40B4-BE49-F238E27FC236}">
              <a16:creationId xmlns:a16="http://schemas.microsoft.com/office/drawing/2014/main" id="{034EEB0B-6515-489D-8C7C-00A735ED4F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72" name="Text Box 1">
          <a:extLst>
            <a:ext uri="{FF2B5EF4-FFF2-40B4-BE49-F238E27FC236}">
              <a16:creationId xmlns:a16="http://schemas.microsoft.com/office/drawing/2014/main" id="{CD42833D-3C32-4EC6-AF91-2EF411B100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3" name="Text Box 2">
          <a:extLst>
            <a:ext uri="{FF2B5EF4-FFF2-40B4-BE49-F238E27FC236}">
              <a16:creationId xmlns:a16="http://schemas.microsoft.com/office/drawing/2014/main" id="{A08E1EB1-772B-4EB9-B190-660854F65C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74" name="Text Box 1">
          <a:extLst>
            <a:ext uri="{FF2B5EF4-FFF2-40B4-BE49-F238E27FC236}">
              <a16:creationId xmlns:a16="http://schemas.microsoft.com/office/drawing/2014/main" id="{425593CC-93AE-4BBC-8BE0-364BBDC056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5" name="Text Box 2">
          <a:extLst>
            <a:ext uri="{FF2B5EF4-FFF2-40B4-BE49-F238E27FC236}">
              <a16:creationId xmlns:a16="http://schemas.microsoft.com/office/drawing/2014/main" id="{5BAB2AB1-EDAF-4F6E-B42B-C62D7FE9DC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76" name="Text Box 1">
          <a:extLst>
            <a:ext uri="{FF2B5EF4-FFF2-40B4-BE49-F238E27FC236}">
              <a16:creationId xmlns:a16="http://schemas.microsoft.com/office/drawing/2014/main" id="{CC19F28A-6A06-44EB-9A59-4DD30732123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7" name="Text Box 2">
          <a:extLst>
            <a:ext uri="{FF2B5EF4-FFF2-40B4-BE49-F238E27FC236}">
              <a16:creationId xmlns:a16="http://schemas.microsoft.com/office/drawing/2014/main" id="{282114E6-1C22-42DB-A2C6-9492956519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78" name="Text Box 1">
          <a:extLst>
            <a:ext uri="{FF2B5EF4-FFF2-40B4-BE49-F238E27FC236}">
              <a16:creationId xmlns:a16="http://schemas.microsoft.com/office/drawing/2014/main" id="{E93C1417-6EC0-492E-B2B4-5F54762DD47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79" name="Text Box 2">
          <a:extLst>
            <a:ext uri="{FF2B5EF4-FFF2-40B4-BE49-F238E27FC236}">
              <a16:creationId xmlns:a16="http://schemas.microsoft.com/office/drawing/2014/main" id="{FF24E532-A0E1-4470-9F9C-814509A0AD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0" name="Text Box 1">
          <a:extLst>
            <a:ext uri="{FF2B5EF4-FFF2-40B4-BE49-F238E27FC236}">
              <a16:creationId xmlns:a16="http://schemas.microsoft.com/office/drawing/2014/main" id="{811CE478-6B0D-41B9-9079-142539A063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81" name="Text Box 2">
          <a:extLst>
            <a:ext uri="{FF2B5EF4-FFF2-40B4-BE49-F238E27FC236}">
              <a16:creationId xmlns:a16="http://schemas.microsoft.com/office/drawing/2014/main" id="{4D5569FD-B569-4150-AAEE-8FC7480A9A1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2" name="Text Box 1">
          <a:extLst>
            <a:ext uri="{FF2B5EF4-FFF2-40B4-BE49-F238E27FC236}">
              <a16:creationId xmlns:a16="http://schemas.microsoft.com/office/drawing/2014/main" id="{AAC36EBD-DF2E-4CBE-9895-6A4C852BF0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83" name="Text Box 2">
          <a:extLst>
            <a:ext uri="{FF2B5EF4-FFF2-40B4-BE49-F238E27FC236}">
              <a16:creationId xmlns:a16="http://schemas.microsoft.com/office/drawing/2014/main" id="{A3F26D45-3848-471D-83C3-3E52FF8B8B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4" name="Text Box 1">
          <a:extLst>
            <a:ext uri="{FF2B5EF4-FFF2-40B4-BE49-F238E27FC236}">
              <a16:creationId xmlns:a16="http://schemas.microsoft.com/office/drawing/2014/main" id="{093B8B9E-624E-43FA-975E-5FCBCE1992D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85" name="Text Box 2">
          <a:extLst>
            <a:ext uri="{FF2B5EF4-FFF2-40B4-BE49-F238E27FC236}">
              <a16:creationId xmlns:a16="http://schemas.microsoft.com/office/drawing/2014/main" id="{AA0A5B2A-6A79-4C6E-9FB9-4A6C87F266D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6" name="Text Box 1">
          <a:extLst>
            <a:ext uri="{FF2B5EF4-FFF2-40B4-BE49-F238E27FC236}">
              <a16:creationId xmlns:a16="http://schemas.microsoft.com/office/drawing/2014/main" id="{56A52551-0DF0-45E3-A5C8-B1C1ECBE568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87" name="Text Box 2">
          <a:extLst>
            <a:ext uri="{FF2B5EF4-FFF2-40B4-BE49-F238E27FC236}">
              <a16:creationId xmlns:a16="http://schemas.microsoft.com/office/drawing/2014/main" id="{844C6060-0F70-4C74-A571-F0380BC2B6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88" name="Text Box 1">
          <a:extLst>
            <a:ext uri="{FF2B5EF4-FFF2-40B4-BE49-F238E27FC236}">
              <a16:creationId xmlns:a16="http://schemas.microsoft.com/office/drawing/2014/main" id="{8C78B9EE-BC84-4F45-B38A-1ED6CE3826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89" name="Text Box 2">
          <a:extLst>
            <a:ext uri="{FF2B5EF4-FFF2-40B4-BE49-F238E27FC236}">
              <a16:creationId xmlns:a16="http://schemas.microsoft.com/office/drawing/2014/main" id="{13EA8308-E58A-40E8-B0D9-7C42F608283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90" name="Text Box 1">
          <a:extLst>
            <a:ext uri="{FF2B5EF4-FFF2-40B4-BE49-F238E27FC236}">
              <a16:creationId xmlns:a16="http://schemas.microsoft.com/office/drawing/2014/main" id="{A3D50475-E861-47DC-8AFA-8FBDEC93E91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1" name="Text Box 2">
          <a:extLst>
            <a:ext uri="{FF2B5EF4-FFF2-40B4-BE49-F238E27FC236}">
              <a16:creationId xmlns:a16="http://schemas.microsoft.com/office/drawing/2014/main" id="{45BE02FB-625E-41ED-B738-F73A1BE7ABA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92" name="Text Box 1">
          <a:extLst>
            <a:ext uri="{FF2B5EF4-FFF2-40B4-BE49-F238E27FC236}">
              <a16:creationId xmlns:a16="http://schemas.microsoft.com/office/drawing/2014/main" id="{DB9171F0-75E4-4083-9A0B-BF8322A2A3D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3" name="Text Box 2">
          <a:extLst>
            <a:ext uri="{FF2B5EF4-FFF2-40B4-BE49-F238E27FC236}">
              <a16:creationId xmlns:a16="http://schemas.microsoft.com/office/drawing/2014/main" id="{609B43FD-DE37-4375-9090-1BDABB0254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94" name="Text Box 1">
          <a:extLst>
            <a:ext uri="{FF2B5EF4-FFF2-40B4-BE49-F238E27FC236}">
              <a16:creationId xmlns:a16="http://schemas.microsoft.com/office/drawing/2014/main" id="{09F694E4-9B53-410D-BEFB-4ECF81CE43B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5" name="Text Box 2">
          <a:extLst>
            <a:ext uri="{FF2B5EF4-FFF2-40B4-BE49-F238E27FC236}">
              <a16:creationId xmlns:a16="http://schemas.microsoft.com/office/drawing/2014/main" id="{698C1146-7C56-44AF-838A-E1DF5E2DE3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96" name="Text Box 1">
          <a:extLst>
            <a:ext uri="{FF2B5EF4-FFF2-40B4-BE49-F238E27FC236}">
              <a16:creationId xmlns:a16="http://schemas.microsoft.com/office/drawing/2014/main" id="{686B9156-21C4-44F3-83A2-86C1439EE37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7" name="Text Box 2">
          <a:extLst>
            <a:ext uri="{FF2B5EF4-FFF2-40B4-BE49-F238E27FC236}">
              <a16:creationId xmlns:a16="http://schemas.microsoft.com/office/drawing/2014/main" id="{72DD197D-AE83-4C12-A138-02299D473C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2998" name="Text Box 1">
          <a:extLst>
            <a:ext uri="{FF2B5EF4-FFF2-40B4-BE49-F238E27FC236}">
              <a16:creationId xmlns:a16="http://schemas.microsoft.com/office/drawing/2014/main" id="{020077F5-A470-49A5-9DC5-944B72C793C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2999" name="Text Box 2">
          <a:extLst>
            <a:ext uri="{FF2B5EF4-FFF2-40B4-BE49-F238E27FC236}">
              <a16:creationId xmlns:a16="http://schemas.microsoft.com/office/drawing/2014/main" id="{6B029112-BD85-4F47-9F48-C0E7DA3B61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0" name="Text Box 1">
          <a:extLst>
            <a:ext uri="{FF2B5EF4-FFF2-40B4-BE49-F238E27FC236}">
              <a16:creationId xmlns:a16="http://schemas.microsoft.com/office/drawing/2014/main" id="{D9E2E138-7BF8-4CA0-92D6-9FE821F747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01" name="Text Box 2">
          <a:extLst>
            <a:ext uri="{FF2B5EF4-FFF2-40B4-BE49-F238E27FC236}">
              <a16:creationId xmlns:a16="http://schemas.microsoft.com/office/drawing/2014/main" id="{F83075A7-4391-4D0D-A578-1E0C5C7A334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2" name="Text Box 1">
          <a:extLst>
            <a:ext uri="{FF2B5EF4-FFF2-40B4-BE49-F238E27FC236}">
              <a16:creationId xmlns:a16="http://schemas.microsoft.com/office/drawing/2014/main" id="{F7CABD61-E86A-40CE-84E2-55624E3143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03" name="Text Box 2">
          <a:extLst>
            <a:ext uri="{FF2B5EF4-FFF2-40B4-BE49-F238E27FC236}">
              <a16:creationId xmlns:a16="http://schemas.microsoft.com/office/drawing/2014/main" id="{FCED13A6-EBB8-47E3-A5E1-6FC66AE2704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4" name="Text Box 1">
          <a:extLst>
            <a:ext uri="{FF2B5EF4-FFF2-40B4-BE49-F238E27FC236}">
              <a16:creationId xmlns:a16="http://schemas.microsoft.com/office/drawing/2014/main" id="{C3AA6311-7560-466E-8177-4D3CB174022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05" name="Text Box 2">
          <a:extLst>
            <a:ext uri="{FF2B5EF4-FFF2-40B4-BE49-F238E27FC236}">
              <a16:creationId xmlns:a16="http://schemas.microsoft.com/office/drawing/2014/main" id="{D49A593C-7272-407D-A2FE-6F542832F2D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6" name="Text Box 1">
          <a:extLst>
            <a:ext uri="{FF2B5EF4-FFF2-40B4-BE49-F238E27FC236}">
              <a16:creationId xmlns:a16="http://schemas.microsoft.com/office/drawing/2014/main" id="{08F2B98B-A3F4-4AF1-AC49-BED41823B25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07" name="Text Box 2">
          <a:extLst>
            <a:ext uri="{FF2B5EF4-FFF2-40B4-BE49-F238E27FC236}">
              <a16:creationId xmlns:a16="http://schemas.microsoft.com/office/drawing/2014/main" id="{6C01E299-716F-4682-B285-5CDA377FF1E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08" name="Text Box 1">
          <a:extLst>
            <a:ext uri="{FF2B5EF4-FFF2-40B4-BE49-F238E27FC236}">
              <a16:creationId xmlns:a16="http://schemas.microsoft.com/office/drawing/2014/main" id="{82E67D2B-5516-4CBF-A8F0-184802F406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09" name="Text Box 2">
          <a:extLst>
            <a:ext uri="{FF2B5EF4-FFF2-40B4-BE49-F238E27FC236}">
              <a16:creationId xmlns:a16="http://schemas.microsoft.com/office/drawing/2014/main" id="{02350FF2-08C1-48E6-91AB-AE110CF9F3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10" name="Text Box 1">
          <a:extLst>
            <a:ext uri="{FF2B5EF4-FFF2-40B4-BE49-F238E27FC236}">
              <a16:creationId xmlns:a16="http://schemas.microsoft.com/office/drawing/2014/main" id="{8CD19609-6170-4240-9EE3-211727903EA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1" name="Text Box 2">
          <a:extLst>
            <a:ext uri="{FF2B5EF4-FFF2-40B4-BE49-F238E27FC236}">
              <a16:creationId xmlns:a16="http://schemas.microsoft.com/office/drawing/2014/main" id="{89308F2D-410A-474B-9E31-5091D9E9BE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12" name="Text Box 1">
          <a:extLst>
            <a:ext uri="{FF2B5EF4-FFF2-40B4-BE49-F238E27FC236}">
              <a16:creationId xmlns:a16="http://schemas.microsoft.com/office/drawing/2014/main" id="{16F8CCE9-DA58-497C-B6C3-DB4B513044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3" name="Text Box 2">
          <a:extLst>
            <a:ext uri="{FF2B5EF4-FFF2-40B4-BE49-F238E27FC236}">
              <a16:creationId xmlns:a16="http://schemas.microsoft.com/office/drawing/2014/main" id="{0D7539BD-5D12-4B31-BE0C-3CF014B8C0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14" name="Text Box 1">
          <a:extLst>
            <a:ext uri="{FF2B5EF4-FFF2-40B4-BE49-F238E27FC236}">
              <a16:creationId xmlns:a16="http://schemas.microsoft.com/office/drawing/2014/main" id="{344F5F1A-6051-45D0-9F29-C9BC8244AE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5" name="Text Box 2">
          <a:extLst>
            <a:ext uri="{FF2B5EF4-FFF2-40B4-BE49-F238E27FC236}">
              <a16:creationId xmlns:a16="http://schemas.microsoft.com/office/drawing/2014/main" id="{3BF02452-0783-4C46-B35C-285E1A7705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16" name="Text Box 1">
          <a:extLst>
            <a:ext uri="{FF2B5EF4-FFF2-40B4-BE49-F238E27FC236}">
              <a16:creationId xmlns:a16="http://schemas.microsoft.com/office/drawing/2014/main" id="{C700AF78-3038-4BCB-BCB0-E7FAE1F517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7" name="Text Box 2">
          <a:extLst>
            <a:ext uri="{FF2B5EF4-FFF2-40B4-BE49-F238E27FC236}">
              <a16:creationId xmlns:a16="http://schemas.microsoft.com/office/drawing/2014/main" id="{0AD48A54-19EE-43E8-9EA0-99FCBAE6123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18" name="Text Box 1">
          <a:extLst>
            <a:ext uri="{FF2B5EF4-FFF2-40B4-BE49-F238E27FC236}">
              <a16:creationId xmlns:a16="http://schemas.microsoft.com/office/drawing/2014/main" id="{62C674BC-98BB-49CB-9816-01808AA8795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19" name="Text Box 2">
          <a:extLst>
            <a:ext uri="{FF2B5EF4-FFF2-40B4-BE49-F238E27FC236}">
              <a16:creationId xmlns:a16="http://schemas.microsoft.com/office/drawing/2014/main" id="{3E1C9FA6-1FFB-4576-A3AB-745342D4923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0" name="Text Box 1">
          <a:extLst>
            <a:ext uri="{FF2B5EF4-FFF2-40B4-BE49-F238E27FC236}">
              <a16:creationId xmlns:a16="http://schemas.microsoft.com/office/drawing/2014/main" id="{A7456907-F477-448D-96E6-09DBCB9607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21" name="Text Box 2">
          <a:extLst>
            <a:ext uri="{FF2B5EF4-FFF2-40B4-BE49-F238E27FC236}">
              <a16:creationId xmlns:a16="http://schemas.microsoft.com/office/drawing/2014/main" id="{8E3E92B1-96E0-4171-84DD-381EAEDD47B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2" name="Text Box 1">
          <a:extLst>
            <a:ext uri="{FF2B5EF4-FFF2-40B4-BE49-F238E27FC236}">
              <a16:creationId xmlns:a16="http://schemas.microsoft.com/office/drawing/2014/main" id="{7E70DB47-F5DC-4C06-8E1E-22C3B86B3BC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23" name="Text Box 2">
          <a:extLst>
            <a:ext uri="{FF2B5EF4-FFF2-40B4-BE49-F238E27FC236}">
              <a16:creationId xmlns:a16="http://schemas.microsoft.com/office/drawing/2014/main" id="{F15B7029-2C1F-4084-B85C-DD8BD5E9059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4" name="Text Box 1">
          <a:extLst>
            <a:ext uri="{FF2B5EF4-FFF2-40B4-BE49-F238E27FC236}">
              <a16:creationId xmlns:a16="http://schemas.microsoft.com/office/drawing/2014/main" id="{E9A997F3-1BB0-455E-8128-3E02E110905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25" name="Text Box 2">
          <a:extLst>
            <a:ext uri="{FF2B5EF4-FFF2-40B4-BE49-F238E27FC236}">
              <a16:creationId xmlns:a16="http://schemas.microsoft.com/office/drawing/2014/main" id="{197F9EE9-D8CD-414B-9DA7-16CECF4E65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6" name="Text Box 1">
          <a:extLst>
            <a:ext uri="{FF2B5EF4-FFF2-40B4-BE49-F238E27FC236}">
              <a16:creationId xmlns:a16="http://schemas.microsoft.com/office/drawing/2014/main" id="{0616A851-CAEF-4001-A532-E1CCC57F789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27" name="Text Box 2">
          <a:extLst>
            <a:ext uri="{FF2B5EF4-FFF2-40B4-BE49-F238E27FC236}">
              <a16:creationId xmlns:a16="http://schemas.microsoft.com/office/drawing/2014/main" id="{140BC9C4-ED61-4796-9F06-3477EA07C2A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28" name="Text Box 1">
          <a:extLst>
            <a:ext uri="{FF2B5EF4-FFF2-40B4-BE49-F238E27FC236}">
              <a16:creationId xmlns:a16="http://schemas.microsoft.com/office/drawing/2014/main" id="{F57FB5DD-B55F-4D66-9B38-2FC164DB6CE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29" name="Text Box 2">
          <a:extLst>
            <a:ext uri="{FF2B5EF4-FFF2-40B4-BE49-F238E27FC236}">
              <a16:creationId xmlns:a16="http://schemas.microsoft.com/office/drawing/2014/main" id="{A71B43F2-5FDE-48BD-BA22-FDD7533AD7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30" name="Text Box 1">
          <a:extLst>
            <a:ext uri="{FF2B5EF4-FFF2-40B4-BE49-F238E27FC236}">
              <a16:creationId xmlns:a16="http://schemas.microsoft.com/office/drawing/2014/main" id="{F6CAD98C-8612-4028-8F5A-E7BAA59D92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1" name="Text Box 2">
          <a:extLst>
            <a:ext uri="{FF2B5EF4-FFF2-40B4-BE49-F238E27FC236}">
              <a16:creationId xmlns:a16="http://schemas.microsoft.com/office/drawing/2014/main" id="{4F0E760A-2547-4EB7-A0BD-10F15DD4426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32" name="Text Box 1">
          <a:extLst>
            <a:ext uri="{FF2B5EF4-FFF2-40B4-BE49-F238E27FC236}">
              <a16:creationId xmlns:a16="http://schemas.microsoft.com/office/drawing/2014/main" id="{C3E334AC-BA94-4455-AC8B-A6E134BAAC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3" name="Text Box 2">
          <a:extLst>
            <a:ext uri="{FF2B5EF4-FFF2-40B4-BE49-F238E27FC236}">
              <a16:creationId xmlns:a16="http://schemas.microsoft.com/office/drawing/2014/main" id="{7F9CE144-A7D9-46A5-9415-18D3343A214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34" name="Text Box 1">
          <a:extLst>
            <a:ext uri="{FF2B5EF4-FFF2-40B4-BE49-F238E27FC236}">
              <a16:creationId xmlns:a16="http://schemas.microsoft.com/office/drawing/2014/main" id="{67803310-8120-495A-903B-28D5FD7D52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5" name="Text Box 2">
          <a:extLst>
            <a:ext uri="{FF2B5EF4-FFF2-40B4-BE49-F238E27FC236}">
              <a16:creationId xmlns:a16="http://schemas.microsoft.com/office/drawing/2014/main" id="{9C30BE63-8E63-4158-9AB2-48C0325DFB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36" name="Text Box 1">
          <a:extLst>
            <a:ext uri="{FF2B5EF4-FFF2-40B4-BE49-F238E27FC236}">
              <a16:creationId xmlns:a16="http://schemas.microsoft.com/office/drawing/2014/main" id="{108B73EB-4F1E-43BD-8E58-037D09D35C1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7" name="Text Box 2">
          <a:extLst>
            <a:ext uri="{FF2B5EF4-FFF2-40B4-BE49-F238E27FC236}">
              <a16:creationId xmlns:a16="http://schemas.microsoft.com/office/drawing/2014/main" id="{DC054C92-C9AE-4CE6-B489-74E637CF6AF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38" name="Text Box 1">
          <a:extLst>
            <a:ext uri="{FF2B5EF4-FFF2-40B4-BE49-F238E27FC236}">
              <a16:creationId xmlns:a16="http://schemas.microsoft.com/office/drawing/2014/main" id="{A664D627-CA26-413A-8C35-D8569B3656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39" name="Text Box 2">
          <a:extLst>
            <a:ext uri="{FF2B5EF4-FFF2-40B4-BE49-F238E27FC236}">
              <a16:creationId xmlns:a16="http://schemas.microsoft.com/office/drawing/2014/main" id="{92C2A655-2345-47B3-8A3B-F8B3C5306F4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0" name="Text Box 1">
          <a:extLst>
            <a:ext uri="{FF2B5EF4-FFF2-40B4-BE49-F238E27FC236}">
              <a16:creationId xmlns:a16="http://schemas.microsoft.com/office/drawing/2014/main" id="{AAD0640C-8EB0-47C2-9526-2E3BBF081F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41" name="Text Box 2">
          <a:extLst>
            <a:ext uri="{FF2B5EF4-FFF2-40B4-BE49-F238E27FC236}">
              <a16:creationId xmlns:a16="http://schemas.microsoft.com/office/drawing/2014/main" id="{D481AD10-6408-4152-A80F-53E3873886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2" name="Text Box 1">
          <a:extLst>
            <a:ext uri="{FF2B5EF4-FFF2-40B4-BE49-F238E27FC236}">
              <a16:creationId xmlns:a16="http://schemas.microsoft.com/office/drawing/2014/main" id="{299C181F-F2A4-4176-8073-B4C519876B2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43" name="Text Box 2">
          <a:extLst>
            <a:ext uri="{FF2B5EF4-FFF2-40B4-BE49-F238E27FC236}">
              <a16:creationId xmlns:a16="http://schemas.microsoft.com/office/drawing/2014/main" id="{1F4EDBC2-6367-4636-98AA-F28622A5CC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4" name="Text Box 1">
          <a:extLst>
            <a:ext uri="{FF2B5EF4-FFF2-40B4-BE49-F238E27FC236}">
              <a16:creationId xmlns:a16="http://schemas.microsoft.com/office/drawing/2014/main" id="{2CA15F19-3918-4D69-9278-CE5A16E8D3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45" name="Text Box 2">
          <a:extLst>
            <a:ext uri="{FF2B5EF4-FFF2-40B4-BE49-F238E27FC236}">
              <a16:creationId xmlns:a16="http://schemas.microsoft.com/office/drawing/2014/main" id="{0934B38A-7F36-4F20-B756-983F3ADC381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6" name="Text Box 1">
          <a:extLst>
            <a:ext uri="{FF2B5EF4-FFF2-40B4-BE49-F238E27FC236}">
              <a16:creationId xmlns:a16="http://schemas.microsoft.com/office/drawing/2014/main" id="{17002944-1222-4C38-A234-211129A9A8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47" name="Text Box 2">
          <a:extLst>
            <a:ext uri="{FF2B5EF4-FFF2-40B4-BE49-F238E27FC236}">
              <a16:creationId xmlns:a16="http://schemas.microsoft.com/office/drawing/2014/main" id="{18CC3F1D-332D-47CE-B83F-3E98A4E7D08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48" name="Text Box 1">
          <a:extLst>
            <a:ext uri="{FF2B5EF4-FFF2-40B4-BE49-F238E27FC236}">
              <a16:creationId xmlns:a16="http://schemas.microsoft.com/office/drawing/2014/main" id="{1E997718-6515-41E2-ADA1-597190E46D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49" name="Text Box 2">
          <a:extLst>
            <a:ext uri="{FF2B5EF4-FFF2-40B4-BE49-F238E27FC236}">
              <a16:creationId xmlns:a16="http://schemas.microsoft.com/office/drawing/2014/main" id="{34808169-571B-4BEC-86FA-20222B3183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50" name="Text Box 1">
          <a:extLst>
            <a:ext uri="{FF2B5EF4-FFF2-40B4-BE49-F238E27FC236}">
              <a16:creationId xmlns:a16="http://schemas.microsoft.com/office/drawing/2014/main" id="{CF746F29-DDFC-4B9F-A788-206E91702A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1" name="Text Box 2">
          <a:extLst>
            <a:ext uri="{FF2B5EF4-FFF2-40B4-BE49-F238E27FC236}">
              <a16:creationId xmlns:a16="http://schemas.microsoft.com/office/drawing/2014/main" id="{376E8548-E8EE-4B85-8256-420D09F0C5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52" name="Text Box 1">
          <a:extLst>
            <a:ext uri="{FF2B5EF4-FFF2-40B4-BE49-F238E27FC236}">
              <a16:creationId xmlns:a16="http://schemas.microsoft.com/office/drawing/2014/main" id="{7B4F7851-8E65-41B8-BF7E-178632B9F6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3" name="Text Box 2">
          <a:extLst>
            <a:ext uri="{FF2B5EF4-FFF2-40B4-BE49-F238E27FC236}">
              <a16:creationId xmlns:a16="http://schemas.microsoft.com/office/drawing/2014/main" id="{38D1783B-1432-4325-BE90-3349C5CD7B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54" name="Text Box 1">
          <a:extLst>
            <a:ext uri="{FF2B5EF4-FFF2-40B4-BE49-F238E27FC236}">
              <a16:creationId xmlns:a16="http://schemas.microsoft.com/office/drawing/2014/main" id="{24F23B85-FD5D-4CA1-8852-248503BF34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5" name="Text Box 2">
          <a:extLst>
            <a:ext uri="{FF2B5EF4-FFF2-40B4-BE49-F238E27FC236}">
              <a16:creationId xmlns:a16="http://schemas.microsoft.com/office/drawing/2014/main" id="{93B3ABFC-A904-4B81-91E3-520CA603B8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56" name="Text Box 1">
          <a:extLst>
            <a:ext uri="{FF2B5EF4-FFF2-40B4-BE49-F238E27FC236}">
              <a16:creationId xmlns:a16="http://schemas.microsoft.com/office/drawing/2014/main" id="{2F69494D-17FC-4DC8-86C3-9E1485D604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7" name="Text Box 2">
          <a:extLst>
            <a:ext uri="{FF2B5EF4-FFF2-40B4-BE49-F238E27FC236}">
              <a16:creationId xmlns:a16="http://schemas.microsoft.com/office/drawing/2014/main" id="{E7FC73A0-70FD-4B4E-A301-1A329B7C033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58" name="Text Box 1">
          <a:extLst>
            <a:ext uri="{FF2B5EF4-FFF2-40B4-BE49-F238E27FC236}">
              <a16:creationId xmlns:a16="http://schemas.microsoft.com/office/drawing/2014/main" id="{B57A117D-E80C-4BBB-A2D6-85F3DBBA942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59" name="Text Box 2">
          <a:extLst>
            <a:ext uri="{FF2B5EF4-FFF2-40B4-BE49-F238E27FC236}">
              <a16:creationId xmlns:a16="http://schemas.microsoft.com/office/drawing/2014/main" id="{1F988519-99C8-4F58-BA42-245ABCDDD55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0" name="Text Box 1">
          <a:extLst>
            <a:ext uri="{FF2B5EF4-FFF2-40B4-BE49-F238E27FC236}">
              <a16:creationId xmlns:a16="http://schemas.microsoft.com/office/drawing/2014/main" id="{E4D6578B-5D95-4EB3-AB92-22105C07267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61" name="Text Box 2">
          <a:extLst>
            <a:ext uri="{FF2B5EF4-FFF2-40B4-BE49-F238E27FC236}">
              <a16:creationId xmlns:a16="http://schemas.microsoft.com/office/drawing/2014/main" id="{ABCFDD74-C559-4EEC-883C-733611E03B7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2" name="Text Box 1">
          <a:extLst>
            <a:ext uri="{FF2B5EF4-FFF2-40B4-BE49-F238E27FC236}">
              <a16:creationId xmlns:a16="http://schemas.microsoft.com/office/drawing/2014/main" id="{90A532A1-84A3-4531-8B68-738CF5FFE8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63" name="Text Box 2">
          <a:extLst>
            <a:ext uri="{FF2B5EF4-FFF2-40B4-BE49-F238E27FC236}">
              <a16:creationId xmlns:a16="http://schemas.microsoft.com/office/drawing/2014/main" id="{04F8EF11-9FEF-4726-BCD9-BA1A346493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4" name="Text Box 1">
          <a:extLst>
            <a:ext uri="{FF2B5EF4-FFF2-40B4-BE49-F238E27FC236}">
              <a16:creationId xmlns:a16="http://schemas.microsoft.com/office/drawing/2014/main" id="{E8090155-9E5F-452A-BEF4-269A91F290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65" name="Text Box 2">
          <a:extLst>
            <a:ext uri="{FF2B5EF4-FFF2-40B4-BE49-F238E27FC236}">
              <a16:creationId xmlns:a16="http://schemas.microsoft.com/office/drawing/2014/main" id="{4E862F8E-3480-493A-BAA4-AEBF3E731E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6" name="Text Box 1">
          <a:extLst>
            <a:ext uri="{FF2B5EF4-FFF2-40B4-BE49-F238E27FC236}">
              <a16:creationId xmlns:a16="http://schemas.microsoft.com/office/drawing/2014/main" id="{2435B6AD-E2EE-4401-999D-996FA7DB11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67" name="Text Box 2">
          <a:extLst>
            <a:ext uri="{FF2B5EF4-FFF2-40B4-BE49-F238E27FC236}">
              <a16:creationId xmlns:a16="http://schemas.microsoft.com/office/drawing/2014/main" id="{085402B1-AD89-44E5-9B44-E63D5B69EC0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68" name="Text Box 1">
          <a:extLst>
            <a:ext uri="{FF2B5EF4-FFF2-40B4-BE49-F238E27FC236}">
              <a16:creationId xmlns:a16="http://schemas.microsoft.com/office/drawing/2014/main" id="{91375BA0-C0D4-4889-9894-79ED46B74E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69" name="Text Box 2">
          <a:extLst>
            <a:ext uri="{FF2B5EF4-FFF2-40B4-BE49-F238E27FC236}">
              <a16:creationId xmlns:a16="http://schemas.microsoft.com/office/drawing/2014/main" id="{E6959A60-4928-472C-AEDA-208BEE5C02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70" name="Text Box 1">
          <a:extLst>
            <a:ext uri="{FF2B5EF4-FFF2-40B4-BE49-F238E27FC236}">
              <a16:creationId xmlns:a16="http://schemas.microsoft.com/office/drawing/2014/main" id="{1543E03C-A25C-471E-B95C-6D6FFC9961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1" name="Text Box 2">
          <a:extLst>
            <a:ext uri="{FF2B5EF4-FFF2-40B4-BE49-F238E27FC236}">
              <a16:creationId xmlns:a16="http://schemas.microsoft.com/office/drawing/2014/main" id="{365AA55C-0B2E-4885-88B9-AB39D9B0401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72" name="Text Box 1">
          <a:extLst>
            <a:ext uri="{FF2B5EF4-FFF2-40B4-BE49-F238E27FC236}">
              <a16:creationId xmlns:a16="http://schemas.microsoft.com/office/drawing/2014/main" id="{E53B6C29-C8A2-45D9-90D9-957E3EF13C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3" name="Text Box 2">
          <a:extLst>
            <a:ext uri="{FF2B5EF4-FFF2-40B4-BE49-F238E27FC236}">
              <a16:creationId xmlns:a16="http://schemas.microsoft.com/office/drawing/2014/main" id="{E7BF7C12-E765-42D3-B3E2-42D61D44474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74" name="Text Box 1">
          <a:extLst>
            <a:ext uri="{FF2B5EF4-FFF2-40B4-BE49-F238E27FC236}">
              <a16:creationId xmlns:a16="http://schemas.microsoft.com/office/drawing/2014/main" id="{63AE8245-90C6-469F-A88E-CF414CB1581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5" name="Text Box 2">
          <a:extLst>
            <a:ext uri="{FF2B5EF4-FFF2-40B4-BE49-F238E27FC236}">
              <a16:creationId xmlns:a16="http://schemas.microsoft.com/office/drawing/2014/main" id="{BAEB834F-2E35-46D7-8693-3115E8E79DA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76" name="Text Box 1">
          <a:extLst>
            <a:ext uri="{FF2B5EF4-FFF2-40B4-BE49-F238E27FC236}">
              <a16:creationId xmlns:a16="http://schemas.microsoft.com/office/drawing/2014/main" id="{5B30FBD2-CD53-4130-B4B3-4D13B89C847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7" name="Text Box 2">
          <a:extLst>
            <a:ext uri="{FF2B5EF4-FFF2-40B4-BE49-F238E27FC236}">
              <a16:creationId xmlns:a16="http://schemas.microsoft.com/office/drawing/2014/main" id="{E1262532-DF43-4A4A-8EA2-A541719EF8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78" name="Text Box 1">
          <a:extLst>
            <a:ext uri="{FF2B5EF4-FFF2-40B4-BE49-F238E27FC236}">
              <a16:creationId xmlns:a16="http://schemas.microsoft.com/office/drawing/2014/main" id="{39B3AA33-D66A-4C8B-A5F7-227197900E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79" name="Text Box 2">
          <a:extLst>
            <a:ext uri="{FF2B5EF4-FFF2-40B4-BE49-F238E27FC236}">
              <a16:creationId xmlns:a16="http://schemas.microsoft.com/office/drawing/2014/main" id="{F446098D-E08D-4A77-BB14-AC328C582C6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0" name="Text Box 1">
          <a:extLst>
            <a:ext uri="{FF2B5EF4-FFF2-40B4-BE49-F238E27FC236}">
              <a16:creationId xmlns:a16="http://schemas.microsoft.com/office/drawing/2014/main" id="{744C0874-F91A-4A07-9FBB-10BACDA99A4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81" name="Text Box 2">
          <a:extLst>
            <a:ext uri="{FF2B5EF4-FFF2-40B4-BE49-F238E27FC236}">
              <a16:creationId xmlns:a16="http://schemas.microsoft.com/office/drawing/2014/main" id="{4FD4B1E1-2C8C-4A7D-AAAB-ED9D0DB5C29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2" name="Text Box 1">
          <a:extLst>
            <a:ext uri="{FF2B5EF4-FFF2-40B4-BE49-F238E27FC236}">
              <a16:creationId xmlns:a16="http://schemas.microsoft.com/office/drawing/2014/main" id="{0BD136B8-0D06-42D5-AB6E-3173FEAF5BC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83" name="Text Box 2">
          <a:extLst>
            <a:ext uri="{FF2B5EF4-FFF2-40B4-BE49-F238E27FC236}">
              <a16:creationId xmlns:a16="http://schemas.microsoft.com/office/drawing/2014/main" id="{F0FCE50C-8F22-474C-B0B3-FE1ECD8B2AD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4" name="Text Box 1">
          <a:extLst>
            <a:ext uri="{FF2B5EF4-FFF2-40B4-BE49-F238E27FC236}">
              <a16:creationId xmlns:a16="http://schemas.microsoft.com/office/drawing/2014/main" id="{CEDA27E0-B190-4BDA-B934-77790708B1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85" name="Text Box 2">
          <a:extLst>
            <a:ext uri="{FF2B5EF4-FFF2-40B4-BE49-F238E27FC236}">
              <a16:creationId xmlns:a16="http://schemas.microsoft.com/office/drawing/2014/main" id="{A478FE3D-7575-48C9-AFD5-433DBC1161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6" name="Text Box 1">
          <a:extLst>
            <a:ext uri="{FF2B5EF4-FFF2-40B4-BE49-F238E27FC236}">
              <a16:creationId xmlns:a16="http://schemas.microsoft.com/office/drawing/2014/main" id="{9973C7E5-302C-45BE-BC46-74B5C9A6EE0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87" name="Text Box 2">
          <a:extLst>
            <a:ext uri="{FF2B5EF4-FFF2-40B4-BE49-F238E27FC236}">
              <a16:creationId xmlns:a16="http://schemas.microsoft.com/office/drawing/2014/main" id="{95B6B004-E02E-4558-ACD1-CACD9CBAC0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88" name="Text Box 1">
          <a:extLst>
            <a:ext uri="{FF2B5EF4-FFF2-40B4-BE49-F238E27FC236}">
              <a16:creationId xmlns:a16="http://schemas.microsoft.com/office/drawing/2014/main" id="{68E855D0-AD5D-46E7-9A60-52B5F8774F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89" name="Text Box 2">
          <a:extLst>
            <a:ext uri="{FF2B5EF4-FFF2-40B4-BE49-F238E27FC236}">
              <a16:creationId xmlns:a16="http://schemas.microsoft.com/office/drawing/2014/main" id="{CF3332CC-8089-47A9-A957-3EAFA5203A7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90" name="Text Box 1">
          <a:extLst>
            <a:ext uri="{FF2B5EF4-FFF2-40B4-BE49-F238E27FC236}">
              <a16:creationId xmlns:a16="http://schemas.microsoft.com/office/drawing/2014/main" id="{A4084166-0734-42C1-8E83-4343161064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1" name="Text Box 2">
          <a:extLst>
            <a:ext uri="{FF2B5EF4-FFF2-40B4-BE49-F238E27FC236}">
              <a16:creationId xmlns:a16="http://schemas.microsoft.com/office/drawing/2014/main" id="{7CC9A845-F48C-4F14-B71B-DD80FF68DC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92" name="Text Box 1">
          <a:extLst>
            <a:ext uri="{FF2B5EF4-FFF2-40B4-BE49-F238E27FC236}">
              <a16:creationId xmlns:a16="http://schemas.microsoft.com/office/drawing/2014/main" id="{CCFE7124-DDAB-44CD-BCCB-F44FE088BB0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3" name="Text Box 2">
          <a:extLst>
            <a:ext uri="{FF2B5EF4-FFF2-40B4-BE49-F238E27FC236}">
              <a16:creationId xmlns:a16="http://schemas.microsoft.com/office/drawing/2014/main" id="{C6D2915C-AFD4-4E79-9C53-D06E9F2A72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94" name="Text Box 1">
          <a:extLst>
            <a:ext uri="{FF2B5EF4-FFF2-40B4-BE49-F238E27FC236}">
              <a16:creationId xmlns:a16="http://schemas.microsoft.com/office/drawing/2014/main" id="{06049364-BC01-471C-B655-E8B2547E197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5" name="Text Box 2">
          <a:extLst>
            <a:ext uri="{FF2B5EF4-FFF2-40B4-BE49-F238E27FC236}">
              <a16:creationId xmlns:a16="http://schemas.microsoft.com/office/drawing/2014/main" id="{D956072B-E69C-4EE9-96E5-C2264689533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96" name="Text Box 1">
          <a:extLst>
            <a:ext uri="{FF2B5EF4-FFF2-40B4-BE49-F238E27FC236}">
              <a16:creationId xmlns:a16="http://schemas.microsoft.com/office/drawing/2014/main" id="{D9498B28-EBF5-495A-A6DC-FFB26F0FD1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7" name="Text Box 2">
          <a:extLst>
            <a:ext uri="{FF2B5EF4-FFF2-40B4-BE49-F238E27FC236}">
              <a16:creationId xmlns:a16="http://schemas.microsoft.com/office/drawing/2014/main" id="{FFD5F8BA-8A36-47E1-9399-0937DCC2B80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098" name="Text Box 1">
          <a:extLst>
            <a:ext uri="{FF2B5EF4-FFF2-40B4-BE49-F238E27FC236}">
              <a16:creationId xmlns:a16="http://schemas.microsoft.com/office/drawing/2014/main" id="{00C44181-B5F0-4EAA-9BDE-234B4B31B21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099" name="Text Box 2">
          <a:extLst>
            <a:ext uri="{FF2B5EF4-FFF2-40B4-BE49-F238E27FC236}">
              <a16:creationId xmlns:a16="http://schemas.microsoft.com/office/drawing/2014/main" id="{14342942-67F4-424E-A409-0113E6F8FB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0" name="Text Box 1">
          <a:extLst>
            <a:ext uri="{FF2B5EF4-FFF2-40B4-BE49-F238E27FC236}">
              <a16:creationId xmlns:a16="http://schemas.microsoft.com/office/drawing/2014/main" id="{F5EF9D37-2D76-4684-98C2-A27A0FF993E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01" name="Text Box 2">
          <a:extLst>
            <a:ext uri="{FF2B5EF4-FFF2-40B4-BE49-F238E27FC236}">
              <a16:creationId xmlns:a16="http://schemas.microsoft.com/office/drawing/2014/main" id="{CFEE219C-303D-4DE8-B5FF-303E298F7C2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2" name="Text Box 1">
          <a:extLst>
            <a:ext uri="{FF2B5EF4-FFF2-40B4-BE49-F238E27FC236}">
              <a16:creationId xmlns:a16="http://schemas.microsoft.com/office/drawing/2014/main" id="{28F98FC3-154F-4881-9662-31AF451FE0E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03" name="Text Box 2">
          <a:extLst>
            <a:ext uri="{FF2B5EF4-FFF2-40B4-BE49-F238E27FC236}">
              <a16:creationId xmlns:a16="http://schemas.microsoft.com/office/drawing/2014/main" id="{2C517607-543F-476B-B064-ACB25DE179C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4" name="Text Box 1">
          <a:extLst>
            <a:ext uri="{FF2B5EF4-FFF2-40B4-BE49-F238E27FC236}">
              <a16:creationId xmlns:a16="http://schemas.microsoft.com/office/drawing/2014/main" id="{B04A3641-62B9-4D8A-9E8D-0AF6049A048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05" name="Text Box 2">
          <a:extLst>
            <a:ext uri="{FF2B5EF4-FFF2-40B4-BE49-F238E27FC236}">
              <a16:creationId xmlns:a16="http://schemas.microsoft.com/office/drawing/2014/main" id="{23A60AA6-63BB-44B1-A6E8-E39FF16887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6" name="Text Box 1">
          <a:extLst>
            <a:ext uri="{FF2B5EF4-FFF2-40B4-BE49-F238E27FC236}">
              <a16:creationId xmlns:a16="http://schemas.microsoft.com/office/drawing/2014/main" id="{C7FACFF5-9CFD-42E3-99F0-A968AEFAC0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07" name="Text Box 2">
          <a:extLst>
            <a:ext uri="{FF2B5EF4-FFF2-40B4-BE49-F238E27FC236}">
              <a16:creationId xmlns:a16="http://schemas.microsoft.com/office/drawing/2014/main" id="{805F5F1B-E621-4BAD-880E-035DC778533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08" name="Text Box 1">
          <a:extLst>
            <a:ext uri="{FF2B5EF4-FFF2-40B4-BE49-F238E27FC236}">
              <a16:creationId xmlns:a16="http://schemas.microsoft.com/office/drawing/2014/main" id="{BCB25C98-6BC5-46DD-A1C1-2A21475C56B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09" name="Text Box 2">
          <a:extLst>
            <a:ext uri="{FF2B5EF4-FFF2-40B4-BE49-F238E27FC236}">
              <a16:creationId xmlns:a16="http://schemas.microsoft.com/office/drawing/2014/main" id="{AD712B3F-E4A3-45B9-A412-71EEB48B0BA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10" name="Text Box 1">
          <a:extLst>
            <a:ext uri="{FF2B5EF4-FFF2-40B4-BE49-F238E27FC236}">
              <a16:creationId xmlns:a16="http://schemas.microsoft.com/office/drawing/2014/main" id="{A1C0FC2F-E1CC-4B67-8D0D-E847A79D41A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1" name="Text Box 2">
          <a:extLst>
            <a:ext uri="{FF2B5EF4-FFF2-40B4-BE49-F238E27FC236}">
              <a16:creationId xmlns:a16="http://schemas.microsoft.com/office/drawing/2014/main" id="{98559746-52A6-435D-A08B-EC10776D36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12" name="Text Box 1">
          <a:extLst>
            <a:ext uri="{FF2B5EF4-FFF2-40B4-BE49-F238E27FC236}">
              <a16:creationId xmlns:a16="http://schemas.microsoft.com/office/drawing/2014/main" id="{00A0B283-8E27-442D-889D-B1B8BBB582E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3" name="Text Box 2">
          <a:extLst>
            <a:ext uri="{FF2B5EF4-FFF2-40B4-BE49-F238E27FC236}">
              <a16:creationId xmlns:a16="http://schemas.microsoft.com/office/drawing/2014/main" id="{E18F0C0F-1B6B-4170-BFB7-A92BC61E5F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14" name="Text Box 1">
          <a:extLst>
            <a:ext uri="{FF2B5EF4-FFF2-40B4-BE49-F238E27FC236}">
              <a16:creationId xmlns:a16="http://schemas.microsoft.com/office/drawing/2014/main" id="{8D6CA886-2FEC-4C90-8125-DE11C799CE1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5" name="Text Box 2">
          <a:extLst>
            <a:ext uri="{FF2B5EF4-FFF2-40B4-BE49-F238E27FC236}">
              <a16:creationId xmlns:a16="http://schemas.microsoft.com/office/drawing/2014/main" id="{04ACC852-8838-4809-A92E-3D59FD4052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16" name="Text Box 1">
          <a:extLst>
            <a:ext uri="{FF2B5EF4-FFF2-40B4-BE49-F238E27FC236}">
              <a16:creationId xmlns:a16="http://schemas.microsoft.com/office/drawing/2014/main" id="{9134DD03-ADBB-4356-BB11-931001A2DE1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7" name="Text Box 2">
          <a:extLst>
            <a:ext uri="{FF2B5EF4-FFF2-40B4-BE49-F238E27FC236}">
              <a16:creationId xmlns:a16="http://schemas.microsoft.com/office/drawing/2014/main" id="{71E22156-424B-4957-A18B-6A2DC587D2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18" name="Text Box 1">
          <a:extLst>
            <a:ext uri="{FF2B5EF4-FFF2-40B4-BE49-F238E27FC236}">
              <a16:creationId xmlns:a16="http://schemas.microsoft.com/office/drawing/2014/main" id="{DD81FA9A-5221-43AE-AD0E-4567D5BF9F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19" name="Text Box 2">
          <a:extLst>
            <a:ext uri="{FF2B5EF4-FFF2-40B4-BE49-F238E27FC236}">
              <a16:creationId xmlns:a16="http://schemas.microsoft.com/office/drawing/2014/main" id="{0F4891D1-2B59-49F4-A458-E074F19388F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0" name="Text Box 1">
          <a:extLst>
            <a:ext uri="{FF2B5EF4-FFF2-40B4-BE49-F238E27FC236}">
              <a16:creationId xmlns:a16="http://schemas.microsoft.com/office/drawing/2014/main" id="{5ABA9697-1906-4B01-B388-0E8BCED5102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21" name="Text Box 2">
          <a:extLst>
            <a:ext uri="{FF2B5EF4-FFF2-40B4-BE49-F238E27FC236}">
              <a16:creationId xmlns:a16="http://schemas.microsoft.com/office/drawing/2014/main" id="{A20CCA58-937D-4263-9630-2125FAC475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2" name="Text Box 1">
          <a:extLst>
            <a:ext uri="{FF2B5EF4-FFF2-40B4-BE49-F238E27FC236}">
              <a16:creationId xmlns:a16="http://schemas.microsoft.com/office/drawing/2014/main" id="{1C7ABD0B-3AA4-4BE7-B9FB-E8B5C9CE50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23" name="Text Box 2">
          <a:extLst>
            <a:ext uri="{FF2B5EF4-FFF2-40B4-BE49-F238E27FC236}">
              <a16:creationId xmlns:a16="http://schemas.microsoft.com/office/drawing/2014/main" id="{1BFD1440-1643-4AD4-88D2-DDBBCF70AD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4" name="Text Box 1">
          <a:extLst>
            <a:ext uri="{FF2B5EF4-FFF2-40B4-BE49-F238E27FC236}">
              <a16:creationId xmlns:a16="http://schemas.microsoft.com/office/drawing/2014/main" id="{89B7720B-827A-4CAA-B31A-757179B7A6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25" name="Text Box 2">
          <a:extLst>
            <a:ext uri="{FF2B5EF4-FFF2-40B4-BE49-F238E27FC236}">
              <a16:creationId xmlns:a16="http://schemas.microsoft.com/office/drawing/2014/main" id="{FFE305EA-0F0D-4A8B-B548-163E535CC5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6" name="Text Box 1">
          <a:extLst>
            <a:ext uri="{FF2B5EF4-FFF2-40B4-BE49-F238E27FC236}">
              <a16:creationId xmlns:a16="http://schemas.microsoft.com/office/drawing/2014/main" id="{69E6B4D0-621D-486B-8B9D-A13095B47AC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27" name="Text Box 2">
          <a:extLst>
            <a:ext uri="{FF2B5EF4-FFF2-40B4-BE49-F238E27FC236}">
              <a16:creationId xmlns:a16="http://schemas.microsoft.com/office/drawing/2014/main" id="{18115A0D-3372-4333-A316-11A1919C7E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28" name="Text Box 1">
          <a:extLst>
            <a:ext uri="{FF2B5EF4-FFF2-40B4-BE49-F238E27FC236}">
              <a16:creationId xmlns:a16="http://schemas.microsoft.com/office/drawing/2014/main" id="{F095B0FA-BABB-484E-AADB-CCF3F346F6D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29" name="Text Box 2">
          <a:extLst>
            <a:ext uri="{FF2B5EF4-FFF2-40B4-BE49-F238E27FC236}">
              <a16:creationId xmlns:a16="http://schemas.microsoft.com/office/drawing/2014/main" id="{3D416C9F-0944-4254-A681-401ED3297E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30" name="Text Box 1">
          <a:extLst>
            <a:ext uri="{FF2B5EF4-FFF2-40B4-BE49-F238E27FC236}">
              <a16:creationId xmlns:a16="http://schemas.microsoft.com/office/drawing/2014/main" id="{7CC0C3E6-737E-4F8A-839C-D242F6CB45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1" name="Text Box 2">
          <a:extLst>
            <a:ext uri="{FF2B5EF4-FFF2-40B4-BE49-F238E27FC236}">
              <a16:creationId xmlns:a16="http://schemas.microsoft.com/office/drawing/2014/main" id="{69095291-FEE6-4C26-A817-A8370B3C25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32" name="Text Box 1">
          <a:extLst>
            <a:ext uri="{FF2B5EF4-FFF2-40B4-BE49-F238E27FC236}">
              <a16:creationId xmlns:a16="http://schemas.microsoft.com/office/drawing/2014/main" id="{700F0976-756C-49B7-BCDC-27D308F58FB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3" name="Text Box 2">
          <a:extLst>
            <a:ext uri="{FF2B5EF4-FFF2-40B4-BE49-F238E27FC236}">
              <a16:creationId xmlns:a16="http://schemas.microsoft.com/office/drawing/2014/main" id="{1BBBDECD-7988-41FD-8F6F-49F613A76C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34" name="Text Box 1">
          <a:extLst>
            <a:ext uri="{FF2B5EF4-FFF2-40B4-BE49-F238E27FC236}">
              <a16:creationId xmlns:a16="http://schemas.microsoft.com/office/drawing/2014/main" id="{A5418346-2AD0-4F02-9104-C04E8062936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5" name="Text Box 2">
          <a:extLst>
            <a:ext uri="{FF2B5EF4-FFF2-40B4-BE49-F238E27FC236}">
              <a16:creationId xmlns:a16="http://schemas.microsoft.com/office/drawing/2014/main" id="{EB0D9542-7E17-4234-BE50-896BFFC1240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36" name="Text Box 1">
          <a:extLst>
            <a:ext uri="{FF2B5EF4-FFF2-40B4-BE49-F238E27FC236}">
              <a16:creationId xmlns:a16="http://schemas.microsoft.com/office/drawing/2014/main" id="{3D5053DA-275C-4138-AA4C-31006D6A32B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7" name="Text Box 2">
          <a:extLst>
            <a:ext uri="{FF2B5EF4-FFF2-40B4-BE49-F238E27FC236}">
              <a16:creationId xmlns:a16="http://schemas.microsoft.com/office/drawing/2014/main" id="{053946FD-E5F6-488E-8690-BA2298CB80D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38" name="Text Box 1">
          <a:extLst>
            <a:ext uri="{FF2B5EF4-FFF2-40B4-BE49-F238E27FC236}">
              <a16:creationId xmlns:a16="http://schemas.microsoft.com/office/drawing/2014/main" id="{1BE2E3CA-67F4-43D8-9AD9-616BFCCF886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39" name="Text Box 2">
          <a:extLst>
            <a:ext uri="{FF2B5EF4-FFF2-40B4-BE49-F238E27FC236}">
              <a16:creationId xmlns:a16="http://schemas.microsoft.com/office/drawing/2014/main" id="{C84A0C73-3A05-4CA7-ABF8-797BD82C63A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0" name="Text Box 1">
          <a:extLst>
            <a:ext uri="{FF2B5EF4-FFF2-40B4-BE49-F238E27FC236}">
              <a16:creationId xmlns:a16="http://schemas.microsoft.com/office/drawing/2014/main" id="{C1F17A0B-94C4-45A8-AB11-356C34BF0D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41" name="Text Box 2">
          <a:extLst>
            <a:ext uri="{FF2B5EF4-FFF2-40B4-BE49-F238E27FC236}">
              <a16:creationId xmlns:a16="http://schemas.microsoft.com/office/drawing/2014/main" id="{5F5EC1D2-6E05-4DFB-A15E-D5BB6E13C6F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2" name="Text Box 1">
          <a:extLst>
            <a:ext uri="{FF2B5EF4-FFF2-40B4-BE49-F238E27FC236}">
              <a16:creationId xmlns:a16="http://schemas.microsoft.com/office/drawing/2014/main" id="{B86BE713-FC90-4AFD-9D9B-860115F88D8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43" name="Text Box 2">
          <a:extLst>
            <a:ext uri="{FF2B5EF4-FFF2-40B4-BE49-F238E27FC236}">
              <a16:creationId xmlns:a16="http://schemas.microsoft.com/office/drawing/2014/main" id="{D6A7ABBA-0FD5-4F84-AAF8-DC92CBB0E1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4" name="Text Box 1">
          <a:extLst>
            <a:ext uri="{FF2B5EF4-FFF2-40B4-BE49-F238E27FC236}">
              <a16:creationId xmlns:a16="http://schemas.microsoft.com/office/drawing/2014/main" id="{C8A33A11-31A6-4284-81FA-58A82994968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45" name="Text Box 2">
          <a:extLst>
            <a:ext uri="{FF2B5EF4-FFF2-40B4-BE49-F238E27FC236}">
              <a16:creationId xmlns:a16="http://schemas.microsoft.com/office/drawing/2014/main" id="{5E7D9227-D834-4E73-8CFF-4CC58C48D80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6" name="Text Box 1">
          <a:extLst>
            <a:ext uri="{FF2B5EF4-FFF2-40B4-BE49-F238E27FC236}">
              <a16:creationId xmlns:a16="http://schemas.microsoft.com/office/drawing/2014/main" id="{E81BC03D-272D-412E-AD42-C4E1A05A8A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47" name="Text Box 2">
          <a:extLst>
            <a:ext uri="{FF2B5EF4-FFF2-40B4-BE49-F238E27FC236}">
              <a16:creationId xmlns:a16="http://schemas.microsoft.com/office/drawing/2014/main" id="{5BC0CF97-4862-4766-8732-9B65BFA6C1D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48" name="Text Box 1">
          <a:extLst>
            <a:ext uri="{FF2B5EF4-FFF2-40B4-BE49-F238E27FC236}">
              <a16:creationId xmlns:a16="http://schemas.microsoft.com/office/drawing/2014/main" id="{690C403D-18DC-4C2D-9B21-B7B603C1A4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49" name="Text Box 2">
          <a:extLst>
            <a:ext uri="{FF2B5EF4-FFF2-40B4-BE49-F238E27FC236}">
              <a16:creationId xmlns:a16="http://schemas.microsoft.com/office/drawing/2014/main" id="{F8E0CA25-2005-49F5-AA94-7D25B2CB00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50" name="Text Box 1">
          <a:extLst>
            <a:ext uri="{FF2B5EF4-FFF2-40B4-BE49-F238E27FC236}">
              <a16:creationId xmlns:a16="http://schemas.microsoft.com/office/drawing/2014/main" id="{D914A210-B9C1-46F2-9281-B93D02682E7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1" name="Text Box 2">
          <a:extLst>
            <a:ext uri="{FF2B5EF4-FFF2-40B4-BE49-F238E27FC236}">
              <a16:creationId xmlns:a16="http://schemas.microsoft.com/office/drawing/2014/main" id="{50D81AAD-4693-4A79-A723-C2DC1D97AA2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52" name="Text Box 1">
          <a:extLst>
            <a:ext uri="{FF2B5EF4-FFF2-40B4-BE49-F238E27FC236}">
              <a16:creationId xmlns:a16="http://schemas.microsoft.com/office/drawing/2014/main" id="{08A2B1D0-999F-4215-BD42-67C66338258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3" name="Text Box 2">
          <a:extLst>
            <a:ext uri="{FF2B5EF4-FFF2-40B4-BE49-F238E27FC236}">
              <a16:creationId xmlns:a16="http://schemas.microsoft.com/office/drawing/2014/main" id="{5DB2E353-2110-4080-9C5F-B91E0C66A25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54" name="Text Box 1">
          <a:extLst>
            <a:ext uri="{FF2B5EF4-FFF2-40B4-BE49-F238E27FC236}">
              <a16:creationId xmlns:a16="http://schemas.microsoft.com/office/drawing/2014/main" id="{7A65DA8E-4FA1-4D88-B4DC-7E438E9181C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5" name="Text Box 2">
          <a:extLst>
            <a:ext uri="{FF2B5EF4-FFF2-40B4-BE49-F238E27FC236}">
              <a16:creationId xmlns:a16="http://schemas.microsoft.com/office/drawing/2014/main" id="{3AD28738-3CE0-40B9-A4AA-FE0635D814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56" name="Text Box 1">
          <a:extLst>
            <a:ext uri="{FF2B5EF4-FFF2-40B4-BE49-F238E27FC236}">
              <a16:creationId xmlns:a16="http://schemas.microsoft.com/office/drawing/2014/main" id="{C6E731A0-87DE-4E44-870D-EDFD41D784F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7" name="Text Box 2">
          <a:extLst>
            <a:ext uri="{FF2B5EF4-FFF2-40B4-BE49-F238E27FC236}">
              <a16:creationId xmlns:a16="http://schemas.microsoft.com/office/drawing/2014/main" id="{12215121-9FF1-487D-844A-E5D49F60C3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58" name="Text Box 1">
          <a:extLst>
            <a:ext uri="{FF2B5EF4-FFF2-40B4-BE49-F238E27FC236}">
              <a16:creationId xmlns:a16="http://schemas.microsoft.com/office/drawing/2014/main" id="{8C5E757F-8102-4D15-A38E-D14F25A11D2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59" name="Text Box 2">
          <a:extLst>
            <a:ext uri="{FF2B5EF4-FFF2-40B4-BE49-F238E27FC236}">
              <a16:creationId xmlns:a16="http://schemas.microsoft.com/office/drawing/2014/main" id="{5A8E54BF-CC47-4C37-B7C2-1A1898881E7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0" name="Text Box 1">
          <a:extLst>
            <a:ext uri="{FF2B5EF4-FFF2-40B4-BE49-F238E27FC236}">
              <a16:creationId xmlns:a16="http://schemas.microsoft.com/office/drawing/2014/main" id="{C496DC09-8B7A-4D28-8483-1B587967879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61" name="Text Box 2">
          <a:extLst>
            <a:ext uri="{FF2B5EF4-FFF2-40B4-BE49-F238E27FC236}">
              <a16:creationId xmlns:a16="http://schemas.microsoft.com/office/drawing/2014/main" id="{D94D4304-0A21-43B2-8A7C-911F485D142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2" name="Text Box 1">
          <a:extLst>
            <a:ext uri="{FF2B5EF4-FFF2-40B4-BE49-F238E27FC236}">
              <a16:creationId xmlns:a16="http://schemas.microsoft.com/office/drawing/2014/main" id="{4480C3DD-6876-4653-AD89-3A669CF2C12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63" name="Text Box 2">
          <a:extLst>
            <a:ext uri="{FF2B5EF4-FFF2-40B4-BE49-F238E27FC236}">
              <a16:creationId xmlns:a16="http://schemas.microsoft.com/office/drawing/2014/main" id="{3BB2887F-E7D7-4835-811C-D626C8C193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4" name="Text Box 1">
          <a:extLst>
            <a:ext uri="{FF2B5EF4-FFF2-40B4-BE49-F238E27FC236}">
              <a16:creationId xmlns:a16="http://schemas.microsoft.com/office/drawing/2014/main" id="{337FABC5-2494-4705-AFC4-195D88A7E6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65" name="Text Box 2">
          <a:extLst>
            <a:ext uri="{FF2B5EF4-FFF2-40B4-BE49-F238E27FC236}">
              <a16:creationId xmlns:a16="http://schemas.microsoft.com/office/drawing/2014/main" id="{A7700572-5621-4EE9-AACF-EAD5977047E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6" name="Text Box 1">
          <a:extLst>
            <a:ext uri="{FF2B5EF4-FFF2-40B4-BE49-F238E27FC236}">
              <a16:creationId xmlns:a16="http://schemas.microsoft.com/office/drawing/2014/main" id="{B57BA2D1-CA63-415E-9DDF-630CAA540D6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67" name="Text Box 2">
          <a:extLst>
            <a:ext uri="{FF2B5EF4-FFF2-40B4-BE49-F238E27FC236}">
              <a16:creationId xmlns:a16="http://schemas.microsoft.com/office/drawing/2014/main" id="{EA0DB7EE-0F36-4531-9C36-6E3EA92DF47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68" name="Text Box 1">
          <a:extLst>
            <a:ext uri="{FF2B5EF4-FFF2-40B4-BE49-F238E27FC236}">
              <a16:creationId xmlns:a16="http://schemas.microsoft.com/office/drawing/2014/main" id="{A0722D22-5AEA-48FB-9AD9-961B5F5B172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69" name="Text Box 2">
          <a:extLst>
            <a:ext uri="{FF2B5EF4-FFF2-40B4-BE49-F238E27FC236}">
              <a16:creationId xmlns:a16="http://schemas.microsoft.com/office/drawing/2014/main" id="{D9E6331F-A0B6-4F4D-A541-53748CECF7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70" name="Text Box 1">
          <a:extLst>
            <a:ext uri="{FF2B5EF4-FFF2-40B4-BE49-F238E27FC236}">
              <a16:creationId xmlns:a16="http://schemas.microsoft.com/office/drawing/2014/main" id="{579CEA48-80A7-486C-BD30-618FF25842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1" name="Text Box 2">
          <a:extLst>
            <a:ext uri="{FF2B5EF4-FFF2-40B4-BE49-F238E27FC236}">
              <a16:creationId xmlns:a16="http://schemas.microsoft.com/office/drawing/2014/main" id="{D8D42ED9-A7AE-4C45-BC83-479E21E56A7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72" name="Text Box 1">
          <a:extLst>
            <a:ext uri="{FF2B5EF4-FFF2-40B4-BE49-F238E27FC236}">
              <a16:creationId xmlns:a16="http://schemas.microsoft.com/office/drawing/2014/main" id="{DC673CC4-894E-4146-935B-076DCD5F2B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3" name="Text Box 2">
          <a:extLst>
            <a:ext uri="{FF2B5EF4-FFF2-40B4-BE49-F238E27FC236}">
              <a16:creationId xmlns:a16="http://schemas.microsoft.com/office/drawing/2014/main" id="{F102563A-6080-4DAC-89E1-F758DBFE845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74" name="Text Box 1">
          <a:extLst>
            <a:ext uri="{FF2B5EF4-FFF2-40B4-BE49-F238E27FC236}">
              <a16:creationId xmlns:a16="http://schemas.microsoft.com/office/drawing/2014/main" id="{1F8909E7-A754-4987-8DA4-884E8A44E5E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5" name="Text Box 2">
          <a:extLst>
            <a:ext uri="{FF2B5EF4-FFF2-40B4-BE49-F238E27FC236}">
              <a16:creationId xmlns:a16="http://schemas.microsoft.com/office/drawing/2014/main" id="{09733F89-6D0F-4839-937D-78C8254EBE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76" name="Text Box 1">
          <a:extLst>
            <a:ext uri="{FF2B5EF4-FFF2-40B4-BE49-F238E27FC236}">
              <a16:creationId xmlns:a16="http://schemas.microsoft.com/office/drawing/2014/main" id="{1267CDE6-3713-4C1A-B5EE-F4C3A12E07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7" name="Text Box 2">
          <a:extLst>
            <a:ext uri="{FF2B5EF4-FFF2-40B4-BE49-F238E27FC236}">
              <a16:creationId xmlns:a16="http://schemas.microsoft.com/office/drawing/2014/main" id="{94968D53-FDFF-46BF-B59C-84583FC903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78" name="Text Box 1">
          <a:extLst>
            <a:ext uri="{FF2B5EF4-FFF2-40B4-BE49-F238E27FC236}">
              <a16:creationId xmlns:a16="http://schemas.microsoft.com/office/drawing/2014/main" id="{947B9135-BC6F-437A-BE34-345DE0FF53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79" name="Text Box 2">
          <a:extLst>
            <a:ext uri="{FF2B5EF4-FFF2-40B4-BE49-F238E27FC236}">
              <a16:creationId xmlns:a16="http://schemas.microsoft.com/office/drawing/2014/main" id="{A1C74FD2-EDEE-476A-B414-DD98196F40D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0" name="Text Box 1">
          <a:extLst>
            <a:ext uri="{FF2B5EF4-FFF2-40B4-BE49-F238E27FC236}">
              <a16:creationId xmlns:a16="http://schemas.microsoft.com/office/drawing/2014/main" id="{592B48E6-E9B7-490E-82F0-150D8E66DC0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81" name="Text Box 2">
          <a:extLst>
            <a:ext uri="{FF2B5EF4-FFF2-40B4-BE49-F238E27FC236}">
              <a16:creationId xmlns:a16="http://schemas.microsoft.com/office/drawing/2014/main" id="{F8E75348-DCDC-491F-ADD3-48B61D6D055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2" name="Text Box 1">
          <a:extLst>
            <a:ext uri="{FF2B5EF4-FFF2-40B4-BE49-F238E27FC236}">
              <a16:creationId xmlns:a16="http://schemas.microsoft.com/office/drawing/2014/main" id="{D69D1700-AF97-4B6D-9E40-F33C268C383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83" name="Text Box 2">
          <a:extLst>
            <a:ext uri="{FF2B5EF4-FFF2-40B4-BE49-F238E27FC236}">
              <a16:creationId xmlns:a16="http://schemas.microsoft.com/office/drawing/2014/main" id="{F31E8B72-E706-456A-8F91-2F6D038468B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4" name="Text Box 1">
          <a:extLst>
            <a:ext uri="{FF2B5EF4-FFF2-40B4-BE49-F238E27FC236}">
              <a16:creationId xmlns:a16="http://schemas.microsoft.com/office/drawing/2014/main" id="{B2D8A54B-C015-49AC-AEE7-98F57A5878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85" name="Text Box 2">
          <a:extLst>
            <a:ext uri="{FF2B5EF4-FFF2-40B4-BE49-F238E27FC236}">
              <a16:creationId xmlns:a16="http://schemas.microsoft.com/office/drawing/2014/main" id="{21FADF9E-8D88-4917-81D0-C138E49A1A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6" name="Text Box 1">
          <a:extLst>
            <a:ext uri="{FF2B5EF4-FFF2-40B4-BE49-F238E27FC236}">
              <a16:creationId xmlns:a16="http://schemas.microsoft.com/office/drawing/2014/main" id="{81FF6A2A-ED9C-4C7D-B303-8E846F17FC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87" name="Text Box 2">
          <a:extLst>
            <a:ext uri="{FF2B5EF4-FFF2-40B4-BE49-F238E27FC236}">
              <a16:creationId xmlns:a16="http://schemas.microsoft.com/office/drawing/2014/main" id="{E06E06AE-8D9F-449D-A40F-6C3395F9D8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88" name="Text Box 1">
          <a:extLst>
            <a:ext uri="{FF2B5EF4-FFF2-40B4-BE49-F238E27FC236}">
              <a16:creationId xmlns:a16="http://schemas.microsoft.com/office/drawing/2014/main" id="{F385F5B6-4C68-42FA-A5E2-FDA13581EE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89" name="Text Box 2">
          <a:extLst>
            <a:ext uri="{FF2B5EF4-FFF2-40B4-BE49-F238E27FC236}">
              <a16:creationId xmlns:a16="http://schemas.microsoft.com/office/drawing/2014/main" id="{6CDDFB23-716D-4D20-82C2-50E3C1F53F8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90" name="Text Box 1">
          <a:extLst>
            <a:ext uri="{FF2B5EF4-FFF2-40B4-BE49-F238E27FC236}">
              <a16:creationId xmlns:a16="http://schemas.microsoft.com/office/drawing/2014/main" id="{686D2A37-5AE0-4FC5-8A06-D38F9B27E07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1" name="Text Box 2">
          <a:extLst>
            <a:ext uri="{FF2B5EF4-FFF2-40B4-BE49-F238E27FC236}">
              <a16:creationId xmlns:a16="http://schemas.microsoft.com/office/drawing/2014/main" id="{AC4904DD-DF74-44DA-9E85-24FDE1ABC9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92" name="Text Box 1">
          <a:extLst>
            <a:ext uri="{FF2B5EF4-FFF2-40B4-BE49-F238E27FC236}">
              <a16:creationId xmlns:a16="http://schemas.microsoft.com/office/drawing/2014/main" id="{0FAE4DC8-4902-475E-BEB4-4393F39EF50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3" name="Text Box 2">
          <a:extLst>
            <a:ext uri="{FF2B5EF4-FFF2-40B4-BE49-F238E27FC236}">
              <a16:creationId xmlns:a16="http://schemas.microsoft.com/office/drawing/2014/main" id="{7D4D1141-229F-4833-9EC7-6BA0769EAFE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94" name="Text Box 1">
          <a:extLst>
            <a:ext uri="{FF2B5EF4-FFF2-40B4-BE49-F238E27FC236}">
              <a16:creationId xmlns:a16="http://schemas.microsoft.com/office/drawing/2014/main" id="{858B4B05-6A36-4EA3-94D0-4034B95B004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5" name="Text Box 2">
          <a:extLst>
            <a:ext uri="{FF2B5EF4-FFF2-40B4-BE49-F238E27FC236}">
              <a16:creationId xmlns:a16="http://schemas.microsoft.com/office/drawing/2014/main" id="{42F6E835-D0CD-4486-8D37-AB36DC3F840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96" name="Text Box 1">
          <a:extLst>
            <a:ext uri="{FF2B5EF4-FFF2-40B4-BE49-F238E27FC236}">
              <a16:creationId xmlns:a16="http://schemas.microsoft.com/office/drawing/2014/main" id="{DFEE466B-E1F0-47A4-A11E-7246B77407E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7" name="Text Box 2">
          <a:extLst>
            <a:ext uri="{FF2B5EF4-FFF2-40B4-BE49-F238E27FC236}">
              <a16:creationId xmlns:a16="http://schemas.microsoft.com/office/drawing/2014/main" id="{B910D250-A6EB-4B42-825D-75AB6777A89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198" name="Text Box 1">
          <a:extLst>
            <a:ext uri="{FF2B5EF4-FFF2-40B4-BE49-F238E27FC236}">
              <a16:creationId xmlns:a16="http://schemas.microsoft.com/office/drawing/2014/main" id="{AFEB95DB-8358-48CA-AFDA-9D617ABB634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199" name="Text Box 2">
          <a:extLst>
            <a:ext uri="{FF2B5EF4-FFF2-40B4-BE49-F238E27FC236}">
              <a16:creationId xmlns:a16="http://schemas.microsoft.com/office/drawing/2014/main" id="{58EE194D-DDE2-4FCA-B719-6B5A05D68F2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0" name="Text Box 1">
          <a:extLst>
            <a:ext uri="{FF2B5EF4-FFF2-40B4-BE49-F238E27FC236}">
              <a16:creationId xmlns:a16="http://schemas.microsoft.com/office/drawing/2014/main" id="{E314E6AF-8A19-4016-9EE3-DCF46636E9A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01" name="Text Box 2">
          <a:extLst>
            <a:ext uri="{FF2B5EF4-FFF2-40B4-BE49-F238E27FC236}">
              <a16:creationId xmlns:a16="http://schemas.microsoft.com/office/drawing/2014/main" id="{EE3E528B-155C-4BF4-B223-215C16366CB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2" name="Text Box 1">
          <a:extLst>
            <a:ext uri="{FF2B5EF4-FFF2-40B4-BE49-F238E27FC236}">
              <a16:creationId xmlns:a16="http://schemas.microsoft.com/office/drawing/2014/main" id="{D8495C9B-CA24-431E-91E7-3C00D94362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03" name="Text Box 2">
          <a:extLst>
            <a:ext uri="{FF2B5EF4-FFF2-40B4-BE49-F238E27FC236}">
              <a16:creationId xmlns:a16="http://schemas.microsoft.com/office/drawing/2014/main" id="{AC033E0B-F630-4143-BB90-90F43570594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4" name="Text Box 1">
          <a:extLst>
            <a:ext uri="{FF2B5EF4-FFF2-40B4-BE49-F238E27FC236}">
              <a16:creationId xmlns:a16="http://schemas.microsoft.com/office/drawing/2014/main" id="{AB07AF8E-0E98-480D-938B-21124206D5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05" name="Text Box 2">
          <a:extLst>
            <a:ext uri="{FF2B5EF4-FFF2-40B4-BE49-F238E27FC236}">
              <a16:creationId xmlns:a16="http://schemas.microsoft.com/office/drawing/2014/main" id="{D452553C-6880-444E-BE90-B1F16496F88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6" name="Text Box 1">
          <a:extLst>
            <a:ext uri="{FF2B5EF4-FFF2-40B4-BE49-F238E27FC236}">
              <a16:creationId xmlns:a16="http://schemas.microsoft.com/office/drawing/2014/main" id="{FEEECC31-574C-4F3D-BCE1-2CCA2BA107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07" name="Text Box 2">
          <a:extLst>
            <a:ext uri="{FF2B5EF4-FFF2-40B4-BE49-F238E27FC236}">
              <a16:creationId xmlns:a16="http://schemas.microsoft.com/office/drawing/2014/main" id="{BDBD4631-A1BC-4098-B9AB-86949CCB548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08" name="Text Box 1">
          <a:extLst>
            <a:ext uri="{FF2B5EF4-FFF2-40B4-BE49-F238E27FC236}">
              <a16:creationId xmlns:a16="http://schemas.microsoft.com/office/drawing/2014/main" id="{5F0992CB-EBB7-434A-B7E1-E81DAA38E4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09" name="Text Box 2">
          <a:extLst>
            <a:ext uri="{FF2B5EF4-FFF2-40B4-BE49-F238E27FC236}">
              <a16:creationId xmlns:a16="http://schemas.microsoft.com/office/drawing/2014/main" id="{A6BD8BFC-778F-4893-8768-CD765AD8E3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10" name="Text Box 1">
          <a:extLst>
            <a:ext uri="{FF2B5EF4-FFF2-40B4-BE49-F238E27FC236}">
              <a16:creationId xmlns:a16="http://schemas.microsoft.com/office/drawing/2014/main" id="{08D6C2EA-9F8F-4633-889C-E23CC93D32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1" name="Text Box 2">
          <a:extLst>
            <a:ext uri="{FF2B5EF4-FFF2-40B4-BE49-F238E27FC236}">
              <a16:creationId xmlns:a16="http://schemas.microsoft.com/office/drawing/2014/main" id="{E6612495-87C1-4B52-896B-465A6A00E4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12" name="Text Box 1">
          <a:extLst>
            <a:ext uri="{FF2B5EF4-FFF2-40B4-BE49-F238E27FC236}">
              <a16:creationId xmlns:a16="http://schemas.microsoft.com/office/drawing/2014/main" id="{2B23A2DB-5190-40A0-95FA-B4AB5FFBF71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3" name="Text Box 2">
          <a:extLst>
            <a:ext uri="{FF2B5EF4-FFF2-40B4-BE49-F238E27FC236}">
              <a16:creationId xmlns:a16="http://schemas.microsoft.com/office/drawing/2014/main" id="{C60F0276-D596-4273-8200-DFA47CD41E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14" name="Text Box 1">
          <a:extLst>
            <a:ext uri="{FF2B5EF4-FFF2-40B4-BE49-F238E27FC236}">
              <a16:creationId xmlns:a16="http://schemas.microsoft.com/office/drawing/2014/main" id="{28E712EC-286E-4EB1-929F-735A9654F7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5" name="Text Box 2">
          <a:extLst>
            <a:ext uri="{FF2B5EF4-FFF2-40B4-BE49-F238E27FC236}">
              <a16:creationId xmlns:a16="http://schemas.microsoft.com/office/drawing/2014/main" id="{FAC66AEB-55F1-46F9-AE84-BA8F229AF1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16" name="Text Box 1">
          <a:extLst>
            <a:ext uri="{FF2B5EF4-FFF2-40B4-BE49-F238E27FC236}">
              <a16:creationId xmlns:a16="http://schemas.microsoft.com/office/drawing/2014/main" id="{03E3F3E1-F448-4249-BFC7-E2200DE8AA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7" name="Text Box 2">
          <a:extLst>
            <a:ext uri="{FF2B5EF4-FFF2-40B4-BE49-F238E27FC236}">
              <a16:creationId xmlns:a16="http://schemas.microsoft.com/office/drawing/2014/main" id="{46247C6F-8A57-4D43-A721-9E367A2A36E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18" name="Text Box 1">
          <a:extLst>
            <a:ext uri="{FF2B5EF4-FFF2-40B4-BE49-F238E27FC236}">
              <a16:creationId xmlns:a16="http://schemas.microsoft.com/office/drawing/2014/main" id="{10086986-3FA3-4F0A-A39F-D2F206B249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19" name="Text Box 2">
          <a:extLst>
            <a:ext uri="{FF2B5EF4-FFF2-40B4-BE49-F238E27FC236}">
              <a16:creationId xmlns:a16="http://schemas.microsoft.com/office/drawing/2014/main" id="{91B05476-5D0D-4081-92A7-4503362150A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0" name="Text Box 1">
          <a:extLst>
            <a:ext uri="{FF2B5EF4-FFF2-40B4-BE49-F238E27FC236}">
              <a16:creationId xmlns:a16="http://schemas.microsoft.com/office/drawing/2014/main" id="{823E1B5B-BBDE-4254-A3B5-EFA6A3E876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21" name="Text Box 2">
          <a:extLst>
            <a:ext uri="{FF2B5EF4-FFF2-40B4-BE49-F238E27FC236}">
              <a16:creationId xmlns:a16="http://schemas.microsoft.com/office/drawing/2014/main" id="{8B964994-09FB-443C-9435-C1A2CB153AF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2" name="Text Box 1">
          <a:extLst>
            <a:ext uri="{FF2B5EF4-FFF2-40B4-BE49-F238E27FC236}">
              <a16:creationId xmlns:a16="http://schemas.microsoft.com/office/drawing/2014/main" id="{F2666044-FE4A-49A5-8201-615A68F9B59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23" name="Text Box 2">
          <a:extLst>
            <a:ext uri="{FF2B5EF4-FFF2-40B4-BE49-F238E27FC236}">
              <a16:creationId xmlns:a16="http://schemas.microsoft.com/office/drawing/2014/main" id="{221D0C0D-0795-4A8D-80E0-81F4C8E239F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4" name="Text Box 1">
          <a:extLst>
            <a:ext uri="{FF2B5EF4-FFF2-40B4-BE49-F238E27FC236}">
              <a16:creationId xmlns:a16="http://schemas.microsoft.com/office/drawing/2014/main" id="{8B5E229D-F2F3-4AF5-8089-4D6BDE7B815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25" name="Text Box 2">
          <a:extLst>
            <a:ext uri="{FF2B5EF4-FFF2-40B4-BE49-F238E27FC236}">
              <a16:creationId xmlns:a16="http://schemas.microsoft.com/office/drawing/2014/main" id="{E9A58A75-12C2-4388-AC5C-F054E8AAF8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6" name="Text Box 1">
          <a:extLst>
            <a:ext uri="{FF2B5EF4-FFF2-40B4-BE49-F238E27FC236}">
              <a16:creationId xmlns:a16="http://schemas.microsoft.com/office/drawing/2014/main" id="{7A32CFA9-2FE2-487A-B8E4-40F226360C3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27" name="Text Box 2">
          <a:extLst>
            <a:ext uri="{FF2B5EF4-FFF2-40B4-BE49-F238E27FC236}">
              <a16:creationId xmlns:a16="http://schemas.microsoft.com/office/drawing/2014/main" id="{07707799-35C0-4774-A064-09735E9B28F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28" name="Text Box 1">
          <a:extLst>
            <a:ext uri="{FF2B5EF4-FFF2-40B4-BE49-F238E27FC236}">
              <a16:creationId xmlns:a16="http://schemas.microsoft.com/office/drawing/2014/main" id="{BD5ECD79-F94D-4E4A-BECC-1EAABA27D8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29" name="Text Box 2">
          <a:extLst>
            <a:ext uri="{FF2B5EF4-FFF2-40B4-BE49-F238E27FC236}">
              <a16:creationId xmlns:a16="http://schemas.microsoft.com/office/drawing/2014/main" id="{583F95D9-78AF-4E7E-8376-BEC678C0F76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30" name="Text Box 1">
          <a:extLst>
            <a:ext uri="{FF2B5EF4-FFF2-40B4-BE49-F238E27FC236}">
              <a16:creationId xmlns:a16="http://schemas.microsoft.com/office/drawing/2014/main" id="{FCFF7936-12A7-4937-86B3-3A249711A4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1" name="Text Box 2">
          <a:extLst>
            <a:ext uri="{FF2B5EF4-FFF2-40B4-BE49-F238E27FC236}">
              <a16:creationId xmlns:a16="http://schemas.microsoft.com/office/drawing/2014/main" id="{3581DC80-59B0-4FC1-9DBA-5D4A3E3E45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32" name="Text Box 1">
          <a:extLst>
            <a:ext uri="{FF2B5EF4-FFF2-40B4-BE49-F238E27FC236}">
              <a16:creationId xmlns:a16="http://schemas.microsoft.com/office/drawing/2014/main" id="{A9003D3F-9973-4A46-859D-1D4E44A3C9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3" name="Text Box 2">
          <a:extLst>
            <a:ext uri="{FF2B5EF4-FFF2-40B4-BE49-F238E27FC236}">
              <a16:creationId xmlns:a16="http://schemas.microsoft.com/office/drawing/2014/main" id="{CAC28DA1-72D0-4DB1-A5AF-B4280874A82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34" name="Text Box 1">
          <a:extLst>
            <a:ext uri="{FF2B5EF4-FFF2-40B4-BE49-F238E27FC236}">
              <a16:creationId xmlns:a16="http://schemas.microsoft.com/office/drawing/2014/main" id="{D4721CA1-044D-4C09-8AD8-9D0F6572425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5" name="Text Box 2">
          <a:extLst>
            <a:ext uri="{FF2B5EF4-FFF2-40B4-BE49-F238E27FC236}">
              <a16:creationId xmlns:a16="http://schemas.microsoft.com/office/drawing/2014/main" id="{E8A4B959-ED66-4762-ABBC-D6500CDC29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36" name="Text Box 1">
          <a:extLst>
            <a:ext uri="{FF2B5EF4-FFF2-40B4-BE49-F238E27FC236}">
              <a16:creationId xmlns:a16="http://schemas.microsoft.com/office/drawing/2014/main" id="{968A943E-946C-469B-B7F9-015DBFD53D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7" name="Text Box 2">
          <a:extLst>
            <a:ext uri="{FF2B5EF4-FFF2-40B4-BE49-F238E27FC236}">
              <a16:creationId xmlns:a16="http://schemas.microsoft.com/office/drawing/2014/main" id="{55E6EEB0-738A-42C6-8C65-C10149E79F3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38" name="Text Box 1">
          <a:extLst>
            <a:ext uri="{FF2B5EF4-FFF2-40B4-BE49-F238E27FC236}">
              <a16:creationId xmlns:a16="http://schemas.microsoft.com/office/drawing/2014/main" id="{DFE6F8F6-E87B-4AAB-86C7-30D762EBBC3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39" name="Text Box 2">
          <a:extLst>
            <a:ext uri="{FF2B5EF4-FFF2-40B4-BE49-F238E27FC236}">
              <a16:creationId xmlns:a16="http://schemas.microsoft.com/office/drawing/2014/main" id="{5B8AE2B6-15F5-45FB-A165-E5091D05655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0" name="Text Box 1">
          <a:extLst>
            <a:ext uri="{FF2B5EF4-FFF2-40B4-BE49-F238E27FC236}">
              <a16:creationId xmlns:a16="http://schemas.microsoft.com/office/drawing/2014/main" id="{0951446E-DB69-4482-84EB-EA1D600C720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41" name="Text Box 2">
          <a:extLst>
            <a:ext uri="{FF2B5EF4-FFF2-40B4-BE49-F238E27FC236}">
              <a16:creationId xmlns:a16="http://schemas.microsoft.com/office/drawing/2014/main" id="{2023636B-6502-4A15-B371-F0EE55F8F9B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2" name="Text Box 1">
          <a:extLst>
            <a:ext uri="{FF2B5EF4-FFF2-40B4-BE49-F238E27FC236}">
              <a16:creationId xmlns:a16="http://schemas.microsoft.com/office/drawing/2014/main" id="{60FB4624-B4BE-4173-8571-5946BF70C7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43" name="Text Box 2">
          <a:extLst>
            <a:ext uri="{FF2B5EF4-FFF2-40B4-BE49-F238E27FC236}">
              <a16:creationId xmlns:a16="http://schemas.microsoft.com/office/drawing/2014/main" id="{475ECE04-E553-4C19-BFF7-70B9063DB0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4" name="Text Box 1">
          <a:extLst>
            <a:ext uri="{FF2B5EF4-FFF2-40B4-BE49-F238E27FC236}">
              <a16:creationId xmlns:a16="http://schemas.microsoft.com/office/drawing/2014/main" id="{186DAA5E-80AE-4146-A579-82D461FB025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45" name="Text Box 2">
          <a:extLst>
            <a:ext uri="{FF2B5EF4-FFF2-40B4-BE49-F238E27FC236}">
              <a16:creationId xmlns:a16="http://schemas.microsoft.com/office/drawing/2014/main" id="{5F5ED0A3-F32C-478B-B587-51FAA49043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6" name="Text Box 1">
          <a:extLst>
            <a:ext uri="{FF2B5EF4-FFF2-40B4-BE49-F238E27FC236}">
              <a16:creationId xmlns:a16="http://schemas.microsoft.com/office/drawing/2014/main" id="{F3CC499D-1273-496B-B6AD-6F3276E8F80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47" name="Text Box 2">
          <a:extLst>
            <a:ext uri="{FF2B5EF4-FFF2-40B4-BE49-F238E27FC236}">
              <a16:creationId xmlns:a16="http://schemas.microsoft.com/office/drawing/2014/main" id="{00787E91-6936-44A7-8F47-0C056CDBE5F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48" name="Text Box 1">
          <a:extLst>
            <a:ext uri="{FF2B5EF4-FFF2-40B4-BE49-F238E27FC236}">
              <a16:creationId xmlns:a16="http://schemas.microsoft.com/office/drawing/2014/main" id="{3FF23902-0090-4AD7-9E67-0B48947AE3B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49" name="Text Box 2">
          <a:extLst>
            <a:ext uri="{FF2B5EF4-FFF2-40B4-BE49-F238E27FC236}">
              <a16:creationId xmlns:a16="http://schemas.microsoft.com/office/drawing/2014/main" id="{ED09291A-EB28-4FAA-9FD6-9692F4621D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50" name="Text Box 1">
          <a:extLst>
            <a:ext uri="{FF2B5EF4-FFF2-40B4-BE49-F238E27FC236}">
              <a16:creationId xmlns:a16="http://schemas.microsoft.com/office/drawing/2014/main" id="{FB9952EF-5985-407A-BB23-7C9C027F54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1" name="Text Box 2">
          <a:extLst>
            <a:ext uri="{FF2B5EF4-FFF2-40B4-BE49-F238E27FC236}">
              <a16:creationId xmlns:a16="http://schemas.microsoft.com/office/drawing/2014/main" id="{6C74B8FB-08E1-47C0-BFB6-586061A7AAA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52" name="Text Box 1">
          <a:extLst>
            <a:ext uri="{FF2B5EF4-FFF2-40B4-BE49-F238E27FC236}">
              <a16:creationId xmlns:a16="http://schemas.microsoft.com/office/drawing/2014/main" id="{F9991E43-3088-4CC2-8E07-1CF070331D8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3" name="Text Box 2">
          <a:extLst>
            <a:ext uri="{FF2B5EF4-FFF2-40B4-BE49-F238E27FC236}">
              <a16:creationId xmlns:a16="http://schemas.microsoft.com/office/drawing/2014/main" id="{43D31F8E-1326-413F-B385-C85F453D825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54" name="Text Box 1">
          <a:extLst>
            <a:ext uri="{FF2B5EF4-FFF2-40B4-BE49-F238E27FC236}">
              <a16:creationId xmlns:a16="http://schemas.microsoft.com/office/drawing/2014/main" id="{CC40E929-A13B-4DCA-B715-75F4E03198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5" name="Text Box 2">
          <a:extLst>
            <a:ext uri="{FF2B5EF4-FFF2-40B4-BE49-F238E27FC236}">
              <a16:creationId xmlns:a16="http://schemas.microsoft.com/office/drawing/2014/main" id="{46615853-C51D-4AC4-82CC-4B09C6D46B8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56" name="Text Box 1">
          <a:extLst>
            <a:ext uri="{FF2B5EF4-FFF2-40B4-BE49-F238E27FC236}">
              <a16:creationId xmlns:a16="http://schemas.microsoft.com/office/drawing/2014/main" id="{A8FBCDC0-C856-42CB-9BF2-50FDB24F6F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7" name="Text Box 2">
          <a:extLst>
            <a:ext uri="{FF2B5EF4-FFF2-40B4-BE49-F238E27FC236}">
              <a16:creationId xmlns:a16="http://schemas.microsoft.com/office/drawing/2014/main" id="{A09C044F-1DC2-4136-85F8-4F76F84C960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58" name="Text Box 1">
          <a:extLst>
            <a:ext uri="{FF2B5EF4-FFF2-40B4-BE49-F238E27FC236}">
              <a16:creationId xmlns:a16="http://schemas.microsoft.com/office/drawing/2014/main" id="{C451CD67-F314-4C7A-AEAD-F8CDA2B213A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59" name="Text Box 2">
          <a:extLst>
            <a:ext uri="{FF2B5EF4-FFF2-40B4-BE49-F238E27FC236}">
              <a16:creationId xmlns:a16="http://schemas.microsoft.com/office/drawing/2014/main" id="{89F4B197-3F53-4023-AF22-AD0EA1705E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0" name="Text Box 1">
          <a:extLst>
            <a:ext uri="{FF2B5EF4-FFF2-40B4-BE49-F238E27FC236}">
              <a16:creationId xmlns:a16="http://schemas.microsoft.com/office/drawing/2014/main" id="{67E7BAEC-259F-42AF-A0A7-09EE043118D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61" name="Text Box 2">
          <a:extLst>
            <a:ext uri="{FF2B5EF4-FFF2-40B4-BE49-F238E27FC236}">
              <a16:creationId xmlns:a16="http://schemas.microsoft.com/office/drawing/2014/main" id="{F3590988-290A-4512-8AB3-D0BC85B70D9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2" name="Text Box 1">
          <a:extLst>
            <a:ext uri="{FF2B5EF4-FFF2-40B4-BE49-F238E27FC236}">
              <a16:creationId xmlns:a16="http://schemas.microsoft.com/office/drawing/2014/main" id="{46013E58-E6E3-4277-88BA-F92CC25D1EC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63" name="Text Box 2">
          <a:extLst>
            <a:ext uri="{FF2B5EF4-FFF2-40B4-BE49-F238E27FC236}">
              <a16:creationId xmlns:a16="http://schemas.microsoft.com/office/drawing/2014/main" id="{A09C6564-D53E-4788-91E2-6030D2D999B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4" name="Text Box 1">
          <a:extLst>
            <a:ext uri="{FF2B5EF4-FFF2-40B4-BE49-F238E27FC236}">
              <a16:creationId xmlns:a16="http://schemas.microsoft.com/office/drawing/2014/main" id="{5FA6A90A-23E7-4DB6-AC15-9AFF88A6650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65" name="Text Box 2">
          <a:extLst>
            <a:ext uri="{FF2B5EF4-FFF2-40B4-BE49-F238E27FC236}">
              <a16:creationId xmlns:a16="http://schemas.microsoft.com/office/drawing/2014/main" id="{B234DF74-667F-40B6-8C6E-45B93F244C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6" name="Text Box 1">
          <a:extLst>
            <a:ext uri="{FF2B5EF4-FFF2-40B4-BE49-F238E27FC236}">
              <a16:creationId xmlns:a16="http://schemas.microsoft.com/office/drawing/2014/main" id="{B43C0463-C9C8-4B6B-A346-707B2565D9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67" name="Text Box 2">
          <a:extLst>
            <a:ext uri="{FF2B5EF4-FFF2-40B4-BE49-F238E27FC236}">
              <a16:creationId xmlns:a16="http://schemas.microsoft.com/office/drawing/2014/main" id="{E8863A77-D891-405E-BAE6-0641D83C56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68" name="Text Box 1">
          <a:extLst>
            <a:ext uri="{FF2B5EF4-FFF2-40B4-BE49-F238E27FC236}">
              <a16:creationId xmlns:a16="http://schemas.microsoft.com/office/drawing/2014/main" id="{E3733FD2-19CF-4D15-80BF-DF96A090462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69" name="Text Box 2">
          <a:extLst>
            <a:ext uri="{FF2B5EF4-FFF2-40B4-BE49-F238E27FC236}">
              <a16:creationId xmlns:a16="http://schemas.microsoft.com/office/drawing/2014/main" id="{5CC7A584-C24E-497F-9141-D34548945CC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70" name="Text Box 1">
          <a:extLst>
            <a:ext uri="{FF2B5EF4-FFF2-40B4-BE49-F238E27FC236}">
              <a16:creationId xmlns:a16="http://schemas.microsoft.com/office/drawing/2014/main" id="{4DE54979-5B70-476A-B2A9-E3FEE11AAE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1" name="Text Box 2">
          <a:extLst>
            <a:ext uri="{FF2B5EF4-FFF2-40B4-BE49-F238E27FC236}">
              <a16:creationId xmlns:a16="http://schemas.microsoft.com/office/drawing/2014/main" id="{825485CC-092C-4DB6-BB83-C6CE6971707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72" name="Text Box 1">
          <a:extLst>
            <a:ext uri="{FF2B5EF4-FFF2-40B4-BE49-F238E27FC236}">
              <a16:creationId xmlns:a16="http://schemas.microsoft.com/office/drawing/2014/main" id="{9CE07C54-29E3-493C-8A47-15E43CDD263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3" name="Text Box 2">
          <a:extLst>
            <a:ext uri="{FF2B5EF4-FFF2-40B4-BE49-F238E27FC236}">
              <a16:creationId xmlns:a16="http://schemas.microsoft.com/office/drawing/2014/main" id="{A7A28D4B-D6C3-4802-B708-41BD1D18DDC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74" name="Text Box 1">
          <a:extLst>
            <a:ext uri="{FF2B5EF4-FFF2-40B4-BE49-F238E27FC236}">
              <a16:creationId xmlns:a16="http://schemas.microsoft.com/office/drawing/2014/main" id="{AEF52C55-5A02-45DE-BA47-15716DCAB3B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5" name="Text Box 2">
          <a:extLst>
            <a:ext uri="{FF2B5EF4-FFF2-40B4-BE49-F238E27FC236}">
              <a16:creationId xmlns:a16="http://schemas.microsoft.com/office/drawing/2014/main" id="{0ACA9815-5A07-4166-9498-6319041DD0C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76" name="Text Box 1">
          <a:extLst>
            <a:ext uri="{FF2B5EF4-FFF2-40B4-BE49-F238E27FC236}">
              <a16:creationId xmlns:a16="http://schemas.microsoft.com/office/drawing/2014/main" id="{0C1669F3-DCE6-45C4-A622-722A9D990EF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7" name="Text Box 2">
          <a:extLst>
            <a:ext uri="{FF2B5EF4-FFF2-40B4-BE49-F238E27FC236}">
              <a16:creationId xmlns:a16="http://schemas.microsoft.com/office/drawing/2014/main" id="{05DC1F84-C621-4104-AFEE-556112D44F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78" name="Text Box 1">
          <a:extLst>
            <a:ext uri="{FF2B5EF4-FFF2-40B4-BE49-F238E27FC236}">
              <a16:creationId xmlns:a16="http://schemas.microsoft.com/office/drawing/2014/main" id="{DA6D97AD-9F0E-43A5-9675-2AF318FAAE4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79" name="Text Box 2">
          <a:extLst>
            <a:ext uri="{FF2B5EF4-FFF2-40B4-BE49-F238E27FC236}">
              <a16:creationId xmlns:a16="http://schemas.microsoft.com/office/drawing/2014/main" id="{051B02F5-4379-454E-A738-9A9AD21AB2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0" name="Text Box 1">
          <a:extLst>
            <a:ext uri="{FF2B5EF4-FFF2-40B4-BE49-F238E27FC236}">
              <a16:creationId xmlns:a16="http://schemas.microsoft.com/office/drawing/2014/main" id="{278AD403-7786-4670-8A96-F26070C05BF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81" name="Text Box 2">
          <a:extLst>
            <a:ext uri="{FF2B5EF4-FFF2-40B4-BE49-F238E27FC236}">
              <a16:creationId xmlns:a16="http://schemas.microsoft.com/office/drawing/2014/main" id="{E466566D-A701-46EB-A7B8-5C5622C783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2" name="Text Box 1">
          <a:extLst>
            <a:ext uri="{FF2B5EF4-FFF2-40B4-BE49-F238E27FC236}">
              <a16:creationId xmlns:a16="http://schemas.microsoft.com/office/drawing/2014/main" id="{E60520C9-EFBE-49C9-873C-3B06972887B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83" name="Text Box 2">
          <a:extLst>
            <a:ext uri="{FF2B5EF4-FFF2-40B4-BE49-F238E27FC236}">
              <a16:creationId xmlns:a16="http://schemas.microsoft.com/office/drawing/2014/main" id="{CA4F5C7B-3E2E-4659-B968-0C531D1D941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4" name="Text Box 1">
          <a:extLst>
            <a:ext uri="{FF2B5EF4-FFF2-40B4-BE49-F238E27FC236}">
              <a16:creationId xmlns:a16="http://schemas.microsoft.com/office/drawing/2014/main" id="{7CA5FAE9-7F3C-4B34-80C3-9E7862667F6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85" name="Text Box 2">
          <a:extLst>
            <a:ext uri="{FF2B5EF4-FFF2-40B4-BE49-F238E27FC236}">
              <a16:creationId xmlns:a16="http://schemas.microsoft.com/office/drawing/2014/main" id="{D78CB90A-335E-4A49-B247-6C59F86C7CA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6" name="Text Box 1">
          <a:extLst>
            <a:ext uri="{FF2B5EF4-FFF2-40B4-BE49-F238E27FC236}">
              <a16:creationId xmlns:a16="http://schemas.microsoft.com/office/drawing/2014/main" id="{06C8071E-65F2-44F4-AB0A-3872BFD5E1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87" name="Text Box 2">
          <a:extLst>
            <a:ext uri="{FF2B5EF4-FFF2-40B4-BE49-F238E27FC236}">
              <a16:creationId xmlns:a16="http://schemas.microsoft.com/office/drawing/2014/main" id="{B5D17BF2-17FE-4295-8C21-E5393B6BB9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88" name="Text Box 1">
          <a:extLst>
            <a:ext uri="{FF2B5EF4-FFF2-40B4-BE49-F238E27FC236}">
              <a16:creationId xmlns:a16="http://schemas.microsoft.com/office/drawing/2014/main" id="{78BFA2FA-4A5B-4C38-BE5B-DA9A8ABE9D4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89" name="Text Box 2">
          <a:extLst>
            <a:ext uri="{FF2B5EF4-FFF2-40B4-BE49-F238E27FC236}">
              <a16:creationId xmlns:a16="http://schemas.microsoft.com/office/drawing/2014/main" id="{4E78CEC7-2615-4F4C-A1C4-58840E58E82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90" name="Text Box 1">
          <a:extLst>
            <a:ext uri="{FF2B5EF4-FFF2-40B4-BE49-F238E27FC236}">
              <a16:creationId xmlns:a16="http://schemas.microsoft.com/office/drawing/2014/main" id="{4B320CDE-FAED-4758-A465-73E7533A3AE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1" name="Text Box 2">
          <a:extLst>
            <a:ext uri="{FF2B5EF4-FFF2-40B4-BE49-F238E27FC236}">
              <a16:creationId xmlns:a16="http://schemas.microsoft.com/office/drawing/2014/main" id="{617C62EC-B0F3-4C03-9EA7-2656800A7A2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92" name="Text Box 1">
          <a:extLst>
            <a:ext uri="{FF2B5EF4-FFF2-40B4-BE49-F238E27FC236}">
              <a16:creationId xmlns:a16="http://schemas.microsoft.com/office/drawing/2014/main" id="{FD130956-54A6-4DE0-915E-8714C25FF6C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3" name="Text Box 2">
          <a:extLst>
            <a:ext uri="{FF2B5EF4-FFF2-40B4-BE49-F238E27FC236}">
              <a16:creationId xmlns:a16="http://schemas.microsoft.com/office/drawing/2014/main" id="{1C8B6873-1151-4C64-86AB-960E45C574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94" name="Text Box 1">
          <a:extLst>
            <a:ext uri="{FF2B5EF4-FFF2-40B4-BE49-F238E27FC236}">
              <a16:creationId xmlns:a16="http://schemas.microsoft.com/office/drawing/2014/main" id="{78807ADB-60EF-44B9-B257-FBDEC73469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5" name="Text Box 2">
          <a:extLst>
            <a:ext uri="{FF2B5EF4-FFF2-40B4-BE49-F238E27FC236}">
              <a16:creationId xmlns:a16="http://schemas.microsoft.com/office/drawing/2014/main" id="{A93E1260-87BC-4AFA-8F7C-5945BD41D81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96" name="Text Box 1">
          <a:extLst>
            <a:ext uri="{FF2B5EF4-FFF2-40B4-BE49-F238E27FC236}">
              <a16:creationId xmlns:a16="http://schemas.microsoft.com/office/drawing/2014/main" id="{99899BB7-FA47-49DE-AD5D-205812F102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7" name="Text Box 2">
          <a:extLst>
            <a:ext uri="{FF2B5EF4-FFF2-40B4-BE49-F238E27FC236}">
              <a16:creationId xmlns:a16="http://schemas.microsoft.com/office/drawing/2014/main" id="{B6EA70DE-4ACF-4029-9D56-855B004C487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298" name="Text Box 1">
          <a:extLst>
            <a:ext uri="{FF2B5EF4-FFF2-40B4-BE49-F238E27FC236}">
              <a16:creationId xmlns:a16="http://schemas.microsoft.com/office/drawing/2014/main" id="{07029A55-EDAD-4403-A2AC-87C76355076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299" name="Text Box 2">
          <a:extLst>
            <a:ext uri="{FF2B5EF4-FFF2-40B4-BE49-F238E27FC236}">
              <a16:creationId xmlns:a16="http://schemas.microsoft.com/office/drawing/2014/main" id="{4A99401D-658B-49D2-AEF7-AB3BE264F8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0" name="Text Box 1">
          <a:extLst>
            <a:ext uri="{FF2B5EF4-FFF2-40B4-BE49-F238E27FC236}">
              <a16:creationId xmlns:a16="http://schemas.microsoft.com/office/drawing/2014/main" id="{8F42A941-44EC-4D87-92F6-FFED1585DCC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01" name="Text Box 2">
          <a:extLst>
            <a:ext uri="{FF2B5EF4-FFF2-40B4-BE49-F238E27FC236}">
              <a16:creationId xmlns:a16="http://schemas.microsoft.com/office/drawing/2014/main" id="{4F1A7574-03F2-458C-915A-4101DAC9CC6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2" name="Text Box 1">
          <a:extLst>
            <a:ext uri="{FF2B5EF4-FFF2-40B4-BE49-F238E27FC236}">
              <a16:creationId xmlns:a16="http://schemas.microsoft.com/office/drawing/2014/main" id="{60CFBAC3-374A-47C8-A98B-839D3DEEAA0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03" name="Text Box 2">
          <a:extLst>
            <a:ext uri="{FF2B5EF4-FFF2-40B4-BE49-F238E27FC236}">
              <a16:creationId xmlns:a16="http://schemas.microsoft.com/office/drawing/2014/main" id="{4CED08AF-F8E5-47DD-B82D-3AC621B033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4" name="Text Box 1">
          <a:extLst>
            <a:ext uri="{FF2B5EF4-FFF2-40B4-BE49-F238E27FC236}">
              <a16:creationId xmlns:a16="http://schemas.microsoft.com/office/drawing/2014/main" id="{606DD6B2-B6F8-439F-9248-D3FA73ADCFC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05" name="Text Box 2">
          <a:extLst>
            <a:ext uri="{FF2B5EF4-FFF2-40B4-BE49-F238E27FC236}">
              <a16:creationId xmlns:a16="http://schemas.microsoft.com/office/drawing/2014/main" id="{6A2F38AB-A373-4FEA-9926-2CDAD3480D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6" name="Text Box 1">
          <a:extLst>
            <a:ext uri="{FF2B5EF4-FFF2-40B4-BE49-F238E27FC236}">
              <a16:creationId xmlns:a16="http://schemas.microsoft.com/office/drawing/2014/main" id="{5D97B550-2411-4BB6-B8E4-D0CC7885A53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07" name="Text Box 2">
          <a:extLst>
            <a:ext uri="{FF2B5EF4-FFF2-40B4-BE49-F238E27FC236}">
              <a16:creationId xmlns:a16="http://schemas.microsoft.com/office/drawing/2014/main" id="{ACA12694-D1FF-4B3C-8958-0EACE20379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08" name="Text Box 1">
          <a:extLst>
            <a:ext uri="{FF2B5EF4-FFF2-40B4-BE49-F238E27FC236}">
              <a16:creationId xmlns:a16="http://schemas.microsoft.com/office/drawing/2014/main" id="{CEDF7673-0757-4230-993B-CC6334B4233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09" name="Text Box 2">
          <a:extLst>
            <a:ext uri="{FF2B5EF4-FFF2-40B4-BE49-F238E27FC236}">
              <a16:creationId xmlns:a16="http://schemas.microsoft.com/office/drawing/2014/main" id="{164F1567-3F47-403D-A885-1319F071B1D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10" name="Text Box 1">
          <a:extLst>
            <a:ext uri="{FF2B5EF4-FFF2-40B4-BE49-F238E27FC236}">
              <a16:creationId xmlns:a16="http://schemas.microsoft.com/office/drawing/2014/main" id="{520D91F1-E800-4325-99D3-72D9DB3DC3FC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1" name="Text Box 2">
          <a:extLst>
            <a:ext uri="{FF2B5EF4-FFF2-40B4-BE49-F238E27FC236}">
              <a16:creationId xmlns:a16="http://schemas.microsoft.com/office/drawing/2014/main" id="{1D648F6C-F88F-4054-9909-A6C23AA949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12" name="Text Box 1">
          <a:extLst>
            <a:ext uri="{FF2B5EF4-FFF2-40B4-BE49-F238E27FC236}">
              <a16:creationId xmlns:a16="http://schemas.microsoft.com/office/drawing/2014/main" id="{673CCDD2-EEBE-4C16-B803-C21CF10C71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3" name="Text Box 2">
          <a:extLst>
            <a:ext uri="{FF2B5EF4-FFF2-40B4-BE49-F238E27FC236}">
              <a16:creationId xmlns:a16="http://schemas.microsoft.com/office/drawing/2014/main" id="{2702B48B-9D36-4C90-8AF8-4803DCB583F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14" name="Text Box 1">
          <a:extLst>
            <a:ext uri="{FF2B5EF4-FFF2-40B4-BE49-F238E27FC236}">
              <a16:creationId xmlns:a16="http://schemas.microsoft.com/office/drawing/2014/main" id="{82EF7694-D042-4007-A622-96A42C4BB4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5" name="Text Box 2">
          <a:extLst>
            <a:ext uri="{FF2B5EF4-FFF2-40B4-BE49-F238E27FC236}">
              <a16:creationId xmlns:a16="http://schemas.microsoft.com/office/drawing/2014/main" id="{7DE19F37-D4E8-402A-A385-610E4C9DFA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16" name="Text Box 1">
          <a:extLst>
            <a:ext uri="{FF2B5EF4-FFF2-40B4-BE49-F238E27FC236}">
              <a16:creationId xmlns:a16="http://schemas.microsoft.com/office/drawing/2014/main" id="{283A1EEE-C8F6-475C-A369-E557DB69760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7" name="Text Box 2">
          <a:extLst>
            <a:ext uri="{FF2B5EF4-FFF2-40B4-BE49-F238E27FC236}">
              <a16:creationId xmlns:a16="http://schemas.microsoft.com/office/drawing/2014/main" id="{589BBDA7-086B-4506-8D09-6F704FE215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18" name="Text Box 1">
          <a:extLst>
            <a:ext uri="{FF2B5EF4-FFF2-40B4-BE49-F238E27FC236}">
              <a16:creationId xmlns:a16="http://schemas.microsoft.com/office/drawing/2014/main" id="{7025E730-9470-41BC-BAB0-C664F0155A9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19" name="Text Box 2">
          <a:extLst>
            <a:ext uri="{FF2B5EF4-FFF2-40B4-BE49-F238E27FC236}">
              <a16:creationId xmlns:a16="http://schemas.microsoft.com/office/drawing/2014/main" id="{EECBBAA3-6A92-43DA-9C7A-E6F99AFF26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0" name="Text Box 1">
          <a:extLst>
            <a:ext uri="{FF2B5EF4-FFF2-40B4-BE49-F238E27FC236}">
              <a16:creationId xmlns:a16="http://schemas.microsoft.com/office/drawing/2014/main" id="{F087CBB4-068F-4131-AE42-18301D4A946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21" name="Text Box 2">
          <a:extLst>
            <a:ext uri="{FF2B5EF4-FFF2-40B4-BE49-F238E27FC236}">
              <a16:creationId xmlns:a16="http://schemas.microsoft.com/office/drawing/2014/main" id="{B981E249-70D9-4EF4-B187-4280FBBB6D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2" name="Text Box 1">
          <a:extLst>
            <a:ext uri="{FF2B5EF4-FFF2-40B4-BE49-F238E27FC236}">
              <a16:creationId xmlns:a16="http://schemas.microsoft.com/office/drawing/2014/main" id="{C44FBD90-9FDA-413D-967E-3E045344392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23" name="Text Box 2">
          <a:extLst>
            <a:ext uri="{FF2B5EF4-FFF2-40B4-BE49-F238E27FC236}">
              <a16:creationId xmlns:a16="http://schemas.microsoft.com/office/drawing/2014/main" id="{C0C76B9A-E962-4D26-ABE5-4ADB6DA0A7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4" name="Text Box 1">
          <a:extLst>
            <a:ext uri="{FF2B5EF4-FFF2-40B4-BE49-F238E27FC236}">
              <a16:creationId xmlns:a16="http://schemas.microsoft.com/office/drawing/2014/main" id="{728CE676-2954-47F2-BEEB-45AACBFAAA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25" name="Text Box 2">
          <a:extLst>
            <a:ext uri="{FF2B5EF4-FFF2-40B4-BE49-F238E27FC236}">
              <a16:creationId xmlns:a16="http://schemas.microsoft.com/office/drawing/2014/main" id="{CD796325-32E1-4150-A406-199D97B624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6" name="Text Box 1">
          <a:extLst>
            <a:ext uri="{FF2B5EF4-FFF2-40B4-BE49-F238E27FC236}">
              <a16:creationId xmlns:a16="http://schemas.microsoft.com/office/drawing/2014/main" id="{1A3D6484-157D-4E4A-A5E4-16A34D3FB06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27" name="Text Box 2">
          <a:extLst>
            <a:ext uri="{FF2B5EF4-FFF2-40B4-BE49-F238E27FC236}">
              <a16:creationId xmlns:a16="http://schemas.microsoft.com/office/drawing/2014/main" id="{9D07B06A-8845-4CEA-9F18-8075F3F0D93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28" name="Text Box 1">
          <a:extLst>
            <a:ext uri="{FF2B5EF4-FFF2-40B4-BE49-F238E27FC236}">
              <a16:creationId xmlns:a16="http://schemas.microsoft.com/office/drawing/2014/main" id="{797A0538-A206-4281-97F2-E90950407A5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29" name="Text Box 2">
          <a:extLst>
            <a:ext uri="{FF2B5EF4-FFF2-40B4-BE49-F238E27FC236}">
              <a16:creationId xmlns:a16="http://schemas.microsoft.com/office/drawing/2014/main" id="{A1A95459-F2EE-44B0-86F2-C424A338D7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30" name="Text Box 1">
          <a:extLst>
            <a:ext uri="{FF2B5EF4-FFF2-40B4-BE49-F238E27FC236}">
              <a16:creationId xmlns:a16="http://schemas.microsoft.com/office/drawing/2014/main" id="{880B9F0F-9291-4CED-9079-3B12D1DCBA7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1" name="Text Box 2">
          <a:extLst>
            <a:ext uri="{FF2B5EF4-FFF2-40B4-BE49-F238E27FC236}">
              <a16:creationId xmlns:a16="http://schemas.microsoft.com/office/drawing/2014/main" id="{F0E4A58B-ACC6-4F91-A3AA-71F0107E7D1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32" name="Text Box 1">
          <a:extLst>
            <a:ext uri="{FF2B5EF4-FFF2-40B4-BE49-F238E27FC236}">
              <a16:creationId xmlns:a16="http://schemas.microsoft.com/office/drawing/2014/main" id="{769901D7-BDF1-451B-860F-CDEAD1E8DF0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3" name="Text Box 2">
          <a:extLst>
            <a:ext uri="{FF2B5EF4-FFF2-40B4-BE49-F238E27FC236}">
              <a16:creationId xmlns:a16="http://schemas.microsoft.com/office/drawing/2014/main" id="{981834C2-A3E9-4FF1-9157-089838CD631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34" name="Text Box 1">
          <a:extLst>
            <a:ext uri="{FF2B5EF4-FFF2-40B4-BE49-F238E27FC236}">
              <a16:creationId xmlns:a16="http://schemas.microsoft.com/office/drawing/2014/main" id="{21207A0D-1E94-4B58-861D-353DAAC9AC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5" name="Text Box 2">
          <a:extLst>
            <a:ext uri="{FF2B5EF4-FFF2-40B4-BE49-F238E27FC236}">
              <a16:creationId xmlns:a16="http://schemas.microsoft.com/office/drawing/2014/main" id="{14B72D9C-202A-4925-91B2-C7577A9A354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36" name="Text Box 1">
          <a:extLst>
            <a:ext uri="{FF2B5EF4-FFF2-40B4-BE49-F238E27FC236}">
              <a16:creationId xmlns:a16="http://schemas.microsoft.com/office/drawing/2014/main" id="{9865A668-BD48-4E0C-9804-2FA04CC408B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7" name="Text Box 2">
          <a:extLst>
            <a:ext uri="{FF2B5EF4-FFF2-40B4-BE49-F238E27FC236}">
              <a16:creationId xmlns:a16="http://schemas.microsoft.com/office/drawing/2014/main" id="{1E7E84C0-10C2-4850-988C-D00839D29DF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38" name="Text Box 1">
          <a:extLst>
            <a:ext uri="{FF2B5EF4-FFF2-40B4-BE49-F238E27FC236}">
              <a16:creationId xmlns:a16="http://schemas.microsoft.com/office/drawing/2014/main" id="{C8C2F9D6-ACB6-44AD-B178-282A41E94B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39" name="Text Box 2">
          <a:extLst>
            <a:ext uri="{FF2B5EF4-FFF2-40B4-BE49-F238E27FC236}">
              <a16:creationId xmlns:a16="http://schemas.microsoft.com/office/drawing/2014/main" id="{5D80AED6-DBD7-4754-9070-0E330FC52E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0" name="Text Box 1">
          <a:extLst>
            <a:ext uri="{FF2B5EF4-FFF2-40B4-BE49-F238E27FC236}">
              <a16:creationId xmlns:a16="http://schemas.microsoft.com/office/drawing/2014/main" id="{63FA9049-AD26-4DDD-81FC-DCD044EBA7F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41" name="Text Box 2">
          <a:extLst>
            <a:ext uri="{FF2B5EF4-FFF2-40B4-BE49-F238E27FC236}">
              <a16:creationId xmlns:a16="http://schemas.microsoft.com/office/drawing/2014/main" id="{CE982922-9B26-4D1A-8787-E3071CA8568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2" name="Text Box 1">
          <a:extLst>
            <a:ext uri="{FF2B5EF4-FFF2-40B4-BE49-F238E27FC236}">
              <a16:creationId xmlns:a16="http://schemas.microsoft.com/office/drawing/2014/main" id="{046E40B6-B057-46FD-94BE-0885E814C8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43" name="Text Box 2">
          <a:extLst>
            <a:ext uri="{FF2B5EF4-FFF2-40B4-BE49-F238E27FC236}">
              <a16:creationId xmlns:a16="http://schemas.microsoft.com/office/drawing/2014/main" id="{E84EEBD2-9F1B-408D-B83A-35EF6A556FE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4" name="Text Box 1">
          <a:extLst>
            <a:ext uri="{FF2B5EF4-FFF2-40B4-BE49-F238E27FC236}">
              <a16:creationId xmlns:a16="http://schemas.microsoft.com/office/drawing/2014/main" id="{AFF0D865-09C0-45CC-AB9E-462510B9200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45" name="Text Box 2">
          <a:extLst>
            <a:ext uri="{FF2B5EF4-FFF2-40B4-BE49-F238E27FC236}">
              <a16:creationId xmlns:a16="http://schemas.microsoft.com/office/drawing/2014/main" id="{BBEE6323-A187-4E50-9272-835D0F2A481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6" name="Text Box 1">
          <a:extLst>
            <a:ext uri="{FF2B5EF4-FFF2-40B4-BE49-F238E27FC236}">
              <a16:creationId xmlns:a16="http://schemas.microsoft.com/office/drawing/2014/main" id="{A0E1EF0F-0FDE-4731-B6E1-D390B687D4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47" name="Text Box 2">
          <a:extLst>
            <a:ext uri="{FF2B5EF4-FFF2-40B4-BE49-F238E27FC236}">
              <a16:creationId xmlns:a16="http://schemas.microsoft.com/office/drawing/2014/main" id="{4D64D05D-33BD-4F8E-A902-19D9655FBB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48" name="Text Box 1">
          <a:extLst>
            <a:ext uri="{FF2B5EF4-FFF2-40B4-BE49-F238E27FC236}">
              <a16:creationId xmlns:a16="http://schemas.microsoft.com/office/drawing/2014/main" id="{51B9E9EA-060E-4D1D-86AE-4E7A767596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49" name="Text Box 2">
          <a:extLst>
            <a:ext uri="{FF2B5EF4-FFF2-40B4-BE49-F238E27FC236}">
              <a16:creationId xmlns:a16="http://schemas.microsoft.com/office/drawing/2014/main" id="{F4F56627-C6C0-4183-8674-63E72A5301B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50" name="Text Box 1">
          <a:extLst>
            <a:ext uri="{FF2B5EF4-FFF2-40B4-BE49-F238E27FC236}">
              <a16:creationId xmlns:a16="http://schemas.microsoft.com/office/drawing/2014/main" id="{75C41EDC-90DF-4728-BFC0-498FC62D736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1" name="Text Box 2">
          <a:extLst>
            <a:ext uri="{FF2B5EF4-FFF2-40B4-BE49-F238E27FC236}">
              <a16:creationId xmlns:a16="http://schemas.microsoft.com/office/drawing/2014/main" id="{BA8EC1BD-1C7A-41CD-B33B-AC46163D878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52" name="Text Box 1">
          <a:extLst>
            <a:ext uri="{FF2B5EF4-FFF2-40B4-BE49-F238E27FC236}">
              <a16:creationId xmlns:a16="http://schemas.microsoft.com/office/drawing/2014/main" id="{65D1CF61-252F-40FE-8466-CFC45683956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3" name="Text Box 2">
          <a:extLst>
            <a:ext uri="{FF2B5EF4-FFF2-40B4-BE49-F238E27FC236}">
              <a16:creationId xmlns:a16="http://schemas.microsoft.com/office/drawing/2014/main" id="{73BAF68A-9F99-44A0-8246-C060A71D30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54" name="Text Box 1">
          <a:extLst>
            <a:ext uri="{FF2B5EF4-FFF2-40B4-BE49-F238E27FC236}">
              <a16:creationId xmlns:a16="http://schemas.microsoft.com/office/drawing/2014/main" id="{F2498A3A-FA96-449C-84E8-96D97062E8D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5" name="Text Box 2">
          <a:extLst>
            <a:ext uri="{FF2B5EF4-FFF2-40B4-BE49-F238E27FC236}">
              <a16:creationId xmlns:a16="http://schemas.microsoft.com/office/drawing/2014/main" id="{4D0A03F1-F856-4936-937F-77D40A692F9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56" name="Text Box 1">
          <a:extLst>
            <a:ext uri="{FF2B5EF4-FFF2-40B4-BE49-F238E27FC236}">
              <a16:creationId xmlns:a16="http://schemas.microsoft.com/office/drawing/2014/main" id="{C19DB7DE-7B69-4610-B029-D47EFA09C05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7" name="Text Box 2">
          <a:extLst>
            <a:ext uri="{FF2B5EF4-FFF2-40B4-BE49-F238E27FC236}">
              <a16:creationId xmlns:a16="http://schemas.microsoft.com/office/drawing/2014/main" id="{F47ADAD6-EC25-452C-96DB-F6269ACD894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58" name="Text Box 1">
          <a:extLst>
            <a:ext uri="{FF2B5EF4-FFF2-40B4-BE49-F238E27FC236}">
              <a16:creationId xmlns:a16="http://schemas.microsoft.com/office/drawing/2014/main" id="{4D37696B-5EDC-487D-820C-6D3547EB919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59" name="Text Box 2">
          <a:extLst>
            <a:ext uri="{FF2B5EF4-FFF2-40B4-BE49-F238E27FC236}">
              <a16:creationId xmlns:a16="http://schemas.microsoft.com/office/drawing/2014/main" id="{A3912263-F7B3-4AF5-BFEB-C2E0535420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0" name="Text Box 1">
          <a:extLst>
            <a:ext uri="{FF2B5EF4-FFF2-40B4-BE49-F238E27FC236}">
              <a16:creationId xmlns:a16="http://schemas.microsoft.com/office/drawing/2014/main" id="{D5C833FA-D658-4CDD-A6AF-E2A8D42A281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61" name="Text Box 2">
          <a:extLst>
            <a:ext uri="{FF2B5EF4-FFF2-40B4-BE49-F238E27FC236}">
              <a16:creationId xmlns:a16="http://schemas.microsoft.com/office/drawing/2014/main" id="{76CD2AA7-A47D-486F-862B-C4CBB01112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2" name="Text Box 1">
          <a:extLst>
            <a:ext uri="{FF2B5EF4-FFF2-40B4-BE49-F238E27FC236}">
              <a16:creationId xmlns:a16="http://schemas.microsoft.com/office/drawing/2014/main" id="{EAF29198-5229-4805-B65D-42F05697834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63" name="Text Box 2">
          <a:extLst>
            <a:ext uri="{FF2B5EF4-FFF2-40B4-BE49-F238E27FC236}">
              <a16:creationId xmlns:a16="http://schemas.microsoft.com/office/drawing/2014/main" id="{8CF443C0-806C-499E-A7DF-5255EFF6B30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4" name="Text Box 1">
          <a:extLst>
            <a:ext uri="{FF2B5EF4-FFF2-40B4-BE49-F238E27FC236}">
              <a16:creationId xmlns:a16="http://schemas.microsoft.com/office/drawing/2014/main" id="{0265BAF2-2906-495F-86DF-AFE5336BD88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65" name="Text Box 2">
          <a:extLst>
            <a:ext uri="{FF2B5EF4-FFF2-40B4-BE49-F238E27FC236}">
              <a16:creationId xmlns:a16="http://schemas.microsoft.com/office/drawing/2014/main" id="{53E3F242-C988-4E68-B189-603B4FFF99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6" name="Text Box 1">
          <a:extLst>
            <a:ext uri="{FF2B5EF4-FFF2-40B4-BE49-F238E27FC236}">
              <a16:creationId xmlns:a16="http://schemas.microsoft.com/office/drawing/2014/main" id="{BFF45703-4F4D-4EFA-843F-B7EC5787569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67" name="Text Box 2">
          <a:extLst>
            <a:ext uri="{FF2B5EF4-FFF2-40B4-BE49-F238E27FC236}">
              <a16:creationId xmlns:a16="http://schemas.microsoft.com/office/drawing/2014/main" id="{E2E2B3B4-E7DF-4F57-BD5E-7436D9255F5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68" name="Text Box 1">
          <a:extLst>
            <a:ext uri="{FF2B5EF4-FFF2-40B4-BE49-F238E27FC236}">
              <a16:creationId xmlns:a16="http://schemas.microsoft.com/office/drawing/2014/main" id="{6115B937-738B-480B-A2BB-CFF3EBD7BA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69" name="Text Box 2">
          <a:extLst>
            <a:ext uri="{FF2B5EF4-FFF2-40B4-BE49-F238E27FC236}">
              <a16:creationId xmlns:a16="http://schemas.microsoft.com/office/drawing/2014/main" id="{4AA0E5B7-CF65-4947-883F-50116E4D136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70" name="Text Box 1">
          <a:extLst>
            <a:ext uri="{FF2B5EF4-FFF2-40B4-BE49-F238E27FC236}">
              <a16:creationId xmlns:a16="http://schemas.microsoft.com/office/drawing/2014/main" id="{82E3B4FE-E907-4153-884E-F0441215755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1" name="Text Box 2">
          <a:extLst>
            <a:ext uri="{FF2B5EF4-FFF2-40B4-BE49-F238E27FC236}">
              <a16:creationId xmlns:a16="http://schemas.microsoft.com/office/drawing/2014/main" id="{411FE7E5-4D3B-4F43-9DC4-E214B80024F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72" name="Text Box 1">
          <a:extLst>
            <a:ext uri="{FF2B5EF4-FFF2-40B4-BE49-F238E27FC236}">
              <a16:creationId xmlns:a16="http://schemas.microsoft.com/office/drawing/2014/main" id="{48CBD8CE-AAF4-4FA3-B047-59D0BBFE1FF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3" name="Text Box 2">
          <a:extLst>
            <a:ext uri="{FF2B5EF4-FFF2-40B4-BE49-F238E27FC236}">
              <a16:creationId xmlns:a16="http://schemas.microsoft.com/office/drawing/2014/main" id="{50FECAB2-9CE8-4818-B451-9A7D94C714C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74" name="Text Box 1">
          <a:extLst>
            <a:ext uri="{FF2B5EF4-FFF2-40B4-BE49-F238E27FC236}">
              <a16:creationId xmlns:a16="http://schemas.microsoft.com/office/drawing/2014/main" id="{D82041C0-EABD-481F-93EF-1978062BA0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5" name="Text Box 2">
          <a:extLst>
            <a:ext uri="{FF2B5EF4-FFF2-40B4-BE49-F238E27FC236}">
              <a16:creationId xmlns:a16="http://schemas.microsoft.com/office/drawing/2014/main" id="{524F99C1-8131-47D5-A6CE-4DDF6270D3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76" name="Text Box 1">
          <a:extLst>
            <a:ext uri="{FF2B5EF4-FFF2-40B4-BE49-F238E27FC236}">
              <a16:creationId xmlns:a16="http://schemas.microsoft.com/office/drawing/2014/main" id="{EAB0B2D3-1196-4912-AD39-79A81B10051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7" name="Text Box 2">
          <a:extLst>
            <a:ext uri="{FF2B5EF4-FFF2-40B4-BE49-F238E27FC236}">
              <a16:creationId xmlns:a16="http://schemas.microsoft.com/office/drawing/2014/main" id="{D2E973FD-D95F-46C3-829F-D8608A7EF4D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78" name="Text Box 1">
          <a:extLst>
            <a:ext uri="{FF2B5EF4-FFF2-40B4-BE49-F238E27FC236}">
              <a16:creationId xmlns:a16="http://schemas.microsoft.com/office/drawing/2014/main" id="{4145CAFF-4F6D-44E7-96D7-9F49049B31E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79" name="Text Box 2">
          <a:extLst>
            <a:ext uri="{FF2B5EF4-FFF2-40B4-BE49-F238E27FC236}">
              <a16:creationId xmlns:a16="http://schemas.microsoft.com/office/drawing/2014/main" id="{A1ED31FC-E54D-434C-A4EA-5D74B370289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0" name="Text Box 1">
          <a:extLst>
            <a:ext uri="{FF2B5EF4-FFF2-40B4-BE49-F238E27FC236}">
              <a16:creationId xmlns:a16="http://schemas.microsoft.com/office/drawing/2014/main" id="{9E5C3ED2-4F70-44AB-BC4C-56893D6759B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81" name="Text Box 2">
          <a:extLst>
            <a:ext uri="{FF2B5EF4-FFF2-40B4-BE49-F238E27FC236}">
              <a16:creationId xmlns:a16="http://schemas.microsoft.com/office/drawing/2014/main" id="{3988793D-E486-402E-844D-A897BB536DB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2" name="Text Box 1">
          <a:extLst>
            <a:ext uri="{FF2B5EF4-FFF2-40B4-BE49-F238E27FC236}">
              <a16:creationId xmlns:a16="http://schemas.microsoft.com/office/drawing/2014/main" id="{748B2C5D-A8BB-40DB-88BA-48C8411EC4B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83" name="Text Box 2">
          <a:extLst>
            <a:ext uri="{FF2B5EF4-FFF2-40B4-BE49-F238E27FC236}">
              <a16:creationId xmlns:a16="http://schemas.microsoft.com/office/drawing/2014/main" id="{D6E0ECA4-6D23-4A45-AC0D-1E27FC79510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4" name="Text Box 1">
          <a:extLst>
            <a:ext uri="{FF2B5EF4-FFF2-40B4-BE49-F238E27FC236}">
              <a16:creationId xmlns:a16="http://schemas.microsoft.com/office/drawing/2014/main" id="{938217D0-7D41-49D4-A1BC-D9BD20027CA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85" name="Text Box 2">
          <a:extLst>
            <a:ext uri="{FF2B5EF4-FFF2-40B4-BE49-F238E27FC236}">
              <a16:creationId xmlns:a16="http://schemas.microsoft.com/office/drawing/2014/main" id="{75FF52D3-34CB-49B9-8324-98D209FD83A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6" name="Text Box 1">
          <a:extLst>
            <a:ext uri="{FF2B5EF4-FFF2-40B4-BE49-F238E27FC236}">
              <a16:creationId xmlns:a16="http://schemas.microsoft.com/office/drawing/2014/main" id="{A580D93F-B4C7-4033-AE9C-1CED5434AAD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87" name="Text Box 2">
          <a:extLst>
            <a:ext uri="{FF2B5EF4-FFF2-40B4-BE49-F238E27FC236}">
              <a16:creationId xmlns:a16="http://schemas.microsoft.com/office/drawing/2014/main" id="{FA0C0CE4-8627-425E-A4EE-A273216B43D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88" name="Text Box 1">
          <a:extLst>
            <a:ext uri="{FF2B5EF4-FFF2-40B4-BE49-F238E27FC236}">
              <a16:creationId xmlns:a16="http://schemas.microsoft.com/office/drawing/2014/main" id="{64A8934D-A48F-47B6-99BF-E4AAC654D98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89" name="Text Box 2">
          <a:extLst>
            <a:ext uri="{FF2B5EF4-FFF2-40B4-BE49-F238E27FC236}">
              <a16:creationId xmlns:a16="http://schemas.microsoft.com/office/drawing/2014/main" id="{D399A160-785B-4551-A28A-30A47729CC9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90" name="Text Box 1">
          <a:extLst>
            <a:ext uri="{FF2B5EF4-FFF2-40B4-BE49-F238E27FC236}">
              <a16:creationId xmlns:a16="http://schemas.microsoft.com/office/drawing/2014/main" id="{7693EA09-DF0E-41CF-B494-00A31B3F674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1" name="Text Box 2">
          <a:extLst>
            <a:ext uri="{FF2B5EF4-FFF2-40B4-BE49-F238E27FC236}">
              <a16:creationId xmlns:a16="http://schemas.microsoft.com/office/drawing/2014/main" id="{0A04CFEC-6A61-49B4-9089-9B8121DE31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92" name="Text Box 1">
          <a:extLst>
            <a:ext uri="{FF2B5EF4-FFF2-40B4-BE49-F238E27FC236}">
              <a16:creationId xmlns:a16="http://schemas.microsoft.com/office/drawing/2014/main" id="{8829AFBC-144E-463A-8574-BEF970B0162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3" name="Text Box 2">
          <a:extLst>
            <a:ext uri="{FF2B5EF4-FFF2-40B4-BE49-F238E27FC236}">
              <a16:creationId xmlns:a16="http://schemas.microsoft.com/office/drawing/2014/main" id="{20DBA97D-EFEA-46B4-8C5B-8D2CB644757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94" name="Text Box 1">
          <a:extLst>
            <a:ext uri="{FF2B5EF4-FFF2-40B4-BE49-F238E27FC236}">
              <a16:creationId xmlns:a16="http://schemas.microsoft.com/office/drawing/2014/main" id="{21D04FF2-6344-4084-9B89-83CE99DAD8E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5" name="Text Box 2">
          <a:extLst>
            <a:ext uri="{FF2B5EF4-FFF2-40B4-BE49-F238E27FC236}">
              <a16:creationId xmlns:a16="http://schemas.microsoft.com/office/drawing/2014/main" id="{37B325F3-516F-4EEE-A15D-195624D8BBE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96" name="Text Box 1">
          <a:extLst>
            <a:ext uri="{FF2B5EF4-FFF2-40B4-BE49-F238E27FC236}">
              <a16:creationId xmlns:a16="http://schemas.microsoft.com/office/drawing/2014/main" id="{F4674B96-4ED3-42B6-9D6C-68E9DE76447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7" name="Text Box 2">
          <a:extLst>
            <a:ext uri="{FF2B5EF4-FFF2-40B4-BE49-F238E27FC236}">
              <a16:creationId xmlns:a16="http://schemas.microsoft.com/office/drawing/2014/main" id="{28AADD56-2040-4B5B-B85D-B0BD12436AE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398" name="Text Box 1">
          <a:extLst>
            <a:ext uri="{FF2B5EF4-FFF2-40B4-BE49-F238E27FC236}">
              <a16:creationId xmlns:a16="http://schemas.microsoft.com/office/drawing/2014/main" id="{F2648C29-A97C-472B-BEC4-71E3E64E0C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399" name="Text Box 2">
          <a:extLst>
            <a:ext uri="{FF2B5EF4-FFF2-40B4-BE49-F238E27FC236}">
              <a16:creationId xmlns:a16="http://schemas.microsoft.com/office/drawing/2014/main" id="{A16E5B4E-1FB8-4FD2-ABA1-D0BEF308F3D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0" name="Text Box 1">
          <a:extLst>
            <a:ext uri="{FF2B5EF4-FFF2-40B4-BE49-F238E27FC236}">
              <a16:creationId xmlns:a16="http://schemas.microsoft.com/office/drawing/2014/main" id="{33E919B9-39A9-47D0-BA05-22F1E95B9E3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01" name="Text Box 2">
          <a:extLst>
            <a:ext uri="{FF2B5EF4-FFF2-40B4-BE49-F238E27FC236}">
              <a16:creationId xmlns:a16="http://schemas.microsoft.com/office/drawing/2014/main" id="{4A307F07-334C-4934-A11D-577F42BE96F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2" name="Text Box 1">
          <a:extLst>
            <a:ext uri="{FF2B5EF4-FFF2-40B4-BE49-F238E27FC236}">
              <a16:creationId xmlns:a16="http://schemas.microsoft.com/office/drawing/2014/main" id="{91DAA856-9D7C-4F9D-93B0-16976C7E4E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03" name="Text Box 2">
          <a:extLst>
            <a:ext uri="{FF2B5EF4-FFF2-40B4-BE49-F238E27FC236}">
              <a16:creationId xmlns:a16="http://schemas.microsoft.com/office/drawing/2014/main" id="{EA000201-8F7E-4F29-96E9-8FA85D2A41D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4" name="Text Box 1">
          <a:extLst>
            <a:ext uri="{FF2B5EF4-FFF2-40B4-BE49-F238E27FC236}">
              <a16:creationId xmlns:a16="http://schemas.microsoft.com/office/drawing/2014/main" id="{D9EF4B33-CC17-4A59-8AC2-E5316614A58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05" name="Text Box 2">
          <a:extLst>
            <a:ext uri="{FF2B5EF4-FFF2-40B4-BE49-F238E27FC236}">
              <a16:creationId xmlns:a16="http://schemas.microsoft.com/office/drawing/2014/main" id="{318F61A5-F0D7-48FB-ACB1-06DFE58C91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6" name="Text Box 1">
          <a:extLst>
            <a:ext uri="{FF2B5EF4-FFF2-40B4-BE49-F238E27FC236}">
              <a16:creationId xmlns:a16="http://schemas.microsoft.com/office/drawing/2014/main" id="{82946758-D022-4053-8874-12378214E0D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07" name="Text Box 2">
          <a:extLst>
            <a:ext uri="{FF2B5EF4-FFF2-40B4-BE49-F238E27FC236}">
              <a16:creationId xmlns:a16="http://schemas.microsoft.com/office/drawing/2014/main" id="{65D23E08-64F5-43C6-BEF1-2D249D6A223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08" name="Text Box 1">
          <a:extLst>
            <a:ext uri="{FF2B5EF4-FFF2-40B4-BE49-F238E27FC236}">
              <a16:creationId xmlns:a16="http://schemas.microsoft.com/office/drawing/2014/main" id="{49A1911C-A84E-405E-AE3D-4B437A1447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09" name="Text Box 2">
          <a:extLst>
            <a:ext uri="{FF2B5EF4-FFF2-40B4-BE49-F238E27FC236}">
              <a16:creationId xmlns:a16="http://schemas.microsoft.com/office/drawing/2014/main" id="{C486DF55-ED76-41EC-993C-994728E875C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10" name="Text Box 1">
          <a:extLst>
            <a:ext uri="{FF2B5EF4-FFF2-40B4-BE49-F238E27FC236}">
              <a16:creationId xmlns:a16="http://schemas.microsoft.com/office/drawing/2014/main" id="{B9963D00-C77C-4235-BDFD-133F9D7126D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1" name="Text Box 2">
          <a:extLst>
            <a:ext uri="{FF2B5EF4-FFF2-40B4-BE49-F238E27FC236}">
              <a16:creationId xmlns:a16="http://schemas.microsoft.com/office/drawing/2014/main" id="{D6E39DA1-667C-41CD-9C3A-632A5E8DCD6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12" name="Text Box 1">
          <a:extLst>
            <a:ext uri="{FF2B5EF4-FFF2-40B4-BE49-F238E27FC236}">
              <a16:creationId xmlns:a16="http://schemas.microsoft.com/office/drawing/2014/main" id="{7720E715-E0F9-425D-ADC0-982224B6B32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3" name="Text Box 2">
          <a:extLst>
            <a:ext uri="{FF2B5EF4-FFF2-40B4-BE49-F238E27FC236}">
              <a16:creationId xmlns:a16="http://schemas.microsoft.com/office/drawing/2014/main" id="{C0CA833E-7696-4A0B-91C0-348F8333D8E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14" name="Text Box 1">
          <a:extLst>
            <a:ext uri="{FF2B5EF4-FFF2-40B4-BE49-F238E27FC236}">
              <a16:creationId xmlns:a16="http://schemas.microsoft.com/office/drawing/2014/main" id="{2D3F5FAB-5267-4282-BC80-3016D04CC1B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5" name="Text Box 2">
          <a:extLst>
            <a:ext uri="{FF2B5EF4-FFF2-40B4-BE49-F238E27FC236}">
              <a16:creationId xmlns:a16="http://schemas.microsoft.com/office/drawing/2014/main" id="{6D135748-A586-4EFB-9A81-2C4592A60F9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16" name="Text Box 1">
          <a:extLst>
            <a:ext uri="{FF2B5EF4-FFF2-40B4-BE49-F238E27FC236}">
              <a16:creationId xmlns:a16="http://schemas.microsoft.com/office/drawing/2014/main" id="{48FB5868-1DEF-4C16-B9F0-642573C19A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7" name="Text Box 2">
          <a:extLst>
            <a:ext uri="{FF2B5EF4-FFF2-40B4-BE49-F238E27FC236}">
              <a16:creationId xmlns:a16="http://schemas.microsoft.com/office/drawing/2014/main" id="{02A17E27-50FD-45AE-A945-602A03EEF1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18" name="Text Box 1">
          <a:extLst>
            <a:ext uri="{FF2B5EF4-FFF2-40B4-BE49-F238E27FC236}">
              <a16:creationId xmlns:a16="http://schemas.microsoft.com/office/drawing/2014/main" id="{2EAA6E13-8AC3-4FB3-A378-E0AFD65585B7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19" name="Text Box 2">
          <a:extLst>
            <a:ext uri="{FF2B5EF4-FFF2-40B4-BE49-F238E27FC236}">
              <a16:creationId xmlns:a16="http://schemas.microsoft.com/office/drawing/2014/main" id="{2F145A6F-6420-4741-A64E-BF7F6D8C92E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0" name="Text Box 1">
          <a:extLst>
            <a:ext uri="{FF2B5EF4-FFF2-40B4-BE49-F238E27FC236}">
              <a16:creationId xmlns:a16="http://schemas.microsoft.com/office/drawing/2014/main" id="{DE53846C-E5AA-47C2-88D7-E3515C34EB6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21" name="Text Box 2">
          <a:extLst>
            <a:ext uri="{FF2B5EF4-FFF2-40B4-BE49-F238E27FC236}">
              <a16:creationId xmlns:a16="http://schemas.microsoft.com/office/drawing/2014/main" id="{973A5318-94E5-4184-81C4-BE152ABA5F4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2" name="Text Box 1">
          <a:extLst>
            <a:ext uri="{FF2B5EF4-FFF2-40B4-BE49-F238E27FC236}">
              <a16:creationId xmlns:a16="http://schemas.microsoft.com/office/drawing/2014/main" id="{BEFF05A0-42E7-409C-9D30-FA987D1CC1D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23" name="Text Box 2">
          <a:extLst>
            <a:ext uri="{FF2B5EF4-FFF2-40B4-BE49-F238E27FC236}">
              <a16:creationId xmlns:a16="http://schemas.microsoft.com/office/drawing/2014/main" id="{3ECC7FA1-46E2-453E-B6AA-0FCCE2F2CEC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4" name="Text Box 1">
          <a:extLst>
            <a:ext uri="{FF2B5EF4-FFF2-40B4-BE49-F238E27FC236}">
              <a16:creationId xmlns:a16="http://schemas.microsoft.com/office/drawing/2014/main" id="{B45B684B-2630-4260-9EB1-09DE381D36C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25" name="Text Box 2">
          <a:extLst>
            <a:ext uri="{FF2B5EF4-FFF2-40B4-BE49-F238E27FC236}">
              <a16:creationId xmlns:a16="http://schemas.microsoft.com/office/drawing/2014/main" id="{79CB0E46-C8A6-4C98-A197-0D3E7878AEC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6" name="Text Box 1">
          <a:extLst>
            <a:ext uri="{FF2B5EF4-FFF2-40B4-BE49-F238E27FC236}">
              <a16:creationId xmlns:a16="http://schemas.microsoft.com/office/drawing/2014/main" id="{38469E86-A832-4FB8-8EAC-CF97EB961F9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27" name="Text Box 2">
          <a:extLst>
            <a:ext uri="{FF2B5EF4-FFF2-40B4-BE49-F238E27FC236}">
              <a16:creationId xmlns:a16="http://schemas.microsoft.com/office/drawing/2014/main" id="{0A403390-6167-46C0-BE82-E19168C57C4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28" name="Text Box 1">
          <a:extLst>
            <a:ext uri="{FF2B5EF4-FFF2-40B4-BE49-F238E27FC236}">
              <a16:creationId xmlns:a16="http://schemas.microsoft.com/office/drawing/2014/main" id="{A76A2B79-FE7A-416E-97D0-19372B07AC0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29" name="Text Box 2">
          <a:extLst>
            <a:ext uri="{FF2B5EF4-FFF2-40B4-BE49-F238E27FC236}">
              <a16:creationId xmlns:a16="http://schemas.microsoft.com/office/drawing/2014/main" id="{D64CB270-A79D-47D0-B5FD-36783FBDB64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30" name="Text Box 1">
          <a:extLst>
            <a:ext uri="{FF2B5EF4-FFF2-40B4-BE49-F238E27FC236}">
              <a16:creationId xmlns:a16="http://schemas.microsoft.com/office/drawing/2014/main" id="{BEFDE52F-8F42-4CBE-9AE4-70D825AAAB7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1" name="Text Box 2">
          <a:extLst>
            <a:ext uri="{FF2B5EF4-FFF2-40B4-BE49-F238E27FC236}">
              <a16:creationId xmlns:a16="http://schemas.microsoft.com/office/drawing/2014/main" id="{75B635F2-F905-4BEB-AE06-7AEE637DB74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32" name="Text Box 1">
          <a:extLst>
            <a:ext uri="{FF2B5EF4-FFF2-40B4-BE49-F238E27FC236}">
              <a16:creationId xmlns:a16="http://schemas.microsoft.com/office/drawing/2014/main" id="{98A12FC1-CB75-455C-A6CE-15FB45C581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3" name="Text Box 2">
          <a:extLst>
            <a:ext uri="{FF2B5EF4-FFF2-40B4-BE49-F238E27FC236}">
              <a16:creationId xmlns:a16="http://schemas.microsoft.com/office/drawing/2014/main" id="{F7C41997-D2E3-4272-98CF-7265D2E7641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34" name="Text Box 1">
          <a:extLst>
            <a:ext uri="{FF2B5EF4-FFF2-40B4-BE49-F238E27FC236}">
              <a16:creationId xmlns:a16="http://schemas.microsoft.com/office/drawing/2014/main" id="{6D4D49DF-905B-48F6-8B89-CDE4339015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5" name="Text Box 2">
          <a:extLst>
            <a:ext uri="{FF2B5EF4-FFF2-40B4-BE49-F238E27FC236}">
              <a16:creationId xmlns:a16="http://schemas.microsoft.com/office/drawing/2014/main" id="{7882E207-3619-4D0B-B538-F79971DC3BB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36" name="Text Box 1">
          <a:extLst>
            <a:ext uri="{FF2B5EF4-FFF2-40B4-BE49-F238E27FC236}">
              <a16:creationId xmlns:a16="http://schemas.microsoft.com/office/drawing/2014/main" id="{947CD95A-5D95-454D-AD3D-D6D6089923D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7" name="Text Box 2">
          <a:extLst>
            <a:ext uri="{FF2B5EF4-FFF2-40B4-BE49-F238E27FC236}">
              <a16:creationId xmlns:a16="http://schemas.microsoft.com/office/drawing/2014/main" id="{FA6309CB-9867-458B-9F41-D69F644ADF0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38" name="Text Box 1">
          <a:extLst>
            <a:ext uri="{FF2B5EF4-FFF2-40B4-BE49-F238E27FC236}">
              <a16:creationId xmlns:a16="http://schemas.microsoft.com/office/drawing/2014/main" id="{D7D51D7E-0E36-4120-8810-9CA86607155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39" name="Text Box 2">
          <a:extLst>
            <a:ext uri="{FF2B5EF4-FFF2-40B4-BE49-F238E27FC236}">
              <a16:creationId xmlns:a16="http://schemas.microsoft.com/office/drawing/2014/main" id="{6429E38C-4ABA-4DE7-A1B0-7571B4C7CC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0" name="Text Box 1">
          <a:extLst>
            <a:ext uri="{FF2B5EF4-FFF2-40B4-BE49-F238E27FC236}">
              <a16:creationId xmlns:a16="http://schemas.microsoft.com/office/drawing/2014/main" id="{680407FF-6568-4CF3-B779-7F5C9647707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41" name="Text Box 2">
          <a:extLst>
            <a:ext uri="{FF2B5EF4-FFF2-40B4-BE49-F238E27FC236}">
              <a16:creationId xmlns:a16="http://schemas.microsoft.com/office/drawing/2014/main" id="{0C8646B4-9BF3-44B9-83ED-ACF9B161F2C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2" name="Text Box 1">
          <a:extLst>
            <a:ext uri="{FF2B5EF4-FFF2-40B4-BE49-F238E27FC236}">
              <a16:creationId xmlns:a16="http://schemas.microsoft.com/office/drawing/2014/main" id="{53535678-0037-4457-8BEF-5F5090EB510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43" name="Text Box 2">
          <a:extLst>
            <a:ext uri="{FF2B5EF4-FFF2-40B4-BE49-F238E27FC236}">
              <a16:creationId xmlns:a16="http://schemas.microsoft.com/office/drawing/2014/main" id="{82DF6356-A266-4E25-B815-2A8D3855DB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4" name="Text Box 1">
          <a:extLst>
            <a:ext uri="{FF2B5EF4-FFF2-40B4-BE49-F238E27FC236}">
              <a16:creationId xmlns:a16="http://schemas.microsoft.com/office/drawing/2014/main" id="{83BBFBE9-1EA5-4271-9023-976D8F25454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45" name="Text Box 2">
          <a:extLst>
            <a:ext uri="{FF2B5EF4-FFF2-40B4-BE49-F238E27FC236}">
              <a16:creationId xmlns:a16="http://schemas.microsoft.com/office/drawing/2014/main" id="{0AFAD774-0E8B-4858-B6B4-6D39867C36F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6" name="Text Box 1">
          <a:extLst>
            <a:ext uri="{FF2B5EF4-FFF2-40B4-BE49-F238E27FC236}">
              <a16:creationId xmlns:a16="http://schemas.microsoft.com/office/drawing/2014/main" id="{A7A3B499-776B-4D27-9618-408F24EEB8C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47" name="Text Box 2">
          <a:extLst>
            <a:ext uri="{FF2B5EF4-FFF2-40B4-BE49-F238E27FC236}">
              <a16:creationId xmlns:a16="http://schemas.microsoft.com/office/drawing/2014/main" id="{EFF72D55-F4B4-4828-A143-2829EC81BC5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48" name="Text Box 1">
          <a:extLst>
            <a:ext uri="{FF2B5EF4-FFF2-40B4-BE49-F238E27FC236}">
              <a16:creationId xmlns:a16="http://schemas.microsoft.com/office/drawing/2014/main" id="{D86EE6F8-D7A1-4A82-AADB-AED882A27DF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49" name="Text Box 2">
          <a:extLst>
            <a:ext uri="{FF2B5EF4-FFF2-40B4-BE49-F238E27FC236}">
              <a16:creationId xmlns:a16="http://schemas.microsoft.com/office/drawing/2014/main" id="{D7ABB20E-9C99-4E3B-9CBB-016E528A4F3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50" name="Text Box 1">
          <a:extLst>
            <a:ext uri="{FF2B5EF4-FFF2-40B4-BE49-F238E27FC236}">
              <a16:creationId xmlns:a16="http://schemas.microsoft.com/office/drawing/2014/main" id="{D14BB1CD-A55D-42CA-9C37-E0082326708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1" name="Text Box 2">
          <a:extLst>
            <a:ext uri="{FF2B5EF4-FFF2-40B4-BE49-F238E27FC236}">
              <a16:creationId xmlns:a16="http://schemas.microsoft.com/office/drawing/2014/main" id="{AF75F91D-20B5-4D8D-B9BB-4B6FC0F092B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52" name="Text Box 1">
          <a:extLst>
            <a:ext uri="{FF2B5EF4-FFF2-40B4-BE49-F238E27FC236}">
              <a16:creationId xmlns:a16="http://schemas.microsoft.com/office/drawing/2014/main" id="{CEBAA6BA-086C-488D-803F-16BFE69B7FE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3" name="Text Box 2">
          <a:extLst>
            <a:ext uri="{FF2B5EF4-FFF2-40B4-BE49-F238E27FC236}">
              <a16:creationId xmlns:a16="http://schemas.microsoft.com/office/drawing/2014/main" id="{70A67930-D9E1-4FA3-A32B-E2434884ED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54" name="Text Box 1">
          <a:extLst>
            <a:ext uri="{FF2B5EF4-FFF2-40B4-BE49-F238E27FC236}">
              <a16:creationId xmlns:a16="http://schemas.microsoft.com/office/drawing/2014/main" id="{979961CA-8E5E-4C84-806B-4360829CF47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5" name="Text Box 2">
          <a:extLst>
            <a:ext uri="{FF2B5EF4-FFF2-40B4-BE49-F238E27FC236}">
              <a16:creationId xmlns:a16="http://schemas.microsoft.com/office/drawing/2014/main" id="{3CF68009-C888-4150-8685-AF5C5209F38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56" name="Text Box 1">
          <a:extLst>
            <a:ext uri="{FF2B5EF4-FFF2-40B4-BE49-F238E27FC236}">
              <a16:creationId xmlns:a16="http://schemas.microsoft.com/office/drawing/2014/main" id="{E981F118-FD61-474B-B298-499F7EE1319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7" name="Text Box 2">
          <a:extLst>
            <a:ext uri="{FF2B5EF4-FFF2-40B4-BE49-F238E27FC236}">
              <a16:creationId xmlns:a16="http://schemas.microsoft.com/office/drawing/2014/main" id="{59AC8537-CE8C-48EB-B7F6-14A47669668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58" name="Text Box 1">
          <a:extLst>
            <a:ext uri="{FF2B5EF4-FFF2-40B4-BE49-F238E27FC236}">
              <a16:creationId xmlns:a16="http://schemas.microsoft.com/office/drawing/2014/main" id="{E301BD65-2D2F-4293-B14E-DEE4086F9F5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59" name="Text Box 2">
          <a:extLst>
            <a:ext uri="{FF2B5EF4-FFF2-40B4-BE49-F238E27FC236}">
              <a16:creationId xmlns:a16="http://schemas.microsoft.com/office/drawing/2014/main" id="{B8FF1194-945A-4697-B464-4907970060C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0" name="Text Box 1">
          <a:extLst>
            <a:ext uri="{FF2B5EF4-FFF2-40B4-BE49-F238E27FC236}">
              <a16:creationId xmlns:a16="http://schemas.microsoft.com/office/drawing/2014/main" id="{1BD3BEB1-BAAC-4883-B196-4B797A0D967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61" name="Text Box 2">
          <a:extLst>
            <a:ext uri="{FF2B5EF4-FFF2-40B4-BE49-F238E27FC236}">
              <a16:creationId xmlns:a16="http://schemas.microsoft.com/office/drawing/2014/main" id="{FDCFA1D1-DC37-43B0-B88F-E1A6686EB85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2" name="Text Box 1">
          <a:extLst>
            <a:ext uri="{FF2B5EF4-FFF2-40B4-BE49-F238E27FC236}">
              <a16:creationId xmlns:a16="http://schemas.microsoft.com/office/drawing/2014/main" id="{39506AF2-F8E5-443E-A8DD-CFB9D72C0FF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63" name="Text Box 2">
          <a:extLst>
            <a:ext uri="{FF2B5EF4-FFF2-40B4-BE49-F238E27FC236}">
              <a16:creationId xmlns:a16="http://schemas.microsoft.com/office/drawing/2014/main" id="{9ECD5F33-B183-4093-8C2A-B6D3BC57791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4" name="Text Box 1">
          <a:extLst>
            <a:ext uri="{FF2B5EF4-FFF2-40B4-BE49-F238E27FC236}">
              <a16:creationId xmlns:a16="http://schemas.microsoft.com/office/drawing/2014/main" id="{67CFE7A8-5598-4ABA-957D-A9DA3DCEF54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65" name="Text Box 2">
          <a:extLst>
            <a:ext uri="{FF2B5EF4-FFF2-40B4-BE49-F238E27FC236}">
              <a16:creationId xmlns:a16="http://schemas.microsoft.com/office/drawing/2014/main" id="{CDF7F62A-784F-4AE3-9371-0EAE88CC935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6" name="Text Box 1">
          <a:extLst>
            <a:ext uri="{FF2B5EF4-FFF2-40B4-BE49-F238E27FC236}">
              <a16:creationId xmlns:a16="http://schemas.microsoft.com/office/drawing/2014/main" id="{F27322C4-1A57-408F-AA03-145B116241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67" name="Text Box 2">
          <a:extLst>
            <a:ext uri="{FF2B5EF4-FFF2-40B4-BE49-F238E27FC236}">
              <a16:creationId xmlns:a16="http://schemas.microsoft.com/office/drawing/2014/main" id="{F0FA9D3C-AF4C-477A-A905-76678032899C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68" name="Text Box 1">
          <a:extLst>
            <a:ext uri="{FF2B5EF4-FFF2-40B4-BE49-F238E27FC236}">
              <a16:creationId xmlns:a16="http://schemas.microsoft.com/office/drawing/2014/main" id="{E82730C3-8D23-4CEB-AD52-0292DBEC458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69" name="Text Box 2">
          <a:extLst>
            <a:ext uri="{FF2B5EF4-FFF2-40B4-BE49-F238E27FC236}">
              <a16:creationId xmlns:a16="http://schemas.microsoft.com/office/drawing/2014/main" id="{931A795B-657C-4C29-A60C-E36C7B44066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70" name="Text Box 1">
          <a:extLst>
            <a:ext uri="{FF2B5EF4-FFF2-40B4-BE49-F238E27FC236}">
              <a16:creationId xmlns:a16="http://schemas.microsoft.com/office/drawing/2014/main" id="{260F61AA-42E0-427D-8E6A-41A14238BCA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1" name="Text Box 2">
          <a:extLst>
            <a:ext uri="{FF2B5EF4-FFF2-40B4-BE49-F238E27FC236}">
              <a16:creationId xmlns:a16="http://schemas.microsoft.com/office/drawing/2014/main" id="{C921B386-4179-41B4-8480-CC5C3059012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72" name="Text Box 1">
          <a:extLst>
            <a:ext uri="{FF2B5EF4-FFF2-40B4-BE49-F238E27FC236}">
              <a16:creationId xmlns:a16="http://schemas.microsoft.com/office/drawing/2014/main" id="{1CAAC0FD-F25F-4D93-8D06-567427855591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3" name="Text Box 2">
          <a:extLst>
            <a:ext uri="{FF2B5EF4-FFF2-40B4-BE49-F238E27FC236}">
              <a16:creationId xmlns:a16="http://schemas.microsoft.com/office/drawing/2014/main" id="{DC9CD0EF-D475-4A8B-AA01-ADB23796D82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74" name="Text Box 1">
          <a:extLst>
            <a:ext uri="{FF2B5EF4-FFF2-40B4-BE49-F238E27FC236}">
              <a16:creationId xmlns:a16="http://schemas.microsoft.com/office/drawing/2014/main" id="{3DEAB98E-C4FA-4F4E-B900-B0F53A8F40C8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5" name="Text Box 2">
          <a:extLst>
            <a:ext uri="{FF2B5EF4-FFF2-40B4-BE49-F238E27FC236}">
              <a16:creationId xmlns:a16="http://schemas.microsoft.com/office/drawing/2014/main" id="{5DE2745A-C15C-47C2-8DB1-F39BF85717E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76" name="Text Box 1">
          <a:extLst>
            <a:ext uri="{FF2B5EF4-FFF2-40B4-BE49-F238E27FC236}">
              <a16:creationId xmlns:a16="http://schemas.microsoft.com/office/drawing/2014/main" id="{0E600CE7-A31C-40DC-BA3F-D3ADDD45E90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7" name="Text Box 2">
          <a:extLst>
            <a:ext uri="{FF2B5EF4-FFF2-40B4-BE49-F238E27FC236}">
              <a16:creationId xmlns:a16="http://schemas.microsoft.com/office/drawing/2014/main" id="{35166D69-83F1-45F5-9C74-7E4453743EB0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78" name="Text Box 1">
          <a:extLst>
            <a:ext uri="{FF2B5EF4-FFF2-40B4-BE49-F238E27FC236}">
              <a16:creationId xmlns:a16="http://schemas.microsoft.com/office/drawing/2014/main" id="{AA876FBC-D6C7-4BA2-9791-58CAB087599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79" name="Text Box 2">
          <a:extLst>
            <a:ext uri="{FF2B5EF4-FFF2-40B4-BE49-F238E27FC236}">
              <a16:creationId xmlns:a16="http://schemas.microsoft.com/office/drawing/2014/main" id="{C5E8D726-D065-4723-9677-B04E4BDA936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0" name="Text Box 1">
          <a:extLst>
            <a:ext uri="{FF2B5EF4-FFF2-40B4-BE49-F238E27FC236}">
              <a16:creationId xmlns:a16="http://schemas.microsoft.com/office/drawing/2014/main" id="{3A9380AB-0A52-4200-81CE-4E7244EE5E1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81" name="Text Box 2">
          <a:extLst>
            <a:ext uri="{FF2B5EF4-FFF2-40B4-BE49-F238E27FC236}">
              <a16:creationId xmlns:a16="http://schemas.microsoft.com/office/drawing/2014/main" id="{9C7CA3BE-148D-48DA-A70F-9078C05DD419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2" name="Text Box 1">
          <a:extLst>
            <a:ext uri="{FF2B5EF4-FFF2-40B4-BE49-F238E27FC236}">
              <a16:creationId xmlns:a16="http://schemas.microsoft.com/office/drawing/2014/main" id="{BCB2A2B1-F7E7-4013-8BC9-C9CF8B0E60B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83" name="Text Box 2">
          <a:extLst>
            <a:ext uri="{FF2B5EF4-FFF2-40B4-BE49-F238E27FC236}">
              <a16:creationId xmlns:a16="http://schemas.microsoft.com/office/drawing/2014/main" id="{472DE758-FC0A-4DC1-9648-7F48A7627B88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4" name="Text Box 1">
          <a:extLst>
            <a:ext uri="{FF2B5EF4-FFF2-40B4-BE49-F238E27FC236}">
              <a16:creationId xmlns:a16="http://schemas.microsoft.com/office/drawing/2014/main" id="{C15E90B3-5CC3-4281-89A9-9EBB8BA629F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85" name="Text Box 2">
          <a:extLst>
            <a:ext uri="{FF2B5EF4-FFF2-40B4-BE49-F238E27FC236}">
              <a16:creationId xmlns:a16="http://schemas.microsoft.com/office/drawing/2014/main" id="{52D87186-11D5-4537-A3D1-69201343FE7D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6" name="Text Box 1">
          <a:extLst>
            <a:ext uri="{FF2B5EF4-FFF2-40B4-BE49-F238E27FC236}">
              <a16:creationId xmlns:a16="http://schemas.microsoft.com/office/drawing/2014/main" id="{52A26485-52E9-4DDB-92EE-117B66C70D0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87" name="Text Box 2">
          <a:extLst>
            <a:ext uri="{FF2B5EF4-FFF2-40B4-BE49-F238E27FC236}">
              <a16:creationId xmlns:a16="http://schemas.microsoft.com/office/drawing/2014/main" id="{24BFDEC0-3E24-4E51-BC52-B086CB7C9A31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88" name="Text Box 1">
          <a:extLst>
            <a:ext uri="{FF2B5EF4-FFF2-40B4-BE49-F238E27FC236}">
              <a16:creationId xmlns:a16="http://schemas.microsoft.com/office/drawing/2014/main" id="{2D62BAA2-E92C-4B31-9345-588F698D882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89" name="Text Box 2">
          <a:extLst>
            <a:ext uri="{FF2B5EF4-FFF2-40B4-BE49-F238E27FC236}">
              <a16:creationId xmlns:a16="http://schemas.microsoft.com/office/drawing/2014/main" id="{D3149D59-1580-4C99-9E14-BD67F8ECE836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90" name="Text Box 1">
          <a:extLst>
            <a:ext uri="{FF2B5EF4-FFF2-40B4-BE49-F238E27FC236}">
              <a16:creationId xmlns:a16="http://schemas.microsoft.com/office/drawing/2014/main" id="{FBF59AFE-07B1-4A1D-9EDD-CF3708510712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1" name="Text Box 2">
          <a:extLst>
            <a:ext uri="{FF2B5EF4-FFF2-40B4-BE49-F238E27FC236}">
              <a16:creationId xmlns:a16="http://schemas.microsoft.com/office/drawing/2014/main" id="{6D892393-0B65-416B-9BD3-0DA285F843AE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92" name="Text Box 1">
          <a:extLst>
            <a:ext uri="{FF2B5EF4-FFF2-40B4-BE49-F238E27FC236}">
              <a16:creationId xmlns:a16="http://schemas.microsoft.com/office/drawing/2014/main" id="{56851A58-419F-4545-86B4-833EB0CE338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3" name="Text Box 2">
          <a:extLst>
            <a:ext uri="{FF2B5EF4-FFF2-40B4-BE49-F238E27FC236}">
              <a16:creationId xmlns:a16="http://schemas.microsoft.com/office/drawing/2014/main" id="{D21A3D76-12E1-44A3-B908-5B774A253C0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94" name="Text Box 1">
          <a:extLst>
            <a:ext uri="{FF2B5EF4-FFF2-40B4-BE49-F238E27FC236}">
              <a16:creationId xmlns:a16="http://schemas.microsoft.com/office/drawing/2014/main" id="{34D7742E-0968-4A7C-B2D2-374993DBDFA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5" name="Text Box 2">
          <a:extLst>
            <a:ext uri="{FF2B5EF4-FFF2-40B4-BE49-F238E27FC236}">
              <a16:creationId xmlns:a16="http://schemas.microsoft.com/office/drawing/2014/main" id="{99AE076A-8F16-4F1F-B263-455B09BE1BF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96" name="Text Box 1">
          <a:extLst>
            <a:ext uri="{FF2B5EF4-FFF2-40B4-BE49-F238E27FC236}">
              <a16:creationId xmlns:a16="http://schemas.microsoft.com/office/drawing/2014/main" id="{2C6C853A-FC8D-4246-B170-707186647429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7" name="Text Box 2">
          <a:extLst>
            <a:ext uri="{FF2B5EF4-FFF2-40B4-BE49-F238E27FC236}">
              <a16:creationId xmlns:a16="http://schemas.microsoft.com/office/drawing/2014/main" id="{C7DD4719-D11C-4101-AC8E-803B443EE21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498" name="Text Box 1">
          <a:extLst>
            <a:ext uri="{FF2B5EF4-FFF2-40B4-BE49-F238E27FC236}">
              <a16:creationId xmlns:a16="http://schemas.microsoft.com/office/drawing/2014/main" id="{67C630B6-6C5C-4CB9-B993-6E82C1595DE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499" name="Text Box 2">
          <a:extLst>
            <a:ext uri="{FF2B5EF4-FFF2-40B4-BE49-F238E27FC236}">
              <a16:creationId xmlns:a16="http://schemas.microsoft.com/office/drawing/2014/main" id="{22110309-8A52-4233-B05D-1B71A931AD4F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0" name="Text Box 1">
          <a:extLst>
            <a:ext uri="{FF2B5EF4-FFF2-40B4-BE49-F238E27FC236}">
              <a16:creationId xmlns:a16="http://schemas.microsoft.com/office/drawing/2014/main" id="{01B444E8-0490-4751-A75E-2865921AC043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01" name="Text Box 2">
          <a:extLst>
            <a:ext uri="{FF2B5EF4-FFF2-40B4-BE49-F238E27FC236}">
              <a16:creationId xmlns:a16="http://schemas.microsoft.com/office/drawing/2014/main" id="{DA0B46F2-754D-4A37-83AF-D547E30AB48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2" name="Text Box 1">
          <a:extLst>
            <a:ext uri="{FF2B5EF4-FFF2-40B4-BE49-F238E27FC236}">
              <a16:creationId xmlns:a16="http://schemas.microsoft.com/office/drawing/2014/main" id="{86DA5C70-7747-4B78-AA65-4ECDF2D69B8E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03" name="Text Box 2">
          <a:extLst>
            <a:ext uri="{FF2B5EF4-FFF2-40B4-BE49-F238E27FC236}">
              <a16:creationId xmlns:a16="http://schemas.microsoft.com/office/drawing/2014/main" id="{3D8CF399-954C-43B4-AB7B-57C329B035A2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4" name="Text Box 1">
          <a:extLst>
            <a:ext uri="{FF2B5EF4-FFF2-40B4-BE49-F238E27FC236}">
              <a16:creationId xmlns:a16="http://schemas.microsoft.com/office/drawing/2014/main" id="{B65B067D-EA87-40AC-9641-7DA12CE9F15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05" name="Text Box 2">
          <a:extLst>
            <a:ext uri="{FF2B5EF4-FFF2-40B4-BE49-F238E27FC236}">
              <a16:creationId xmlns:a16="http://schemas.microsoft.com/office/drawing/2014/main" id="{3D1FD25B-D310-4F78-8081-0F4E4E2AFF64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6" name="Text Box 1">
          <a:extLst>
            <a:ext uri="{FF2B5EF4-FFF2-40B4-BE49-F238E27FC236}">
              <a16:creationId xmlns:a16="http://schemas.microsoft.com/office/drawing/2014/main" id="{9B7390FF-A214-4E77-8225-C2F948F2077D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07" name="Text Box 2">
          <a:extLst>
            <a:ext uri="{FF2B5EF4-FFF2-40B4-BE49-F238E27FC236}">
              <a16:creationId xmlns:a16="http://schemas.microsoft.com/office/drawing/2014/main" id="{4C9809DD-3D76-4A84-ABCC-B2CF7D40812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08" name="Text Box 1">
          <a:extLst>
            <a:ext uri="{FF2B5EF4-FFF2-40B4-BE49-F238E27FC236}">
              <a16:creationId xmlns:a16="http://schemas.microsoft.com/office/drawing/2014/main" id="{4CAF73B4-B140-4E50-A7AF-B7AB145CB5BA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09" name="Text Box 2">
          <a:extLst>
            <a:ext uri="{FF2B5EF4-FFF2-40B4-BE49-F238E27FC236}">
              <a16:creationId xmlns:a16="http://schemas.microsoft.com/office/drawing/2014/main" id="{E5FF4A9B-F4E6-4647-85A1-EBE0BBF2189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10" name="Text Box 1">
          <a:extLst>
            <a:ext uri="{FF2B5EF4-FFF2-40B4-BE49-F238E27FC236}">
              <a16:creationId xmlns:a16="http://schemas.microsoft.com/office/drawing/2014/main" id="{F80FDD52-C539-435A-9F8E-BB8F0F13E5E5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1" name="Text Box 2">
          <a:extLst>
            <a:ext uri="{FF2B5EF4-FFF2-40B4-BE49-F238E27FC236}">
              <a16:creationId xmlns:a16="http://schemas.microsoft.com/office/drawing/2014/main" id="{3CE862FC-204C-48BF-831D-E669545FEBDB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12" name="Text Box 1">
          <a:extLst>
            <a:ext uri="{FF2B5EF4-FFF2-40B4-BE49-F238E27FC236}">
              <a16:creationId xmlns:a16="http://schemas.microsoft.com/office/drawing/2014/main" id="{20F6FB30-FE66-4F86-BDC4-320CA0FEAA56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3" name="Text Box 2">
          <a:extLst>
            <a:ext uri="{FF2B5EF4-FFF2-40B4-BE49-F238E27FC236}">
              <a16:creationId xmlns:a16="http://schemas.microsoft.com/office/drawing/2014/main" id="{046D716F-F421-4EE0-B0C9-0F30BAB3EA7A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14" name="Text Box 1">
          <a:extLst>
            <a:ext uri="{FF2B5EF4-FFF2-40B4-BE49-F238E27FC236}">
              <a16:creationId xmlns:a16="http://schemas.microsoft.com/office/drawing/2014/main" id="{7930E6E0-F516-4854-9412-D107E0A00D6F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5" name="Text Box 2">
          <a:extLst>
            <a:ext uri="{FF2B5EF4-FFF2-40B4-BE49-F238E27FC236}">
              <a16:creationId xmlns:a16="http://schemas.microsoft.com/office/drawing/2014/main" id="{C2536EA1-261A-4057-9B1D-680C2762584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16" name="Text Box 1">
          <a:extLst>
            <a:ext uri="{FF2B5EF4-FFF2-40B4-BE49-F238E27FC236}">
              <a16:creationId xmlns:a16="http://schemas.microsoft.com/office/drawing/2014/main" id="{E53364F5-B660-4585-BCFB-3B7AD59D10A4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7" name="Text Box 2">
          <a:extLst>
            <a:ext uri="{FF2B5EF4-FFF2-40B4-BE49-F238E27FC236}">
              <a16:creationId xmlns:a16="http://schemas.microsoft.com/office/drawing/2014/main" id="{180C606B-06BB-490D-A3B2-D09DD5F24907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18" name="Text Box 1">
          <a:extLst>
            <a:ext uri="{FF2B5EF4-FFF2-40B4-BE49-F238E27FC236}">
              <a16:creationId xmlns:a16="http://schemas.microsoft.com/office/drawing/2014/main" id="{F803648F-A16E-477D-9D26-E144BF99FE40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19" name="Text Box 2">
          <a:extLst>
            <a:ext uri="{FF2B5EF4-FFF2-40B4-BE49-F238E27FC236}">
              <a16:creationId xmlns:a16="http://schemas.microsoft.com/office/drawing/2014/main" id="{DF62373F-AA7E-40D6-BF12-750C2D4CE125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314325</xdr:colOff>
      <xdr:row>0</xdr:row>
      <xdr:rowOff>0</xdr:rowOff>
    </xdr:from>
    <xdr:to>
      <xdr:col>2</xdr:col>
      <xdr:colOff>409575</xdr:colOff>
      <xdr:row>1</xdr:row>
      <xdr:rowOff>19050</xdr:rowOff>
    </xdr:to>
    <xdr:sp macro="" textlink="">
      <xdr:nvSpPr>
        <xdr:cNvPr id="3520" name="Text Box 1">
          <a:extLst>
            <a:ext uri="{FF2B5EF4-FFF2-40B4-BE49-F238E27FC236}">
              <a16:creationId xmlns:a16="http://schemas.microsoft.com/office/drawing/2014/main" id="{8165193A-EEBC-4A65-81E8-6453471D6BFB}"/>
            </a:ext>
          </a:extLst>
        </xdr:cNvPr>
        <xdr:cNvSpPr txBox="1">
          <a:spLocks noChangeArrowheads="1"/>
        </xdr:cNvSpPr>
      </xdr:nvSpPr>
      <xdr:spPr bwMode="auto">
        <a:xfrm>
          <a:off x="2476500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95250</xdr:colOff>
      <xdr:row>1</xdr:row>
      <xdr:rowOff>19050</xdr:rowOff>
    </xdr:to>
    <xdr:sp macro="" textlink="">
      <xdr:nvSpPr>
        <xdr:cNvPr id="3521" name="Text Box 2">
          <a:extLst>
            <a:ext uri="{FF2B5EF4-FFF2-40B4-BE49-F238E27FC236}">
              <a16:creationId xmlns:a16="http://schemas.microsoft.com/office/drawing/2014/main" id="{7C1DD105-938E-4BDA-800B-B535CAFAFDB3}"/>
            </a:ext>
          </a:extLst>
        </xdr:cNvPr>
        <xdr:cNvSpPr txBox="1">
          <a:spLocks noChangeArrowheads="1"/>
        </xdr:cNvSpPr>
      </xdr:nvSpPr>
      <xdr:spPr bwMode="auto">
        <a:xfrm>
          <a:off x="2162175" y="0"/>
          <a:ext cx="952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3366FF"/>
  </sheetPr>
  <dimension ref="A1:R28"/>
  <sheetViews>
    <sheetView zoomScale="115" zoomScaleNormal="115" workbookViewId="0">
      <selection activeCell="A22" sqref="A22"/>
    </sheetView>
  </sheetViews>
  <sheetFormatPr defaultColWidth="8.75" defaultRowHeight="16.5"/>
  <cols>
    <col min="1" max="1" width="17.125" style="22" customWidth="1"/>
    <col min="2" max="3" width="11.875" style="34" customWidth="1"/>
    <col min="4" max="4" width="5.125" style="20" customWidth="1"/>
    <col min="5" max="5" width="37.375" style="21" bestFit="1" customWidth="1"/>
    <col min="6" max="6" width="9.5" style="21" customWidth="1"/>
    <col min="7" max="7" width="10.875" style="20" customWidth="1"/>
    <col min="8" max="9" width="9.75" style="20" customWidth="1"/>
    <col min="10" max="10" width="12.25" style="20" customWidth="1"/>
    <col min="11" max="11" width="8.75" style="11"/>
    <col min="12" max="12" width="1.25" style="11" customWidth="1"/>
    <col min="13" max="13" width="10" style="11" customWidth="1"/>
    <col min="14" max="17" width="9.75" style="11" bestFit="1" customWidth="1"/>
    <col min="18" max="18" width="11.25" style="11" customWidth="1"/>
    <col min="19" max="16384" width="8.75" style="11"/>
  </cols>
  <sheetData>
    <row r="1" spans="1:18">
      <c r="A1" s="25"/>
      <c r="B1" s="31"/>
      <c r="C1" s="31"/>
      <c r="D1" s="23"/>
      <c r="E1" s="24"/>
      <c r="F1" s="24"/>
      <c r="G1" s="23"/>
      <c r="H1" s="41"/>
      <c r="I1" s="41"/>
      <c r="J1" s="42"/>
      <c r="K1" s="43"/>
      <c r="M1" s="75" t="s">
        <v>66</v>
      </c>
      <c r="N1" s="75"/>
      <c r="O1" s="75"/>
      <c r="P1" s="75"/>
      <c r="Q1" s="75"/>
      <c r="R1" s="15"/>
    </row>
    <row r="2" spans="1:18">
      <c r="A2" s="10" t="s">
        <v>67</v>
      </c>
      <c r="B2" s="32" t="s">
        <v>37</v>
      </c>
      <c r="C2" s="32" t="s">
        <v>39</v>
      </c>
      <c r="D2" s="10" t="s">
        <v>9</v>
      </c>
      <c r="E2" s="10" t="s">
        <v>47</v>
      </c>
      <c r="F2" s="10" t="s">
        <v>61</v>
      </c>
      <c r="G2" s="10" t="s">
        <v>30</v>
      </c>
      <c r="H2" s="10" t="s">
        <v>24</v>
      </c>
      <c r="I2" s="10" t="s">
        <v>23</v>
      </c>
      <c r="J2" s="75" t="s">
        <v>25</v>
      </c>
      <c r="K2" s="75"/>
      <c r="L2" s="15"/>
      <c r="M2" s="10">
        <v>2023</v>
      </c>
      <c r="N2" s="10">
        <v>2024</v>
      </c>
      <c r="O2" s="10">
        <v>2025</v>
      </c>
      <c r="P2" s="10">
        <v>2026</v>
      </c>
      <c r="Q2" s="10">
        <v>2027</v>
      </c>
    </row>
    <row r="3" spans="1:18" ht="16.5" customHeight="1">
      <c r="A3" s="83" t="s">
        <v>33</v>
      </c>
      <c r="B3" s="80" t="s">
        <v>38</v>
      </c>
      <c r="C3" s="86" t="s">
        <v>40</v>
      </c>
      <c r="D3" s="90">
        <v>1</v>
      </c>
      <c r="E3" s="9" t="s">
        <v>27</v>
      </c>
      <c r="F3" s="37" t="s">
        <v>62</v>
      </c>
      <c r="G3" s="9" t="s">
        <v>50</v>
      </c>
      <c r="H3" s="26" t="e">
        <f>MAX(#REF!)</f>
        <v>#REF!</v>
      </c>
      <c r="I3" s="26" t="e">
        <f>#REF!</f>
        <v>#REF!</v>
      </c>
      <c r="J3" s="36" t="e">
        <f>#REF!</f>
        <v>#REF!</v>
      </c>
      <c r="K3" s="87" t="e">
        <f>SUM(J3:J12)</f>
        <v>#REF!</v>
      </c>
      <c r="L3" s="44"/>
      <c r="M3" s="76" t="e">
        <f>K3</f>
        <v>#REF!</v>
      </c>
      <c r="N3" s="76" t="e">
        <f>K3*4</f>
        <v>#REF!</v>
      </c>
      <c r="O3" s="76" t="e">
        <f>$K3*4</f>
        <v>#REF!</v>
      </c>
      <c r="P3" s="76" t="e">
        <f>$K3*4</f>
        <v>#REF!</v>
      </c>
      <c r="Q3" s="76" t="e">
        <f>$K3*4</f>
        <v>#REF!</v>
      </c>
      <c r="R3" s="76" t="e">
        <f>SUM(M3:Q12)</f>
        <v>#REF!</v>
      </c>
    </row>
    <row r="4" spans="1:18">
      <c r="A4" s="84"/>
      <c r="B4" s="81"/>
      <c r="C4" s="86"/>
      <c r="D4" s="90"/>
      <c r="E4" s="9" t="s">
        <v>26</v>
      </c>
      <c r="F4" s="37" t="s">
        <v>62</v>
      </c>
      <c r="G4" s="9" t="s">
        <v>52</v>
      </c>
      <c r="H4" s="26" t="e">
        <f>MAX(#REF!)</f>
        <v>#REF!</v>
      </c>
      <c r="I4" s="26">
        <v>2031828</v>
      </c>
      <c r="J4" s="36" t="e">
        <f>#REF!</f>
        <v>#REF!</v>
      </c>
      <c r="K4" s="88"/>
      <c r="L4" s="44"/>
      <c r="M4" s="77"/>
      <c r="N4" s="77"/>
      <c r="O4" s="77"/>
      <c r="P4" s="77"/>
      <c r="Q4" s="77"/>
      <c r="R4" s="77"/>
    </row>
    <row r="5" spans="1:18">
      <c r="A5" s="84"/>
      <c r="B5" s="81"/>
      <c r="C5" s="86"/>
      <c r="D5" s="90">
        <v>2</v>
      </c>
      <c r="E5" s="9" t="s">
        <v>28</v>
      </c>
      <c r="F5" s="37" t="s">
        <v>62</v>
      </c>
      <c r="G5" s="9" t="s">
        <v>51</v>
      </c>
      <c r="H5" s="26" t="e">
        <f>MAX(#REF!)</f>
        <v>#REF!</v>
      </c>
      <c r="I5" s="26">
        <v>867252</v>
      </c>
      <c r="J5" s="36" t="e">
        <f>#REF!</f>
        <v>#REF!</v>
      </c>
      <c r="K5" s="88"/>
      <c r="L5" s="44"/>
      <c r="M5" s="77"/>
      <c r="N5" s="77"/>
      <c r="O5" s="77"/>
      <c r="P5" s="77"/>
      <c r="Q5" s="77"/>
      <c r="R5" s="77"/>
    </row>
    <row r="6" spans="1:18">
      <c r="A6" s="84"/>
      <c r="B6" s="81"/>
      <c r="C6" s="86"/>
      <c r="D6" s="90"/>
      <c r="E6" s="9" t="s">
        <v>29</v>
      </c>
      <c r="F6" s="37" t="s">
        <v>62</v>
      </c>
      <c r="G6" s="9" t="s">
        <v>53</v>
      </c>
      <c r="H6" s="26" t="e">
        <f>MAX(#REF!)</f>
        <v>#REF!</v>
      </c>
      <c r="I6" s="26">
        <v>720045</v>
      </c>
      <c r="J6" s="36" t="e">
        <f>#REF!</f>
        <v>#REF!</v>
      </c>
      <c r="K6" s="88"/>
      <c r="L6" s="44"/>
      <c r="M6" s="77"/>
      <c r="N6" s="77"/>
      <c r="O6" s="77"/>
      <c r="P6" s="77"/>
      <c r="Q6" s="77"/>
      <c r="R6" s="77"/>
    </row>
    <row r="7" spans="1:18" ht="16.5" customHeight="1">
      <c r="A7" s="83" t="s">
        <v>42</v>
      </c>
      <c r="B7" s="81"/>
      <c r="C7" s="33" t="s">
        <v>40</v>
      </c>
      <c r="D7" s="8">
        <v>3</v>
      </c>
      <c r="E7" s="27" t="s">
        <v>56</v>
      </c>
      <c r="F7" s="38" t="s">
        <v>62</v>
      </c>
      <c r="G7" s="27" t="s">
        <v>31</v>
      </c>
      <c r="H7" s="26">
        <f>MAX('01_지번별 토지 특성'!A6:A162)</f>
        <v>156</v>
      </c>
      <c r="I7" s="26">
        <v>6063668</v>
      </c>
      <c r="J7" s="36" t="e">
        <f>'01_지번별 토지 특성'!#REF!</f>
        <v>#REF!</v>
      </c>
      <c r="K7" s="88"/>
      <c r="L7" s="44"/>
      <c r="M7" s="77"/>
      <c r="N7" s="77"/>
      <c r="O7" s="77"/>
      <c r="P7" s="77"/>
      <c r="Q7" s="77"/>
      <c r="R7" s="77"/>
    </row>
    <row r="8" spans="1:18" ht="16.5" customHeight="1">
      <c r="A8" s="84"/>
      <c r="B8" s="81"/>
      <c r="C8" s="33" t="s">
        <v>40</v>
      </c>
      <c r="D8" s="8">
        <v>4</v>
      </c>
      <c r="E8" s="27" t="s">
        <v>54</v>
      </c>
      <c r="F8" s="38" t="s">
        <v>62</v>
      </c>
      <c r="G8" s="27" t="s">
        <v>31</v>
      </c>
      <c r="H8" s="26" t="e">
        <f>MAX(#REF!)</f>
        <v>#REF!</v>
      </c>
      <c r="I8" s="26">
        <v>1515917</v>
      </c>
      <c r="J8" s="36" t="e">
        <f>#REF!</f>
        <v>#REF!</v>
      </c>
      <c r="K8" s="88"/>
      <c r="L8" s="44"/>
      <c r="M8" s="77"/>
      <c r="N8" s="77"/>
      <c r="O8" s="77"/>
      <c r="P8" s="77"/>
      <c r="Q8" s="77"/>
      <c r="R8" s="77"/>
    </row>
    <row r="9" spans="1:18">
      <c r="A9" s="84"/>
      <c r="B9" s="81"/>
      <c r="C9" s="33" t="s">
        <v>40</v>
      </c>
      <c r="D9" s="8">
        <v>5</v>
      </c>
      <c r="E9" s="28" t="s">
        <v>34</v>
      </c>
      <c r="F9" s="39" t="s">
        <v>62</v>
      </c>
      <c r="G9" s="28" t="s">
        <v>35</v>
      </c>
      <c r="H9" s="26" t="e">
        <f>MAX(#REF!)</f>
        <v>#REF!</v>
      </c>
      <c r="I9" s="26">
        <v>5000</v>
      </c>
      <c r="J9" s="36" t="e">
        <f>#REF!</f>
        <v>#REF!</v>
      </c>
      <c r="K9" s="88"/>
      <c r="L9" s="44"/>
      <c r="M9" s="77"/>
      <c r="N9" s="77"/>
      <c r="O9" s="77"/>
      <c r="P9" s="77"/>
      <c r="Q9" s="77"/>
      <c r="R9" s="77"/>
    </row>
    <row r="10" spans="1:18">
      <c r="A10" s="85"/>
      <c r="B10" s="81"/>
      <c r="C10" s="33" t="s">
        <v>40</v>
      </c>
      <c r="D10" s="8">
        <v>6</v>
      </c>
      <c r="E10" s="28" t="s">
        <v>43</v>
      </c>
      <c r="F10" s="39" t="s">
        <v>62</v>
      </c>
      <c r="G10" s="28" t="s">
        <v>48</v>
      </c>
      <c r="H10" s="26" t="e">
        <f>MAX(#REF!)</f>
        <v>#REF!</v>
      </c>
      <c r="I10" s="26">
        <v>84</v>
      </c>
      <c r="J10" s="36" t="e">
        <f>#REF!</f>
        <v>#REF!</v>
      </c>
      <c r="K10" s="88"/>
      <c r="L10" s="44"/>
      <c r="M10" s="77"/>
      <c r="N10" s="77"/>
      <c r="O10" s="77"/>
      <c r="P10" s="77"/>
      <c r="Q10" s="77"/>
      <c r="R10" s="77"/>
    </row>
    <row r="11" spans="1:18">
      <c r="A11" s="83" t="s">
        <v>49</v>
      </c>
      <c r="B11" s="81"/>
      <c r="C11" s="33" t="s">
        <v>40</v>
      </c>
      <c r="D11" s="8">
        <v>7</v>
      </c>
      <c r="E11" s="28" t="s">
        <v>46</v>
      </c>
      <c r="F11" s="39" t="s">
        <v>62</v>
      </c>
      <c r="G11" s="28" t="s">
        <v>31</v>
      </c>
      <c r="H11" s="26" t="e">
        <f>MAX(#REF!)</f>
        <v>#REF!</v>
      </c>
      <c r="I11" s="26">
        <f>5000*500</f>
        <v>2500000</v>
      </c>
      <c r="J11" s="36" t="e">
        <f>#REF!</f>
        <v>#REF!</v>
      </c>
      <c r="K11" s="88"/>
      <c r="L11" s="44"/>
      <c r="M11" s="77"/>
      <c r="N11" s="77"/>
      <c r="O11" s="77"/>
      <c r="P11" s="77"/>
      <c r="Q11" s="77"/>
      <c r="R11" s="77"/>
    </row>
    <row r="12" spans="1:18">
      <c r="A12" s="91"/>
      <c r="B12" s="82"/>
      <c r="C12" s="33" t="s">
        <v>40</v>
      </c>
      <c r="D12" s="8">
        <v>8</v>
      </c>
      <c r="E12" s="28" t="s">
        <v>44</v>
      </c>
      <c r="F12" s="39" t="s">
        <v>62</v>
      </c>
      <c r="G12" s="28" t="s">
        <v>31</v>
      </c>
      <c r="H12" s="26" t="e">
        <f>MAX(#REF!)</f>
        <v>#REF!</v>
      </c>
      <c r="I12" s="26">
        <f>I10*200</f>
        <v>16800</v>
      </c>
      <c r="J12" s="36" t="e">
        <f>#REF!</f>
        <v>#REF!</v>
      </c>
      <c r="K12" s="89"/>
      <c r="L12" s="44"/>
      <c r="M12" s="78"/>
      <c r="N12" s="78"/>
      <c r="O12" s="78"/>
      <c r="P12" s="78"/>
      <c r="Q12" s="78"/>
      <c r="R12" s="78"/>
    </row>
    <row r="13" spans="1:18" ht="16.5" customHeight="1">
      <c r="A13" s="83" t="s">
        <v>42</v>
      </c>
      <c r="B13" s="80" t="s">
        <v>41</v>
      </c>
      <c r="C13" s="33" t="s">
        <v>40</v>
      </c>
      <c r="D13" s="8">
        <v>9</v>
      </c>
      <c r="E13" s="27" t="s">
        <v>55</v>
      </c>
      <c r="F13" s="38" t="s">
        <v>62</v>
      </c>
      <c r="G13" s="27" t="s">
        <v>31</v>
      </c>
      <c r="H13" s="26" t="e">
        <f>MAX(#REF!)</f>
        <v>#REF!</v>
      </c>
      <c r="I13" s="26">
        <f>7172096+7901288</f>
        <v>15073384</v>
      </c>
      <c r="J13" s="36" t="e">
        <f>#REF!</f>
        <v>#REF!</v>
      </c>
      <c r="K13" s="87" t="e">
        <f>SUM(J13:J18)</f>
        <v>#REF!</v>
      </c>
      <c r="L13" s="44"/>
      <c r="M13" s="79" t="s">
        <v>65</v>
      </c>
      <c r="N13" s="76" t="e">
        <f>K13</f>
        <v>#REF!</v>
      </c>
      <c r="O13" s="76" t="e">
        <f>$K13*4</f>
        <v>#REF!</v>
      </c>
      <c r="P13" s="76" t="e">
        <f>$K13*4</f>
        <v>#REF!</v>
      </c>
      <c r="Q13" s="76" t="e">
        <f>$K13*4</f>
        <v>#REF!</v>
      </c>
      <c r="R13" s="76" t="e">
        <f>SUM(M13:Q18)</f>
        <v>#REF!</v>
      </c>
    </row>
    <row r="14" spans="1:18">
      <c r="A14" s="84"/>
      <c r="B14" s="81"/>
      <c r="C14" s="33" t="s">
        <v>40</v>
      </c>
      <c r="D14" s="8">
        <v>10</v>
      </c>
      <c r="E14" s="27" t="s">
        <v>57</v>
      </c>
      <c r="F14" s="38" t="s">
        <v>62</v>
      </c>
      <c r="G14" s="27" t="s">
        <v>31</v>
      </c>
      <c r="H14" s="26" t="e">
        <f>MAX(#REF!)</f>
        <v>#REF!</v>
      </c>
      <c r="I14" s="26">
        <f>1815577+439989</f>
        <v>2255566</v>
      </c>
      <c r="J14" s="36" t="e">
        <f>#REF!</f>
        <v>#REF!</v>
      </c>
      <c r="K14" s="88"/>
      <c r="L14" s="44"/>
      <c r="M14" s="77"/>
      <c r="N14" s="77"/>
      <c r="O14" s="77"/>
      <c r="P14" s="77"/>
      <c r="Q14" s="77"/>
      <c r="R14" s="77"/>
    </row>
    <row r="15" spans="1:18">
      <c r="A15" s="84"/>
      <c r="B15" s="81"/>
      <c r="C15" s="33" t="s">
        <v>40</v>
      </c>
      <c r="D15" s="8">
        <v>11</v>
      </c>
      <c r="E15" s="27" t="s">
        <v>58</v>
      </c>
      <c r="F15" s="38" t="s">
        <v>62</v>
      </c>
      <c r="G15" s="27" t="s">
        <v>31</v>
      </c>
      <c r="H15" s="26" t="e">
        <f>MAX(#REF!)</f>
        <v>#REF!</v>
      </c>
      <c r="I15" s="26">
        <f>317475+22741+144722</f>
        <v>484938</v>
      </c>
      <c r="J15" s="36" t="e">
        <f>#REF!</f>
        <v>#REF!</v>
      </c>
      <c r="K15" s="88"/>
      <c r="L15" s="44"/>
      <c r="M15" s="77"/>
      <c r="N15" s="77"/>
      <c r="O15" s="77"/>
      <c r="P15" s="77"/>
      <c r="Q15" s="77"/>
      <c r="R15" s="77"/>
    </row>
    <row r="16" spans="1:18">
      <c r="A16" s="84"/>
      <c r="B16" s="81"/>
      <c r="C16" s="33" t="s">
        <v>40</v>
      </c>
      <c r="D16" s="8">
        <v>12</v>
      </c>
      <c r="E16" s="27" t="s">
        <v>59</v>
      </c>
      <c r="F16" s="38" t="s">
        <v>62</v>
      </c>
      <c r="G16" s="27" t="s">
        <v>31</v>
      </c>
      <c r="H16" s="26" t="e">
        <f>MAX(#REF!)</f>
        <v>#REF!</v>
      </c>
      <c r="I16" s="26">
        <f>98915+73163</f>
        <v>172078</v>
      </c>
      <c r="J16" s="36" t="e">
        <f>#REF!</f>
        <v>#REF!</v>
      </c>
      <c r="K16" s="88"/>
      <c r="L16" s="44"/>
      <c r="M16" s="77"/>
      <c r="N16" s="77"/>
      <c r="O16" s="77"/>
      <c r="P16" s="77"/>
      <c r="Q16" s="77"/>
      <c r="R16" s="77"/>
    </row>
    <row r="17" spans="1:18">
      <c r="A17" s="85"/>
      <c r="B17" s="81"/>
      <c r="C17" s="33" t="s">
        <v>40</v>
      </c>
      <c r="D17" s="8">
        <v>13</v>
      </c>
      <c r="E17" s="28" t="s">
        <v>36</v>
      </c>
      <c r="F17" s="39" t="s">
        <v>62</v>
      </c>
      <c r="G17" s="28" t="s">
        <v>32</v>
      </c>
      <c r="H17" s="26" t="e">
        <f>MAX(#REF!)</f>
        <v>#REF!</v>
      </c>
      <c r="I17" s="26">
        <v>10000</v>
      </c>
      <c r="J17" s="36" t="e">
        <f>#REF!</f>
        <v>#REF!</v>
      </c>
      <c r="K17" s="88"/>
      <c r="L17" s="44"/>
      <c r="M17" s="77"/>
      <c r="N17" s="77"/>
      <c r="O17" s="77"/>
      <c r="P17" s="77"/>
      <c r="Q17" s="77"/>
      <c r="R17" s="77"/>
    </row>
    <row r="18" spans="1:18" ht="24" customHeight="1">
      <c r="A18" s="35" t="s">
        <v>49</v>
      </c>
      <c r="B18" s="82"/>
      <c r="C18" s="33" t="s">
        <v>40</v>
      </c>
      <c r="D18" s="8">
        <v>14</v>
      </c>
      <c r="E18" s="28" t="s">
        <v>45</v>
      </c>
      <c r="F18" s="39" t="s">
        <v>62</v>
      </c>
      <c r="G18" s="28" t="s">
        <v>31</v>
      </c>
      <c r="H18" s="26" t="e">
        <f>MAX(#REF!)</f>
        <v>#REF!</v>
      </c>
      <c r="I18" s="26">
        <f>10000*200</f>
        <v>2000000</v>
      </c>
      <c r="J18" s="36" t="e">
        <f>#REF!</f>
        <v>#REF!</v>
      </c>
      <c r="K18" s="89"/>
      <c r="L18" s="44"/>
      <c r="M18" s="78"/>
      <c r="N18" s="78"/>
      <c r="O18" s="78"/>
      <c r="P18" s="78"/>
      <c r="Q18" s="78"/>
      <c r="R18" s="78"/>
    </row>
    <row r="19" spans="1:18">
      <c r="A19" s="25"/>
      <c r="B19" s="31"/>
      <c r="C19" s="31"/>
      <c r="D19" s="23"/>
      <c r="E19" s="24"/>
      <c r="F19" s="24"/>
      <c r="M19" s="29"/>
      <c r="N19" s="29"/>
      <c r="O19" s="29"/>
      <c r="P19" s="29"/>
      <c r="Q19" s="29"/>
    </row>
    <row r="20" spans="1:18">
      <c r="I20" s="30" t="e">
        <f>SUM(I3:I19)</f>
        <v>#REF!</v>
      </c>
      <c r="J20" s="30"/>
      <c r="K20" s="40" t="e">
        <f>SUM(K3:K19)</f>
        <v>#REF!</v>
      </c>
      <c r="M20" s="40" t="e">
        <f t="shared" ref="M20:R20" si="0">SUM(M3:M19)</f>
        <v>#REF!</v>
      </c>
      <c r="N20" s="40" t="e">
        <f t="shared" si="0"/>
        <v>#REF!</v>
      </c>
      <c r="O20" s="40" t="e">
        <f t="shared" si="0"/>
        <v>#REF!</v>
      </c>
      <c r="P20" s="40" t="e">
        <f t="shared" si="0"/>
        <v>#REF!</v>
      </c>
      <c r="Q20" s="40" t="e">
        <f t="shared" si="0"/>
        <v>#REF!</v>
      </c>
      <c r="R20" s="40" t="e">
        <f t="shared" si="0"/>
        <v>#REF!</v>
      </c>
    </row>
    <row r="22" spans="1:18">
      <c r="Q22" s="40"/>
    </row>
    <row r="24" spans="1:18">
      <c r="I24" s="30" t="e">
        <f>SUM(I3:I12)</f>
        <v>#REF!</v>
      </c>
      <c r="J24" s="30" t="e">
        <f>I24*4</f>
        <v>#REF!</v>
      </c>
      <c r="M24" s="30" t="e">
        <f>I24</f>
        <v>#REF!</v>
      </c>
      <c r="N24" s="30" t="e">
        <f>J24</f>
        <v>#REF!</v>
      </c>
      <c r="O24" s="30" t="e">
        <f>N24</f>
        <v>#REF!</v>
      </c>
      <c r="P24" s="30" t="e">
        <f>O24</f>
        <v>#REF!</v>
      </c>
      <c r="Q24" s="30" t="e">
        <f>P24</f>
        <v>#REF!</v>
      </c>
      <c r="R24" s="30" t="e">
        <f>SUM(M24:Q24)</f>
        <v>#REF!</v>
      </c>
    </row>
    <row r="25" spans="1:18">
      <c r="I25" s="30">
        <f>SUM(I13:I18)</f>
        <v>19995966</v>
      </c>
      <c r="J25" s="30">
        <f>I25*4</f>
        <v>79983864</v>
      </c>
      <c r="M25" s="30"/>
      <c r="N25" s="30">
        <f>I25</f>
        <v>19995966</v>
      </c>
      <c r="O25" s="30">
        <f>J25</f>
        <v>79983864</v>
      </c>
      <c r="P25" s="30">
        <f>O25</f>
        <v>79983864</v>
      </c>
      <c r="Q25" s="30">
        <f>P25</f>
        <v>79983864</v>
      </c>
      <c r="R25" s="30">
        <f>SUM(M25:Q25)</f>
        <v>259947558</v>
      </c>
    </row>
    <row r="26" spans="1:18">
      <c r="M26" s="30"/>
      <c r="N26" s="30"/>
      <c r="O26" s="30"/>
      <c r="P26" s="30"/>
      <c r="Q26" s="30"/>
    </row>
    <row r="27" spans="1:18">
      <c r="J27" s="30" t="e">
        <f>J24*(1/4+4)</f>
        <v>#REF!</v>
      </c>
      <c r="M27" s="30" t="e">
        <f>SUM(M24:M26)</f>
        <v>#REF!</v>
      </c>
      <c r="N27" s="30" t="e">
        <f>SUM(N24:N26)</f>
        <v>#REF!</v>
      </c>
      <c r="O27" s="30" t="e">
        <f>SUM(O24:O26)</f>
        <v>#REF!</v>
      </c>
      <c r="P27" s="30" t="e">
        <f>SUM(P24:P26)</f>
        <v>#REF!</v>
      </c>
      <c r="Q27" s="30" t="e">
        <f>SUM(Q24:Q26)</f>
        <v>#REF!</v>
      </c>
      <c r="R27" s="30" t="e">
        <f>SUM(M27:Q27)</f>
        <v>#REF!</v>
      </c>
    </row>
    <row r="28" spans="1:18">
      <c r="J28" s="30">
        <f>J25*(1/4+3)</f>
        <v>259947558</v>
      </c>
    </row>
  </sheetData>
  <mergeCells count="25">
    <mergeCell ref="J2:K2"/>
    <mergeCell ref="D3:D4"/>
    <mergeCell ref="D5:D6"/>
    <mergeCell ref="A11:A12"/>
    <mergeCell ref="A7:A10"/>
    <mergeCell ref="R3:R12"/>
    <mergeCell ref="B13:B18"/>
    <mergeCell ref="A13:A17"/>
    <mergeCell ref="B3:B12"/>
    <mergeCell ref="A3:A6"/>
    <mergeCell ref="C3:C6"/>
    <mergeCell ref="R13:R18"/>
    <mergeCell ref="K3:K12"/>
    <mergeCell ref="K13:K18"/>
    <mergeCell ref="M1:Q1"/>
    <mergeCell ref="M3:M12"/>
    <mergeCell ref="M13:M18"/>
    <mergeCell ref="N3:N12"/>
    <mergeCell ref="N13:N18"/>
    <mergeCell ref="O3:O12"/>
    <mergeCell ref="O13:O18"/>
    <mergeCell ref="P3:P12"/>
    <mergeCell ref="P13:P18"/>
    <mergeCell ref="Q3:Q12"/>
    <mergeCell ref="Q13:Q18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4903-40DE-4423-8AF1-B301A915A70A}">
  <sheetPr codeName="Sheet2">
    <tabColor rgb="FF3366FF"/>
  </sheetPr>
  <dimension ref="A1:G8"/>
  <sheetViews>
    <sheetView zoomScale="115" zoomScaleNormal="115" workbookViewId="0">
      <selection activeCell="G8" sqref="G8"/>
    </sheetView>
  </sheetViews>
  <sheetFormatPr defaultColWidth="8.75" defaultRowHeight="16.5"/>
  <cols>
    <col min="1" max="1" width="8.5" style="56" bestFit="1" customWidth="1"/>
    <col min="2" max="2" width="15.5" style="21" bestFit="1" customWidth="1"/>
    <col min="3" max="3" width="16.625" style="21" bestFit="1" customWidth="1"/>
    <col min="4" max="4" width="9.5" style="21" customWidth="1"/>
    <col min="5" max="5" width="10.875" style="20" customWidth="1"/>
    <col min="6" max="7" width="9.75" style="20" customWidth="1"/>
    <col min="8" max="16384" width="8.75" style="11"/>
  </cols>
  <sheetData>
    <row r="1" spans="1:7">
      <c r="A1" s="55"/>
      <c r="B1" s="24"/>
      <c r="C1" s="24"/>
      <c r="D1" s="24"/>
      <c r="E1" s="23"/>
      <c r="F1" s="41"/>
      <c r="G1" s="41"/>
    </row>
    <row r="2" spans="1:7">
      <c r="A2" s="32" t="s">
        <v>470</v>
      </c>
      <c r="B2" s="10" t="s">
        <v>471</v>
      </c>
      <c r="C2" s="10" t="s">
        <v>472</v>
      </c>
      <c r="D2" s="10" t="s">
        <v>61</v>
      </c>
      <c r="E2" s="10" t="s">
        <v>30</v>
      </c>
      <c r="F2" s="10" t="s">
        <v>24</v>
      </c>
      <c r="G2" s="10" t="s">
        <v>23</v>
      </c>
    </row>
    <row r="3" spans="1:7" ht="16.5" customHeight="1">
      <c r="A3" s="57" t="s">
        <v>86</v>
      </c>
      <c r="B3" s="74" t="s">
        <v>507</v>
      </c>
      <c r="C3" s="74" t="s">
        <v>506</v>
      </c>
      <c r="D3" s="38" t="s">
        <v>693</v>
      </c>
      <c r="E3" s="27" t="s">
        <v>31</v>
      </c>
      <c r="F3" s="58">
        <f>COUNT('01_지번별 토지 특성'!A6:A161)</f>
        <v>156</v>
      </c>
      <c r="G3" s="58">
        <v>305064</v>
      </c>
    </row>
    <row r="4" spans="1:7">
      <c r="A4" s="55"/>
      <c r="B4" s="24"/>
      <c r="C4" s="24"/>
      <c r="D4" s="24"/>
      <c r="E4" s="23"/>
      <c r="F4" s="23"/>
      <c r="G4" s="23"/>
    </row>
    <row r="5" spans="1:7">
      <c r="A5" s="34" t="s">
        <v>694</v>
      </c>
    </row>
    <row r="6" spans="1:7">
      <c r="A6" s="34" t="s">
        <v>695</v>
      </c>
    </row>
    <row r="7" spans="1:7">
      <c r="A7" s="34" t="s">
        <v>696</v>
      </c>
    </row>
    <row r="8" spans="1:7">
      <c r="A8" s="34" t="s">
        <v>697</v>
      </c>
    </row>
  </sheetData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0D44-9DAE-4908-A77B-F3E50DD1A5C0}">
  <sheetPr codeName="Sheet4">
    <tabColor theme="9" tint="-0.249977111117893"/>
  </sheetPr>
  <dimension ref="A1:F187"/>
  <sheetViews>
    <sheetView workbookViewId="0">
      <pane ySplit="1" topLeftCell="A2" activePane="bottomLeft" state="frozen"/>
      <selection activeCell="C3" sqref="C3:C24"/>
      <selection pane="bottomLeft" activeCell="E25" sqref="E25"/>
    </sheetView>
  </sheetViews>
  <sheetFormatPr defaultRowHeight="16.5"/>
  <cols>
    <col min="1" max="1" width="20.25" style="46" bestFit="1" customWidth="1"/>
    <col min="2" max="2" width="20" style="46" bestFit="1" customWidth="1"/>
    <col min="3" max="3" width="17.25" style="46" bestFit="1" customWidth="1"/>
    <col min="4" max="4" width="9" style="47" bestFit="1" customWidth="1"/>
    <col min="5" max="5" width="11.25" style="46" customWidth="1"/>
    <col min="6" max="6" width="21.75" style="46" customWidth="1"/>
    <col min="7" max="7" width="11.375" bestFit="1" customWidth="1"/>
  </cols>
  <sheetData>
    <row r="1" spans="1:6">
      <c r="A1" s="46" t="s">
        <v>80</v>
      </c>
      <c r="B1" s="46" t="s">
        <v>81</v>
      </c>
      <c r="C1" s="46" t="s">
        <v>82</v>
      </c>
      <c r="D1" s="47" t="s">
        <v>83</v>
      </c>
      <c r="E1" s="46" t="s">
        <v>84</v>
      </c>
      <c r="F1" s="46" t="s">
        <v>85</v>
      </c>
    </row>
    <row r="2" spans="1:6">
      <c r="A2" s="52" t="s">
        <v>506</v>
      </c>
      <c r="B2" s="52" t="s">
        <v>338</v>
      </c>
      <c r="C2" s="52" t="s">
        <v>339</v>
      </c>
      <c r="D2" s="53">
        <v>1</v>
      </c>
      <c r="E2" s="52" t="s">
        <v>323</v>
      </c>
      <c r="F2" s="52" t="s">
        <v>87</v>
      </c>
    </row>
    <row r="3" spans="1:6">
      <c r="A3" s="52" t="s">
        <v>506</v>
      </c>
      <c r="B3" s="52" t="s">
        <v>338</v>
      </c>
      <c r="C3" s="52" t="s">
        <v>339</v>
      </c>
      <c r="D3" s="53">
        <v>2</v>
      </c>
      <c r="E3" s="52" t="s">
        <v>324</v>
      </c>
      <c r="F3" s="52" t="s">
        <v>89</v>
      </c>
    </row>
    <row r="4" spans="1:6">
      <c r="A4" s="52" t="s">
        <v>506</v>
      </c>
      <c r="B4" s="52" t="s">
        <v>338</v>
      </c>
      <c r="C4" s="52" t="s">
        <v>339</v>
      </c>
      <c r="D4" s="53">
        <v>3</v>
      </c>
      <c r="E4" s="52" t="s">
        <v>325</v>
      </c>
      <c r="F4" s="52" t="s">
        <v>91</v>
      </c>
    </row>
    <row r="5" spans="1:6">
      <c r="A5" s="52" t="s">
        <v>506</v>
      </c>
      <c r="B5" s="52" t="s">
        <v>338</v>
      </c>
      <c r="C5" s="52" t="s">
        <v>339</v>
      </c>
      <c r="D5" s="53">
        <v>4</v>
      </c>
      <c r="E5" s="52" t="s">
        <v>326</v>
      </c>
      <c r="F5" s="52" t="s">
        <v>93</v>
      </c>
    </row>
    <row r="6" spans="1:6">
      <c r="A6" s="52" t="s">
        <v>506</v>
      </c>
      <c r="B6" s="52" t="s">
        <v>338</v>
      </c>
      <c r="C6" s="52" t="s">
        <v>339</v>
      </c>
      <c r="D6" s="53">
        <v>5</v>
      </c>
      <c r="E6" s="52" t="s">
        <v>327</v>
      </c>
      <c r="F6" s="52" t="s">
        <v>95</v>
      </c>
    </row>
    <row r="7" spans="1:6">
      <c r="A7" s="52" t="s">
        <v>506</v>
      </c>
      <c r="B7" s="52" t="s">
        <v>338</v>
      </c>
      <c r="C7" s="52" t="s">
        <v>339</v>
      </c>
      <c r="D7" s="53">
        <v>6</v>
      </c>
      <c r="E7" s="52" t="s">
        <v>328</v>
      </c>
      <c r="F7" s="52" t="s">
        <v>97</v>
      </c>
    </row>
    <row r="8" spans="1:6">
      <c r="A8" s="52" t="s">
        <v>506</v>
      </c>
      <c r="B8" s="52" t="s">
        <v>338</v>
      </c>
      <c r="C8" s="52" t="s">
        <v>339</v>
      </c>
      <c r="D8" s="53">
        <v>7</v>
      </c>
      <c r="E8" s="52" t="s">
        <v>329</v>
      </c>
      <c r="F8" s="52" t="s">
        <v>99</v>
      </c>
    </row>
    <row r="9" spans="1:6">
      <c r="A9" s="52" t="s">
        <v>506</v>
      </c>
      <c r="B9" s="52" t="s">
        <v>338</v>
      </c>
      <c r="C9" s="52" t="s">
        <v>339</v>
      </c>
      <c r="D9" s="53">
        <v>8</v>
      </c>
      <c r="E9" s="52" t="s">
        <v>330</v>
      </c>
      <c r="F9" s="52" t="s">
        <v>101</v>
      </c>
    </row>
    <row r="10" spans="1:6">
      <c r="A10" s="52" t="s">
        <v>506</v>
      </c>
      <c r="B10" s="52" t="s">
        <v>338</v>
      </c>
      <c r="C10" s="52" t="s">
        <v>339</v>
      </c>
      <c r="D10" s="53">
        <v>9</v>
      </c>
      <c r="E10" s="52" t="s">
        <v>266</v>
      </c>
      <c r="F10" s="52" t="s">
        <v>103</v>
      </c>
    </row>
    <row r="11" spans="1:6">
      <c r="A11" s="52" t="s">
        <v>506</v>
      </c>
      <c r="B11" s="52" t="s">
        <v>340</v>
      </c>
      <c r="C11" s="52" t="s">
        <v>68</v>
      </c>
      <c r="D11" s="53">
        <v>1</v>
      </c>
      <c r="E11" s="52" t="s">
        <v>86</v>
      </c>
      <c r="F11" s="52" t="s">
        <v>104</v>
      </c>
    </row>
    <row r="12" spans="1:6">
      <c r="A12" s="52" t="s">
        <v>506</v>
      </c>
      <c r="B12" s="52" t="s">
        <v>340</v>
      </c>
      <c r="C12" s="52" t="s">
        <v>68</v>
      </c>
      <c r="D12" s="53">
        <v>2</v>
      </c>
      <c r="E12" s="52" t="s">
        <v>105</v>
      </c>
      <c r="F12" s="52" t="s">
        <v>106</v>
      </c>
    </row>
    <row r="13" spans="1:6">
      <c r="A13" s="52" t="s">
        <v>506</v>
      </c>
      <c r="B13" s="52" t="s">
        <v>340</v>
      </c>
      <c r="C13" s="52" t="s">
        <v>68</v>
      </c>
      <c r="D13" s="53">
        <v>3</v>
      </c>
      <c r="E13" s="52" t="s">
        <v>90</v>
      </c>
      <c r="F13" s="52" t="s">
        <v>107</v>
      </c>
    </row>
    <row r="14" spans="1:6">
      <c r="A14" s="52" t="s">
        <v>506</v>
      </c>
      <c r="B14" s="52" t="s">
        <v>340</v>
      </c>
      <c r="C14" s="52" t="s">
        <v>68</v>
      </c>
      <c r="D14" s="53">
        <v>4</v>
      </c>
      <c r="E14" s="52" t="s">
        <v>92</v>
      </c>
      <c r="F14" s="52" t="s">
        <v>108</v>
      </c>
    </row>
    <row r="15" spans="1:6">
      <c r="A15" s="52" t="s">
        <v>506</v>
      </c>
      <c r="B15" s="52" t="s">
        <v>340</v>
      </c>
      <c r="C15" s="52" t="s">
        <v>68</v>
      </c>
      <c r="D15" s="53">
        <v>5</v>
      </c>
      <c r="E15" s="52" t="s">
        <v>94</v>
      </c>
      <c r="F15" s="52" t="s">
        <v>109</v>
      </c>
    </row>
    <row r="16" spans="1:6">
      <c r="A16" s="52" t="s">
        <v>506</v>
      </c>
      <c r="B16" s="52" t="s">
        <v>340</v>
      </c>
      <c r="C16" s="52" t="s">
        <v>68</v>
      </c>
      <c r="D16" s="53">
        <v>6</v>
      </c>
      <c r="E16" s="52" t="s">
        <v>96</v>
      </c>
      <c r="F16" s="52" t="s">
        <v>110</v>
      </c>
    </row>
    <row r="17" spans="1:6">
      <c r="A17" s="52" t="s">
        <v>506</v>
      </c>
      <c r="B17" s="52" t="s">
        <v>340</v>
      </c>
      <c r="C17" s="52" t="s">
        <v>68</v>
      </c>
      <c r="D17" s="53">
        <v>7</v>
      </c>
      <c r="E17" s="52" t="s">
        <v>98</v>
      </c>
      <c r="F17" s="52" t="s">
        <v>111</v>
      </c>
    </row>
    <row r="18" spans="1:6">
      <c r="A18" s="52" t="s">
        <v>506</v>
      </c>
      <c r="B18" s="52" t="s">
        <v>340</v>
      </c>
      <c r="C18" s="52" t="s">
        <v>68</v>
      </c>
      <c r="D18" s="53">
        <v>8</v>
      </c>
      <c r="E18" s="52" t="s">
        <v>100</v>
      </c>
      <c r="F18" s="52" t="s">
        <v>112</v>
      </c>
    </row>
    <row r="19" spans="1:6">
      <c r="A19" s="52" t="s">
        <v>506</v>
      </c>
      <c r="B19" s="52" t="s">
        <v>340</v>
      </c>
      <c r="C19" s="52" t="s">
        <v>68</v>
      </c>
      <c r="D19" s="53">
        <v>9</v>
      </c>
      <c r="E19" s="52" t="s">
        <v>102</v>
      </c>
      <c r="F19" s="52" t="s">
        <v>113</v>
      </c>
    </row>
    <row r="20" spans="1:6">
      <c r="A20" s="52" t="s">
        <v>506</v>
      </c>
      <c r="B20" s="52" t="s">
        <v>340</v>
      </c>
      <c r="C20" s="52" t="s">
        <v>68</v>
      </c>
      <c r="D20" s="53">
        <v>10</v>
      </c>
      <c r="E20" s="52" t="s">
        <v>114</v>
      </c>
      <c r="F20" s="52" t="s">
        <v>115</v>
      </c>
    </row>
    <row r="21" spans="1:6">
      <c r="A21" s="52" t="s">
        <v>506</v>
      </c>
      <c r="B21" s="52" t="s">
        <v>340</v>
      </c>
      <c r="C21" s="52" t="s">
        <v>68</v>
      </c>
      <c r="D21" s="53">
        <v>11</v>
      </c>
      <c r="E21" s="52" t="s">
        <v>116</v>
      </c>
      <c r="F21" s="52" t="s">
        <v>117</v>
      </c>
    </row>
    <row r="22" spans="1:6">
      <c r="A22" s="52" t="s">
        <v>506</v>
      </c>
      <c r="B22" s="52" t="s">
        <v>340</v>
      </c>
      <c r="C22" s="52" t="s">
        <v>68</v>
      </c>
      <c r="D22" s="53">
        <v>12</v>
      </c>
      <c r="E22" s="52" t="s">
        <v>118</v>
      </c>
      <c r="F22" s="52" t="s">
        <v>119</v>
      </c>
    </row>
    <row r="23" spans="1:6">
      <c r="A23" s="52" t="s">
        <v>506</v>
      </c>
      <c r="B23" s="52" t="s">
        <v>340</v>
      </c>
      <c r="C23" s="52" t="s">
        <v>68</v>
      </c>
      <c r="D23" s="53">
        <v>13</v>
      </c>
      <c r="E23" s="52" t="s">
        <v>120</v>
      </c>
      <c r="F23" s="52" t="s">
        <v>121</v>
      </c>
    </row>
    <row r="24" spans="1:6">
      <c r="A24" s="52" t="s">
        <v>506</v>
      </c>
      <c r="B24" s="52" t="s">
        <v>340</v>
      </c>
      <c r="C24" s="52" t="s">
        <v>68</v>
      </c>
      <c r="D24" s="53">
        <v>14</v>
      </c>
      <c r="E24" s="52" t="s">
        <v>122</v>
      </c>
      <c r="F24" s="52" t="s">
        <v>123</v>
      </c>
    </row>
    <row r="25" spans="1:6">
      <c r="A25" s="52" t="s">
        <v>506</v>
      </c>
      <c r="B25" s="52" t="s">
        <v>340</v>
      </c>
      <c r="C25" s="52" t="s">
        <v>68</v>
      </c>
      <c r="D25" s="53">
        <v>15</v>
      </c>
      <c r="E25" s="52" t="s">
        <v>124</v>
      </c>
      <c r="F25" s="52" t="s">
        <v>125</v>
      </c>
    </row>
    <row r="26" spans="1:6">
      <c r="A26" s="52" t="s">
        <v>506</v>
      </c>
      <c r="B26" s="52" t="s">
        <v>340</v>
      </c>
      <c r="C26" s="52" t="s">
        <v>68</v>
      </c>
      <c r="D26" s="53">
        <v>16</v>
      </c>
      <c r="E26" s="52" t="s">
        <v>126</v>
      </c>
      <c r="F26" s="52" t="s">
        <v>127</v>
      </c>
    </row>
    <row r="27" spans="1:6">
      <c r="A27" s="52" t="s">
        <v>506</v>
      </c>
      <c r="B27" s="52" t="s">
        <v>340</v>
      </c>
      <c r="C27" s="52" t="s">
        <v>68</v>
      </c>
      <c r="D27" s="53">
        <v>17</v>
      </c>
      <c r="E27" s="52" t="s">
        <v>128</v>
      </c>
      <c r="F27" s="52" t="s">
        <v>129</v>
      </c>
    </row>
    <row r="28" spans="1:6">
      <c r="A28" s="52" t="s">
        <v>506</v>
      </c>
      <c r="B28" s="52" t="s">
        <v>340</v>
      </c>
      <c r="C28" s="52" t="s">
        <v>68</v>
      </c>
      <c r="D28" s="53">
        <v>18</v>
      </c>
      <c r="E28" s="52" t="s">
        <v>130</v>
      </c>
      <c r="F28" s="52" t="s">
        <v>131</v>
      </c>
    </row>
    <row r="29" spans="1:6">
      <c r="A29" s="52" t="s">
        <v>506</v>
      </c>
      <c r="B29" s="52" t="s">
        <v>340</v>
      </c>
      <c r="C29" s="52" t="s">
        <v>68</v>
      </c>
      <c r="D29" s="53">
        <v>19</v>
      </c>
      <c r="E29" s="52" t="s">
        <v>132</v>
      </c>
      <c r="F29" s="52" t="s">
        <v>133</v>
      </c>
    </row>
    <row r="30" spans="1:6">
      <c r="A30" s="52" t="s">
        <v>506</v>
      </c>
      <c r="B30" s="52" t="s">
        <v>340</v>
      </c>
      <c r="C30" s="52" t="s">
        <v>68</v>
      </c>
      <c r="D30" s="53">
        <v>20</v>
      </c>
      <c r="E30" s="52" t="s">
        <v>134</v>
      </c>
      <c r="F30" s="52" t="s">
        <v>135</v>
      </c>
    </row>
    <row r="31" spans="1:6">
      <c r="A31" s="52" t="s">
        <v>506</v>
      </c>
      <c r="B31" s="52" t="s">
        <v>340</v>
      </c>
      <c r="C31" s="52" t="s">
        <v>68</v>
      </c>
      <c r="D31" s="53">
        <v>21</v>
      </c>
      <c r="E31" s="52" t="s">
        <v>136</v>
      </c>
      <c r="F31" s="52" t="s">
        <v>137</v>
      </c>
    </row>
    <row r="32" spans="1:6">
      <c r="A32" s="52" t="s">
        <v>506</v>
      </c>
      <c r="B32" s="52" t="s">
        <v>340</v>
      </c>
      <c r="C32" s="52" t="s">
        <v>68</v>
      </c>
      <c r="D32" s="53">
        <v>22</v>
      </c>
      <c r="E32" s="52" t="s">
        <v>138</v>
      </c>
      <c r="F32" s="52" t="s">
        <v>139</v>
      </c>
    </row>
    <row r="33" spans="1:6">
      <c r="A33" s="52" t="s">
        <v>506</v>
      </c>
      <c r="B33" s="52" t="s">
        <v>340</v>
      </c>
      <c r="C33" s="52" t="s">
        <v>68</v>
      </c>
      <c r="D33" s="53">
        <v>23</v>
      </c>
      <c r="E33" s="52" t="s">
        <v>140</v>
      </c>
      <c r="F33" s="52" t="s">
        <v>141</v>
      </c>
    </row>
    <row r="34" spans="1:6">
      <c r="A34" s="52" t="s">
        <v>506</v>
      </c>
      <c r="B34" s="52" t="s">
        <v>340</v>
      </c>
      <c r="C34" s="52" t="s">
        <v>68</v>
      </c>
      <c r="D34" s="53">
        <v>24</v>
      </c>
      <c r="E34" s="52" t="s">
        <v>142</v>
      </c>
      <c r="F34" s="52" t="s">
        <v>143</v>
      </c>
    </row>
    <row r="35" spans="1:6">
      <c r="A35" s="52" t="s">
        <v>506</v>
      </c>
      <c r="B35" s="52" t="s">
        <v>340</v>
      </c>
      <c r="C35" s="52" t="s">
        <v>68</v>
      </c>
      <c r="D35" s="53">
        <v>25</v>
      </c>
      <c r="E35" s="52" t="s">
        <v>144</v>
      </c>
      <c r="F35" s="52" t="s">
        <v>145</v>
      </c>
    </row>
    <row r="36" spans="1:6">
      <c r="A36" s="52" t="s">
        <v>506</v>
      </c>
      <c r="B36" s="52" t="s">
        <v>340</v>
      </c>
      <c r="C36" s="52" t="s">
        <v>68</v>
      </c>
      <c r="D36" s="53">
        <v>26</v>
      </c>
      <c r="E36" s="52" t="s">
        <v>146</v>
      </c>
      <c r="F36" s="52" t="s">
        <v>147</v>
      </c>
    </row>
    <row r="37" spans="1:6">
      <c r="A37" s="52" t="s">
        <v>506</v>
      </c>
      <c r="B37" s="52" t="s">
        <v>340</v>
      </c>
      <c r="C37" s="52" t="s">
        <v>68</v>
      </c>
      <c r="D37" s="53">
        <v>27</v>
      </c>
      <c r="E37" s="52" t="s">
        <v>148</v>
      </c>
      <c r="F37" s="52" t="s">
        <v>149</v>
      </c>
    </row>
    <row r="38" spans="1:6">
      <c r="A38" s="52" t="s">
        <v>506</v>
      </c>
      <c r="B38" s="52" t="s">
        <v>340</v>
      </c>
      <c r="C38" s="52" t="s">
        <v>68</v>
      </c>
      <c r="D38" s="53">
        <v>28</v>
      </c>
      <c r="E38" s="52" t="s">
        <v>150</v>
      </c>
      <c r="F38" s="52" t="s">
        <v>151</v>
      </c>
    </row>
    <row r="39" spans="1:6">
      <c r="A39" s="52" t="s">
        <v>506</v>
      </c>
      <c r="B39" s="52" t="s">
        <v>341</v>
      </c>
      <c r="C39" s="52" t="s">
        <v>74</v>
      </c>
      <c r="D39" s="53">
        <v>1</v>
      </c>
      <c r="E39" s="52">
        <v>11</v>
      </c>
      <c r="F39" s="52" t="s">
        <v>152</v>
      </c>
    </row>
    <row r="40" spans="1:6">
      <c r="A40" s="52" t="s">
        <v>506</v>
      </c>
      <c r="B40" s="52" t="s">
        <v>341</v>
      </c>
      <c r="C40" s="52" t="s">
        <v>74</v>
      </c>
      <c r="D40" s="53">
        <v>2</v>
      </c>
      <c r="E40" s="52">
        <v>12</v>
      </c>
      <c r="F40" s="52" t="s">
        <v>153</v>
      </c>
    </row>
    <row r="41" spans="1:6">
      <c r="A41" s="52" t="s">
        <v>506</v>
      </c>
      <c r="B41" s="52" t="s">
        <v>341</v>
      </c>
      <c r="C41" s="52" t="s">
        <v>74</v>
      </c>
      <c r="D41" s="53">
        <v>3</v>
      </c>
      <c r="E41" s="52">
        <v>13</v>
      </c>
      <c r="F41" s="52" t="s">
        <v>154</v>
      </c>
    </row>
    <row r="42" spans="1:6">
      <c r="A42" s="52" t="s">
        <v>506</v>
      </c>
      <c r="B42" s="52" t="s">
        <v>341</v>
      </c>
      <c r="C42" s="52" t="s">
        <v>74</v>
      </c>
      <c r="D42" s="53">
        <v>4</v>
      </c>
      <c r="E42" s="52">
        <v>14</v>
      </c>
      <c r="F42" s="52" t="s">
        <v>155</v>
      </c>
    </row>
    <row r="43" spans="1:6">
      <c r="A43" s="52" t="s">
        <v>506</v>
      </c>
      <c r="B43" s="52" t="s">
        <v>341</v>
      </c>
      <c r="C43" s="52" t="s">
        <v>74</v>
      </c>
      <c r="D43" s="53">
        <v>5</v>
      </c>
      <c r="E43" s="52">
        <v>15</v>
      </c>
      <c r="F43" s="52" t="s">
        <v>156</v>
      </c>
    </row>
    <row r="44" spans="1:6">
      <c r="A44" s="52" t="s">
        <v>506</v>
      </c>
      <c r="B44" s="52" t="s">
        <v>341</v>
      </c>
      <c r="C44" s="52" t="s">
        <v>74</v>
      </c>
      <c r="D44" s="53">
        <v>6</v>
      </c>
      <c r="E44" s="52">
        <v>16</v>
      </c>
      <c r="F44" s="52" t="s">
        <v>157</v>
      </c>
    </row>
    <row r="45" spans="1:6">
      <c r="A45" s="52" t="s">
        <v>506</v>
      </c>
      <c r="B45" s="52" t="s">
        <v>341</v>
      </c>
      <c r="C45" s="52" t="s">
        <v>74</v>
      </c>
      <c r="D45" s="53">
        <v>7</v>
      </c>
      <c r="E45" s="52">
        <v>21</v>
      </c>
      <c r="F45" s="52" t="s">
        <v>158</v>
      </c>
    </row>
    <row r="46" spans="1:6">
      <c r="A46" s="52" t="s">
        <v>506</v>
      </c>
      <c r="B46" s="52" t="s">
        <v>341</v>
      </c>
      <c r="C46" s="52" t="s">
        <v>74</v>
      </c>
      <c r="D46" s="53">
        <v>8</v>
      </c>
      <c r="E46" s="52">
        <v>22</v>
      </c>
      <c r="F46" s="52" t="s">
        <v>159</v>
      </c>
    </row>
    <row r="47" spans="1:6">
      <c r="A47" s="52" t="s">
        <v>506</v>
      </c>
      <c r="B47" s="52" t="s">
        <v>341</v>
      </c>
      <c r="C47" s="52" t="s">
        <v>74</v>
      </c>
      <c r="D47" s="53">
        <v>9</v>
      </c>
      <c r="E47" s="52">
        <v>23</v>
      </c>
      <c r="F47" s="52" t="s">
        <v>160</v>
      </c>
    </row>
    <row r="48" spans="1:6">
      <c r="A48" s="52" t="s">
        <v>506</v>
      </c>
      <c r="B48" s="52" t="s">
        <v>341</v>
      </c>
      <c r="C48" s="52" t="s">
        <v>74</v>
      </c>
      <c r="D48" s="53">
        <v>10</v>
      </c>
      <c r="E48" s="52">
        <v>24</v>
      </c>
      <c r="F48" s="52" t="s">
        <v>161</v>
      </c>
    </row>
    <row r="49" spans="1:6">
      <c r="A49" s="52" t="s">
        <v>506</v>
      </c>
      <c r="B49" s="52" t="s">
        <v>341</v>
      </c>
      <c r="C49" s="52" t="s">
        <v>74</v>
      </c>
      <c r="D49" s="53">
        <v>11</v>
      </c>
      <c r="E49" s="52">
        <v>31</v>
      </c>
      <c r="F49" s="52" t="s">
        <v>162</v>
      </c>
    </row>
    <row r="50" spans="1:6">
      <c r="A50" s="52" t="s">
        <v>506</v>
      </c>
      <c r="B50" s="52" t="s">
        <v>341</v>
      </c>
      <c r="C50" s="52" t="s">
        <v>74</v>
      </c>
      <c r="D50" s="53">
        <v>12</v>
      </c>
      <c r="E50" s="52">
        <v>32</v>
      </c>
      <c r="F50" s="52" t="s">
        <v>163</v>
      </c>
    </row>
    <row r="51" spans="1:6">
      <c r="A51" s="52" t="s">
        <v>506</v>
      </c>
      <c r="B51" s="52" t="s">
        <v>341</v>
      </c>
      <c r="C51" s="52" t="s">
        <v>74</v>
      </c>
      <c r="D51" s="53">
        <v>13</v>
      </c>
      <c r="E51" s="52">
        <v>33</v>
      </c>
      <c r="F51" s="52" t="s">
        <v>164</v>
      </c>
    </row>
    <row r="52" spans="1:6">
      <c r="A52" s="52" t="s">
        <v>506</v>
      </c>
      <c r="B52" s="52" t="s">
        <v>341</v>
      </c>
      <c r="C52" s="52" t="s">
        <v>74</v>
      </c>
      <c r="D52" s="53">
        <v>14</v>
      </c>
      <c r="E52" s="52">
        <v>41</v>
      </c>
      <c r="F52" s="52" t="s">
        <v>165</v>
      </c>
    </row>
    <row r="53" spans="1:6">
      <c r="A53" s="52" t="s">
        <v>506</v>
      </c>
      <c r="B53" s="52" t="s">
        <v>341</v>
      </c>
      <c r="C53" s="52" t="s">
        <v>74</v>
      </c>
      <c r="D53" s="53">
        <v>15</v>
      </c>
      <c r="E53" s="52">
        <v>42</v>
      </c>
      <c r="F53" s="52" t="s">
        <v>166</v>
      </c>
    </row>
    <row r="54" spans="1:6">
      <c r="A54" s="52" t="s">
        <v>506</v>
      </c>
      <c r="B54" s="52" t="s">
        <v>341</v>
      </c>
      <c r="C54" s="52" t="s">
        <v>74</v>
      </c>
      <c r="D54" s="53">
        <v>16</v>
      </c>
      <c r="E54" s="52">
        <v>43</v>
      </c>
      <c r="F54" s="52" t="s">
        <v>167</v>
      </c>
    </row>
    <row r="55" spans="1:6">
      <c r="A55" s="52" t="s">
        <v>506</v>
      </c>
      <c r="B55" s="52" t="s">
        <v>341</v>
      </c>
      <c r="C55" s="52" t="s">
        <v>74</v>
      </c>
      <c r="D55" s="53">
        <v>17</v>
      </c>
      <c r="E55" s="52">
        <v>44</v>
      </c>
      <c r="F55" s="52" t="s">
        <v>168</v>
      </c>
    </row>
    <row r="56" spans="1:6">
      <c r="A56" s="52" t="s">
        <v>506</v>
      </c>
      <c r="B56" s="52" t="s">
        <v>341</v>
      </c>
      <c r="C56" s="52" t="s">
        <v>74</v>
      </c>
      <c r="D56" s="53">
        <v>18</v>
      </c>
      <c r="E56" s="52">
        <v>51</v>
      </c>
      <c r="F56" s="52" t="s">
        <v>169</v>
      </c>
    </row>
    <row r="57" spans="1:6">
      <c r="A57" s="52" t="s">
        <v>506</v>
      </c>
      <c r="B57" s="52" t="s">
        <v>341</v>
      </c>
      <c r="C57" s="52" t="s">
        <v>74</v>
      </c>
      <c r="D57" s="53">
        <v>19</v>
      </c>
      <c r="E57" s="52">
        <v>61</v>
      </c>
      <c r="F57" s="52" t="s">
        <v>170</v>
      </c>
    </row>
    <row r="58" spans="1:6">
      <c r="A58" s="52" t="s">
        <v>506</v>
      </c>
      <c r="B58" s="52" t="s">
        <v>341</v>
      </c>
      <c r="C58" s="52" t="s">
        <v>74</v>
      </c>
      <c r="D58" s="53">
        <v>20</v>
      </c>
      <c r="E58" s="52">
        <v>62</v>
      </c>
      <c r="F58" s="52" t="s">
        <v>171</v>
      </c>
    </row>
    <row r="59" spans="1:6">
      <c r="A59" s="52" t="s">
        <v>506</v>
      </c>
      <c r="B59" s="52" t="s">
        <v>341</v>
      </c>
      <c r="C59" s="52" t="s">
        <v>74</v>
      </c>
      <c r="D59" s="53">
        <v>21</v>
      </c>
      <c r="E59" s="52">
        <v>63</v>
      </c>
      <c r="F59" s="52" t="s">
        <v>172</v>
      </c>
    </row>
    <row r="60" spans="1:6">
      <c r="A60" s="52" t="s">
        <v>506</v>
      </c>
      <c r="B60" s="52" t="s">
        <v>341</v>
      </c>
      <c r="C60" s="52" t="s">
        <v>74</v>
      </c>
      <c r="D60" s="53">
        <v>22</v>
      </c>
      <c r="E60" s="52">
        <v>64</v>
      </c>
      <c r="F60" s="52" t="s">
        <v>173</v>
      </c>
    </row>
    <row r="61" spans="1:6">
      <c r="A61" s="52" t="s">
        <v>506</v>
      </c>
      <c r="B61" s="52" t="s">
        <v>341</v>
      </c>
      <c r="C61" s="52" t="s">
        <v>74</v>
      </c>
      <c r="D61" s="53">
        <v>23</v>
      </c>
      <c r="E61" s="52">
        <v>71</v>
      </c>
      <c r="F61" s="52" t="s">
        <v>174</v>
      </c>
    </row>
    <row r="62" spans="1:6">
      <c r="A62" s="52" t="s">
        <v>506</v>
      </c>
      <c r="B62" s="52" t="s">
        <v>341</v>
      </c>
      <c r="C62" s="52" t="s">
        <v>74</v>
      </c>
      <c r="D62" s="53">
        <v>24</v>
      </c>
      <c r="E62" s="52">
        <v>81</v>
      </c>
      <c r="F62" s="52" t="s">
        <v>175</v>
      </c>
    </row>
    <row r="63" spans="1:6">
      <c r="A63" s="52" t="s">
        <v>506</v>
      </c>
      <c r="B63" s="52" t="s">
        <v>341</v>
      </c>
      <c r="C63" s="52" t="s">
        <v>74</v>
      </c>
      <c r="D63" s="53">
        <v>25</v>
      </c>
      <c r="E63" s="52" t="s">
        <v>176</v>
      </c>
      <c r="F63" s="52" t="s">
        <v>177</v>
      </c>
    </row>
    <row r="64" spans="1:6">
      <c r="A64" s="52" t="s">
        <v>506</v>
      </c>
      <c r="B64" s="52" t="s">
        <v>342</v>
      </c>
      <c r="C64" s="52" t="s">
        <v>75</v>
      </c>
      <c r="D64" s="53">
        <v>1</v>
      </c>
      <c r="E64" s="52">
        <v>11</v>
      </c>
      <c r="F64" s="52" t="s">
        <v>152</v>
      </c>
    </row>
    <row r="65" spans="1:6">
      <c r="A65" s="52" t="s">
        <v>506</v>
      </c>
      <c r="B65" s="52" t="s">
        <v>342</v>
      </c>
      <c r="C65" s="52" t="s">
        <v>75</v>
      </c>
      <c r="D65" s="53">
        <v>2</v>
      </c>
      <c r="E65" s="52">
        <v>12</v>
      </c>
      <c r="F65" s="52" t="s">
        <v>153</v>
      </c>
    </row>
    <row r="66" spans="1:6">
      <c r="A66" s="52" t="s">
        <v>506</v>
      </c>
      <c r="B66" s="52" t="s">
        <v>342</v>
      </c>
      <c r="C66" s="52" t="s">
        <v>75</v>
      </c>
      <c r="D66" s="53">
        <v>3</v>
      </c>
      <c r="E66" s="52">
        <v>13</v>
      </c>
      <c r="F66" s="52" t="s">
        <v>154</v>
      </c>
    </row>
    <row r="67" spans="1:6">
      <c r="A67" s="52" t="s">
        <v>506</v>
      </c>
      <c r="B67" s="52" t="s">
        <v>342</v>
      </c>
      <c r="C67" s="52" t="s">
        <v>75</v>
      </c>
      <c r="D67" s="53">
        <v>4</v>
      </c>
      <c r="E67" s="52">
        <v>14</v>
      </c>
      <c r="F67" s="52" t="s">
        <v>155</v>
      </c>
    </row>
    <row r="68" spans="1:6">
      <c r="A68" s="52" t="s">
        <v>506</v>
      </c>
      <c r="B68" s="52" t="s">
        <v>342</v>
      </c>
      <c r="C68" s="52" t="s">
        <v>75</v>
      </c>
      <c r="D68" s="53">
        <v>5</v>
      </c>
      <c r="E68" s="52">
        <v>15</v>
      </c>
      <c r="F68" s="52" t="s">
        <v>156</v>
      </c>
    </row>
    <row r="69" spans="1:6">
      <c r="A69" s="52" t="s">
        <v>506</v>
      </c>
      <c r="B69" s="52" t="s">
        <v>342</v>
      </c>
      <c r="C69" s="52" t="s">
        <v>75</v>
      </c>
      <c r="D69" s="53">
        <v>6</v>
      </c>
      <c r="E69" s="52">
        <v>16</v>
      </c>
      <c r="F69" s="52" t="s">
        <v>157</v>
      </c>
    </row>
    <row r="70" spans="1:6">
      <c r="A70" s="52" t="s">
        <v>506</v>
      </c>
      <c r="B70" s="52" t="s">
        <v>342</v>
      </c>
      <c r="C70" s="52" t="s">
        <v>75</v>
      </c>
      <c r="D70" s="53">
        <v>7</v>
      </c>
      <c r="E70" s="52">
        <v>21</v>
      </c>
      <c r="F70" s="52" t="s">
        <v>158</v>
      </c>
    </row>
    <row r="71" spans="1:6">
      <c r="A71" s="52" t="s">
        <v>506</v>
      </c>
      <c r="B71" s="52" t="s">
        <v>342</v>
      </c>
      <c r="C71" s="52" t="s">
        <v>75</v>
      </c>
      <c r="D71" s="53">
        <v>8</v>
      </c>
      <c r="E71" s="52">
        <v>22</v>
      </c>
      <c r="F71" s="52" t="s">
        <v>159</v>
      </c>
    </row>
    <row r="72" spans="1:6">
      <c r="A72" s="52" t="s">
        <v>506</v>
      </c>
      <c r="B72" s="52" t="s">
        <v>342</v>
      </c>
      <c r="C72" s="52" t="s">
        <v>75</v>
      </c>
      <c r="D72" s="53">
        <v>9</v>
      </c>
      <c r="E72" s="52">
        <v>23</v>
      </c>
      <c r="F72" s="52" t="s">
        <v>160</v>
      </c>
    </row>
    <row r="73" spans="1:6">
      <c r="A73" s="52" t="s">
        <v>506</v>
      </c>
      <c r="B73" s="52" t="s">
        <v>342</v>
      </c>
      <c r="C73" s="52" t="s">
        <v>75</v>
      </c>
      <c r="D73" s="53">
        <v>10</v>
      </c>
      <c r="E73" s="52">
        <v>24</v>
      </c>
      <c r="F73" s="52" t="s">
        <v>161</v>
      </c>
    </row>
    <row r="74" spans="1:6">
      <c r="A74" s="52" t="s">
        <v>506</v>
      </c>
      <c r="B74" s="52" t="s">
        <v>342</v>
      </c>
      <c r="C74" s="52" t="s">
        <v>75</v>
      </c>
      <c r="D74" s="53">
        <v>11</v>
      </c>
      <c r="E74" s="52">
        <v>31</v>
      </c>
      <c r="F74" s="52" t="s">
        <v>162</v>
      </c>
    </row>
    <row r="75" spans="1:6">
      <c r="A75" s="52" t="s">
        <v>506</v>
      </c>
      <c r="B75" s="52" t="s">
        <v>342</v>
      </c>
      <c r="C75" s="52" t="s">
        <v>75</v>
      </c>
      <c r="D75" s="53">
        <v>12</v>
      </c>
      <c r="E75" s="52">
        <v>32</v>
      </c>
      <c r="F75" s="52" t="s">
        <v>163</v>
      </c>
    </row>
    <row r="76" spans="1:6">
      <c r="A76" s="52" t="s">
        <v>506</v>
      </c>
      <c r="B76" s="52" t="s">
        <v>342</v>
      </c>
      <c r="C76" s="52" t="s">
        <v>75</v>
      </c>
      <c r="D76" s="53">
        <v>13</v>
      </c>
      <c r="E76" s="52">
        <v>33</v>
      </c>
      <c r="F76" s="52" t="s">
        <v>164</v>
      </c>
    </row>
    <row r="77" spans="1:6">
      <c r="A77" s="52" t="s">
        <v>506</v>
      </c>
      <c r="B77" s="52" t="s">
        <v>342</v>
      </c>
      <c r="C77" s="52" t="s">
        <v>75</v>
      </c>
      <c r="D77" s="53">
        <v>14</v>
      </c>
      <c r="E77" s="52">
        <v>41</v>
      </c>
      <c r="F77" s="52" t="s">
        <v>165</v>
      </c>
    </row>
    <row r="78" spans="1:6">
      <c r="A78" s="52" t="s">
        <v>506</v>
      </c>
      <c r="B78" s="52" t="s">
        <v>342</v>
      </c>
      <c r="C78" s="52" t="s">
        <v>75</v>
      </c>
      <c r="D78" s="53">
        <v>15</v>
      </c>
      <c r="E78" s="52">
        <v>42</v>
      </c>
      <c r="F78" s="52" t="s">
        <v>166</v>
      </c>
    </row>
    <row r="79" spans="1:6">
      <c r="A79" s="52" t="s">
        <v>506</v>
      </c>
      <c r="B79" s="52" t="s">
        <v>342</v>
      </c>
      <c r="C79" s="52" t="s">
        <v>75</v>
      </c>
      <c r="D79" s="53">
        <v>16</v>
      </c>
      <c r="E79" s="52">
        <v>43</v>
      </c>
      <c r="F79" s="52" t="s">
        <v>167</v>
      </c>
    </row>
    <row r="80" spans="1:6">
      <c r="A80" s="52" t="s">
        <v>506</v>
      </c>
      <c r="B80" s="52" t="s">
        <v>342</v>
      </c>
      <c r="C80" s="52" t="s">
        <v>75</v>
      </c>
      <c r="D80" s="53">
        <v>17</v>
      </c>
      <c r="E80" s="52">
        <v>44</v>
      </c>
      <c r="F80" s="52" t="s">
        <v>168</v>
      </c>
    </row>
    <row r="81" spans="1:6">
      <c r="A81" s="52" t="s">
        <v>506</v>
      </c>
      <c r="B81" s="52" t="s">
        <v>342</v>
      </c>
      <c r="C81" s="52" t="s">
        <v>75</v>
      </c>
      <c r="D81" s="53">
        <v>18</v>
      </c>
      <c r="E81" s="52">
        <v>51</v>
      </c>
      <c r="F81" s="52" t="s">
        <v>169</v>
      </c>
    </row>
    <row r="82" spans="1:6">
      <c r="A82" s="52" t="s">
        <v>506</v>
      </c>
      <c r="B82" s="52" t="s">
        <v>342</v>
      </c>
      <c r="C82" s="52" t="s">
        <v>75</v>
      </c>
      <c r="D82" s="53">
        <v>19</v>
      </c>
      <c r="E82" s="52">
        <v>61</v>
      </c>
      <c r="F82" s="52" t="s">
        <v>170</v>
      </c>
    </row>
    <row r="83" spans="1:6">
      <c r="A83" s="52" t="s">
        <v>506</v>
      </c>
      <c r="B83" s="52" t="s">
        <v>342</v>
      </c>
      <c r="C83" s="52" t="s">
        <v>75</v>
      </c>
      <c r="D83" s="53">
        <v>20</v>
      </c>
      <c r="E83" s="52">
        <v>62</v>
      </c>
      <c r="F83" s="52" t="s">
        <v>171</v>
      </c>
    </row>
    <row r="84" spans="1:6">
      <c r="A84" s="52" t="s">
        <v>506</v>
      </c>
      <c r="B84" s="52" t="s">
        <v>342</v>
      </c>
      <c r="C84" s="52" t="s">
        <v>75</v>
      </c>
      <c r="D84" s="53">
        <v>21</v>
      </c>
      <c r="E84" s="52">
        <v>63</v>
      </c>
      <c r="F84" s="52" t="s">
        <v>172</v>
      </c>
    </row>
    <row r="85" spans="1:6">
      <c r="A85" s="52" t="s">
        <v>506</v>
      </c>
      <c r="B85" s="52" t="s">
        <v>342</v>
      </c>
      <c r="C85" s="52" t="s">
        <v>75</v>
      </c>
      <c r="D85" s="53">
        <v>22</v>
      </c>
      <c r="E85" s="52">
        <v>64</v>
      </c>
      <c r="F85" s="52" t="s">
        <v>173</v>
      </c>
    </row>
    <row r="86" spans="1:6">
      <c r="A86" s="52" t="s">
        <v>506</v>
      </c>
      <c r="B86" s="52" t="s">
        <v>342</v>
      </c>
      <c r="C86" s="52" t="s">
        <v>75</v>
      </c>
      <c r="D86" s="53">
        <v>23</v>
      </c>
      <c r="E86" s="52">
        <v>71</v>
      </c>
      <c r="F86" s="52" t="s">
        <v>174</v>
      </c>
    </row>
    <row r="87" spans="1:6">
      <c r="A87" s="52" t="s">
        <v>506</v>
      </c>
      <c r="B87" s="52" t="s">
        <v>342</v>
      </c>
      <c r="C87" s="52" t="s">
        <v>75</v>
      </c>
      <c r="D87" s="53">
        <v>24</v>
      </c>
      <c r="E87" s="52">
        <v>81</v>
      </c>
      <c r="F87" s="52" t="s">
        <v>175</v>
      </c>
    </row>
    <row r="88" spans="1:6">
      <c r="A88" s="52" t="s">
        <v>506</v>
      </c>
      <c r="B88" s="52" t="s">
        <v>342</v>
      </c>
      <c r="C88" s="52" t="s">
        <v>75</v>
      </c>
      <c r="D88" s="53">
        <v>25</v>
      </c>
      <c r="E88" s="52" t="s">
        <v>176</v>
      </c>
      <c r="F88" s="52" t="s">
        <v>177</v>
      </c>
    </row>
    <row r="89" spans="1:6">
      <c r="A89" s="52" t="s">
        <v>506</v>
      </c>
      <c r="B89" s="52" t="s">
        <v>293</v>
      </c>
      <c r="C89" s="52" t="s">
        <v>73</v>
      </c>
      <c r="D89" s="53">
        <v>1</v>
      </c>
      <c r="E89" s="52">
        <v>100</v>
      </c>
      <c r="F89" s="52" t="s">
        <v>178</v>
      </c>
    </row>
    <row r="90" spans="1:6">
      <c r="A90" s="52" t="s">
        <v>506</v>
      </c>
      <c r="B90" s="52" t="s">
        <v>293</v>
      </c>
      <c r="C90" s="52" t="s">
        <v>73</v>
      </c>
      <c r="D90" s="53">
        <v>2</v>
      </c>
      <c r="E90" s="52">
        <v>110</v>
      </c>
      <c r="F90" s="52" t="s">
        <v>179</v>
      </c>
    </row>
    <row r="91" spans="1:6">
      <c r="A91" s="52" t="s">
        <v>506</v>
      </c>
      <c r="B91" s="52" t="s">
        <v>293</v>
      </c>
      <c r="C91" s="52" t="s">
        <v>73</v>
      </c>
      <c r="D91" s="53">
        <v>3</v>
      </c>
      <c r="E91" s="52">
        <v>120</v>
      </c>
      <c r="F91" s="52" t="s">
        <v>180</v>
      </c>
    </row>
    <row r="92" spans="1:6">
      <c r="A92" s="52" t="s">
        <v>506</v>
      </c>
      <c r="B92" s="52" t="s">
        <v>293</v>
      </c>
      <c r="C92" s="52" t="s">
        <v>73</v>
      </c>
      <c r="D92" s="53">
        <v>4</v>
      </c>
      <c r="E92" s="52">
        <v>130</v>
      </c>
      <c r="F92" s="52" t="s">
        <v>181</v>
      </c>
    </row>
    <row r="93" spans="1:6">
      <c r="A93" s="52" t="s">
        <v>506</v>
      </c>
      <c r="B93" s="52" t="s">
        <v>293</v>
      </c>
      <c r="C93" s="52" t="s">
        <v>73</v>
      </c>
      <c r="D93" s="53">
        <v>5</v>
      </c>
      <c r="E93" s="52">
        <v>140</v>
      </c>
      <c r="F93" s="52" t="s">
        <v>182</v>
      </c>
    </row>
    <row r="94" spans="1:6">
      <c r="A94" s="52" t="s">
        <v>506</v>
      </c>
      <c r="B94" s="52" t="s">
        <v>293</v>
      </c>
      <c r="C94" s="52" t="s">
        <v>73</v>
      </c>
      <c r="D94" s="53">
        <v>6</v>
      </c>
      <c r="E94" s="52">
        <v>150</v>
      </c>
      <c r="F94" s="52" t="s">
        <v>183</v>
      </c>
    </row>
    <row r="95" spans="1:6">
      <c r="A95" s="52" t="s">
        <v>506</v>
      </c>
      <c r="B95" s="52" t="s">
        <v>293</v>
      </c>
      <c r="C95" s="52" t="s">
        <v>73</v>
      </c>
      <c r="D95" s="53">
        <v>7</v>
      </c>
      <c r="E95" s="52">
        <v>160</v>
      </c>
      <c r="F95" s="52" t="s">
        <v>184</v>
      </c>
    </row>
    <row r="96" spans="1:6">
      <c r="A96" s="52" t="s">
        <v>506</v>
      </c>
      <c r="B96" s="52" t="s">
        <v>293</v>
      </c>
      <c r="C96" s="52" t="s">
        <v>73</v>
      </c>
      <c r="D96" s="53">
        <v>8</v>
      </c>
      <c r="E96" s="52">
        <v>200</v>
      </c>
      <c r="F96" s="52" t="s">
        <v>185</v>
      </c>
    </row>
    <row r="97" spans="1:6">
      <c r="A97" s="52" t="s">
        <v>506</v>
      </c>
      <c r="B97" s="52" t="s">
        <v>293</v>
      </c>
      <c r="C97" s="52" t="s">
        <v>73</v>
      </c>
      <c r="D97" s="53">
        <v>9</v>
      </c>
      <c r="E97" s="52">
        <v>210</v>
      </c>
      <c r="F97" s="52" t="s">
        <v>186</v>
      </c>
    </row>
    <row r="98" spans="1:6">
      <c r="A98" s="52" t="s">
        <v>506</v>
      </c>
      <c r="B98" s="52" t="s">
        <v>293</v>
      </c>
      <c r="C98" s="52" t="s">
        <v>73</v>
      </c>
      <c r="D98" s="53">
        <v>10</v>
      </c>
      <c r="E98" s="52">
        <v>220</v>
      </c>
      <c r="F98" s="52" t="s">
        <v>187</v>
      </c>
    </row>
    <row r="99" spans="1:6">
      <c r="A99" s="52" t="s">
        <v>506</v>
      </c>
      <c r="B99" s="52" t="s">
        <v>293</v>
      </c>
      <c r="C99" s="52" t="s">
        <v>73</v>
      </c>
      <c r="D99" s="53">
        <v>11</v>
      </c>
      <c r="E99" s="52">
        <v>230</v>
      </c>
      <c r="F99" s="52" t="s">
        <v>188</v>
      </c>
    </row>
    <row r="100" spans="1:6">
      <c r="A100" s="52" t="s">
        <v>506</v>
      </c>
      <c r="B100" s="52" t="s">
        <v>293</v>
      </c>
      <c r="C100" s="52" t="s">
        <v>73</v>
      </c>
      <c r="D100" s="53">
        <v>12</v>
      </c>
      <c r="E100" s="52">
        <v>240</v>
      </c>
      <c r="F100" s="52" t="s">
        <v>189</v>
      </c>
    </row>
    <row r="101" spans="1:6">
      <c r="A101" s="52" t="s">
        <v>506</v>
      </c>
      <c r="B101" s="52" t="s">
        <v>293</v>
      </c>
      <c r="C101" s="52" t="s">
        <v>73</v>
      </c>
      <c r="D101" s="53">
        <v>13</v>
      </c>
      <c r="E101" s="52">
        <v>300</v>
      </c>
      <c r="F101" s="52" t="s">
        <v>190</v>
      </c>
    </row>
    <row r="102" spans="1:6">
      <c r="A102" s="52" t="s">
        <v>506</v>
      </c>
      <c r="B102" s="52" t="s">
        <v>293</v>
      </c>
      <c r="C102" s="52" t="s">
        <v>73</v>
      </c>
      <c r="D102" s="53">
        <v>14</v>
      </c>
      <c r="E102" s="52">
        <v>310</v>
      </c>
      <c r="F102" s="52" t="s">
        <v>191</v>
      </c>
    </row>
    <row r="103" spans="1:6">
      <c r="A103" s="52" t="s">
        <v>506</v>
      </c>
      <c r="B103" s="52" t="s">
        <v>293</v>
      </c>
      <c r="C103" s="52" t="s">
        <v>73</v>
      </c>
      <c r="D103" s="53">
        <v>15</v>
      </c>
      <c r="E103" s="52">
        <v>320</v>
      </c>
      <c r="F103" s="52" t="s">
        <v>192</v>
      </c>
    </row>
    <row r="104" spans="1:6">
      <c r="A104" s="52" t="s">
        <v>506</v>
      </c>
      <c r="B104" s="52" t="s">
        <v>293</v>
      </c>
      <c r="C104" s="52" t="s">
        <v>73</v>
      </c>
      <c r="D104" s="53">
        <v>16</v>
      </c>
      <c r="E104" s="52">
        <v>330</v>
      </c>
      <c r="F104" s="52" t="s">
        <v>193</v>
      </c>
    </row>
    <row r="105" spans="1:6">
      <c r="A105" s="52" t="s">
        <v>506</v>
      </c>
      <c r="B105" s="52" t="s">
        <v>293</v>
      </c>
      <c r="C105" s="52" t="s">
        <v>73</v>
      </c>
      <c r="D105" s="53">
        <v>17</v>
      </c>
      <c r="E105" s="52">
        <v>400</v>
      </c>
      <c r="F105" s="52" t="s">
        <v>194</v>
      </c>
    </row>
    <row r="106" spans="1:6">
      <c r="A106" s="52" t="s">
        <v>506</v>
      </c>
      <c r="B106" s="52" t="s">
        <v>293</v>
      </c>
      <c r="C106" s="52" t="s">
        <v>73</v>
      </c>
      <c r="D106" s="53">
        <v>18</v>
      </c>
      <c r="E106" s="52">
        <v>410</v>
      </c>
      <c r="F106" s="52" t="s">
        <v>194</v>
      </c>
    </row>
    <row r="107" spans="1:6">
      <c r="A107" s="52" t="s">
        <v>506</v>
      </c>
      <c r="B107" s="52" t="s">
        <v>293</v>
      </c>
      <c r="C107" s="52" t="s">
        <v>73</v>
      </c>
      <c r="D107" s="53">
        <v>19</v>
      </c>
      <c r="E107" s="52">
        <v>420</v>
      </c>
      <c r="F107" s="52" t="s">
        <v>195</v>
      </c>
    </row>
    <row r="108" spans="1:6">
      <c r="A108" s="52" t="s">
        <v>506</v>
      </c>
      <c r="B108" s="52" t="s">
        <v>293</v>
      </c>
      <c r="C108" s="52" t="s">
        <v>73</v>
      </c>
      <c r="D108" s="53">
        <v>20</v>
      </c>
      <c r="E108" s="52">
        <v>430</v>
      </c>
      <c r="F108" s="52" t="s">
        <v>196</v>
      </c>
    </row>
    <row r="109" spans="1:6">
      <c r="A109" s="52" t="s">
        <v>506</v>
      </c>
      <c r="B109" s="52" t="s">
        <v>293</v>
      </c>
      <c r="C109" s="52" t="s">
        <v>73</v>
      </c>
      <c r="D109" s="53">
        <v>21</v>
      </c>
      <c r="E109" s="52">
        <v>440</v>
      </c>
      <c r="F109" s="52" t="s">
        <v>197</v>
      </c>
    </row>
    <row r="110" spans="1:6">
      <c r="A110" s="52" t="s">
        <v>506</v>
      </c>
      <c r="B110" s="52" t="s">
        <v>293</v>
      </c>
      <c r="C110" s="52" t="s">
        <v>73</v>
      </c>
      <c r="D110" s="53">
        <v>22</v>
      </c>
      <c r="E110" s="52">
        <v>500</v>
      </c>
      <c r="F110" s="52" t="s">
        <v>198</v>
      </c>
    </row>
    <row r="111" spans="1:6">
      <c r="A111" s="52" t="s">
        <v>506</v>
      </c>
      <c r="B111" s="52" t="s">
        <v>293</v>
      </c>
      <c r="C111" s="52" t="s">
        <v>73</v>
      </c>
      <c r="D111" s="53">
        <v>23</v>
      </c>
      <c r="E111" s="52">
        <v>510</v>
      </c>
      <c r="F111" s="52" t="s">
        <v>198</v>
      </c>
    </row>
    <row r="112" spans="1:6">
      <c r="A112" s="52" t="s">
        <v>506</v>
      </c>
      <c r="B112" s="52" t="s">
        <v>293</v>
      </c>
      <c r="C112" s="52" t="s">
        <v>73</v>
      </c>
      <c r="D112" s="53">
        <v>24</v>
      </c>
      <c r="E112" s="52">
        <v>520</v>
      </c>
      <c r="F112" s="52" t="s">
        <v>199</v>
      </c>
    </row>
    <row r="113" spans="1:6">
      <c r="A113" s="52" t="s">
        <v>506</v>
      </c>
      <c r="B113" s="52" t="s">
        <v>293</v>
      </c>
      <c r="C113" s="52" t="s">
        <v>73</v>
      </c>
      <c r="D113" s="53">
        <v>25</v>
      </c>
      <c r="E113" s="52">
        <v>530</v>
      </c>
      <c r="F113" s="52" t="s">
        <v>200</v>
      </c>
    </row>
    <row r="114" spans="1:6">
      <c r="A114" s="52" t="s">
        <v>506</v>
      </c>
      <c r="B114" s="52" t="s">
        <v>293</v>
      </c>
      <c r="C114" s="52" t="s">
        <v>73</v>
      </c>
      <c r="D114" s="53">
        <v>26</v>
      </c>
      <c r="E114" s="52">
        <v>540</v>
      </c>
      <c r="F114" s="52" t="s">
        <v>201</v>
      </c>
    </row>
    <row r="115" spans="1:6">
      <c r="A115" s="52" t="s">
        <v>506</v>
      </c>
      <c r="B115" s="52" t="s">
        <v>293</v>
      </c>
      <c r="C115" s="52" t="s">
        <v>73</v>
      </c>
      <c r="D115" s="53">
        <v>27</v>
      </c>
      <c r="E115" s="52">
        <v>550</v>
      </c>
      <c r="F115" s="52" t="s">
        <v>202</v>
      </c>
    </row>
    <row r="116" spans="1:6">
      <c r="A116" s="52" t="s">
        <v>506</v>
      </c>
      <c r="B116" s="52" t="s">
        <v>293</v>
      </c>
      <c r="C116" s="52" t="s">
        <v>73</v>
      </c>
      <c r="D116" s="53">
        <v>28</v>
      </c>
      <c r="E116" s="52">
        <v>600</v>
      </c>
      <c r="F116" s="52" t="s">
        <v>203</v>
      </c>
    </row>
    <row r="117" spans="1:6">
      <c r="A117" s="52" t="s">
        <v>506</v>
      </c>
      <c r="B117" s="52" t="s">
        <v>293</v>
      </c>
      <c r="C117" s="52" t="s">
        <v>73</v>
      </c>
      <c r="D117" s="53">
        <v>29</v>
      </c>
      <c r="E117" s="52">
        <v>610</v>
      </c>
      <c r="F117" s="52" t="s">
        <v>203</v>
      </c>
    </row>
    <row r="118" spans="1:6">
      <c r="A118" s="52" t="s">
        <v>506</v>
      </c>
      <c r="B118" s="52" t="s">
        <v>293</v>
      </c>
      <c r="C118" s="52" t="s">
        <v>73</v>
      </c>
      <c r="D118" s="53">
        <v>30</v>
      </c>
      <c r="E118" s="52">
        <v>620</v>
      </c>
      <c r="F118" s="52" t="s">
        <v>204</v>
      </c>
    </row>
    <row r="119" spans="1:6">
      <c r="A119" s="52" t="s">
        <v>506</v>
      </c>
      <c r="B119" s="52" t="s">
        <v>293</v>
      </c>
      <c r="C119" s="52" t="s">
        <v>73</v>
      </c>
      <c r="D119" s="53">
        <v>31</v>
      </c>
      <c r="E119" s="52">
        <v>630</v>
      </c>
      <c r="F119" s="52" t="s">
        <v>205</v>
      </c>
    </row>
    <row r="120" spans="1:6">
      <c r="A120" s="52" t="s">
        <v>506</v>
      </c>
      <c r="B120" s="52" t="s">
        <v>293</v>
      </c>
      <c r="C120" s="52" t="s">
        <v>73</v>
      </c>
      <c r="D120" s="53">
        <v>32</v>
      </c>
      <c r="E120" s="52">
        <v>640</v>
      </c>
      <c r="F120" s="52" t="s">
        <v>206</v>
      </c>
    </row>
    <row r="121" spans="1:6">
      <c r="A121" s="52" t="s">
        <v>506</v>
      </c>
      <c r="B121" s="52" t="s">
        <v>293</v>
      </c>
      <c r="C121" s="52" t="s">
        <v>73</v>
      </c>
      <c r="D121" s="53">
        <v>33</v>
      </c>
      <c r="E121" s="52">
        <v>700</v>
      </c>
      <c r="F121" s="52" t="s">
        <v>109</v>
      </c>
    </row>
    <row r="122" spans="1:6">
      <c r="A122" s="52" t="s">
        <v>506</v>
      </c>
      <c r="B122" s="52" t="s">
        <v>293</v>
      </c>
      <c r="C122" s="52" t="s">
        <v>73</v>
      </c>
      <c r="D122" s="53">
        <v>34</v>
      </c>
      <c r="E122" s="52">
        <v>710</v>
      </c>
      <c r="F122" s="52" t="s">
        <v>207</v>
      </c>
    </row>
    <row r="123" spans="1:6">
      <c r="A123" s="52" t="s">
        <v>506</v>
      </c>
      <c r="B123" s="52" t="s">
        <v>293</v>
      </c>
      <c r="C123" s="52" t="s">
        <v>73</v>
      </c>
      <c r="D123" s="53">
        <v>35</v>
      </c>
      <c r="E123" s="52">
        <v>720</v>
      </c>
      <c r="F123" s="52" t="s">
        <v>208</v>
      </c>
    </row>
    <row r="124" spans="1:6">
      <c r="A124" s="52" t="s">
        <v>506</v>
      </c>
      <c r="B124" s="52" t="s">
        <v>293</v>
      </c>
      <c r="C124" s="52" t="s">
        <v>73</v>
      </c>
      <c r="D124" s="53">
        <v>36</v>
      </c>
      <c r="E124" s="52">
        <v>730</v>
      </c>
      <c r="F124" s="52" t="s">
        <v>209</v>
      </c>
    </row>
    <row r="125" spans="1:6">
      <c r="A125" s="52" t="s">
        <v>506</v>
      </c>
      <c r="B125" s="52" t="s">
        <v>293</v>
      </c>
      <c r="C125" s="52" t="s">
        <v>73</v>
      </c>
      <c r="D125" s="53">
        <v>37</v>
      </c>
      <c r="E125" s="52">
        <v>740</v>
      </c>
      <c r="F125" s="52" t="s">
        <v>210</v>
      </c>
    </row>
    <row r="126" spans="1:6">
      <c r="A126" s="52" t="s">
        <v>506</v>
      </c>
      <c r="B126" s="52" t="s">
        <v>293</v>
      </c>
      <c r="C126" s="52" t="s">
        <v>73</v>
      </c>
      <c r="D126" s="53">
        <v>38</v>
      </c>
      <c r="E126" s="52">
        <v>750</v>
      </c>
      <c r="F126" s="52" t="s">
        <v>211</v>
      </c>
    </row>
    <row r="127" spans="1:6">
      <c r="A127" s="52" t="s">
        <v>506</v>
      </c>
      <c r="B127" s="52" t="s">
        <v>293</v>
      </c>
      <c r="C127" s="52" t="s">
        <v>73</v>
      </c>
      <c r="D127" s="53">
        <v>39</v>
      </c>
      <c r="E127" s="52">
        <v>810</v>
      </c>
      <c r="F127" s="52" t="s">
        <v>110</v>
      </c>
    </row>
    <row r="128" spans="1:6">
      <c r="A128" s="52" t="s">
        <v>506</v>
      </c>
      <c r="B128" s="52" t="s">
        <v>293</v>
      </c>
      <c r="C128" s="52" t="s">
        <v>73</v>
      </c>
      <c r="D128" s="53">
        <v>40</v>
      </c>
      <c r="E128" s="52">
        <v>820</v>
      </c>
      <c r="F128" s="52" t="s">
        <v>212</v>
      </c>
    </row>
    <row r="129" spans="1:6">
      <c r="A129" s="52" t="s">
        <v>506</v>
      </c>
      <c r="B129" s="52" t="s">
        <v>293</v>
      </c>
      <c r="C129" s="52" t="s">
        <v>73</v>
      </c>
      <c r="D129" s="53">
        <v>41</v>
      </c>
      <c r="E129" s="52">
        <v>830</v>
      </c>
      <c r="F129" s="52" t="s">
        <v>111</v>
      </c>
    </row>
    <row r="130" spans="1:6">
      <c r="A130" s="52" t="s">
        <v>506</v>
      </c>
      <c r="B130" s="52" t="s">
        <v>293</v>
      </c>
      <c r="C130" s="52" t="s">
        <v>73</v>
      </c>
      <c r="D130" s="53">
        <v>42</v>
      </c>
      <c r="E130" s="52">
        <v>831</v>
      </c>
      <c r="F130" s="52" t="s">
        <v>213</v>
      </c>
    </row>
    <row r="131" spans="1:6">
      <c r="A131" s="52" t="s">
        <v>506</v>
      </c>
      <c r="B131" s="52" t="s">
        <v>293</v>
      </c>
      <c r="C131" s="52" t="s">
        <v>73</v>
      </c>
      <c r="D131" s="53">
        <v>43</v>
      </c>
      <c r="E131" s="52">
        <v>840</v>
      </c>
      <c r="F131" s="52" t="s">
        <v>143</v>
      </c>
    </row>
    <row r="132" spans="1:6">
      <c r="A132" s="52" t="s">
        <v>506</v>
      </c>
      <c r="B132" s="52" t="s">
        <v>293</v>
      </c>
      <c r="C132" s="52" t="s">
        <v>73</v>
      </c>
      <c r="D132" s="53">
        <v>44</v>
      </c>
      <c r="E132" s="52">
        <v>841</v>
      </c>
      <c r="F132" s="52" t="s">
        <v>214</v>
      </c>
    </row>
    <row r="133" spans="1:6">
      <c r="A133" s="52" t="s">
        <v>506</v>
      </c>
      <c r="B133" s="52" t="s">
        <v>293</v>
      </c>
      <c r="C133" s="52" t="s">
        <v>73</v>
      </c>
      <c r="D133" s="53">
        <v>45</v>
      </c>
      <c r="E133" s="52">
        <v>850</v>
      </c>
      <c r="F133" s="52" t="s">
        <v>215</v>
      </c>
    </row>
    <row r="134" spans="1:6">
      <c r="A134" s="52" t="s">
        <v>506</v>
      </c>
      <c r="B134" s="52" t="s">
        <v>293</v>
      </c>
      <c r="C134" s="52" t="s">
        <v>73</v>
      </c>
      <c r="D134" s="53">
        <v>46</v>
      </c>
      <c r="E134" s="52">
        <v>860</v>
      </c>
      <c r="F134" s="52" t="s">
        <v>216</v>
      </c>
    </row>
    <row r="135" spans="1:6">
      <c r="A135" s="52" t="s">
        <v>506</v>
      </c>
      <c r="B135" s="52" t="s">
        <v>293</v>
      </c>
      <c r="C135" s="52" t="s">
        <v>73</v>
      </c>
      <c r="D135" s="53">
        <v>47</v>
      </c>
      <c r="E135" s="52">
        <v>861</v>
      </c>
      <c r="F135" s="52" t="s">
        <v>217</v>
      </c>
    </row>
    <row r="136" spans="1:6">
      <c r="A136" s="52" t="s">
        <v>506</v>
      </c>
      <c r="B136" s="52" t="s">
        <v>293</v>
      </c>
      <c r="C136" s="52" t="s">
        <v>73</v>
      </c>
      <c r="D136" s="53">
        <v>48</v>
      </c>
      <c r="E136" s="52">
        <v>862</v>
      </c>
      <c r="F136" s="52" t="s">
        <v>218</v>
      </c>
    </row>
    <row r="137" spans="1:6">
      <c r="A137" s="52" t="s">
        <v>506</v>
      </c>
      <c r="B137" s="52" t="s">
        <v>293</v>
      </c>
      <c r="C137" s="52" t="s">
        <v>73</v>
      </c>
      <c r="D137" s="53">
        <v>49</v>
      </c>
      <c r="E137" s="52">
        <v>870</v>
      </c>
      <c r="F137" s="52" t="s">
        <v>219</v>
      </c>
    </row>
    <row r="138" spans="1:6">
      <c r="A138" s="52" t="s">
        <v>506</v>
      </c>
      <c r="B138" s="52" t="s">
        <v>293</v>
      </c>
      <c r="C138" s="52" t="s">
        <v>73</v>
      </c>
      <c r="D138" s="53">
        <v>50</v>
      </c>
      <c r="E138" s="52">
        <v>880</v>
      </c>
      <c r="F138" s="52" t="s">
        <v>220</v>
      </c>
    </row>
    <row r="139" spans="1:6">
      <c r="A139" s="52" t="s">
        <v>506</v>
      </c>
      <c r="B139" s="52" t="s">
        <v>293</v>
      </c>
      <c r="C139" s="52" t="s">
        <v>73</v>
      </c>
      <c r="D139" s="53">
        <v>51</v>
      </c>
      <c r="E139" s="52">
        <v>881</v>
      </c>
      <c r="F139" s="52" t="s">
        <v>221</v>
      </c>
    </row>
    <row r="140" spans="1:6">
      <c r="A140" s="52" t="s">
        <v>506</v>
      </c>
      <c r="B140" s="52" t="s">
        <v>293</v>
      </c>
      <c r="C140" s="52" t="s">
        <v>73</v>
      </c>
      <c r="D140" s="53">
        <v>52</v>
      </c>
      <c r="E140" s="52">
        <v>890</v>
      </c>
      <c r="F140" s="52" t="s">
        <v>222</v>
      </c>
    </row>
    <row r="141" spans="1:6">
      <c r="A141" s="52" t="s">
        <v>506</v>
      </c>
      <c r="B141" s="52" t="s">
        <v>293</v>
      </c>
      <c r="C141" s="52" t="s">
        <v>73</v>
      </c>
      <c r="D141" s="53">
        <v>53</v>
      </c>
      <c r="E141" s="52">
        <v>891</v>
      </c>
      <c r="F141" s="52" t="s">
        <v>223</v>
      </c>
    </row>
    <row r="142" spans="1:6">
      <c r="A142" s="52" t="s">
        <v>506</v>
      </c>
      <c r="B142" s="52" t="s">
        <v>293</v>
      </c>
      <c r="C142" s="52" t="s">
        <v>73</v>
      </c>
      <c r="D142" s="53">
        <v>54</v>
      </c>
      <c r="E142" s="52">
        <v>892</v>
      </c>
      <c r="F142" s="52" t="s">
        <v>224</v>
      </c>
    </row>
    <row r="143" spans="1:6">
      <c r="A143" s="52" t="s">
        <v>506</v>
      </c>
      <c r="B143" s="52" t="s">
        <v>293</v>
      </c>
      <c r="C143" s="52" t="s">
        <v>73</v>
      </c>
      <c r="D143" s="53">
        <v>55</v>
      </c>
      <c r="E143" s="52">
        <v>893</v>
      </c>
      <c r="F143" s="52" t="s">
        <v>225</v>
      </c>
    </row>
    <row r="144" spans="1:6">
      <c r="A144" s="52" t="s">
        <v>506</v>
      </c>
      <c r="B144" s="52" t="s">
        <v>293</v>
      </c>
      <c r="C144" s="52" t="s">
        <v>73</v>
      </c>
      <c r="D144" s="53">
        <v>56</v>
      </c>
      <c r="E144" s="52">
        <v>894</v>
      </c>
      <c r="F144" s="52" t="s">
        <v>226</v>
      </c>
    </row>
    <row r="145" spans="1:6">
      <c r="A145" s="52" t="s">
        <v>506</v>
      </c>
      <c r="B145" s="52" t="s">
        <v>293</v>
      </c>
      <c r="C145" s="52" t="s">
        <v>73</v>
      </c>
      <c r="D145" s="53">
        <v>57</v>
      </c>
      <c r="E145" s="52">
        <v>895</v>
      </c>
      <c r="F145" s="52" t="s">
        <v>227</v>
      </c>
    </row>
    <row r="146" spans="1:6">
      <c r="A146" s="52" t="s">
        <v>506</v>
      </c>
      <c r="B146" s="52" t="s">
        <v>293</v>
      </c>
      <c r="C146" s="52" t="s">
        <v>73</v>
      </c>
      <c r="D146" s="53">
        <v>58</v>
      </c>
      <c r="E146" s="52">
        <v>896</v>
      </c>
      <c r="F146" s="52" t="s">
        <v>228</v>
      </c>
    </row>
    <row r="147" spans="1:6">
      <c r="A147" s="52" t="s">
        <v>506</v>
      </c>
      <c r="B147" s="52" t="s">
        <v>293</v>
      </c>
      <c r="C147" s="52" t="s">
        <v>73</v>
      </c>
      <c r="D147" s="53">
        <v>59</v>
      </c>
      <c r="E147" s="52">
        <v>899</v>
      </c>
      <c r="F147" s="52" t="s">
        <v>229</v>
      </c>
    </row>
    <row r="148" spans="1:6">
      <c r="A148" s="52" t="s">
        <v>506</v>
      </c>
      <c r="B148" s="52" t="s">
        <v>293</v>
      </c>
      <c r="C148" s="52" t="s">
        <v>73</v>
      </c>
      <c r="D148" s="53">
        <v>60</v>
      </c>
      <c r="E148" s="52">
        <v>900</v>
      </c>
      <c r="F148" s="52" t="s">
        <v>230</v>
      </c>
    </row>
    <row r="149" spans="1:6">
      <c r="A149" s="52" t="s">
        <v>506</v>
      </c>
      <c r="B149" s="52" t="s">
        <v>293</v>
      </c>
      <c r="C149" s="52" t="s">
        <v>73</v>
      </c>
      <c r="D149" s="53">
        <v>61</v>
      </c>
      <c r="E149" s="52">
        <v>910</v>
      </c>
      <c r="F149" s="52" t="s">
        <v>231</v>
      </c>
    </row>
    <row r="150" spans="1:6">
      <c r="A150" s="52" t="s">
        <v>506</v>
      </c>
      <c r="B150" s="52" t="s">
        <v>293</v>
      </c>
      <c r="C150" s="52" t="s">
        <v>73</v>
      </c>
      <c r="D150" s="53">
        <v>62</v>
      </c>
      <c r="E150" s="52">
        <v>920</v>
      </c>
      <c r="F150" s="52" t="s">
        <v>232</v>
      </c>
    </row>
    <row r="151" spans="1:6">
      <c r="A151" s="52" t="s">
        <v>506</v>
      </c>
      <c r="B151" s="52" t="s">
        <v>293</v>
      </c>
      <c r="C151" s="52" t="s">
        <v>73</v>
      </c>
      <c r="D151" s="53">
        <v>63</v>
      </c>
      <c r="E151" s="52">
        <v>930</v>
      </c>
      <c r="F151" s="52" t="s">
        <v>233</v>
      </c>
    </row>
    <row r="152" spans="1:6">
      <c r="A152" s="52" t="s">
        <v>506</v>
      </c>
      <c r="B152" s="52" t="s">
        <v>293</v>
      </c>
      <c r="C152" s="52" t="s">
        <v>73</v>
      </c>
      <c r="D152" s="53">
        <v>64</v>
      </c>
      <c r="E152" s="52">
        <v>940</v>
      </c>
      <c r="F152" s="52" t="s">
        <v>234</v>
      </c>
    </row>
    <row r="153" spans="1:6">
      <c r="A153" s="52" t="s">
        <v>506</v>
      </c>
      <c r="B153" s="52" t="s">
        <v>293</v>
      </c>
      <c r="C153" s="52" t="s">
        <v>73</v>
      </c>
      <c r="D153" s="53">
        <v>65</v>
      </c>
      <c r="E153" s="52">
        <v>950</v>
      </c>
      <c r="F153" s="52" t="s">
        <v>235</v>
      </c>
    </row>
    <row r="154" spans="1:6">
      <c r="A154" s="52" t="s">
        <v>506</v>
      </c>
      <c r="B154" s="52" t="s">
        <v>293</v>
      </c>
      <c r="C154" s="52" t="s">
        <v>73</v>
      </c>
      <c r="D154" s="53">
        <v>66</v>
      </c>
      <c r="E154" s="52">
        <v>960</v>
      </c>
      <c r="F154" s="52" t="s">
        <v>236</v>
      </c>
    </row>
    <row r="155" spans="1:6">
      <c r="A155" s="52" t="s">
        <v>506</v>
      </c>
      <c r="B155" s="52" t="s">
        <v>293</v>
      </c>
      <c r="C155" s="52" t="s">
        <v>73</v>
      </c>
      <c r="D155" s="53">
        <v>67</v>
      </c>
      <c r="E155" s="52">
        <v>970</v>
      </c>
      <c r="F155" s="52" t="s">
        <v>237</v>
      </c>
    </row>
    <row r="156" spans="1:6">
      <c r="A156" s="52" t="s">
        <v>506</v>
      </c>
      <c r="B156" s="52" t="s">
        <v>293</v>
      </c>
      <c r="C156" s="52" t="s">
        <v>73</v>
      </c>
      <c r="D156" s="53">
        <v>68</v>
      </c>
      <c r="E156" s="52">
        <v>990</v>
      </c>
      <c r="F156" s="52" t="s">
        <v>238</v>
      </c>
    </row>
    <row r="157" spans="1:6">
      <c r="A157" s="52" t="s">
        <v>506</v>
      </c>
      <c r="B157" s="52" t="s">
        <v>293</v>
      </c>
      <c r="C157" s="52" t="s">
        <v>73</v>
      </c>
      <c r="D157" s="53">
        <v>69</v>
      </c>
      <c r="E157" s="52" t="s">
        <v>239</v>
      </c>
      <c r="F157" s="52" t="s">
        <v>177</v>
      </c>
    </row>
    <row r="158" spans="1:6">
      <c r="A158" s="52" t="s">
        <v>506</v>
      </c>
      <c r="B158" s="52" t="s">
        <v>343</v>
      </c>
      <c r="C158" s="52" t="s">
        <v>70</v>
      </c>
      <c r="D158" s="53">
        <v>1</v>
      </c>
      <c r="E158" s="52" t="s">
        <v>86</v>
      </c>
      <c r="F158" s="52" t="s">
        <v>240</v>
      </c>
    </row>
    <row r="159" spans="1:6">
      <c r="A159" s="52" t="s">
        <v>506</v>
      </c>
      <c r="B159" s="52" t="s">
        <v>343</v>
      </c>
      <c r="C159" s="52" t="s">
        <v>70</v>
      </c>
      <c r="D159" s="53">
        <v>2</v>
      </c>
      <c r="E159" s="52" t="s">
        <v>88</v>
      </c>
      <c r="F159" s="52" t="s">
        <v>241</v>
      </c>
    </row>
    <row r="160" spans="1:6">
      <c r="A160" s="52" t="s">
        <v>506</v>
      </c>
      <c r="B160" s="52" t="s">
        <v>343</v>
      </c>
      <c r="C160" s="52" t="s">
        <v>70</v>
      </c>
      <c r="D160" s="53">
        <v>3</v>
      </c>
      <c r="E160" s="52" t="s">
        <v>90</v>
      </c>
      <c r="F160" s="52" t="s">
        <v>242</v>
      </c>
    </row>
    <row r="161" spans="1:6">
      <c r="A161" s="52" t="s">
        <v>506</v>
      </c>
      <c r="B161" s="52" t="s">
        <v>343</v>
      </c>
      <c r="C161" s="52" t="s">
        <v>70</v>
      </c>
      <c r="D161" s="53">
        <v>4</v>
      </c>
      <c r="E161" s="52" t="s">
        <v>92</v>
      </c>
      <c r="F161" s="52" t="s">
        <v>243</v>
      </c>
    </row>
    <row r="162" spans="1:6">
      <c r="A162" s="52" t="s">
        <v>506</v>
      </c>
      <c r="B162" s="52" t="s">
        <v>343</v>
      </c>
      <c r="C162" s="52" t="s">
        <v>70</v>
      </c>
      <c r="D162" s="53">
        <v>5</v>
      </c>
      <c r="E162" s="52" t="s">
        <v>94</v>
      </c>
      <c r="F162" s="52" t="s">
        <v>244</v>
      </c>
    </row>
    <row r="163" spans="1:6">
      <c r="A163" s="52" t="s">
        <v>506</v>
      </c>
      <c r="B163" s="52" t="s">
        <v>343</v>
      </c>
      <c r="C163" s="52" t="s">
        <v>70</v>
      </c>
      <c r="D163" s="53">
        <v>6</v>
      </c>
      <c r="E163" s="52" t="s">
        <v>176</v>
      </c>
      <c r="F163" s="52" t="s">
        <v>177</v>
      </c>
    </row>
    <row r="164" spans="1:6">
      <c r="A164" s="52" t="s">
        <v>506</v>
      </c>
      <c r="B164" s="52" t="s">
        <v>344</v>
      </c>
      <c r="C164" s="52" t="s">
        <v>71</v>
      </c>
      <c r="D164" s="53">
        <v>1</v>
      </c>
      <c r="E164" s="52" t="s">
        <v>86</v>
      </c>
      <c r="F164" s="52" t="s">
        <v>245</v>
      </c>
    </row>
    <row r="165" spans="1:6">
      <c r="A165" s="52" t="s">
        <v>506</v>
      </c>
      <c r="B165" s="52" t="s">
        <v>344</v>
      </c>
      <c r="C165" s="52" t="s">
        <v>71</v>
      </c>
      <c r="D165" s="53">
        <v>2</v>
      </c>
      <c r="E165" s="52" t="s">
        <v>88</v>
      </c>
      <c r="F165" s="52" t="s">
        <v>246</v>
      </c>
    </row>
    <row r="166" spans="1:6">
      <c r="A166" s="52" t="s">
        <v>506</v>
      </c>
      <c r="B166" s="52" t="s">
        <v>344</v>
      </c>
      <c r="C166" s="52" t="s">
        <v>71</v>
      </c>
      <c r="D166" s="53">
        <v>3</v>
      </c>
      <c r="E166" s="52" t="s">
        <v>90</v>
      </c>
      <c r="F166" s="52" t="s">
        <v>247</v>
      </c>
    </row>
    <row r="167" spans="1:6">
      <c r="A167" s="52" t="s">
        <v>506</v>
      </c>
      <c r="B167" s="52" t="s">
        <v>344</v>
      </c>
      <c r="C167" s="52" t="s">
        <v>71</v>
      </c>
      <c r="D167" s="53">
        <v>4</v>
      </c>
      <c r="E167" s="52" t="s">
        <v>92</v>
      </c>
      <c r="F167" s="52" t="s">
        <v>248</v>
      </c>
    </row>
    <row r="168" spans="1:6">
      <c r="A168" s="52" t="s">
        <v>506</v>
      </c>
      <c r="B168" s="52" t="s">
        <v>344</v>
      </c>
      <c r="C168" s="52" t="s">
        <v>71</v>
      </c>
      <c r="D168" s="53">
        <v>5</v>
      </c>
      <c r="E168" s="52" t="s">
        <v>94</v>
      </c>
      <c r="F168" s="52" t="s">
        <v>249</v>
      </c>
    </row>
    <row r="169" spans="1:6">
      <c r="A169" s="52" t="s">
        <v>506</v>
      </c>
      <c r="B169" s="52" t="s">
        <v>344</v>
      </c>
      <c r="C169" s="52" t="s">
        <v>71</v>
      </c>
      <c r="D169" s="53">
        <v>6</v>
      </c>
      <c r="E169" s="52" t="s">
        <v>96</v>
      </c>
      <c r="F169" s="52" t="s">
        <v>250</v>
      </c>
    </row>
    <row r="170" spans="1:6">
      <c r="A170" s="52" t="s">
        <v>506</v>
      </c>
      <c r="B170" s="52" t="s">
        <v>344</v>
      </c>
      <c r="C170" s="52" t="s">
        <v>71</v>
      </c>
      <c r="D170" s="53">
        <v>7</v>
      </c>
      <c r="E170" s="52" t="s">
        <v>98</v>
      </c>
      <c r="F170" s="52" t="s">
        <v>251</v>
      </c>
    </row>
    <row r="171" spans="1:6">
      <c r="A171" s="52" t="s">
        <v>506</v>
      </c>
      <c r="B171" s="52" t="s">
        <v>344</v>
      </c>
      <c r="C171" s="52" t="s">
        <v>71</v>
      </c>
      <c r="D171" s="53">
        <v>8</v>
      </c>
      <c r="E171" s="52" t="s">
        <v>100</v>
      </c>
      <c r="F171" s="52" t="s">
        <v>252</v>
      </c>
    </row>
    <row r="172" spans="1:6">
      <c r="A172" s="52" t="s">
        <v>506</v>
      </c>
      <c r="B172" s="52" t="s">
        <v>344</v>
      </c>
      <c r="C172" s="52" t="s">
        <v>71</v>
      </c>
      <c r="D172" s="53">
        <v>9</v>
      </c>
      <c r="E172" s="52" t="s">
        <v>176</v>
      </c>
      <c r="F172" s="52" t="s">
        <v>177</v>
      </c>
    </row>
    <row r="173" spans="1:6">
      <c r="A173" s="52" t="s">
        <v>506</v>
      </c>
      <c r="B173" s="52" t="s">
        <v>347</v>
      </c>
      <c r="C173" s="52" t="s">
        <v>348</v>
      </c>
      <c r="D173" s="53">
        <v>1</v>
      </c>
      <c r="E173" s="52" t="s">
        <v>86</v>
      </c>
      <c r="F173" s="52" t="s">
        <v>253</v>
      </c>
    </row>
    <row r="174" spans="1:6">
      <c r="A174" s="52" t="s">
        <v>506</v>
      </c>
      <c r="B174" s="52" t="s">
        <v>347</v>
      </c>
      <c r="C174" s="52" t="s">
        <v>348</v>
      </c>
      <c r="D174" s="53">
        <v>2</v>
      </c>
      <c r="E174" s="52" t="s">
        <v>88</v>
      </c>
      <c r="F174" s="52" t="s">
        <v>254</v>
      </c>
    </row>
    <row r="175" spans="1:6">
      <c r="A175" s="52" t="s">
        <v>506</v>
      </c>
      <c r="B175" s="52" t="s">
        <v>347</v>
      </c>
      <c r="C175" s="52" t="s">
        <v>348</v>
      </c>
      <c r="D175" s="53">
        <v>3</v>
      </c>
      <c r="E175" s="52" t="s">
        <v>90</v>
      </c>
      <c r="F175" s="52" t="s">
        <v>255</v>
      </c>
    </row>
    <row r="176" spans="1:6">
      <c r="A176" s="52" t="s">
        <v>506</v>
      </c>
      <c r="B176" s="52" t="s">
        <v>347</v>
      </c>
      <c r="C176" s="52" t="s">
        <v>348</v>
      </c>
      <c r="D176" s="53">
        <v>4</v>
      </c>
      <c r="E176" s="52" t="s">
        <v>92</v>
      </c>
      <c r="F176" s="52" t="s">
        <v>256</v>
      </c>
    </row>
    <row r="177" spans="1:6">
      <c r="A177" s="52" t="s">
        <v>506</v>
      </c>
      <c r="B177" s="52" t="s">
        <v>347</v>
      </c>
      <c r="C177" s="52" t="s">
        <v>348</v>
      </c>
      <c r="D177" s="53">
        <v>5</v>
      </c>
      <c r="E177" s="52" t="s">
        <v>94</v>
      </c>
      <c r="F177" s="52" t="s">
        <v>257</v>
      </c>
    </row>
    <row r="178" spans="1:6">
      <c r="A178" s="52" t="s">
        <v>506</v>
      </c>
      <c r="B178" s="52" t="s">
        <v>347</v>
      </c>
      <c r="C178" s="52" t="s">
        <v>348</v>
      </c>
      <c r="D178" s="53">
        <v>6</v>
      </c>
      <c r="E178" s="52" t="s">
        <v>96</v>
      </c>
      <c r="F178" s="52" t="s">
        <v>258</v>
      </c>
    </row>
    <row r="179" spans="1:6">
      <c r="A179" s="52" t="s">
        <v>506</v>
      </c>
      <c r="B179" s="52" t="s">
        <v>347</v>
      </c>
      <c r="C179" s="52" t="s">
        <v>348</v>
      </c>
      <c r="D179" s="53">
        <v>7</v>
      </c>
      <c r="E179" s="52" t="s">
        <v>98</v>
      </c>
      <c r="F179" s="52" t="s">
        <v>259</v>
      </c>
    </row>
    <row r="180" spans="1:6">
      <c r="A180" s="52" t="s">
        <v>506</v>
      </c>
      <c r="B180" s="52" t="s">
        <v>347</v>
      </c>
      <c r="C180" s="52" t="s">
        <v>348</v>
      </c>
      <c r="D180" s="53">
        <v>8</v>
      </c>
      <c r="E180" s="52" t="s">
        <v>100</v>
      </c>
      <c r="F180" s="52" t="s">
        <v>260</v>
      </c>
    </row>
    <row r="181" spans="1:6">
      <c r="A181" s="52" t="s">
        <v>506</v>
      </c>
      <c r="B181" s="52" t="s">
        <v>347</v>
      </c>
      <c r="C181" s="52" t="s">
        <v>348</v>
      </c>
      <c r="D181" s="53">
        <v>9</v>
      </c>
      <c r="E181" s="52" t="s">
        <v>102</v>
      </c>
      <c r="F181" s="52" t="s">
        <v>261</v>
      </c>
    </row>
    <row r="182" spans="1:6">
      <c r="A182" s="52" t="s">
        <v>506</v>
      </c>
      <c r="B182" s="52" t="s">
        <v>347</v>
      </c>
      <c r="C182" s="52" t="s">
        <v>348</v>
      </c>
      <c r="D182" s="53">
        <v>10</v>
      </c>
      <c r="E182" s="52" t="s">
        <v>114</v>
      </c>
      <c r="F182" s="52" t="s">
        <v>262</v>
      </c>
    </row>
    <row r="183" spans="1:6">
      <c r="A183" s="52" t="s">
        <v>506</v>
      </c>
      <c r="B183" s="52" t="s">
        <v>347</v>
      </c>
      <c r="C183" s="52" t="s">
        <v>348</v>
      </c>
      <c r="D183" s="53">
        <v>11</v>
      </c>
      <c r="E183" s="52" t="s">
        <v>116</v>
      </c>
      <c r="F183" s="52" t="s">
        <v>263</v>
      </c>
    </row>
    <row r="184" spans="1:6">
      <c r="A184" s="52" t="s">
        <v>506</v>
      </c>
      <c r="B184" s="52" t="s">
        <v>347</v>
      </c>
      <c r="C184" s="52" t="s">
        <v>348</v>
      </c>
      <c r="D184" s="53">
        <v>12</v>
      </c>
      <c r="E184" s="52" t="s">
        <v>118</v>
      </c>
      <c r="F184" s="52" t="s">
        <v>264</v>
      </c>
    </row>
    <row r="185" spans="1:6">
      <c r="A185" s="52" t="s">
        <v>506</v>
      </c>
      <c r="B185" s="52" t="s">
        <v>347</v>
      </c>
      <c r="C185" s="52" t="s">
        <v>348</v>
      </c>
      <c r="D185" s="53">
        <v>13</v>
      </c>
      <c r="E185" s="52" t="s">
        <v>176</v>
      </c>
      <c r="F185" s="52" t="s">
        <v>177</v>
      </c>
    </row>
    <row r="186" spans="1:6">
      <c r="A186" s="52" t="s">
        <v>506</v>
      </c>
      <c r="B186" s="52" t="s">
        <v>332</v>
      </c>
      <c r="C186" s="52" t="s">
        <v>72</v>
      </c>
      <c r="D186" s="53">
        <v>1</v>
      </c>
      <c r="E186" s="52" t="s">
        <v>345</v>
      </c>
      <c r="F186" s="52" t="s">
        <v>333</v>
      </c>
    </row>
    <row r="187" spans="1:6">
      <c r="A187" s="52" t="s">
        <v>506</v>
      </c>
      <c r="B187" s="52" t="s">
        <v>332</v>
      </c>
      <c r="C187" s="52" t="s">
        <v>72</v>
      </c>
      <c r="D187" s="53">
        <v>2</v>
      </c>
      <c r="E187" s="52" t="s">
        <v>346</v>
      </c>
      <c r="F187" s="52" t="s">
        <v>334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5FFE-B177-48B2-9A1E-F3678EDE2055}">
  <sheetPr codeName="Sheet11">
    <tabColor rgb="FF3366FF"/>
  </sheetPr>
  <dimension ref="A1:K162"/>
  <sheetViews>
    <sheetView tabSelected="1" zoomScaleNormal="100" workbookViewId="0">
      <pane ySplit="5" topLeftCell="A6" activePane="bottomLeft" state="frozen"/>
      <selection activeCell="H15" sqref="H15:I15"/>
      <selection pane="bottomLeft" activeCell="N2" sqref="N2"/>
    </sheetView>
  </sheetViews>
  <sheetFormatPr defaultColWidth="8.75" defaultRowHeight="16.5"/>
  <cols>
    <col min="1" max="1" width="5.125" style="12" customWidth="1"/>
    <col min="2" max="2" width="31.75" style="13" bestFit="1" customWidth="1"/>
    <col min="3" max="3" width="35.25" style="13" bestFit="1" customWidth="1"/>
    <col min="4" max="4" width="10.75" style="13" customWidth="1"/>
    <col min="5" max="5" width="9.25" style="13" bestFit="1" customWidth="1"/>
    <col min="6" max="6" width="3.75" style="13" customWidth="1"/>
    <col min="7" max="7" width="8.75" style="13" customWidth="1"/>
    <col min="8" max="8" width="18.5" style="14" customWidth="1"/>
    <col min="9" max="9" width="58.25" style="14" customWidth="1"/>
    <col min="10" max="10" width="21.625" style="69" bestFit="1" customWidth="1"/>
    <col min="11" max="16384" width="8.75" style="11"/>
  </cols>
  <sheetData>
    <row r="1" spans="1:11">
      <c r="A1" s="95" t="s">
        <v>0</v>
      </c>
      <c r="B1" s="95"/>
      <c r="C1" s="96" t="s">
        <v>17</v>
      </c>
      <c r="D1" s="96"/>
      <c r="E1" s="96"/>
      <c r="F1" s="96"/>
      <c r="G1" s="96"/>
      <c r="H1" s="1" t="s">
        <v>1</v>
      </c>
      <c r="I1" s="2"/>
    </row>
    <row r="2" spans="1:11">
      <c r="A2" s="97" t="s">
        <v>2</v>
      </c>
      <c r="B2" s="97"/>
      <c r="C2" s="96" t="s">
        <v>507</v>
      </c>
      <c r="D2" s="96"/>
      <c r="E2" s="96"/>
      <c r="F2" s="96"/>
      <c r="G2" s="96"/>
      <c r="H2" s="1" t="s">
        <v>3</v>
      </c>
      <c r="I2" s="2" t="s">
        <v>18</v>
      </c>
    </row>
    <row r="3" spans="1:11">
      <c r="A3" s="97" t="s">
        <v>4</v>
      </c>
      <c r="B3" s="97"/>
      <c r="C3" s="96" t="s">
        <v>506</v>
      </c>
      <c r="D3" s="96"/>
      <c r="E3" s="96"/>
      <c r="F3" s="96"/>
      <c r="G3" s="96"/>
      <c r="H3" s="1" t="s">
        <v>5</v>
      </c>
      <c r="I3" s="2" t="s">
        <v>19</v>
      </c>
    </row>
    <row r="4" spans="1:11">
      <c r="A4" s="97" t="s">
        <v>6</v>
      </c>
      <c r="B4" s="97"/>
      <c r="C4" s="96" t="s">
        <v>507</v>
      </c>
      <c r="D4" s="96"/>
      <c r="E4" s="96"/>
      <c r="F4" s="96"/>
      <c r="G4" s="96"/>
      <c r="H4" s="1" t="s">
        <v>7</v>
      </c>
      <c r="I4" s="45" t="s">
        <v>8</v>
      </c>
    </row>
    <row r="5" spans="1:11">
      <c r="A5" s="10" t="s">
        <v>9</v>
      </c>
      <c r="B5" s="10" t="s">
        <v>10</v>
      </c>
      <c r="C5" s="10" t="s">
        <v>449</v>
      </c>
      <c r="D5" s="10" t="s">
        <v>11</v>
      </c>
      <c r="E5" s="10" t="s">
        <v>12</v>
      </c>
      <c r="F5" s="10" t="s">
        <v>13</v>
      </c>
      <c r="G5" s="19" t="s">
        <v>14</v>
      </c>
      <c r="H5" s="98" t="s">
        <v>16</v>
      </c>
      <c r="I5" s="99"/>
      <c r="J5" s="68" t="s">
        <v>692</v>
      </c>
    </row>
    <row r="6" spans="1:11" ht="22.5" customHeight="1">
      <c r="A6" s="3">
        <v>1</v>
      </c>
      <c r="B6" s="61" t="s">
        <v>281</v>
      </c>
      <c r="C6" s="62" t="s">
        <v>282</v>
      </c>
      <c r="D6" s="63" t="s">
        <v>285</v>
      </c>
      <c r="E6" s="64">
        <v>19</v>
      </c>
      <c r="F6" s="65" t="s">
        <v>15</v>
      </c>
      <c r="G6" s="65" t="s">
        <v>15</v>
      </c>
      <c r="H6" s="92" t="s">
        <v>350</v>
      </c>
      <c r="I6" s="94"/>
      <c r="J6" s="72" t="s">
        <v>509</v>
      </c>
      <c r="K6" s="15"/>
    </row>
    <row r="7" spans="1:11" ht="22.5" customHeight="1">
      <c r="A7" s="3">
        <v>2</v>
      </c>
      <c r="B7" s="66" t="s">
        <v>20</v>
      </c>
      <c r="C7" s="67" t="s">
        <v>284</v>
      </c>
      <c r="D7" s="63" t="s">
        <v>285</v>
      </c>
      <c r="E7" s="65">
        <v>10</v>
      </c>
      <c r="F7" s="65"/>
      <c r="G7" s="65" t="s">
        <v>15</v>
      </c>
      <c r="H7" s="100" t="s">
        <v>278</v>
      </c>
      <c r="I7" s="93"/>
      <c r="J7" s="72">
        <v>4311110100</v>
      </c>
      <c r="K7" s="15"/>
    </row>
    <row r="8" spans="1:11" ht="22.5" customHeight="1">
      <c r="A8" s="3">
        <v>3</v>
      </c>
      <c r="B8" s="66" t="s">
        <v>320</v>
      </c>
      <c r="C8" s="67" t="s">
        <v>336</v>
      </c>
      <c r="D8" s="63" t="s">
        <v>285</v>
      </c>
      <c r="E8" s="65">
        <v>4</v>
      </c>
      <c r="F8" s="65"/>
      <c r="G8" s="65" t="s">
        <v>15</v>
      </c>
      <c r="H8" s="100"/>
      <c r="I8" s="93"/>
      <c r="J8" s="72" t="s">
        <v>510</v>
      </c>
      <c r="K8" s="15"/>
    </row>
    <row r="9" spans="1:11" ht="22.5" customHeight="1">
      <c r="A9" s="3">
        <v>4</v>
      </c>
      <c r="B9" s="66" t="s">
        <v>321</v>
      </c>
      <c r="C9" s="67" t="s">
        <v>337</v>
      </c>
      <c r="D9" s="63" t="s">
        <v>285</v>
      </c>
      <c r="E9" s="65">
        <v>20</v>
      </c>
      <c r="F9" s="65"/>
      <c r="G9" s="65" t="s">
        <v>346</v>
      </c>
      <c r="H9" s="100" t="s">
        <v>349</v>
      </c>
      <c r="I9" s="93"/>
      <c r="J9" s="72" t="s">
        <v>511</v>
      </c>
      <c r="K9" s="15"/>
    </row>
    <row r="10" spans="1:11" ht="22.5" customHeight="1">
      <c r="A10" s="3">
        <v>5</v>
      </c>
      <c r="B10" s="66" t="s">
        <v>21</v>
      </c>
      <c r="C10" s="67" t="s">
        <v>322</v>
      </c>
      <c r="D10" s="63" t="s">
        <v>285</v>
      </c>
      <c r="E10" s="65">
        <v>20</v>
      </c>
      <c r="F10" s="65"/>
      <c r="G10" s="65" t="s">
        <v>15</v>
      </c>
      <c r="H10" s="100"/>
      <c r="I10" s="93"/>
      <c r="J10" s="72" t="s">
        <v>512</v>
      </c>
      <c r="K10" s="15"/>
    </row>
    <row r="11" spans="1:11" ht="22.5" customHeight="1">
      <c r="A11" s="3">
        <v>6</v>
      </c>
      <c r="B11" s="66" t="s">
        <v>331</v>
      </c>
      <c r="C11" s="67" t="s">
        <v>465</v>
      </c>
      <c r="D11" s="63" t="s">
        <v>285</v>
      </c>
      <c r="E11" s="65">
        <v>20</v>
      </c>
      <c r="F11" s="65"/>
      <c r="G11" s="65" t="s">
        <v>346</v>
      </c>
      <c r="H11" s="100" t="s">
        <v>351</v>
      </c>
      <c r="I11" s="93"/>
      <c r="J11" s="72"/>
      <c r="K11" s="15"/>
    </row>
    <row r="12" spans="1:11" ht="22.5" customHeight="1">
      <c r="A12" s="3">
        <v>7</v>
      </c>
      <c r="B12" s="66" t="s">
        <v>339</v>
      </c>
      <c r="C12" s="67" t="s">
        <v>455</v>
      </c>
      <c r="D12" s="63" t="s">
        <v>285</v>
      </c>
      <c r="E12" s="65">
        <v>1</v>
      </c>
      <c r="F12" s="65"/>
      <c r="G12" s="65" t="s">
        <v>15</v>
      </c>
      <c r="H12" s="100"/>
      <c r="I12" s="93"/>
      <c r="J12" s="72">
        <v>1</v>
      </c>
      <c r="K12" s="15"/>
    </row>
    <row r="13" spans="1:11" ht="22.5" customHeight="1">
      <c r="A13" s="3">
        <v>8</v>
      </c>
      <c r="B13" s="61" t="s">
        <v>286</v>
      </c>
      <c r="C13" s="62" t="s">
        <v>466</v>
      </c>
      <c r="D13" s="63" t="s">
        <v>285</v>
      </c>
      <c r="E13" s="64">
        <v>4</v>
      </c>
      <c r="F13" s="63"/>
      <c r="G13" s="65" t="s">
        <v>15</v>
      </c>
      <c r="H13" s="100"/>
      <c r="I13" s="93"/>
      <c r="J13" s="72">
        <v>2</v>
      </c>
      <c r="K13" s="15"/>
    </row>
    <row r="14" spans="1:11" ht="22.5" customHeight="1">
      <c r="A14" s="3">
        <v>9</v>
      </c>
      <c r="B14" s="61" t="s">
        <v>22</v>
      </c>
      <c r="C14" s="62" t="s">
        <v>467</v>
      </c>
      <c r="D14" s="63" t="s">
        <v>285</v>
      </c>
      <c r="E14" s="64">
        <v>4</v>
      </c>
      <c r="F14" s="63"/>
      <c r="G14" s="65" t="s">
        <v>15</v>
      </c>
      <c r="H14" s="92"/>
      <c r="I14" s="93"/>
      <c r="J14" s="72">
        <v>1</v>
      </c>
      <c r="K14" s="15"/>
    </row>
    <row r="15" spans="1:11" ht="22.5" customHeight="1">
      <c r="A15" s="3">
        <v>10</v>
      </c>
      <c r="B15" s="61" t="s">
        <v>63</v>
      </c>
      <c r="C15" s="62" t="s">
        <v>288</v>
      </c>
      <c r="D15" s="63" t="s">
        <v>287</v>
      </c>
      <c r="E15" s="64">
        <v>10</v>
      </c>
      <c r="F15" s="63"/>
      <c r="G15" s="65" t="s">
        <v>15</v>
      </c>
      <c r="H15" s="92" t="s">
        <v>335</v>
      </c>
      <c r="I15" s="93"/>
      <c r="J15" s="72">
        <v>354294</v>
      </c>
      <c r="K15" s="15"/>
    </row>
    <row r="16" spans="1:11" ht="22.5" customHeight="1">
      <c r="A16" s="3">
        <v>11</v>
      </c>
      <c r="B16" s="61" t="s">
        <v>64</v>
      </c>
      <c r="C16" s="62" t="s">
        <v>289</v>
      </c>
      <c r="D16" s="63" t="s">
        <v>287</v>
      </c>
      <c r="E16" s="64">
        <v>10</v>
      </c>
      <c r="F16" s="63"/>
      <c r="G16" s="65" t="s">
        <v>15</v>
      </c>
      <c r="H16" s="92" t="s">
        <v>335</v>
      </c>
      <c r="I16" s="93"/>
      <c r="J16" s="72">
        <v>449432</v>
      </c>
      <c r="K16" s="15"/>
    </row>
    <row r="17" spans="1:11" ht="22.5" customHeight="1">
      <c r="A17" s="3">
        <v>12</v>
      </c>
      <c r="B17" s="61" t="s">
        <v>68</v>
      </c>
      <c r="C17" s="62" t="s">
        <v>290</v>
      </c>
      <c r="D17" s="63" t="s">
        <v>285</v>
      </c>
      <c r="E17" s="64">
        <v>2</v>
      </c>
      <c r="F17" s="63"/>
      <c r="G17" s="65" t="s">
        <v>15</v>
      </c>
      <c r="H17" s="92" t="s">
        <v>278</v>
      </c>
      <c r="I17" s="94"/>
      <c r="J17" s="72">
        <v>8</v>
      </c>
      <c r="K17" s="15"/>
    </row>
    <row r="18" spans="1:11" ht="22.5" customHeight="1">
      <c r="A18" s="3">
        <v>13</v>
      </c>
      <c r="B18" s="61" t="s">
        <v>69</v>
      </c>
      <c r="C18" s="62" t="s">
        <v>456</v>
      </c>
      <c r="D18" s="63" t="s">
        <v>287</v>
      </c>
      <c r="E18" s="64" t="s">
        <v>354</v>
      </c>
      <c r="F18" s="63"/>
      <c r="G18" s="65" t="s">
        <v>15</v>
      </c>
      <c r="H18" s="92" t="s">
        <v>352</v>
      </c>
      <c r="I18" s="93"/>
      <c r="J18" s="72">
        <v>132.5</v>
      </c>
      <c r="K18" s="15"/>
    </row>
    <row r="19" spans="1:11" ht="22.5" customHeight="1">
      <c r="A19" s="3">
        <v>14</v>
      </c>
      <c r="B19" s="61" t="s">
        <v>74</v>
      </c>
      <c r="C19" s="62" t="s">
        <v>291</v>
      </c>
      <c r="D19" s="63" t="s">
        <v>285</v>
      </c>
      <c r="E19" s="64">
        <v>2</v>
      </c>
      <c r="F19" s="63"/>
      <c r="G19" s="65" t="s">
        <v>15</v>
      </c>
      <c r="H19" s="92" t="s">
        <v>278</v>
      </c>
      <c r="I19" s="93"/>
      <c r="J19" s="72">
        <v>14</v>
      </c>
      <c r="K19" s="15"/>
    </row>
    <row r="20" spans="1:11" ht="22.5" customHeight="1">
      <c r="A20" s="3">
        <v>15</v>
      </c>
      <c r="B20" s="61" t="s">
        <v>75</v>
      </c>
      <c r="C20" s="62" t="s">
        <v>292</v>
      </c>
      <c r="D20" s="63" t="s">
        <v>285</v>
      </c>
      <c r="E20" s="64">
        <v>2</v>
      </c>
      <c r="F20" s="63"/>
      <c r="G20" s="65" t="s">
        <v>15</v>
      </c>
      <c r="H20" s="92" t="s">
        <v>278</v>
      </c>
      <c r="I20" s="93"/>
      <c r="J20" s="72">
        <v>0</v>
      </c>
      <c r="K20" s="15"/>
    </row>
    <row r="21" spans="1:11" ht="22.5" customHeight="1">
      <c r="A21" s="3">
        <v>16</v>
      </c>
      <c r="B21" s="61" t="s">
        <v>73</v>
      </c>
      <c r="C21" s="62" t="s">
        <v>457</v>
      </c>
      <c r="D21" s="63" t="s">
        <v>285</v>
      </c>
      <c r="E21" s="64">
        <v>3</v>
      </c>
      <c r="F21" s="63"/>
      <c r="G21" s="65" t="s">
        <v>15</v>
      </c>
      <c r="H21" s="92" t="s">
        <v>278</v>
      </c>
      <c r="I21" s="93"/>
      <c r="J21" s="72">
        <v>240</v>
      </c>
      <c r="K21" s="15"/>
    </row>
    <row r="22" spans="1:11" ht="22.5" customHeight="1">
      <c r="A22" s="3">
        <v>17</v>
      </c>
      <c r="B22" s="61" t="s">
        <v>70</v>
      </c>
      <c r="C22" s="62" t="s">
        <v>294</v>
      </c>
      <c r="D22" s="63" t="s">
        <v>285</v>
      </c>
      <c r="E22" s="64">
        <v>2</v>
      </c>
      <c r="F22" s="63"/>
      <c r="G22" s="65" t="s">
        <v>15</v>
      </c>
      <c r="H22" s="92" t="s">
        <v>278</v>
      </c>
      <c r="I22" s="93"/>
      <c r="J22" s="72">
        <v>2</v>
      </c>
      <c r="K22" s="15"/>
    </row>
    <row r="23" spans="1:11" ht="22.5" customHeight="1">
      <c r="A23" s="3">
        <v>18</v>
      </c>
      <c r="B23" s="61" t="s">
        <v>71</v>
      </c>
      <c r="C23" s="62" t="s">
        <v>295</v>
      </c>
      <c r="D23" s="63" t="s">
        <v>285</v>
      </c>
      <c r="E23" s="64">
        <v>2</v>
      </c>
      <c r="F23" s="63"/>
      <c r="G23" s="65" t="s">
        <v>15</v>
      </c>
      <c r="H23" s="92" t="s">
        <v>278</v>
      </c>
      <c r="I23" s="93"/>
      <c r="J23" s="72">
        <v>4</v>
      </c>
      <c r="K23" s="15"/>
    </row>
    <row r="24" spans="1:11" ht="22.5" customHeight="1">
      <c r="A24" s="3">
        <v>19</v>
      </c>
      <c r="B24" s="61" t="s">
        <v>348</v>
      </c>
      <c r="C24" s="62" t="s">
        <v>458</v>
      </c>
      <c r="D24" s="63" t="s">
        <v>285</v>
      </c>
      <c r="E24" s="64">
        <v>2</v>
      </c>
      <c r="F24" s="63"/>
      <c r="G24" s="65" t="s">
        <v>15</v>
      </c>
      <c r="H24" s="92" t="s">
        <v>278</v>
      </c>
      <c r="I24" s="93"/>
      <c r="J24" s="72">
        <v>2</v>
      </c>
      <c r="K24" s="15"/>
    </row>
    <row r="25" spans="1:11" ht="22.5" customHeight="1">
      <c r="A25" s="3">
        <v>20</v>
      </c>
      <c r="B25" s="61" t="s">
        <v>72</v>
      </c>
      <c r="C25" s="62" t="s">
        <v>468</v>
      </c>
      <c r="D25" s="63" t="s">
        <v>285</v>
      </c>
      <c r="E25" s="64">
        <v>1</v>
      </c>
      <c r="F25" s="63"/>
      <c r="G25" s="65" t="s">
        <v>15</v>
      </c>
      <c r="H25" s="92" t="s">
        <v>278</v>
      </c>
      <c r="I25" s="93"/>
      <c r="J25" s="72" t="s">
        <v>513</v>
      </c>
      <c r="K25" s="15"/>
    </row>
    <row r="26" spans="1:11" ht="22.5" customHeight="1">
      <c r="A26" s="3">
        <v>21</v>
      </c>
      <c r="B26" s="61" t="s">
        <v>60</v>
      </c>
      <c r="C26" s="62" t="s">
        <v>296</v>
      </c>
      <c r="D26" s="63" t="s">
        <v>298</v>
      </c>
      <c r="E26" s="64">
        <v>10</v>
      </c>
      <c r="F26" s="63"/>
      <c r="G26" s="65" t="s">
        <v>15</v>
      </c>
      <c r="H26" s="92" t="s">
        <v>353</v>
      </c>
      <c r="I26" s="93"/>
      <c r="J26" s="72">
        <v>931200</v>
      </c>
      <c r="K26" s="15"/>
    </row>
    <row r="27" spans="1:11" ht="22.5" customHeight="1">
      <c r="A27" s="3">
        <v>22</v>
      </c>
      <c r="B27" s="61" t="s">
        <v>297</v>
      </c>
      <c r="C27" s="62" t="s">
        <v>469</v>
      </c>
      <c r="D27" s="63" t="s">
        <v>285</v>
      </c>
      <c r="E27" s="64">
        <v>10</v>
      </c>
      <c r="F27" s="63"/>
      <c r="G27" s="65" t="s">
        <v>15</v>
      </c>
      <c r="H27" s="92" t="s">
        <v>355</v>
      </c>
      <c r="I27" s="93"/>
      <c r="J27" s="72">
        <v>45119</v>
      </c>
      <c r="K27" s="15"/>
    </row>
    <row r="28" spans="1:11" ht="22.5" customHeight="1">
      <c r="A28" s="3">
        <v>23</v>
      </c>
      <c r="B28" s="61" t="s">
        <v>390</v>
      </c>
      <c r="C28" s="62" t="s">
        <v>368</v>
      </c>
      <c r="D28" s="63" t="s">
        <v>287</v>
      </c>
      <c r="E28" s="64">
        <v>10</v>
      </c>
      <c r="F28" s="63"/>
      <c r="G28" s="63" t="s">
        <v>357</v>
      </c>
      <c r="H28" s="103" t="s">
        <v>273</v>
      </c>
      <c r="I28" s="104"/>
      <c r="J28" s="72">
        <v>6298</v>
      </c>
      <c r="K28" s="15"/>
    </row>
    <row r="29" spans="1:11" ht="22.5" customHeight="1">
      <c r="A29" s="3">
        <v>24</v>
      </c>
      <c r="B29" s="5" t="s">
        <v>614</v>
      </c>
      <c r="C29" s="6" t="s">
        <v>515</v>
      </c>
      <c r="D29" s="4" t="s">
        <v>287</v>
      </c>
      <c r="E29" s="7">
        <v>10</v>
      </c>
      <c r="F29" s="4"/>
      <c r="G29" s="4" t="s">
        <v>357</v>
      </c>
      <c r="H29" s="101" t="s">
        <v>273</v>
      </c>
      <c r="I29" s="102"/>
      <c r="J29" s="72">
        <v>19346</v>
      </c>
      <c r="K29" s="15"/>
    </row>
    <row r="30" spans="1:11" ht="22.5" customHeight="1">
      <c r="A30" s="3">
        <v>25</v>
      </c>
      <c r="B30" s="5" t="s">
        <v>615</v>
      </c>
      <c r="C30" s="6" t="s">
        <v>369</v>
      </c>
      <c r="D30" s="4" t="s">
        <v>287</v>
      </c>
      <c r="E30" s="7">
        <v>10</v>
      </c>
      <c r="F30" s="4"/>
      <c r="G30" s="4" t="s">
        <v>357</v>
      </c>
      <c r="H30" s="101" t="s">
        <v>273</v>
      </c>
      <c r="I30" s="102"/>
      <c r="J30" s="72">
        <v>248858</v>
      </c>
      <c r="K30" s="15"/>
    </row>
    <row r="31" spans="1:11" ht="22.5" customHeight="1">
      <c r="A31" s="3">
        <v>26</v>
      </c>
      <c r="B31" s="5" t="s">
        <v>616</v>
      </c>
      <c r="C31" s="6" t="s">
        <v>516</v>
      </c>
      <c r="D31" s="4" t="s">
        <v>287</v>
      </c>
      <c r="E31" s="7">
        <v>10</v>
      </c>
      <c r="F31" s="4"/>
      <c r="G31" s="4" t="s">
        <v>357</v>
      </c>
      <c r="H31" s="101" t="s">
        <v>273</v>
      </c>
      <c r="I31" s="102"/>
      <c r="J31" s="72">
        <v>532470</v>
      </c>
      <c r="K31" s="15"/>
    </row>
    <row r="32" spans="1:11" ht="22.5" customHeight="1">
      <c r="A32" s="3">
        <v>27</v>
      </c>
      <c r="B32" s="5" t="s">
        <v>391</v>
      </c>
      <c r="C32" s="6" t="s">
        <v>370</v>
      </c>
      <c r="D32" s="4" t="s">
        <v>287</v>
      </c>
      <c r="E32" s="7">
        <v>10</v>
      </c>
      <c r="F32" s="4"/>
      <c r="G32" s="4" t="s">
        <v>357</v>
      </c>
      <c r="H32" s="101" t="s">
        <v>275</v>
      </c>
      <c r="I32" s="102"/>
      <c r="J32" s="72">
        <v>1448</v>
      </c>
      <c r="K32" s="15"/>
    </row>
    <row r="33" spans="1:11" ht="22.5" customHeight="1">
      <c r="A33" s="3">
        <v>28</v>
      </c>
      <c r="B33" s="5" t="s">
        <v>617</v>
      </c>
      <c r="C33" s="6" t="s">
        <v>517</v>
      </c>
      <c r="D33" s="4" t="s">
        <v>287</v>
      </c>
      <c r="E33" s="7">
        <v>10</v>
      </c>
      <c r="F33" s="4"/>
      <c r="G33" s="4" t="s">
        <v>357</v>
      </c>
      <c r="H33" s="101" t="s">
        <v>275</v>
      </c>
      <c r="I33" s="102"/>
      <c r="J33" s="72">
        <v>5498</v>
      </c>
      <c r="K33" s="15"/>
    </row>
    <row r="34" spans="1:11" ht="22.5" customHeight="1">
      <c r="A34" s="3">
        <v>29</v>
      </c>
      <c r="B34" s="5" t="s">
        <v>618</v>
      </c>
      <c r="C34" s="6" t="s">
        <v>518</v>
      </c>
      <c r="D34" s="4" t="s">
        <v>287</v>
      </c>
      <c r="E34" s="7">
        <v>10</v>
      </c>
      <c r="F34" s="4"/>
      <c r="G34" s="4" t="s">
        <v>357</v>
      </c>
      <c r="H34" s="101" t="s">
        <v>275</v>
      </c>
      <c r="I34" s="102"/>
      <c r="J34" s="72">
        <v>52694</v>
      </c>
      <c r="K34" s="15"/>
    </row>
    <row r="35" spans="1:11" ht="22.5" customHeight="1">
      <c r="A35" s="3">
        <v>30</v>
      </c>
      <c r="B35" s="5" t="s">
        <v>619</v>
      </c>
      <c r="C35" s="6" t="s">
        <v>519</v>
      </c>
      <c r="D35" s="4" t="s">
        <v>287</v>
      </c>
      <c r="E35" s="7">
        <v>10</v>
      </c>
      <c r="F35" s="4"/>
      <c r="G35" s="4" t="s">
        <v>357</v>
      </c>
      <c r="H35" s="101" t="s">
        <v>275</v>
      </c>
      <c r="I35" s="102"/>
      <c r="J35" s="72">
        <v>96968</v>
      </c>
      <c r="K35" s="15"/>
    </row>
    <row r="36" spans="1:11" ht="22.5" customHeight="1">
      <c r="A36" s="3">
        <v>31</v>
      </c>
      <c r="B36" s="5" t="s">
        <v>392</v>
      </c>
      <c r="C36" s="6" t="s">
        <v>371</v>
      </c>
      <c r="D36" s="4" t="s">
        <v>287</v>
      </c>
      <c r="E36" s="7">
        <v>10</v>
      </c>
      <c r="F36" s="4"/>
      <c r="G36" s="4" t="s">
        <v>357</v>
      </c>
      <c r="H36" s="101" t="s">
        <v>276</v>
      </c>
      <c r="I36" s="102"/>
      <c r="J36" s="72">
        <v>504</v>
      </c>
      <c r="K36" s="15"/>
    </row>
    <row r="37" spans="1:11" ht="22.5" customHeight="1">
      <c r="A37" s="3">
        <v>32</v>
      </c>
      <c r="B37" s="5" t="s">
        <v>620</v>
      </c>
      <c r="C37" s="6" t="s">
        <v>520</v>
      </c>
      <c r="D37" s="4" t="s">
        <v>287</v>
      </c>
      <c r="E37" s="7">
        <v>10</v>
      </c>
      <c r="F37" s="4"/>
      <c r="G37" s="4" t="s">
        <v>357</v>
      </c>
      <c r="H37" s="101" t="s">
        <v>276</v>
      </c>
      <c r="I37" s="102"/>
      <c r="J37" s="72">
        <v>1050</v>
      </c>
      <c r="K37" s="15"/>
    </row>
    <row r="38" spans="1:11" ht="22.5" customHeight="1">
      <c r="A38" s="3">
        <v>33</v>
      </c>
      <c r="B38" s="5" t="s">
        <v>621</v>
      </c>
      <c r="C38" s="6" t="s">
        <v>521</v>
      </c>
      <c r="D38" s="4" t="s">
        <v>287</v>
      </c>
      <c r="E38" s="7">
        <v>10</v>
      </c>
      <c r="F38" s="4"/>
      <c r="G38" s="4" t="s">
        <v>357</v>
      </c>
      <c r="H38" s="101" t="s">
        <v>276</v>
      </c>
      <c r="I38" s="102"/>
      <c r="J38" s="72">
        <v>21304</v>
      </c>
      <c r="K38" s="15"/>
    </row>
    <row r="39" spans="1:11" ht="22.5" customHeight="1">
      <c r="A39" s="3">
        <v>34</v>
      </c>
      <c r="B39" s="5" t="s">
        <v>622</v>
      </c>
      <c r="C39" s="6" t="s">
        <v>522</v>
      </c>
      <c r="D39" s="4" t="s">
        <v>287</v>
      </c>
      <c r="E39" s="7">
        <v>10</v>
      </c>
      <c r="F39" s="4"/>
      <c r="G39" s="4" t="s">
        <v>357</v>
      </c>
      <c r="H39" s="101" t="s">
        <v>276</v>
      </c>
      <c r="I39" s="102"/>
      <c r="J39" s="72">
        <v>54094</v>
      </c>
      <c r="K39" s="15"/>
    </row>
    <row r="40" spans="1:11" ht="22.5" customHeight="1">
      <c r="A40" s="3">
        <v>35</v>
      </c>
      <c r="B40" s="5" t="s">
        <v>623</v>
      </c>
      <c r="C40" s="6" t="s">
        <v>372</v>
      </c>
      <c r="D40" s="4" t="s">
        <v>287</v>
      </c>
      <c r="E40" s="7" t="s">
        <v>358</v>
      </c>
      <c r="F40" s="4"/>
      <c r="G40" s="4" t="s">
        <v>346</v>
      </c>
      <c r="H40" s="101" t="s">
        <v>356</v>
      </c>
      <c r="I40" s="102"/>
      <c r="J40" s="72">
        <v>287.3</v>
      </c>
      <c r="K40" s="15"/>
    </row>
    <row r="41" spans="1:11" ht="22.5" customHeight="1">
      <c r="A41" s="3">
        <v>36</v>
      </c>
      <c r="B41" s="5" t="s">
        <v>624</v>
      </c>
      <c r="C41" s="6" t="s">
        <v>523</v>
      </c>
      <c r="D41" s="4" t="s">
        <v>287</v>
      </c>
      <c r="E41" s="7" t="s">
        <v>358</v>
      </c>
      <c r="F41" s="4"/>
      <c r="G41" s="4" t="s">
        <v>346</v>
      </c>
      <c r="H41" s="101" t="s">
        <v>356</v>
      </c>
      <c r="I41" s="102"/>
      <c r="J41" s="72">
        <v>523.62</v>
      </c>
      <c r="K41" s="15"/>
    </row>
    <row r="42" spans="1:11" s="54" customFormat="1" ht="22.5" customHeight="1">
      <c r="A42" s="3">
        <v>37</v>
      </c>
      <c r="B42" s="5" t="s">
        <v>625</v>
      </c>
      <c r="C42" s="6" t="s">
        <v>524</v>
      </c>
      <c r="D42" s="4" t="s">
        <v>287</v>
      </c>
      <c r="E42" s="7" t="s">
        <v>358</v>
      </c>
      <c r="F42" s="4"/>
      <c r="G42" s="4" t="s">
        <v>346</v>
      </c>
      <c r="H42" s="101" t="s">
        <v>356</v>
      </c>
      <c r="I42" s="102"/>
      <c r="J42" s="73">
        <v>247.34</v>
      </c>
      <c r="K42" s="70"/>
    </row>
    <row r="43" spans="1:11" s="54" customFormat="1" ht="22.5" customHeight="1">
      <c r="A43" s="3">
        <v>38</v>
      </c>
      <c r="B43" s="5" t="s">
        <v>626</v>
      </c>
      <c r="C43" s="6" t="s">
        <v>525</v>
      </c>
      <c r="D43" s="4" t="s">
        <v>287</v>
      </c>
      <c r="E43" s="7" t="s">
        <v>358</v>
      </c>
      <c r="F43" s="4"/>
      <c r="G43" s="4" t="s">
        <v>346</v>
      </c>
      <c r="H43" s="101" t="s">
        <v>356</v>
      </c>
      <c r="I43" s="102"/>
      <c r="J43" s="73">
        <v>179.26</v>
      </c>
      <c r="K43" s="70"/>
    </row>
    <row r="44" spans="1:11" s="54" customFormat="1" ht="22.5" customHeight="1">
      <c r="A44" s="3">
        <v>39</v>
      </c>
      <c r="B44" s="5" t="s">
        <v>393</v>
      </c>
      <c r="C44" s="6" t="s">
        <v>373</v>
      </c>
      <c r="D44" s="4" t="s">
        <v>287</v>
      </c>
      <c r="E44" s="7">
        <v>10</v>
      </c>
      <c r="F44" s="4"/>
      <c r="G44" s="4" t="s">
        <v>357</v>
      </c>
      <c r="H44" s="101" t="s">
        <v>274</v>
      </c>
      <c r="I44" s="102"/>
      <c r="J44" s="73">
        <v>4338</v>
      </c>
      <c r="K44" s="70"/>
    </row>
    <row r="45" spans="1:11" s="54" customFormat="1" ht="22.5" customHeight="1">
      <c r="A45" s="3">
        <v>40</v>
      </c>
      <c r="B45" s="5" t="s">
        <v>627</v>
      </c>
      <c r="C45" s="6" t="s">
        <v>526</v>
      </c>
      <c r="D45" s="4" t="s">
        <v>287</v>
      </c>
      <c r="E45" s="7">
        <v>10</v>
      </c>
      <c r="F45" s="4"/>
      <c r="G45" s="4" t="s">
        <v>357</v>
      </c>
      <c r="H45" s="101" t="s">
        <v>274</v>
      </c>
      <c r="I45" s="102"/>
      <c r="J45" s="73">
        <v>12811</v>
      </c>
      <c r="K45" s="70"/>
    </row>
    <row r="46" spans="1:11" s="54" customFormat="1" ht="22.5" customHeight="1">
      <c r="A46" s="3">
        <v>41</v>
      </c>
      <c r="B46" s="5" t="s">
        <v>628</v>
      </c>
      <c r="C46" s="6" t="s">
        <v>374</v>
      </c>
      <c r="D46" s="4" t="s">
        <v>287</v>
      </c>
      <c r="E46" s="7">
        <v>10</v>
      </c>
      <c r="F46" s="4"/>
      <c r="G46" s="4" t="s">
        <v>357</v>
      </c>
      <c r="H46" s="101" t="s">
        <v>274</v>
      </c>
      <c r="I46" s="102"/>
      <c r="J46" s="73">
        <v>174854</v>
      </c>
      <c r="K46" s="70"/>
    </row>
    <row r="47" spans="1:11" s="54" customFormat="1" ht="22.5" customHeight="1">
      <c r="A47" s="3">
        <v>42</v>
      </c>
      <c r="B47" s="5" t="s">
        <v>629</v>
      </c>
      <c r="C47" s="6" t="s">
        <v>527</v>
      </c>
      <c r="D47" s="4" t="s">
        <v>287</v>
      </c>
      <c r="E47" s="7">
        <v>10</v>
      </c>
      <c r="F47" s="4"/>
      <c r="G47" s="4" t="s">
        <v>357</v>
      </c>
      <c r="H47" s="101" t="s">
        <v>274</v>
      </c>
      <c r="I47" s="102"/>
      <c r="J47" s="73">
        <v>381406</v>
      </c>
      <c r="K47" s="70"/>
    </row>
    <row r="48" spans="1:11" s="54" customFormat="1" ht="22.5" customHeight="1">
      <c r="A48" s="3">
        <v>43</v>
      </c>
      <c r="B48" s="5" t="s">
        <v>394</v>
      </c>
      <c r="C48" s="6" t="s">
        <v>375</v>
      </c>
      <c r="D48" s="4" t="s">
        <v>287</v>
      </c>
      <c r="E48" s="7">
        <v>10</v>
      </c>
      <c r="F48" s="4"/>
      <c r="G48" s="4" t="s">
        <v>357</v>
      </c>
      <c r="H48" s="101" t="s">
        <v>277</v>
      </c>
      <c r="I48" s="102"/>
      <c r="J48" s="73">
        <v>3086</v>
      </c>
      <c r="K48" s="70"/>
    </row>
    <row r="49" spans="1:11" s="54" customFormat="1" ht="22.5" customHeight="1">
      <c r="A49" s="3">
        <v>44</v>
      </c>
      <c r="B49" s="5" t="s">
        <v>630</v>
      </c>
      <c r="C49" s="6" t="s">
        <v>529</v>
      </c>
      <c r="D49" s="4" t="s">
        <v>287</v>
      </c>
      <c r="E49" s="7">
        <v>10</v>
      </c>
      <c r="F49" s="4"/>
      <c r="G49" s="4" t="s">
        <v>357</v>
      </c>
      <c r="H49" s="101" t="s">
        <v>277</v>
      </c>
      <c r="I49" s="102"/>
      <c r="J49" s="73">
        <v>10586</v>
      </c>
      <c r="K49" s="70"/>
    </row>
    <row r="50" spans="1:11" s="54" customFormat="1" ht="22.5" customHeight="1">
      <c r="A50" s="3">
        <v>45</v>
      </c>
      <c r="B50" s="5" t="s">
        <v>631</v>
      </c>
      <c r="C50" s="6" t="s">
        <v>376</v>
      </c>
      <c r="D50" s="4" t="s">
        <v>287</v>
      </c>
      <c r="E50" s="7">
        <v>10</v>
      </c>
      <c r="F50" s="4"/>
      <c r="G50" s="4" t="s">
        <v>357</v>
      </c>
      <c r="H50" s="101" t="s">
        <v>277</v>
      </c>
      <c r="I50" s="102"/>
      <c r="J50" s="73">
        <v>117601</v>
      </c>
      <c r="K50" s="70"/>
    </row>
    <row r="51" spans="1:11" s="54" customFormat="1" ht="22.5" customHeight="1">
      <c r="A51" s="3">
        <v>46</v>
      </c>
      <c r="B51" s="5" t="s">
        <v>632</v>
      </c>
      <c r="C51" s="6" t="s">
        <v>530</v>
      </c>
      <c r="D51" s="4" t="s">
        <v>287</v>
      </c>
      <c r="E51" s="7">
        <v>10</v>
      </c>
      <c r="F51" s="4"/>
      <c r="G51" s="4" t="s">
        <v>357</v>
      </c>
      <c r="H51" s="101" t="s">
        <v>277</v>
      </c>
      <c r="I51" s="102"/>
      <c r="J51" s="73">
        <v>238032</v>
      </c>
      <c r="K51" s="70"/>
    </row>
    <row r="52" spans="1:11" s="54" customFormat="1" ht="22.5" customHeight="1">
      <c r="A52" s="3">
        <v>47</v>
      </c>
      <c r="B52" s="5" t="s">
        <v>395</v>
      </c>
      <c r="C52" s="6" t="s">
        <v>377</v>
      </c>
      <c r="D52" s="4" t="s">
        <v>287</v>
      </c>
      <c r="E52" s="7">
        <v>10</v>
      </c>
      <c r="F52" s="4"/>
      <c r="G52" s="4" t="s">
        <v>357</v>
      </c>
      <c r="H52" s="101" t="s">
        <v>277</v>
      </c>
      <c r="I52" s="102"/>
      <c r="J52" s="73">
        <v>1644</v>
      </c>
      <c r="K52" s="70"/>
    </row>
    <row r="53" spans="1:11" s="54" customFormat="1" ht="22.5" customHeight="1">
      <c r="A53" s="3">
        <v>48</v>
      </c>
      <c r="B53" s="5" t="s">
        <v>633</v>
      </c>
      <c r="C53" s="6" t="s">
        <v>531</v>
      </c>
      <c r="D53" s="4" t="s">
        <v>287</v>
      </c>
      <c r="E53" s="7">
        <v>10</v>
      </c>
      <c r="F53" s="4"/>
      <c r="G53" s="4" t="s">
        <v>357</v>
      </c>
      <c r="H53" s="101" t="s">
        <v>277</v>
      </c>
      <c r="I53" s="102"/>
      <c r="J53" s="73">
        <v>4743</v>
      </c>
      <c r="K53" s="70"/>
    </row>
    <row r="54" spans="1:11" s="54" customFormat="1" ht="22.5" customHeight="1">
      <c r="A54" s="3">
        <v>49</v>
      </c>
      <c r="B54" s="5" t="s">
        <v>454</v>
      </c>
      <c r="C54" s="6" t="s">
        <v>378</v>
      </c>
      <c r="D54" s="4" t="s">
        <v>287</v>
      </c>
      <c r="E54" s="7">
        <v>10</v>
      </c>
      <c r="F54" s="4"/>
      <c r="G54" s="4" t="s">
        <v>357</v>
      </c>
      <c r="H54" s="101" t="s">
        <v>277</v>
      </c>
      <c r="I54" s="102"/>
      <c r="J54" s="73">
        <v>29579</v>
      </c>
      <c r="K54" s="70"/>
    </row>
    <row r="55" spans="1:11" s="54" customFormat="1" ht="22.5" customHeight="1">
      <c r="A55" s="3">
        <v>50</v>
      </c>
      <c r="B55" s="5" t="s">
        <v>634</v>
      </c>
      <c r="C55" s="6" t="s">
        <v>532</v>
      </c>
      <c r="D55" s="4" t="s">
        <v>287</v>
      </c>
      <c r="E55" s="7">
        <v>10</v>
      </c>
      <c r="F55" s="4"/>
      <c r="G55" s="4" t="s">
        <v>357</v>
      </c>
      <c r="H55" s="101" t="s">
        <v>277</v>
      </c>
      <c r="I55" s="102"/>
      <c r="J55" s="73">
        <v>53827</v>
      </c>
      <c r="K55" s="70"/>
    </row>
    <row r="56" spans="1:11" s="54" customFormat="1" ht="22.5" customHeight="1">
      <c r="A56" s="3">
        <v>51</v>
      </c>
      <c r="B56" s="5" t="s">
        <v>396</v>
      </c>
      <c r="C56" s="6" t="s">
        <v>379</v>
      </c>
      <c r="D56" s="4" t="s">
        <v>287</v>
      </c>
      <c r="E56" s="7">
        <v>10</v>
      </c>
      <c r="F56" s="4"/>
      <c r="G56" s="4" t="s">
        <v>357</v>
      </c>
      <c r="H56" s="101" t="s">
        <v>277</v>
      </c>
      <c r="I56" s="102"/>
      <c r="J56" s="73">
        <v>7483</v>
      </c>
      <c r="K56" s="70"/>
    </row>
    <row r="57" spans="1:11" s="54" customFormat="1" ht="22.5" customHeight="1">
      <c r="A57" s="3">
        <v>52</v>
      </c>
      <c r="B57" s="5" t="s">
        <v>635</v>
      </c>
      <c r="C57" s="6" t="s">
        <v>533</v>
      </c>
      <c r="D57" s="4" t="s">
        <v>287</v>
      </c>
      <c r="E57" s="7">
        <v>10</v>
      </c>
      <c r="F57" s="4"/>
      <c r="G57" s="4" t="s">
        <v>357</v>
      </c>
      <c r="H57" s="101" t="s">
        <v>277</v>
      </c>
      <c r="I57" s="102"/>
      <c r="J57" s="73">
        <v>18971</v>
      </c>
      <c r="K57" s="70"/>
    </row>
    <row r="58" spans="1:11" s="54" customFormat="1" ht="22.5" customHeight="1">
      <c r="A58" s="3">
        <v>53</v>
      </c>
      <c r="B58" s="5" t="s">
        <v>636</v>
      </c>
      <c r="C58" s="6" t="s">
        <v>380</v>
      </c>
      <c r="D58" s="4" t="s">
        <v>287</v>
      </c>
      <c r="E58" s="7">
        <v>10</v>
      </c>
      <c r="F58" s="4"/>
      <c r="G58" s="4" t="s">
        <v>357</v>
      </c>
      <c r="H58" s="101" t="s">
        <v>277</v>
      </c>
      <c r="I58" s="102"/>
      <c r="J58" s="73">
        <v>99745</v>
      </c>
      <c r="K58" s="70"/>
    </row>
    <row r="59" spans="1:11" s="54" customFormat="1" ht="22.5" customHeight="1">
      <c r="A59" s="3">
        <v>54</v>
      </c>
      <c r="B59" s="5" t="s">
        <v>637</v>
      </c>
      <c r="C59" s="6" t="s">
        <v>534</v>
      </c>
      <c r="D59" s="4" t="s">
        <v>287</v>
      </c>
      <c r="E59" s="7">
        <v>10</v>
      </c>
      <c r="F59" s="4"/>
      <c r="G59" s="4" t="s">
        <v>357</v>
      </c>
      <c r="H59" s="101" t="s">
        <v>277</v>
      </c>
      <c r="I59" s="102"/>
      <c r="J59" s="73">
        <v>215702</v>
      </c>
      <c r="K59" s="70"/>
    </row>
    <row r="60" spans="1:11" s="54" customFormat="1" ht="22.5" customHeight="1">
      <c r="A60" s="3">
        <v>55</v>
      </c>
      <c r="B60" s="5" t="s">
        <v>504</v>
      </c>
      <c r="C60" s="62" t="s">
        <v>503</v>
      </c>
      <c r="D60" s="4" t="s">
        <v>287</v>
      </c>
      <c r="E60" s="7">
        <v>10</v>
      </c>
      <c r="F60" s="4"/>
      <c r="G60" s="4" t="s">
        <v>357</v>
      </c>
      <c r="H60" s="101" t="s">
        <v>277</v>
      </c>
      <c r="I60" s="102"/>
      <c r="J60" s="73">
        <v>7836</v>
      </c>
      <c r="K60" s="70"/>
    </row>
    <row r="61" spans="1:11" s="54" customFormat="1" ht="22.5" customHeight="1">
      <c r="A61" s="3">
        <v>56</v>
      </c>
      <c r="B61" s="5" t="s">
        <v>638</v>
      </c>
      <c r="C61" s="62" t="s">
        <v>535</v>
      </c>
      <c r="D61" s="4" t="s">
        <v>287</v>
      </c>
      <c r="E61" s="7">
        <v>10</v>
      </c>
      <c r="F61" s="4"/>
      <c r="G61" s="4" t="s">
        <v>357</v>
      </c>
      <c r="H61" s="101" t="s">
        <v>277</v>
      </c>
      <c r="I61" s="102"/>
      <c r="J61" s="73">
        <v>13269</v>
      </c>
      <c r="K61" s="70"/>
    </row>
    <row r="62" spans="1:11" s="54" customFormat="1" ht="22.5" customHeight="1">
      <c r="A62" s="3">
        <v>57</v>
      </c>
      <c r="B62" s="5" t="s">
        <v>397</v>
      </c>
      <c r="C62" s="62" t="s">
        <v>464</v>
      </c>
      <c r="D62" s="4" t="s">
        <v>287</v>
      </c>
      <c r="E62" s="7">
        <v>10</v>
      </c>
      <c r="F62" s="4"/>
      <c r="G62" s="4" t="s">
        <v>357</v>
      </c>
      <c r="H62" s="101" t="s">
        <v>277</v>
      </c>
      <c r="I62" s="102"/>
      <c r="J62" s="73">
        <v>5390</v>
      </c>
      <c r="K62" s="70"/>
    </row>
    <row r="63" spans="1:11" s="54" customFormat="1" ht="22.5" customHeight="1">
      <c r="A63" s="3">
        <v>58</v>
      </c>
      <c r="B63" s="5" t="s">
        <v>639</v>
      </c>
      <c r="C63" s="62" t="s">
        <v>536</v>
      </c>
      <c r="D63" s="4" t="s">
        <v>287</v>
      </c>
      <c r="E63" s="7">
        <v>10</v>
      </c>
      <c r="F63" s="4"/>
      <c r="G63" s="4" t="s">
        <v>357</v>
      </c>
      <c r="H63" s="101" t="s">
        <v>277</v>
      </c>
      <c r="I63" s="102"/>
      <c r="J63" s="73">
        <v>9415</v>
      </c>
      <c r="K63" s="70"/>
    </row>
    <row r="64" spans="1:11" s="54" customFormat="1" ht="22.5" customHeight="1">
      <c r="A64" s="3">
        <v>59</v>
      </c>
      <c r="B64" s="5" t="s">
        <v>505</v>
      </c>
      <c r="C64" s="6" t="s">
        <v>381</v>
      </c>
      <c r="D64" s="4" t="s">
        <v>287</v>
      </c>
      <c r="E64" s="7">
        <v>10</v>
      </c>
      <c r="F64" s="4"/>
      <c r="G64" s="4" t="s">
        <v>357</v>
      </c>
      <c r="H64" s="101" t="s">
        <v>277</v>
      </c>
      <c r="I64" s="102"/>
      <c r="J64" s="73">
        <v>15283</v>
      </c>
      <c r="K64" s="70"/>
    </row>
    <row r="65" spans="1:11" s="54" customFormat="1" ht="22.5" customHeight="1">
      <c r="A65" s="3">
        <v>60</v>
      </c>
      <c r="B65" s="5" t="s">
        <v>640</v>
      </c>
      <c r="C65" s="6" t="s">
        <v>537</v>
      </c>
      <c r="D65" s="4" t="s">
        <v>287</v>
      </c>
      <c r="E65" s="7">
        <v>10</v>
      </c>
      <c r="F65" s="4"/>
      <c r="G65" s="4" t="s">
        <v>357</v>
      </c>
      <c r="H65" s="101" t="s">
        <v>277</v>
      </c>
      <c r="I65" s="102"/>
      <c r="J65" s="73">
        <v>26403</v>
      </c>
      <c r="K65" s="70"/>
    </row>
    <row r="66" spans="1:11" s="54" customFormat="1" ht="22.5" customHeight="1">
      <c r="A66" s="3">
        <v>61</v>
      </c>
      <c r="B66" s="5" t="s">
        <v>398</v>
      </c>
      <c r="C66" s="6" t="s">
        <v>382</v>
      </c>
      <c r="D66" s="4" t="s">
        <v>287</v>
      </c>
      <c r="E66" s="7">
        <v>10</v>
      </c>
      <c r="F66" s="4"/>
      <c r="G66" s="4" t="s">
        <v>357</v>
      </c>
      <c r="H66" s="101" t="s">
        <v>277</v>
      </c>
      <c r="I66" s="102"/>
      <c r="J66" s="73">
        <v>11501</v>
      </c>
      <c r="K66" s="70"/>
    </row>
    <row r="67" spans="1:11" s="54" customFormat="1" ht="22.5" customHeight="1">
      <c r="A67" s="3">
        <v>62</v>
      </c>
      <c r="B67" s="5" t="s">
        <v>641</v>
      </c>
      <c r="C67" s="6" t="s">
        <v>538</v>
      </c>
      <c r="D67" s="4" t="s">
        <v>287</v>
      </c>
      <c r="E67" s="7">
        <v>10</v>
      </c>
      <c r="F67" s="4"/>
      <c r="G67" s="4" t="s">
        <v>357</v>
      </c>
      <c r="H67" s="101" t="s">
        <v>277</v>
      </c>
      <c r="I67" s="102"/>
      <c r="J67" s="73">
        <v>20675</v>
      </c>
      <c r="K67" s="70"/>
    </row>
    <row r="68" spans="1:11" s="54" customFormat="1" ht="22.5" customHeight="1">
      <c r="A68" s="3">
        <v>63</v>
      </c>
      <c r="B68" s="5" t="s">
        <v>399</v>
      </c>
      <c r="C68" s="6" t="s">
        <v>383</v>
      </c>
      <c r="D68" s="4" t="s">
        <v>287</v>
      </c>
      <c r="E68" s="7">
        <v>10</v>
      </c>
      <c r="F68" s="4"/>
      <c r="G68" s="4" t="s">
        <v>357</v>
      </c>
      <c r="H68" s="101" t="s">
        <v>267</v>
      </c>
      <c r="I68" s="102"/>
      <c r="J68" s="73">
        <v>1511</v>
      </c>
      <c r="K68" s="70"/>
    </row>
    <row r="69" spans="1:11" s="54" customFormat="1" ht="22.5" customHeight="1">
      <c r="A69" s="3">
        <v>64</v>
      </c>
      <c r="B69" s="5" t="s">
        <v>642</v>
      </c>
      <c r="C69" s="6" t="s">
        <v>544</v>
      </c>
      <c r="D69" s="4" t="s">
        <v>287</v>
      </c>
      <c r="E69" s="7">
        <v>10</v>
      </c>
      <c r="F69" s="4"/>
      <c r="G69" s="4" t="s">
        <v>357</v>
      </c>
      <c r="H69" s="101" t="s">
        <v>267</v>
      </c>
      <c r="I69" s="102"/>
      <c r="J69" s="73">
        <v>7355</v>
      </c>
      <c r="K69" s="70"/>
    </row>
    <row r="70" spans="1:11" s="54" customFormat="1" ht="22.5" customHeight="1">
      <c r="A70" s="3">
        <v>65</v>
      </c>
      <c r="B70" s="5" t="s">
        <v>643</v>
      </c>
      <c r="C70" s="6" t="s">
        <v>545</v>
      </c>
      <c r="D70" s="4" t="s">
        <v>287</v>
      </c>
      <c r="E70" s="7">
        <v>10</v>
      </c>
      <c r="F70" s="4"/>
      <c r="G70" s="4" t="s">
        <v>357</v>
      </c>
      <c r="H70" s="101" t="s">
        <v>267</v>
      </c>
      <c r="I70" s="102"/>
      <c r="J70" s="73">
        <v>41471</v>
      </c>
      <c r="K70" s="70"/>
    </row>
    <row r="71" spans="1:11" s="54" customFormat="1" ht="22.5" customHeight="1">
      <c r="A71" s="3">
        <v>66</v>
      </c>
      <c r="B71" s="5" t="s">
        <v>644</v>
      </c>
      <c r="C71" s="6" t="s">
        <v>546</v>
      </c>
      <c r="D71" s="4" t="s">
        <v>287</v>
      </c>
      <c r="E71" s="7">
        <v>10</v>
      </c>
      <c r="F71" s="4"/>
      <c r="G71" s="4" t="s">
        <v>357</v>
      </c>
      <c r="H71" s="101" t="s">
        <v>267</v>
      </c>
      <c r="I71" s="102"/>
      <c r="J71" s="73">
        <v>63557</v>
      </c>
      <c r="K71" s="70"/>
    </row>
    <row r="72" spans="1:11" s="54" customFormat="1" ht="22.5" customHeight="1">
      <c r="A72" s="3">
        <v>67</v>
      </c>
      <c r="B72" s="5" t="s">
        <v>400</v>
      </c>
      <c r="C72" s="6" t="s">
        <v>384</v>
      </c>
      <c r="D72" s="4" t="s">
        <v>287</v>
      </c>
      <c r="E72" s="7">
        <v>10</v>
      </c>
      <c r="F72" s="4"/>
      <c r="G72" s="4" t="s">
        <v>357</v>
      </c>
      <c r="H72" s="101" t="s">
        <v>272</v>
      </c>
      <c r="I72" s="102"/>
      <c r="J72" s="73">
        <v>884</v>
      </c>
      <c r="K72" s="70"/>
    </row>
    <row r="73" spans="1:11" s="54" customFormat="1" ht="22.5" customHeight="1">
      <c r="A73" s="3">
        <v>68</v>
      </c>
      <c r="B73" s="5" t="s">
        <v>645</v>
      </c>
      <c r="C73" s="6" t="s">
        <v>547</v>
      </c>
      <c r="D73" s="4" t="s">
        <v>287</v>
      </c>
      <c r="E73" s="7">
        <v>10</v>
      </c>
      <c r="F73" s="4"/>
      <c r="G73" s="4" t="s">
        <v>357</v>
      </c>
      <c r="H73" s="101" t="s">
        <v>272</v>
      </c>
      <c r="I73" s="102"/>
      <c r="J73" s="73">
        <v>4611</v>
      </c>
      <c r="K73" s="70"/>
    </row>
    <row r="74" spans="1:11" s="54" customFormat="1" ht="22.5" customHeight="1">
      <c r="A74" s="3">
        <v>69</v>
      </c>
      <c r="B74" s="5" t="s">
        <v>473</v>
      </c>
      <c r="C74" s="6" t="s">
        <v>474</v>
      </c>
      <c r="D74" s="4" t="s">
        <v>287</v>
      </c>
      <c r="E74" s="7">
        <v>10</v>
      </c>
      <c r="F74" s="4"/>
      <c r="G74" s="4" t="s">
        <v>357</v>
      </c>
      <c r="H74" s="101" t="s">
        <v>272</v>
      </c>
      <c r="I74" s="102"/>
      <c r="J74" s="73">
        <v>26656</v>
      </c>
      <c r="K74" s="70"/>
    </row>
    <row r="75" spans="1:11" s="54" customFormat="1" ht="22.5" customHeight="1">
      <c r="A75" s="3">
        <v>70</v>
      </c>
      <c r="B75" s="5" t="s">
        <v>646</v>
      </c>
      <c r="C75" s="6" t="s">
        <v>548</v>
      </c>
      <c r="D75" s="4" t="s">
        <v>287</v>
      </c>
      <c r="E75" s="7">
        <v>10</v>
      </c>
      <c r="F75" s="4"/>
      <c r="G75" s="4" t="s">
        <v>357</v>
      </c>
      <c r="H75" s="101" t="s">
        <v>272</v>
      </c>
      <c r="I75" s="102"/>
      <c r="J75" s="73">
        <v>40721</v>
      </c>
      <c r="K75" s="70"/>
    </row>
    <row r="76" spans="1:11" s="54" customFormat="1" ht="22.5" customHeight="1">
      <c r="A76" s="3">
        <v>71</v>
      </c>
      <c r="B76" s="5" t="s">
        <v>401</v>
      </c>
      <c r="C76" s="6" t="s">
        <v>385</v>
      </c>
      <c r="D76" s="4" t="s">
        <v>287</v>
      </c>
      <c r="E76" s="7">
        <v>10</v>
      </c>
      <c r="F76" s="4"/>
      <c r="G76" s="4" t="s">
        <v>357</v>
      </c>
      <c r="H76" s="101" t="s">
        <v>270</v>
      </c>
      <c r="I76" s="102"/>
      <c r="J76" s="73">
        <v>1305</v>
      </c>
      <c r="K76" s="70"/>
    </row>
    <row r="77" spans="1:11" s="54" customFormat="1" ht="22.5" customHeight="1">
      <c r="A77" s="3">
        <v>72</v>
      </c>
      <c r="B77" s="5" t="s">
        <v>647</v>
      </c>
      <c r="C77" s="6" t="s">
        <v>549</v>
      </c>
      <c r="D77" s="4" t="s">
        <v>287</v>
      </c>
      <c r="E77" s="7">
        <v>10</v>
      </c>
      <c r="F77" s="4"/>
      <c r="G77" s="4" t="s">
        <v>357</v>
      </c>
      <c r="H77" s="101" t="s">
        <v>270</v>
      </c>
      <c r="I77" s="102"/>
      <c r="J77" s="73">
        <v>6439</v>
      </c>
      <c r="K77" s="70"/>
    </row>
    <row r="78" spans="1:11" s="54" customFormat="1" ht="22.5" customHeight="1">
      <c r="A78" s="3">
        <v>73</v>
      </c>
      <c r="B78" s="5" t="s">
        <v>648</v>
      </c>
      <c r="C78" s="6" t="s">
        <v>550</v>
      </c>
      <c r="D78" s="4" t="s">
        <v>287</v>
      </c>
      <c r="E78" s="7">
        <v>10</v>
      </c>
      <c r="F78" s="4"/>
      <c r="G78" s="4" t="s">
        <v>357</v>
      </c>
      <c r="H78" s="101" t="s">
        <v>270</v>
      </c>
      <c r="I78" s="102"/>
      <c r="J78" s="73">
        <v>34217</v>
      </c>
      <c r="K78" s="70"/>
    </row>
    <row r="79" spans="1:11" s="54" customFormat="1" ht="22.5" customHeight="1">
      <c r="A79" s="3">
        <v>74</v>
      </c>
      <c r="B79" s="5" t="s">
        <v>649</v>
      </c>
      <c r="C79" s="6" t="s">
        <v>551</v>
      </c>
      <c r="D79" s="4" t="s">
        <v>287</v>
      </c>
      <c r="E79" s="7">
        <v>10</v>
      </c>
      <c r="F79" s="4"/>
      <c r="G79" s="4" t="s">
        <v>357</v>
      </c>
      <c r="H79" s="101" t="s">
        <v>270</v>
      </c>
      <c r="I79" s="102"/>
      <c r="J79" s="73">
        <v>47484</v>
      </c>
      <c r="K79" s="70"/>
    </row>
    <row r="80" spans="1:11" s="54" customFormat="1" ht="22.5" customHeight="1">
      <c r="A80" s="3">
        <v>75</v>
      </c>
      <c r="B80" s="5" t="s">
        <v>402</v>
      </c>
      <c r="C80" s="6" t="s">
        <v>386</v>
      </c>
      <c r="D80" s="4" t="s">
        <v>287</v>
      </c>
      <c r="E80" s="7">
        <v>10</v>
      </c>
      <c r="F80" s="4"/>
      <c r="G80" s="4" t="s">
        <v>357</v>
      </c>
      <c r="H80" s="101" t="s">
        <v>271</v>
      </c>
      <c r="I80" s="102"/>
      <c r="J80" s="73">
        <v>767</v>
      </c>
      <c r="K80" s="70"/>
    </row>
    <row r="81" spans="1:11" s="54" customFormat="1" ht="22.5" customHeight="1">
      <c r="A81" s="3">
        <v>76</v>
      </c>
      <c r="B81" s="5" t="s">
        <v>650</v>
      </c>
      <c r="C81" s="6" t="s">
        <v>552</v>
      </c>
      <c r="D81" s="4" t="s">
        <v>287</v>
      </c>
      <c r="E81" s="7">
        <v>10</v>
      </c>
      <c r="F81" s="4"/>
      <c r="G81" s="4" t="s">
        <v>357</v>
      </c>
      <c r="H81" s="101" t="s">
        <v>271</v>
      </c>
      <c r="I81" s="102"/>
      <c r="J81" s="73">
        <v>4100</v>
      </c>
      <c r="K81" s="70"/>
    </row>
    <row r="82" spans="1:11" s="54" customFormat="1" ht="22.5" customHeight="1">
      <c r="A82" s="3">
        <v>77</v>
      </c>
      <c r="B82" s="5" t="s">
        <v>651</v>
      </c>
      <c r="C82" s="6" t="s">
        <v>553</v>
      </c>
      <c r="D82" s="4" t="s">
        <v>287</v>
      </c>
      <c r="E82" s="7">
        <v>10</v>
      </c>
      <c r="F82" s="4"/>
      <c r="G82" s="4" t="s">
        <v>357</v>
      </c>
      <c r="H82" s="101" t="s">
        <v>271</v>
      </c>
      <c r="I82" s="102"/>
      <c r="J82" s="73">
        <v>22134</v>
      </c>
      <c r="K82" s="70"/>
    </row>
    <row r="83" spans="1:11" s="54" customFormat="1" ht="22.5" customHeight="1">
      <c r="A83" s="3">
        <v>78</v>
      </c>
      <c r="B83" s="5" t="s">
        <v>652</v>
      </c>
      <c r="C83" s="6" t="s">
        <v>554</v>
      </c>
      <c r="D83" s="4" t="s">
        <v>287</v>
      </c>
      <c r="E83" s="7">
        <v>10</v>
      </c>
      <c r="F83" s="4"/>
      <c r="G83" s="4" t="s">
        <v>357</v>
      </c>
      <c r="H83" s="101" t="s">
        <v>271</v>
      </c>
      <c r="I83" s="102"/>
      <c r="J83" s="73">
        <v>30692</v>
      </c>
      <c r="K83" s="70"/>
    </row>
    <row r="84" spans="1:11" s="54" customFormat="1" ht="22.5" customHeight="1">
      <c r="A84" s="3">
        <v>79</v>
      </c>
      <c r="B84" s="5" t="s">
        <v>403</v>
      </c>
      <c r="C84" s="6" t="s">
        <v>387</v>
      </c>
      <c r="D84" s="4" t="s">
        <v>287</v>
      </c>
      <c r="E84" s="7">
        <v>10</v>
      </c>
      <c r="F84" s="4"/>
      <c r="G84" s="4" t="s">
        <v>357</v>
      </c>
      <c r="H84" s="101" t="s">
        <v>267</v>
      </c>
      <c r="I84" s="102"/>
      <c r="J84" s="73">
        <v>621521</v>
      </c>
      <c r="K84" s="70"/>
    </row>
    <row r="85" spans="1:11" ht="22.5" customHeight="1">
      <c r="A85" s="3">
        <v>80</v>
      </c>
      <c r="B85" s="5" t="s">
        <v>653</v>
      </c>
      <c r="C85" s="6" t="s">
        <v>555</v>
      </c>
      <c r="D85" s="4" t="s">
        <v>287</v>
      </c>
      <c r="E85" s="7">
        <v>10</v>
      </c>
      <c r="F85" s="4"/>
      <c r="G85" s="4" t="s">
        <v>357</v>
      </c>
      <c r="H85" s="101" t="s">
        <v>267</v>
      </c>
      <c r="I85" s="102"/>
      <c r="J85" s="72">
        <v>2189028</v>
      </c>
      <c r="K85" s="15"/>
    </row>
    <row r="86" spans="1:11" ht="22.5" customHeight="1">
      <c r="A86" s="3">
        <v>81</v>
      </c>
      <c r="B86" s="5" t="s">
        <v>654</v>
      </c>
      <c r="C86" s="6" t="s">
        <v>556</v>
      </c>
      <c r="D86" s="4" t="s">
        <v>287</v>
      </c>
      <c r="E86" s="7">
        <v>10</v>
      </c>
      <c r="F86" s="4"/>
      <c r="G86" s="4" t="s">
        <v>357</v>
      </c>
      <c r="H86" s="101" t="s">
        <v>267</v>
      </c>
      <c r="I86" s="102"/>
      <c r="J86" s="72">
        <v>19303215</v>
      </c>
      <c r="K86" s="15"/>
    </row>
    <row r="87" spans="1:11" ht="22.5" customHeight="1">
      <c r="A87" s="3">
        <v>82</v>
      </c>
      <c r="B87" s="5" t="s">
        <v>655</v>
      </c>
      <c r="C87" s="6" t="s">
        <v>557</v>
      </c>
      <c r="D87" s="4" t="s">
        <v>287</v>
      </c>
      <c r="E87" s="7">
        <v>10</v>
      </c>
      <c r="F87" s="4"/>
      <c r="G87" s="4" t="s">
        <v>357</v>
      </c>
      <c r="H87" s="101" t="s">
        <v>267</v>
      </c>
      <c r="I87" s="102"/>
      <c r="J87" s="72">
        <v>41692275</v>
      </c>
      <c r="K87" s="15"/>
    </row>
    <row r="88" spans="1:11" ht="22.5" customHeight="1">
      <c r="A88" s="3">
        <v>83</v>
      </c>
      <c r="B88" s="5" t="s">
        <v>404</v>
      </c>
      <c r="C88" s="6" t="s">
        <v>388</v>
      </c>
      <c r="D88" s="4" t="s">
        <v>287</v>
      </c>
      <c r="E88" s="7" t="s">
        <v>358</v>
      </c>
      <c r="F88" s="4"/>
      <c r="G88" s="4" t="s">
        <v>357</v>
      </c>
      <c r="H88" s="101" t="s">
        <v>269</v>
      </c>
      <c r="I88" s="102"/>
      <c r="J88" s="72">
        <v>79.13</v>
      </c>
      <c r="K88" s="15"/>
    </row>
    <row r="89" spans="1:11" ht="22.5" customHeight="1">
      <c r="A89" s="3">
        <v>84</v>
      </c>
      <c r="B89" s="5" t="s">
        <v>656</v>
      </c>
      <c r="C89" s="6" t="s">
        <v>558</v>
      </c>
      <c r="D89" s="4" t="s">
        <v>287</v>
      </c>
      <c r="E89" s="7" t="s">
        <v>358</v>
      </c>
      <c r="F89" s="4"/>
      <c r="G89" s="4" t="s">
        <v>357</v>
      </c>
      <c r="H89" s="101" t="s">
        <v>269</v>
      </c>
      <c r="I89" s="102"/>
      <c r="J89" s="72">
        <v>69.680000000000007</v>
      </c>
      <c r="K89" s="15"/>
    </row>
    <row r="90" spans="1:11" ht="22.5" customHeight="1">
      <c r="A90" s="3">
        <v>85</v>
      </c>
      <c r="B90" s="5" t="s">
        <v>657</v>
      </c>
      <c r="C90" s="6" t="s">
        <v>559</v>
      </c>
      <c r="D90" s="4" t="s">
        <v>287</v>
      </c>
      <c r="E90" s="7" t="s">
        <v>358</v>
      </c>
      <c r="F90" s="4"/>
      <c r="G90" s="4" t="s">
        <v>357</v>
      </c>
      <c r="H90" s="101" t="s">
        <v>269</v>
      </c>
      <c r="I90" s="102"/>
      <c r="J90" s="72">
        <v>68.27</v>
      </c>
      <c r="K90" s="15"/>
    </row>
    <row r="91" spans="1:11" ht="22.5" customHeight="1">
      <c r="A91" s="3">
        <v>86</v>
      </c>
      <c r="B91" s="5" t="s">
        <v>658</v>
      </c>
      <c r="C91" s="6" t="s">
        <v>560</v>
      </c>
      <c r="D91" s="4" t="s">
        <v>287</v>
      </c>
      <c r="E91" s="7" t="s">
        <v>358</v>
      </c>
      <c r="F91" s="4"/>
      <c r="G91" s="4" t="s">
        <v>357</v>
      </c>
      <c r="H91" s="101" t="s">
        <v>269</v>
      </c>
      <c r="I91" s="102"/>
      <c r="J91" s="72">
        <v>53.08</v>
      </c>
      <c r="K91" s="15"/>
    </row>
    <row r="92" spans="1:11" ht="22.5" customHeight="1">
      <c r="A92" s="3">
        <v>87</v>
      </c>
      <c r="B92" s="5" t="s">
        <v>405</v>
      </c>
      <c r="C92" s="6" t="s">
        <v>389</v>
      </c>
      <c r="D92" s="4" t="s">
        <v>287</v>
      </c>
      <c r="E92" s="7" t="s">
        <v>358</v>
      </c>
      <c r="F92" s="4"/>
      <c r="G92" s="4" t="s">
        <v>357</v>
      </c>
      <c r="H92" s="101" t="s">
        <v>268</v>
      </c>
      <c r="I92" s="102"/>
      <c r="J92" s="72">
        <v>17</v>
      </c>
      <c r="K92" s="15"/>
    </row>
    <row r="93" spans="1:11" ht="22.5" customHeight="1">
      <c r="A93" s="3">
        <v>88</v>
      </c>
      <c r="B93" s="5" t="s">
        <v>659</v>
      </c>
      <c r="C93" s="6" t="s">
        <v>561</v>
      </c>
      <c r="D93" s="4" t="s">
        <v>287</v>
      </c>
      <c r="E93" s="7" t="s">
        <v>358</v>
      </c>
      <c r="F93" s="4"/>
      <c r="G93" s="4" t="s">
        <v>357</v>
      </c>
      <c r="H93" s="101" t="s">
        <v>268</v>
      </c>
      <c r="I93" s="102"/>
      <c r="J93" s="72">
        <v>22</v>
      </c>
      <c r="K93" s="15"/>
    </row>
    <row r="94" spans="1:11" ht="22.5" customHeight="1">
      <c r="A94" s="3">
        <v>89</v>
      </c>
      <c r="B94" s="5" t="s">
        <v>660</v>
      </c>
      <c r="C94" s="6" t="s">
        <v>562</v>
      </c>
      <c r="D94" s="4" t="s">
        <v>287</v>
      </c>
      <c r="E94" s="7" t="s">
        <v>358</v>
      </c>
      <c r="F94" s="4"/>
      <c r="G94" s="4" t="s">
        <v>357</v>
      </c>
      <c r="H94" s="101" t="s">
        <v>268</v>
      </c>
      <c r="I94" s="102"/>
      <c r="J94" s="72">
        <v>26</v>
      </c>
      <c r="K94" s="15"/>
    </row>
    <row r="95" spans="1:11" ht="22.5" customHeight="1">
      <c r="A95" s="3">
        <v>90</v>
      </c>
      <c r="B95" s="5" t="s">
        <v>661</v>
      </c>
      <c r="C95" s="6" t="s">
        <v>563</v>
      </c>
      <c r="D95" s="4" t="s">
        <v>287</v>
      </c>
      <c r="E95" s="7" t="s">
        <v>358</v>
      </c>
      <c r="F95" s="4"/>
      <c r="G95" s="4" t="s">
        <v>357</v>
      </c>
      <c r="H95" s="101" t="s">
        <v>268</v>
      </c>
      <c r="I95" s="102"/>
      <c r="J95" s="72">
        <v>31</v>
      </c>
      <c r="K95" s="15"/>
    </row>
    <row r="96" spans="1:11" ht="22.5" customHeight="1">
      <c r="A96" s="3">
        <v>91</v>
      </c>
      <c r="B96" s="5" t="s">
        <v>300</v>
      </c>
      <c r="C96" s="6" t="s">
        <v>303</v>
      </c>
      <c r="D96" s="4" t="s">
        <v>287</v>
      </c>
      <c r="E96" s="7">
        <v>10</v>
      </c>
      <c r="F96" s="4"/>
      <c r="G96" s="4" t="s">
        <v>357</v>
      </c>
      <c r="H96" s="101" t="s">
        <v>406</v>
      </c>
      <c r="I96" s="105"/>
      <c r="J96" s="72">
        <v>0</v>
      </c>
      <c r="K96" s="15"/>
    </row>
    <row r="97" spans="1:11" ht="22.5" customHeight="1">
      <c r="A97" s="3">
        <v>92</v>
      </c>
      <c r="B97" s="5" t="s">
        <v>302</v>
      </c>
      <c r="C97" s="6" t="s">
        <v>305</v>
      </c>
      <c r="D97" s="4" t="s">
        <v>287</v>
      </c>
      <c r="E97" s="7">
        <v>10</v>
      </c>
      <c r="F97" s="4"/>
      <c r="G97" s="4" t="s">
        <v>346</v>
      </c>
      <c r="H97" s="101" t="s">
        <v>450</v>
      </c>
      <c r="I97" s="105"/>
      <c r="J97" s="72" t="s">
        <v>565</v>
      </c>
      <c r="K97" s="15"/>
    </row>
    <row r="98" spans="1:11" ht="22.5" customHeight="1">
      <c r="A98" s="3">
        <v>93</v>
      </c>
      <c r="B98" s="5" t="s">
        <v>304</v>
      </c>
      <c r="C98" s="6" t="s">
        <v>306</v>
      </c>
      <c r="D98" s="4" t="s">
        <v>287</v>
      </c>
      <c r="E98" s="7">
        <v>10</v>
      </c>
      <c r="F98" s="4"/>
      <c r="G98" s="4" t="s">
        <v>357</v>
      </c>
      <c r="H98" s="101" t="s">
        <v>407</v>
      </c>
      <c r="I98" s="105"/>
      <c r="J98" s="72">
        <v>1</v>
      </c>
      <c r="K98" s="15"/>
    </row>
    <row r="99" spans="1:11" ht="22.5" customHeight="1">
      <c r="A99" s="3">
        <v>94</v>
      </c>
      <c r="B99" s="5" t="s">
        <v>307</v>
      </c>
      <c r="C99" s="6" t="s">
        <v>308</v>
      </c>
      <c r="D99" s="4" t="s">
        <v>287</v>
      </c>
      <c r="E99" s="7">
        <v>10</v>
      </c>
      <c r="F99" s="4"/>
      <c r="G99" s="4" t="s">
        <v>346</v>
      </c>
      <c r="H99" s="101" t="s">
        <v>451</v>
      </c>
      <c r="I99" s="105"/>
      <c r="J99" s="72">
        <v>414</v>
      </c>
      <c r="K99" s="15"/>
    </row>
    <row r="100" spans="1:11" ht="22.5" customHeight="1">
      <c r="A100" s="3">
        <v>95</v>
      </c>
      <c r="B100" s="5" t="s">
        <v>301</v>
      </c>
      <c r="C100" s="6" t="s">
        <v>310</v>
      </c>
      <c r="D100" s="4" t="s">
        <v>287</v>
      </c>
      <c r="E100" s="7">
        <v>10</v>
      </c>
      <c r="F100" s="4"/>
      <c r="G100" s="4" t="s">
        <v>357</v>
      </c>
      <c r="H100" s="101" t="s">
        <v>408</v>
      </c>
      <c r="I100" s="105"/>
      <c r="J100" s="72">
        <v>23</v>
      </c>
      <c r="K100" s="15"/>
    </row>
    <row r="101" spans="1:11" ht="22.5" customHeight="1">
      <c r="A101" s="3">
        <v>96</v>
      </c>
      <c r="B101" s="5" t="s">
        <v>309</v>
      </c>
      <c r="C101" s="6" t="s">
        <v>311</v>
      </c>
      <c r="D101" s="4" t="s">
        <v>287</v>
      </c>
      <c r="E101" s="7">
        <v>10</v>
      </c>
      <c r="F101" s="4"/>
      <c r="G101" s="4" t="s">
        <v>346</v>
      </c>
      <c r="H101" s="101" t="s">
        <v>452</v>
      </c>
      <c r="I101" s="105"/>
      <c r="J101" s="72">
        <v>13</v>
      </c>
      <c r="K101" s="15"/>
    </row>
    <row r="102" spans="1:11" ht="22.5" customHeight="1">
      <c r="A102" s="3">
        <v>97</v>
      </c>
      <c r="B102" s="5" t="s">
        <v>312</v>
      </c>
      <c r="C102" s="6" t="s">
        <v>314</v>
      </c>
      <c r="D102" s="4" t="s">
        <v>287</v>
      </c>
      <c r="E102" s="7">
        <v>10</v>
      </c>
      <c r="F102" s="4"/>
      <c r="G102" s="4" t="s">
        <v>357</v>
      </c>
      <c r="H102" s="101" t="s">
        <v>409</v>
      </c>
      <c r="I102" s="105"/>
      <c r="J102" s="72">
        <v>99</v>
      </c>
      <c r="K102" s="15"/>
    </row>
    <row r="103" spans="1:11" ht="22.5" customHeight="1">
      <c r="A103" s="3">
        <v>98</v>
      </c>
      <c r="B103" s="5" t="s">
        <v>313</v>
      </c>
      <c r="C103" s="6" t="s">
        <v>315</v>
      </c>
      <c r="D103" s="4" t="s">
        <v>287</v>
      </c>
      <c r="E103" s="7">
        <v>10</v>
      </c>
      <c r="F103" s="4"/>
      <c r="G103" s="4" t="s">
        <v>346</v>
      </c>
      <c r="H103" s="101" t="s">
        <v>453</v>
      </c>
      <c r="I103" s="105"/>
      <c r="J103" s="72">
        <v>6</v>
      </c>
      <c r="K103" s="15"/>
    </row>
    <row r="104" spans="1:11" ht="22.5" customHeight="1">
      <c r="A104" s="3">
        <v>99</v>
      </c>
      <c r="B104" s="5" t="s">
        <v>414</v>
      </c>
      <c r="C104" s="6" t="s">
        <v>410</v>
      </c>
      <c r="D104" s="4" t="s">
        <v>287</v>
      </c>
      <c r="E104" s="7">
        <v>10</v>
      </c>
      <c r="F104" s="4"/>
      <c r="G104" s="4" t="s">
        <v>346</v>
      </c>
      <c r="H104" s="101" t="s">
        <v>446</v>
      </c>
      <c r="I104" s="105"/>
      <c r="J104" s="72">
        <v>262</v>
      </c>
      <c r="K104" s="15"/>
    </row>
    <row r="105" spans="1:11" ht="22.5" customHeight="1">
      <c r="A105" s="3">
        <v>100</v>
      </c>
      <c r="B105" s="5" t="s">
        <v>299</v>
      </c>
      <c r="C105" s="6" t="s">
        <v>490</v>
      </c>
      <c r="D105" s="4" t="s">
        <v>287</v>
      </c>
      <c r="E105" s="7">
        <v>10</v>
      </c>
      <c r="F105" s="4"/>
      <c r="G105" s="4" t="s">
        <v>357</v>
      </c>
      <c r="H105" s="101" t="s">
        <v>279</v>
      </c>
      <c r="I105" s="102"/>
      <c r="J105" s="72">
        <v>32</v>
      </c>
      <c r="K105" s="15"/>
    </row>
    <row r="106" spans="1:11" ht="22.5" customHeight="1">
      <c r="A106" s="3">
        <v>101</v>
      </c>
      <c r="B106" s="5" t="s">
        <v>662</v>
      </c>
      <c r="C106" s="6" t="s">
        <v>567</v>
      </c>
      <c r="D106" s="4" t="s">
        <v>287</v>
      </c>
      <c r="E106" s="7">
        <v>10</v>
      </c>
      <c r="F106" s="4"/>
      <c r="G106" s="4" t="s">
        <v>357</v>
      </c>
      <c r="H106" s="101" t="s">
        <v>279</v>
      </c>
      <c r="I106" s="102"/>
      <c r="J106" s="72">
        <v>76</v>
      </c>
      <c r="K106" s="15"/>
    </row>
    <row r="107" spans="1:11" ht="22.5" customHeight="1">
      <c r="A107" s="3">
        <v>102</v>
      </c>
      <c r="B107" s="5" t="s">
        <v>663</v>
      </c>
      <c r="C107" s="6" t="s">
        <v>491</v>
      </c>
      <c r="D107" s="4" t="s">
        <v>287</v>
      </c>
      <c r="E107" s="7">
        <v>10</v>
      </c>
      <c r="F107" s="4"/>
      <c r="G107" s="4" t="s">
        <v>357</v>
      </c>
      <c r="H107" s="101" t="s">
        <v>279</v>
      </c>
      <c r="I107" s="102"/>
      <c r="J107" s="72">
        <v>538</v>
      </c>
      <c r="K107" s="15"/>
    </row>
    <row r="108" spans="1:11" ht="22.5" customHeight="1">
      <c r="A108" s="3">
        <v>103</v>
      </c>
      <c r="B108" s="5" t="s">
        <v>664</v>
      </c>
      <c r="C108" s="6" t="s">
        <v>568</v>
      </c>
      <c r="D108" s="4" t="s">
        <v>287</v>
      </c>
      <c r="E108" s="7">
        <v>10</v>
      </c>
      <c r="F108" s="4"/>
      <c r="G108" s="4" t="s">
        <v>357</v>
      </c>
      <c r="H108" s="101" t="s">
        <v>279</v>
      </c>
      <c r="I108" s="102"/>
      <c r="J108" s="72">
        <v>1113</v>
      </c>
      <c r="K108" s="15"/>
    </row>
    <row r="109" spans="1:11" ht="22.5" customHeight="1">
      <c r="A109" s="3">
        <v>104</v>
      </c>
      <c r="B109" s="5" t="s">
        <v>316</v>
      </c>
      <c r="C109" s="6" t="s">
        <v>318</v>
      </c>
      <c r="D109" s="4" t="s">
        <v>283</v>
      </c>
      <c r="E109" s="7">
        <v>30</v>
      </c>
      <c r="F109" s="4"/>
      <c r="G109" s="4" t="s">
        <v>346</v>
      </c>
      <c r="H109" s="101" t="s">
        <v>442</v>
      </c>
      <c r="I109" s="105"/>
      <c r="J109" s="72" t="s">
        <v>570</v>
      </c>
      <c r="K109" s="15"/>
    </row>
    <row r="110" spans="1:11" ht="22.5" customHeight="1">
      <c r="A110" s="3">
        <v>105</v>
      </c>
      <c r="B110" s="5" t="s">
        <v>413</v>
      </c>
      <c r="C110" s="6" t="s">
        <v>411</v>
      </c>
      <c r="D110" s="4" t="s">
        <v>287</v>
      </c>
      <c r="E110" s="7">
        <v>10</v>
      </c>
      <c r="F110" s="4"/>
      <c r="G110" s="4" t="s">
        <v>346</v>
      </c>
      <c r="H110" s="101" t="s">
        <v>443</v>
      </c>
      <c r="I110" s="105"/>
      <c r="J110" s="72">
        <v>6068</v>
      </c>
      <c r="K110" s="15"/>
    </row>
    <row r="111" spans="1:11" ht="22.5" customHeight="1">
      <c r="A111" s="3">
        <v>106</v>
      </c>
      <c r="B111" s="5" t="s">
        <v>317</v>
      </c>
      <c r="C111" s="6" t="s">
        <v>319</v>
      </c>
      <c r="D111" s="4" t="s">
        <v>283</v>
      </c>
      <c r="E111" s="7">
        <v>30</v>
      </c>
      <c r="F111" s="4"/>
      <c r="G111" s="4" t="s">
        <v>346</v>
      </c>
      <c r="H111" s="101" t="s">
        <v>444</v>
      </c>
      <c r="I111" s="105"/>
      <c r="J111" s="72" t="s">
        <v>572</v>
      </c>
      <c r="K111" s="15"/>
    </row>
    <row r="112" spans="1:11" ht="22.5" customHeight="1">
      <c r="A112" s="3">
        <v>107</v>
      </c>
      <c r="B112" s="5" t="s">
        <v>415</v>
      </c>
      <c r="C112" s="6" t="s">
        <v>412</v>
      </c>
      <c r="D112" s="4" t="s">
        <v>287</v>
      </c>
      <c r="E112" s="7">
        <v>10</v>
      </c>
      <c r="F112" s="4"/>
      <c r="G112" s="4" t="s">
        <v>346</v>
      </c>
      <c r="H112" s="101" t="s">
        <v>445</v>
      </c>
      <c r="I112" s="105"/>
      <c r="J112" s="72">
        <v>5905</v>
      </c>
      <c r="K112" s="15"/>
    </row>
    <row r="113" spans="1:11" ht="22.5" customHeight="1">
      <c r="A113" s="3">
        <v>108</v>
      </c>
      <c r="B113" s="5" t="s">
        <v>416</v>
      </c>
      <c r="C113" s="6" t="s">
        <v>429</v>
      </c>
      <c r="D113" s="4" t="s">
        <v>287</v>
      </c>
      <c r="E113" s="7">
        <v>10</v>
      </c>
      <c r="F113" s="4"/>
      <c r="G113" s="4" t="s">
        <v>346</v>
      </c>
      <c r="H113" s="101" t="s">
        <v>447</v>
      </c>
      <c r="I113" s="105"/>
      <c r="J113" s="72">
        <v>368</v>
      </c>
      <c r="K113" s="15"/>
    </row>
    <row r="114" spans="1:11" ht="22.5" customHeight="1">
      <c r="A114" s="3">
        <v>109</v>
      </c>
      <c r="B114" s="5" t="s">
        <v>494</v>
      </c>
      <c r="C114" s="6" t="s">
        <v>359</v>
      </c>
      <c r="D114" s="4" t="s">
        <v>287</v>
      </c>
      <c r="E114" s="7">
        <v>10</v>
      </c>
      <c r="F114" s="4"/>
      <c r="G114" s="4" t="s">
        <v>345</v>
      </c>
      <c r="H114" s="101" t="s">
        <v>280</v>
      </c>
      <c r="I114" s="105"/>
      <c r="J114" s="72">
        <v>12</v>
      </c>
      <c r="K114" s="15"/>
    </row>
    <row r="115" spans="1:11" ht="22.5" customHeight="1">
      <c r="A115" s="3">
        <v>110</v>
      </c>
      <c r="B115" s="5" t="s">
        <v>665</v>
      </c>
      <c r="C115" s="6" t="s">
        <v>575</v>
      </c>
      <c r="D115" s="4" t="s">
        <v>287</v>
      </c>
      <c r="E115" s="7">
        <v>10</v>
      </c>
      <c r="F115" s="4"/>
      <c r="G115" s="4" t="s">
        <v>345</v>
      </c>
      <c r="H115" s="101" t="s">
        <v>280</v>
      </c>
      <c r="I115" s="105"/>
      <c r="J115" s="72">
        <v>12</v>
      </c>
      <c r="K115" s="15"/>
    </row>
    <row r="116" spans="1:11" ht="22.5" customHeight="1">
      <c r="A116" s="3">
        <v>111</v>
      </c>
      <c r="B116" s="5" t="s">
        <v>666</v>
      </c>
      <c r="C116" s="6" t="s">
        <v>576</v>
      </c>
      <c r="D116" s="4" t="s">
        <v>287</v>
      </c>
      <c r="E116" s="7">
        <v>10</v>
      </c>
      <c r="F116" s="4"/>
      <c r="G116" s="4" t="s">
        <v>345</v>
      </c>
      <c r="H116" s="101" t="s">
        <v>280</v>
      </c>
      <c r="I116" s="105"/>
      <c r="J116" s="72">
        <v>87</v>
      </c>
      <c r="K116" s="15"/>
    </row>
    <row r="117" spans="1:11" ht="22.5" customHeight="1">
      <c r="A117" s="3">
        <v>112</v>
      </c>
      <c r="B117" s="5" t="s">
        <v>667</v>
      </c>
      <c r="C117" s="6" t="s">
        <v>577</v>
      </c>
      <c r="D117" s="4" t="s">
        <v>287</v>
      </c>
      <c r="E117" s="7">
        <v>10</v>
      </c>
      <c r="F117" s="4"/>
      <c r="G117" s="4" t="s">
        <v>345</v>
      </c>
      <c r="H117" s="101" t="s">
        <v>280</v>
      </c>
      <c r="I117" s="105"/>
      <c r="J117" s="72">
        <v>195</v>
      </c>
      <c r="K117" s="15"/>
    </row>
    <row r="118" spans="1:11" ht="22.5" customHeight="1">
      <c r="A118" s="3">
        <v>113</v>
      </c>
      <c r="B118" s="5" t="s">
        <v>417</v>
      </c>
      <c r="C118" s="6" t="s">
        <v>430</v>
      </c>
      <c r="D118" s="4" t="s">
        <v>287</v>
      </c>
      <c r="E118" s="7">
        <v>10</v>
      </c>
      <c r="F118" s="4"/>
      <c r="G118" s="4" t="s">
        <v>346</v>
      </c>
      <c r="H118" s="101" t="s">
        <v>447</v>
      </c>
      <c r="I118" s="105"/>
      <c r="J118" s="72">
        <v>140</v>
      </c>
      <c r="K118" s="15"/>
    </row>
    <row r="119" spans="1:11" ht="22.5" customHeight="1">
      <c r="A119" s="3">
        <v>114</v>
      </c>
      <c r="B119" s="5" t="s">
        <v>495</v>
      </c>
      <c r="C119" s="6" t="s">
        <v>360</v>
      </c>
      <c r="D119" s="4" t="s">
        <v>287</v>
      </c>
      <c r="E119" s="7">
        <v>10</v>
      </c>
      <c r="F119" s="4"/>
      <c r="G119" s="4" t="s">
        <v>345</v>
      </c>
      <c r="H119" s="101" t="s">
        <v>280</v>
      </c>
      <c r="I119" s="105"/>
      <c r="J119" s="72">
        <v>2</v>
      </c>
      <c r="K119" s="15"/>
    </row>
    <row r="120" spans="1:11" ht="22.5" customHeight="1">
      <c r="A120" s="3">
        <v>115</v>
      </c>
      <c r="B120" s="5" t="s">
        <v>668</v>
      </c>
      <c r="C120" s="6" t="s">
        <v>579</v>
      </c>
      <c r="D120" s="4" t="s">
        <v>287</v>
      </c>
      <c r="E120" s="7">
        <v>10</v>
      </c>
      <c r="F120" s="4"/>
      <c r="G120" s="4" t="s">
        <v>345</v>
      </c>
      <c r="H120" s="101" t="s">
        <v>280</v>
      </c>
      <c r="I120" s="105"/>
      <c r="J120" s="72">
        <v>4</v>
      </c>
      <c r="K120" s="15"/>
    </row>
    <row r="121" spans="1:11" ht="22.5" customHeight="1">
      <c r="A121" s="3">
        <v>116</v>
      </c>
      <c r="B121" s="5" t="s">
        <v>669</v>
      </c>
      <c r="C121" s="6" t="s">
        <v>580</v>
      </c>
      <c r="D121" s="4" t="s">
        <v>287</v>
      </c>
      <c r="E121" s="7">
        <v>10</v>
      </c>
      <c r="F121" s="4"/>
      <c r="G121" s="4" t="s">
        <v>345</v>
      </c>
      <c r="H121" s="101" t="s">
        <v>280</v>
      </c>
      <c r="I121" s="105"/>
      <c r="J121" s="72">
        <v>35</v>
      </c>
      <c r="K121" s="15"/>
    </row>
    <row r="122" spans="1:11" ht="22.5" customHeight="1">
      <c r="A122" s="3">
        <v>117</v>
      </c>
      <c r="B122" s="5" t="s">
        <v>670</v>
      </c>
      <c r="C122" s="6" t="s">
        <v>581</v>
      </c>
      <c r="D122" s="4" t="s">
        <v>287</v>
      </c>
      <c r="E122" s="7">
        <v>10</v>
      </c>
      <c r="F122" s="4"/>
      <c r="G122" s="4" t="s">
        <v>345</v>
      </c>
      <c r="H122" s="101" t="s">
        <v>280</v>
      </c>
      <c r="I122" s="105"/>
      <c r="J122" s="72">
        <v>88</v>
      </c>
      <c r="K122" s="15"/>
    </row>
    <row r="123" spans="1:11" ht="22.5" customHeight="1">
      <c r="A123" s="3">
        <v>118</v>
      </c>
      <c r="B123" s="5" t="s">
        <v>418</v>
      </c>
      <c r="C123" s="6" t="s">
        <v>431</v>
      </c>
      <c r="D123" s="4" t="s">
        <v>287</v>
      </c>
      <c r="E123" s="7">
        <v>10</v>
      </c>
      <c r="F123" s="4"/>
      <c r="G123" s="4" t="s">
        <v>346</v>
      </c>
      <c r="H123" s="101" t="s">
        <v>447</v>
      </c>
      <c r="I123" s="105"/>
      <c r="J123" s="72">
        <v>504</v>
      </c>
      <c r="K123" s="15"/>
    </row>
    <row r="124" spans="1:11" ht="22.5" customHeight="1">
      <c r="A124" s="3">
        <v>119</v>
      </c>
      <c r="B124" s="5" t="s">
        <v>496</v>
      </c>
      <c r="C124" s="6" t="s">
        <v>361</v>
      </c>
      <c r="D124" s="4" t="s">
        <v>287</v>
      </c>
      <c r="E124" s="7">
        <v>10</v>
      </c>
      <c r="F124" s="4"/>
      <c r="G124" s="4" t="s">
        <v>345</v>
      </c>
      <c r="H124" s="101" t="s">
        <v>280</v>
      </c>
      <c r="I124" s="105"/>
      <c r="J124" s="72">
        <v>0</v>
      </c>
      <c r="K124" s="15"/>
    </row>
    <row r="125" spans="1:11" ht="22.5" customHeight="1">
      <c r="A125" s="3">
        <v>120</v>
      </c>
      <c r="B125" s="5" t="s">
        <v>671</v>
      </c>
      <c r="C125" s="6" t="s">
        <v>583</v>
      </c>
      <c r="D125" s="4" t="s">
        <v>287</v>
      </c>
      <c r="E125" s="7">
        <v>10</v>
      </c>
      <c r="F125" s="4"/>
      <c r="G125" s="4" t="s">
        <v>345</v>
      </c>
      <c r="H125" s="101" t="s">
        <v>280</v>
      </c>
      <c r="I125" s="105"/>
      <c r="J125" s="72">
        <v>6</v>
      </c>
      <c r="K125" s="15"/>
    </row>
    <row r="126" spans="1:11" ht="22.5" customHeight="1">
      <c r="A126" s="3">
        <v>121</v>
      </c>
      <c r="B126" s="5" t="s">
        <v>672</v>
      </c>
      <c r="C126" s="6" t="s">
        <v>584</v>
      </c>
      <c r="D126" s="4" t="s">
        <v>287</v>
      </c>
      <c r="E126" s="7">
        <v>10</v>
      </c>
      <c r="F126" s="4"/>
      <c r="G126" s="4" t="s">
        <v>345</v>
      </c>
      <c r="H126" s="101" t="s">
        <v>280</v>
      </c>
      <c r="I126" s="105"/>
      <c r="J126" s="72">
        <v>63</v>
      </c>
      <c r="K126" s="15"/>
    </row>
    <row r="127" spans="1:11" ht="22.5" customHeight="1">
      <c r="A127" s="3">
        <v>122</v>
      </c>
      <c r="B127" s="5" t="s">
        <v>673</v>
      </c>
      <c r="C127" s="6" t="s">
        <v>585</v>
      </c>
      <c r="D127" s="4" t="s">
        <v>287</v>
      </c>
      <c r="E127" s="7">
        <v>10</v>
      </c>
      <c r="F127" s="4"/>
      <c r="G127" s="4" t="s">
        <v>345</v>
      </c>
      <c r="H127" s="101" t="s">
        <v>280</v>
      </c>
      <c r="I127" s="105"/>
      <c r="J127" s="72">
        <v>89</v>
      </c>
      <c r="K127" s="15"/>
    </row>
    <row r="128" spans="1:11" ht="22.5" customHeight="1">
      <c r="A128" s="3">
        <v>123</v>
      </c>
      <c r="B128" s="5" t="s">
        <v>419</v>
      </c>
      <c r="C128" s="6" t="s">
        <v>432</v>
      </c>
      <c r="D128" s="4" t="s">
        <v>287</v>
      </c>
      <c r="E128" s="7">
        <v>10</v>
      </c>
      <c r="F128" s="4"/>
      <c r="G128" s="4" t="s">
        <v>346</v>
      </c>
      <c r="H128" s="101" t="s">
        <v>447</v>
      </c>
      <c r="I128" s="105"/>
      <c r="J128" s="72">
        <v>171</v>
      </c>
      <c r="K128" s="15"/>
    </row>
    <row r="129" spans="1:11" ht="22.5" customHeight="1">
      <c r="A129" s="3">
        <v>124</v>
      </c>
      <c r="B129" s="5" t="s">
        <v>497</v>
      </c>
      <c r="C129" s="6" t="s">
        <v>362</v>
      </c>
      <c r="D129" s="4" t="s">
        <v>287</v>
      </c>
      <c r="E129" s="7">
        <v>10</v>
      </c>
      <c r="F129" s="4"/>
      <c r="G129" s="4" t="s">
        <v>345</v>
      </c>
      <c r="H129" s="101" t="s">
        <v>280</v>
      </c>
      <c r="I129" s="105"/>
      <c r="J129" s="72">
        <v>36</v>
      </c>
      <c r="K129" s="15"/>
    </row>
    <row r="130" spans="1:11" ht="22.5" customHeight="1">
      <c r="A130" s="3">
        <v>125</v>
      </c>
      <c r="B130" s="5" t="s">
        <v>674</v>
      </c>
      <c r="C130" s="6" t="s">
        <v>587</v>
      </c>
      <c r="D130" s="4" t="s">
        <v>287</v>
      </c>
      <c r="E130" s="7">
        <v>10</v>
      </c>
      <c r="F130" s="4"/>
      <c r="G130" s="4" t="s">
        <v>345</v>
      </c>
      <c r="H130" s="101" t="s">
        <v>280</v>
      </c>
      <c r="I130" s="105"/>
      <c r="J130" s="72">
        <v>141</v>
      </c>
      <c r="K130" s="15"/>
    </row>
    <row r="131" spans="1:11" ht="22.5" customHeight="1">
      <c r="A131" s="3">
        <v>126</v>
      </c>
      <c r="B131" s="5" t="s">
        <v>675</v>
      </c>
      <c r="C131" s="6" t="s">
        <v>588</v>
      </c>
      <c r="D131" s="4" t="s">
        <v>287</v>
      </c>
      <c r="E131" s="7">
        <v>10</v>
      </c>
      <c r="F131" s="4"/>
      <c r="G131" s="4" t="s">
        <v>345</v>
      </c>
      <c r="H131" s="101" t="s">
        <v>280</v>
      </c>
      <c r="I131" s="105"/>
      <c r="J131" s="72">
        <v>1344</v>
      </c>
      <c r="K131" s="15"/>
    </row>
    <row r="132" spans="1:11" ht="22.5" customHeight="1">
      <c r="A132" s="3">
        <v>127</v>
      </c>
      <c r="B132" s="5" t="s">
        <v>676</v>
      </c>
      <c r="C132" s="6" t="s">
        <v>589</v>
      </c>
      <c r="D132" s="4" t="s">
        <v>287</v>
      </c>
      <c r="E132" s="7">
        <v>10</v>
      </c>
      <c r="F132" s="4"/>
      <c r="G132" s="4" t="s">
        <v>345</v>
      </c>
      <c r="H132" s="101" t="s">
        <v>280</v>
      </c>
      <c r="I132" s="105"/>
      <c r="J132" s="72">
        <v>2863</v>
      </c>
      <c r="K132" s="15"/>
    </row>
    <row r="133" spans="1:11" ht="22.5" customHeight="1">
      <c r="A133" s="3">
        <v>128</v>
      </c>
      <c r="B133" s="5" t="s">
        <v>420</v>
      </c>
      <c r="C133" s="6" t="s">
        <v>433</v>
      </c>
      <c r="D133" s="4" t="s">
        <v>287</v>
      </c>
      <c r="E133" s="7">
        <v>10</v>
      </c>
      <c r="F133" s="4"/>
      <c r="G133" s="4" t="s">
        <v>346</v>
      </c>
      <c r="H133" s="101" t="s">
        <v>447</v>
      </c>
      <c r="I133" s="105"/>
      <c r="J133" s="72">
        <v>218</v>
      </c>
      <c r="K133" s="15"/>
    </row>
    <row r="134" spans="1:11" ht="22.5" customHeight="1">
      <c r="A134" s="3">
        <v>129</v>
      </c>
      <c r="B134" s="5" t="s">
        <v>498</v>
      </c>
      <c r="C134" s="6" t="s">
        <v>363</v>
      </c>
      <c r="D134" s="4" t="s">
        <v>287</v>
      </c>
      <c r="E134" s="7">
        <v>10</v>
      </c>
      <c r="F134" s="4"/>
      <c r="G134" s="4" t="s">
        <v>345</v>
      </c>
      <c r="H134" s="101" t="s">
        <v>280</v>
      </c>
      <c r="I134" s="105"/>
      <c r="J134" s="72">
        <v>14</v>
      </c>
      <c r="K134" s="15"/>
    </row>
    <row r="135" spans="1:11" ht="22.5" customHeight="1">
      <c r="A135" s="3">
        <v>130</v>
      </c>
      <c r="B135" s="5" t="s">
        <v>677</v>
      </c>
      <c r="C135" s="6" t="s">
        <v>591</v>
      </c>
      <c r="D135" s="4" t="s">
        <v>287</v>
      </c>
      <c r="E135" s="7">
        <v>10</v>
      </c>
      <c r="F135" s="4"/>
      <c r="G135" s="4" t="s">
        <v>345</v>
      </c>
      <c r="H135" s="101" t="s">
        <v>280</v>
      </c>
      <c r="I135" s="105"/>
      <c r="J135" s="72">
        <v>56</v>
      </c>
      <c r="K135" s="15"/>
    </row>
    <row r="136" spans="1:11" ht="22.5" customHeight="1">
      <c r="A136" s="3">
        <v>131</v>
      </c>
      <c r="B136" s="5" t="s">
        <v>678</v>
      </c>
      <c r="C136" s="6" t="s">
        <v>592</v>
      </c>
      <c r="D136" s="4" t="s">
        <v>287</v>
      </c>
      <c r="E136" s="7">
        <v>10</v>
      </c>
      <c r="F136" s="4"/>
      <c r="G136" s="4" t="s">
        <v>345</v>
      </c>
      <c r="H136" s="101" t="s">
        <v>280</v>
      </c>
      <c r="I136" s="105"/>
      <c r="J136" s="72">
        <v>637</v>
      </c>
      <c r="K136" s="15"/>
    </row>
    <row r="137" spans="1:11" ht="22.5" customHeight="1">
      <c r="A137" s="3">
        <v>132</v>
      </c>
      <c r="B137" s="5" t="s">
        <v>679</v>
      </c>
      <c r="C137" s="6" t="s">
        <v>593</v>
      </c>
      <c r="D137" s="4" t="s">
        <v>287</v>
      </c>
      <c r="E137" s="7">
        <v>10</v>
      </c>
      <c r="F137" s="4"/>
      <c r="G137" s="4" t="s">
        <v>345</v>
      </c>
      <c r="H137" s="101" t="s">
        <v>280</v>
      </c>
      <c r="I137" s="105"/>
      <c r="J137" s="72">
        <v>1151</v>
      </c>
      <c r="K137" s="15"/>
    </row>
    <row r="138" spans="1:11" ht="22.5" customHeight="1">
      <c r="A138" s="3">
        <v>133</v>
      </c>
      <c r="B138" s="5" t="s">
        <v>421</v>
      </c>
      <c r="C138" s="6" t="s">
        <v>434</v>
      </c>
      <c r="D138" s="4" t="s">
        <v>287</v>
      </c>
      <c r="E138" s="7">
        <v>10</v>
      </c>
      <c r="F138" s="4"/>
      <c r="G138" s="4" t="s">
        <v>346</v>
      </c>
      <c r="H138" s="101" t="s">
        <v>447</v>
      </c>
      <c r="I138" s="105"/>
      <c r="J138" s="72">
        <v>369</v>
      </c>
      <c r="K138" s="15"/>
    </row>
    <row r="139" spans="1:11" ht="22.5" customHeight="1">
      <c r="A139" s="3">
        <v>134</v>
      </c>
      <c r="B139" s="5" t="s">
        <v>499</v>
      </c>
      <c r="C139" s="6" t="s">
        <v>364</v>
      </c>
      <c r="D139" s="4" t="s">
        <v>287</v>
      </c>
      <c r="E139" s="7">
        <v>10</v>
      </c>
      <c r="F139" s="4"/>
      <c r="G139" s="4" t="s">
        <v>345</v>
      </c>
      <c r="H139" s="101" t="s">
        <v>280</v>
      </c>
      <c r="I139" s="105"/>
      <c r="J139" s="72">
        <v>1</v>
      </c>
      <c r="K139" s="15"/>
    </row>
    <row r="140" spans="1:11" ht="22.5" customHeight="1">
      <c r="A140" s="3">
        <v>135</v>
      </c>
      <c r="B140" s="5" t="s">
        <v>680</v>
      </c>
      <c r="C140" s="6" t="s">
        <v>595</v>
      </c>
      <c r="D140" s="4" t="s">
        <v>287</v>
      </c>
      <c r="E140" s="7">
        <v>10</v>
      </c>
      <c r="F140" s="4"/>
      <c r="G140" s="4" t="s">
        <v>345</v>
      </c>
      <c r="H140" s="101" t="s">
        <v>280</v>
      </c>
      <c r="I140" s="105"/>
      <c r="J140" s="72">
        <v>8</v>
      </c>
      <c r="K140" s="15"/>
    </row>
    <row r="141" spans="1:11" ht="22.5" customHeight="1">
      <c r="A141" s="3">
        <v>136</v>
      </c>
      <c r="B141" s="5" t="s">
        <v>681</v>
      </c>
      <c r="C141" s="6" t="s">
        <v>596</v>
      </c>
      <c r="D141" s="4" t="s">
        <v>287</v>
      </c>
      <c r="E141" s="7">
        <v>10</v>
      </c>
      <c r="F141" s="4"/>
      <c r="G141" s="4" t="s">
        <v>345</v>
      </c>
      <c r="H141" s="101" t="s">
        <v>280</v>
      </c>
      <c r="I141" s="105"/>
      <c r="J141" s="72">
        <v>131</v>
      </c>
      <c r="K141" s="15"/>
    </row>
    <row r="142" spans="1:11" ht="22.5" customHeight="1">
      <c r="A142" s="3">
        <v>137</v>
      </c>
      <c r="B142" s="5" t="s">
        <v>682</v>
      </c>
      <c r="C142" s="6" t="s">
        <v>597</v>
      </c>
      <c r="D142" s="4" t="s">
        <v>287</v>
      </c>
      <c r="E142" s="7">
        <v>10</v>
      </c>
      <c r="F142" s="4"/>
      <c r="G142" s="4" t="s">
        <v>345</v>
      </c>
      <c r="H142" s="101" t="s">
        <v>280</v>
      </c>
      <c r="I142" s="105"/>
      <c r="J142" s="72">
        <v>211</v>
      </c>
      <c r="K142" s="15"/>
    </row>
    <row r="143" spans="1:11" ht="22.5" customHeight="1">
      <c r="A143" s="3">
        <v>138</v>
      </c>
      <c r="B143" s="5" t="s">
        <v>422</v>
      </c>
      <c r="C143" s="6" t="s">
        <v>435</v>
      </c>
      <c r="D143" s="4" t="s">
        <v>287</v>
      </c>
      <c r="E143" s="7">
        <v>10</v>
      </c>
      <c r="F143" s="4"/>
      <c r="G143" s="4" t="s">
        <v>346</v>
      </c>
      <c r="H143" s="101" t="s">
        <v>447</v>
      </c>
      <c r="I143" s="105"/>
      <c r="J143" s="72">
        <v>792</v>
      </c>
      <c r="K143" s="15"/>
    </row>
    <row r="144" spans="1:11" ht="22.5" customHeight="1">
      <c r="A144" s="3">
        <v>139</v>
      </c>
      <c r="B144" s="5" t="s">
        <v>500</v>
      </c>
      <c r="C144" s="6" t="s">
        <v>365</v>
      </c>
      <c r="D144" s="4" t="s">
        <v>287</v>
      </c>
      <c r="E144" s="7">
        <v>10</v>
      </c>
      <c r="F144" s="4"/>
      <c r="G144" s="4" t="s">
        <v>345</v>
      </c>
      <c r="H144" s="101" t="s">
        <v>280</v>
      </c>
      <c r="I144" s="105"/>
      <c r="J144" s="72">
        <v>0</v>
      </c>
      <c r="K144" s="15"/>
    </row>
    <row r="145" spans="1:11" ht="22.5" customHeight="1">
      <c r="A145" s="3">
        <v>140</v>
      </c>
      <c r="B145" s="5" t="s">
        <v>683</v>
      </c>
      <c r="C145" s="6" t="s">
        <v>599</v>
      </c>
      <c r="D145" s="4" t="s">
        <v>287</v>
      </c>
      <c r="E145" s="7">
        <v>10</v>
      </c>
      <c r="F145" s="4"/>
      <c r="G145" s="4" t="s">
        <v>345</v>
      </c>
      <c r="H145" s="101" t="s">
        <v>280</v>
      </c>
      <c r="I145" s="105"/>
      <c r="J145" s="72">
        <v>2</v>
      </c>
      <c r="K145" s="15"/>
    </row>
    <row r="146" spans="1:11" ht="22.5" customHeight="1">
      <c r="A146" s="3">
        <v>141</v>
      </c>
      <c r="B146" s="5" t="s">
        <v>684</v>
      </c>
      <c r="C146" s="6" t="s">
        <v>600</v>
      </c>
      <c r="D146" s="4" t="s">
        <v>287</v>
      </c>
      <c r="E146" s="7">
        <v>10</v>
      </c>
      <c r="F146" s="4"/>
      <c r="G146" s="4" t="s">
        <v>345</v>
      </c>
      <c r="H146" s="101" t="s">
        <v>280</v>
      </c>
      <c r="I146" s="105"/>
      <c r="J146" s="72">
        <v>6</v>
      </c>
      <c r="K146" s="15"/>
    </row>
    <row r="147" spans="1:11" ht="22.5" customHeight="1">
      <c r="A147" s="3">
        <v>142</v>
      </c>
      <c r="B147" s="5" t="s">
        <v>685</v>
      </c>
      <c r="C147" s="6" t="s">
        <v>601</v>
      </c>
      <c r="D147" s="4" t="s">
        <v>287</v>
      </c>
      <c r="E147" s="7">
        <v>10</v>
      </c>
      <c r="F147" s="4"/>
      <c r="G147" s="4" t="s">
        <v>345</v>
      </c>
      <c r="H147" s="101" t="s">
        <v>280</v>
      </c>
      <c r="I147" s="105"/>
      <c r="J147" s="72">
        <v>13</v>
      </c>
      <c r="K147" s="15"/>
    </row>
    <row r="148" spans="1:11" ht="22.5" customHeight="1">
      <c r="A148" s="3">
        <v>143</v>
      </c>
      <c r="B148" s="5" t="s">
        <v>423</v>
      </c>
      <c r="C148" s="6" t="s">
        <v>436</v>
      </c>
      <c r="D148" s="4" t="s">
        <v>287</v>
      </c>
      <c r="E148" s="7">
        <v>10</v>
      </c>
      <c r="F148" s="4"/>
      <c r="G148" s="4" t="s">
        <v>346</v>
      </c>
      <c r="H148" s="101" t="s">
        <v>447</v>
      </c>
      <c r="I148" s="105"/>
      <c r="J148" s="72">
        <v>645</v>
      </c>
      <c r="K148" s="15"/>
    </row>
    <row r="149" spans="1:11" ht="22.5" customHeight="1">
      <c r="A149" s="3">
        <v>144</v>
      </c>
      <c r="B149" s="5" t="s">
        <v>501</v>
      </c>
      <c r="C149" s="6" t="s">
        <v>366</v>
      </c>
      <c r="D149" s="4" t="s">
        <v>287</v>
      </c>
      <c r="E149" s="7">
        <v>10</v>
      </c>
      <c r="F149" s="4"/>
      <c r="G149" s="4" t="s">
        <v>345</v>
      </c>
      <c r="H149" s="101" t="s">
        <v>280</v>
      </c>
      <c r="I149" s="105"/>
      <c r="J149" s="72">
        <v>0</v>
      </c>
      <c r="K149" s="15"/>
    </row>
    <row r="150" spans="1:11" ht="22.5" customHeight="1">
      <c r="A150" s="3">
        <v>145</v>
      </c>
      <c r="B150" s="5" t="s">
        <v>686</v>
      </c>
      <c r="C150" s="6" t="s">
        <v>603</v>
      </c>
      <c r="D150" s="4" t="s">
        <v>287</v>
      </c>
      <c r="E150" s="7">
        <v>10</v>
      </c>
      <c r="F150" s="4"/>
      <c r="G150" s="4" t="s">
        <v>345</v>
      </c>
      <c r="H150" s="101" t="s">
        <v>280</v>
      </c>
      <c r="I150" s="105"/>
      <c r="J150" s="72">
        <v>12</v>
      </c>
      <c r="K150" s="15"/>
    </row>
    <row r="151" spans="1:11" ht="22.5" customHeight="1">
      <c r="A151" s="3">
        <v>146</v>
      </c>
      <c r="B151" s="5" t="s">
        <v>687</v>
      </c>
      <c r="C151" s="6" t="s">
        <v>604</v>
      </c>
      <c r="D151" s="4" t="s">
        <v>287</v>
      </c>
      <c r="E151" s="7">
        <v>10</v>
      </c>
      <c r="F151" s="4"/>
      <c r="G151" s="4" t="s">
        <v>345</v>
      </c>
      <c r="H151" s="101" t="s">
        <v>280</v>
      </c>
      <c r="I151" s="105"/>
      <c r="J151" s="72">
        <v>20</v>
      </c>
      <c r="K151" s="15"/>
    </row>
    <row r="152" spans="1:11" ht="22.5" customHeight="1">
      <c r="A152" s="3">
        <v>147</v>
      </c>
      <c r="B152" s="5" t="s">
        <v>688</v>
      </c>
      <c r="C152" s="6" t="s">
        <v>605</v>
      </c>
      <c r="D152" s="4" t="s">
        <v>287</v>
      </c>
      <c r="E152" s="7">
        <v>10</v>
      </c>
      <c r="F152" s="4"/>
      <c r="G152" s="4" t="s">
        <v>345</v>
      </c>
      <c r="H152" s="101" t="s">
        <v>280</v>
      </c>
      <c r="I152" s="105"/>
      <c r="J152" s="72">
        <v>33</v>
      </c>
      <c r="K152" s="15"/>
    </row>
    <row r="153" spans="1:11" ht="22.5" customHeight="1">
      <c r="A153" s="3">
        <v>148</v>
      </c>
      <c r="B153" s="5" t="s">
        <v>424</v>
      </c>
      <c r="C153" s="6" t="s">
        <v>437</v>
      </c>
      <c r="D153" s="4" t="s">
        <v>287</v>
      </c>
      <c r="E153" s="7">
        <v>10</v>
      </c>
      <c r="F153" s="4"/>
      <c r="G153" s="4" t="s">
        <v>346</v>
      </c>
      <c r="H153" s="101" t="s">
        <v>447</v>
      </c>
      <c r="I153" s="105"/>
      <c r="J153" s="72">
        <v>168</v>
      </c>
      <c r="K153" s="15"/>
    </row>
    <row r="154" spans="1:11" ht="22.5" customHeight="1">
      <c r="A154" s="3">
        <v>149</v>
      </c>
      <c r="B154" s="5" t="s">
        <v>502</v>
      </c>
      <c r="C154" s="6" t="s">
        <v>367</v>
      </c>
      <c r="D154" s="4" t="s">
        <v>287</v>
      </c>
      <c r="E154" s="7">
        <v>10</v>
      </c>
      <c r="F154" s="4"/>
      <c r="G154" s="4" t="s">
        <v>345</v>
      </c>
      <c r="H154" s="101" t="s">
        <v>280</v>
      </c>
      <c r="I154" s="105"/>
      <c r="J154" s="72">
        <v>15</v>
      </c>
      <c r="K154" s="15"/>
    </row>
    <row r="155" spans="1:11" ht="22.5" customHeight="1">
      <c r="A155" s="3">
        <v>150</v>
      </c>
      <c r="B155" s="5" t="s">
        <v>689</v>
      </c>
      <c r="C155" s="6" t="s">
        <v>607</v>
      </c>
      <c r="D155" s="4" t="s">
        <v>287</v>
      </c>
      <c r="E155" s="7">
        <v>10</v>
      </c>
      <c r="F155" s="4"/>
      <c r="G155" s="4" t="s">
        <v>345</v>
      </c>
      <c r="H155" s="101" t="s">
        <v>280</v>
      </c>
      <c r="I155" s="105"/>
      <c r="J155" s="72">
        <v>64</v>
      </c>
      <c r="K155" s="15"/>
    </row>
    <row r="156" spans="1:11" ht="22.5" customHeight="1">
      <c r="A156" s="3">
        <v>151</v>
      </c>
      <c r="B156" s="5" t="s">
        <v>690</v>
      </c>
      <c r="C156" s="6" t="s">
        <v>608</v>
      </c>
      <c r="D156" s="4" t="s">
        <v>287</v>
      </c>
      <c r="E156" s="7">
        <v>10</v>
      </c>
      <c r="F156" s="4"/>
      <c r="G156" s="4" t="s">
        <v>345</v>
      </c>
      <c r="H156" s="101" t="s">
        <v>280</v>
      </c>
      <c r="I156" s="105"/>
      <c r="J156" s="72">
        <v>508</v>
      </c>
      <c r="K156" s="15"/>
    </row>
    <row r="157" spans="1:11" ht="22.5" customHeight="1">
      <c r="A157" s="3">
        <v>152</v>
      </c>
      <c r="B157" s="5" t="s">
        <v>691</v>
      </c>
      <c r="C157" s="6" t="s">
        <v>609</v>
      </c>
      <c r="D157" s="4" t="s">
        <v>287</v>
      </c>
      <c r="E157" s="7">
        <v>10</v>
      </c>
      <c r="F157" s="4"/>
      <c r="G157" s="4" t="s">
        <v>345</v>
      </c>
      <c r="H157" s="101" t="s">
        <v>280</v>
      </c>
      <c r="I157" s="105"/>
      <c r="J157" s="72">
        <v>948</v>
      </c>
      <c r="K157" s="15"/>
    </row>
    <row r="158" spans="1:11" ht="22.5" customHeight="1">
      <c r="A158" s="3">
        <v>153</v>
      </c>
      <c r="B158" s="5" t="s">
        <v>425</v>
      </c>
      <c r="C158" s="6" t="s">
        <v>438</v>
      </c>
      <c r="D158" s="4" t="s">
        <v>287</v>
      </c>
      <c r="E158" s="7">
        <v>10</v>
      </c>
      <c r="F158" s="4"/>
      <c r="G158" s="4" t="s">
        <v>346</v>
      </c>
      <c r="H158" s="101" t="s">
        <v>448</v>
      </c>
      <c r="I158" s="102"/>
      <c r="J158" s="72"/>
      <c r="K158" s="15"/>
    </row>
    <row r="159" spans="1:11" ht="22.5" customHeight="1">
      <c r="A159" s="3">
        <v>154</v>
      </c>
      <c r="B159" s="5" t="s">
        <v>426</v>
      </c>
      <c r="C159" s="6" t="s">
        <v>439</v>
      </c>
      <c r="D159" s="4" t="s">
        <v>287</v>
      </c>
      <c r="E159" s="7">
        <v>10</v>
      </c>
      <c r="F159" s="4"/>
      <c r="G159" s="4" t="s">
        <v>346</v>
      </c>
      <c r="H159" s="101" t="s">
        <v>448</v>
      </c>
      <c r="I159" s="102"/>
      <c r="J159" s="72"/>
      <c r="K159" s="15"/>
    </row>
    <row r="160" spans="1:11" ht="22.5" customHeight="1">
      <c r="A160" s="3">
        <v>155</v>
      </c>
      <c r="B160" s="5" t="s">
        <v>427</v>
      </c>
      <c r="C160" s="6" t="s">
        <v>440</v>
      </c>
      <c r="D160" s="4" t="s">
        <v>287</v>
      </c>
      <c r="E160" s="7">
        <v>10</v>
      </c>
      <c r="F160" s="4"/>
      <c r="G160" s="4" t="s">
        <v>346</v>
      </c>
      <c r="H160" s="101" t="s">
        <v>447</v>
      </c>
      <c r="I160" s="105"/>
      <c r="J160" s="72">
        <v>666</v>
      </c>
      <c r="K160" s="15"/>
    </row>
    <row r="161" spans="1:11" ht="22.5" customHeight="1">
      <c r="A161" s="3">
        <v>156</v>
      </c>
      <c r="B161" s="5" t="s">
        <v>428</v>
      </c>
      <c r="C161" s="6" t="s">
        <v>441</v>
      </c>
      <c r="D161" s="4" t="s">
        <v>287</v>
      </c>
      <c r="E161" s="7">
        <v>10</v>
      </c>
      <c r="F161" s="4"/>
      <c r="G161" s="4" t="s">
        <v>346</v>
      </c>
      <c r="H161" s="101" t="s">
        <v>447</v>
      </c>
      <c r="I161" s="105"/>
      <c r="J161" s="72">
        <v>3050</v>
      </c>
      <c r="K161" s="15"/>
    </row>
    <row r="162" spans="1:11">
      <c r="A162" s="16"/>
      <c r="B162" s="17"/>
      <c r="C162" s="17"/>
      <c r="D162" s="17"/>
      <c r="E162" s="17"/>
      <c r="F162" s="17"/>
      <c r="G162" s="17"/>
      <c r="H162" s="18"/>
      <c r="I162" s="18"/>
      <c r="J162" s="71"/>
    </row>
  </sheetData>
  <mergeCells count="165">
    <mergeCell ref="H145:I145"/>
    <mergeCell ref="H146:I146"/>
    <mergeCell ref="H147:I147"/>
    <mergeCell ref="H135:I135"/>
    <mergeCell ref="H136:I136"/>
    <mergeCell ref="H137:I137"/>
    <mergeCell ref="H140:I140"/>
    <mergeCell ref="H141:I141"/>
    <mergeCell ref="H143:I143"/>
    <mergeCell ref="H144:I144"/>
    <mergeCell ref="H138:I138"/>
    <mergeCell ref="H139:I139"/>
    <mergeCell ref="H142:I142"/>
    <mergeCell ref="H120:I120"/>
    <mergeCell ref="H121:I121"/>
    <mergeCell ref="H122:I122"/>
    <mergeCell ref="H125:I125"/>
    <mergeCell ref="H126:I126"/>
    <mergeCell ref="H106:I106"/>
    <mergeCell ref="H107:I107"/>
    <mergeCell ref="H108:I108"/>
    <mergeCell ref="H115:I115"/>
    <mergeCell ref="H116:I116"/>
    <mergeCell ref="H118:I118"/>
    <mergeCell ref="H119:I119"/>
    <mergeCell ref="H113:I113"/>
    <mergeCell ref="H114:I114"/>
    <mergeCell ref="H109:I109"/>
    <mergeCell ref="H110:I110"/>
    <mergeCell ref="H111:I111"/>
    <mergeCell ref="H112:I112"/>
    <mergeCell ref="H117:I117"/>
    <mergeCell ref="H82:I82"/>
    <mergeCell ref="H83:I83"/>
    <mergeCell ref="H85:I85"/>
    <mergeCell ref="H86:I86"/>
    <mergeCell ref="H63:I63"/>
    <mergeCell ref="H65:I65"/>
    <mergeCell ref="H67:I67"/>
    <mergeCell ref="H69:I69"/>
    <mergeCell ref="H70:I70"/>
    <mergeCell ref="H41:I41"/>
    <mergeCell ref="H42:I42"/>
    <mergeCell ref="H30:I30"/>
    <mergeCell ref="H31:I31"/>
    <mergeCell ref="H33:I33"/>
    <mergeCell ref="H34:I34"/>
    <mergeCell ref="H35:I35"/>
    <mergeCell ref="H50:I50"/>
    <mergeCell ref="H51:I51"/>
    <mergeCell ref="H43:I43"/>
    <mergeCell ref="H45:I45"/>
    <mergeCell ref="H46:I46"/>
    <mergeCell ref="H47:I47"/>
    <mergeCell ref="H49:I49"/>
    <mergeCell ref="H44:I44"/>
    <mergeCell ref="H158:I158"/>
    <mergeCell ref="H159:I159"/>
    <mergeCell ref="H160:I160"/>
    <mergeCell ref="H161:I161"/>
    <mergeCell ref="H153:I153"/>
    <mergeCell ref="H154:I154"/>
    <mergeCell ref="H157:I157"/>
    <mergeCell ref="H148:I148"/>
    <mergeCell ref="H149:I149"/>
    <mergeCell ref="H150:I150"/>
    <mergeCell ref="H151:I151"/>
    <mergeCell ref="H152:I152"/>
    <mergeCell ref="H155:I155"/>
    <mergeCell ref="H156:I156"/>
    <mergeCell ref="H133:I133"/>
    <mergeCell ref="H134:I134"/>
    <mergeCell ref="H128:I128"/>
    <mergeCell ref="H129:I129"/>
    <mergeCell ref="H123:I123"/>
    <mergeCell ref="H124:I124"/>
    <mergeCell ref="H127:I127"/>
    <mergeCell ref="H130:I130"/>
    <mergeCell ref="H131:I131"/>
    <mergeCell ref="H132:I132"/>
    <mergeCell ref="H104:I104"/>
    <mergeCell ref="H105:I105"/>
    <mergeCell ref="H99:I99"/>
    <mergeCell ref="H100:I100"/>
    <mergeCell ref="H101:I101"/>
    <mergeCell ref="H102:I102"/>
    <mergeCell ref="H103:I103"/>
    <mergeCell ref="H96:I96"/>
    <mergeCell ref="H97:I97"/>
    <mergeCell ref="H98:I98"/>
    <mergeCell ref="H95:I95"/>
    <mergeCell ref="H80:I80"/>
    <mergeCell ref="H76:I76"/>
    <mergeCell ref="H72:I72"/>
    <mergeCell ref="H68:I68"/>
    <mergeCell ref="H64:I64"/>
    <mergeCell ref="H66:I66"/>
    <mergeCell ref="H71:I71"/>
    <mergeCell ref="H73:I73"/>
    <mergeCell ref="H74:I74"/>
    <mergeCell ref="H75:I75"/>
    <mergeCell ref="H77:I77"/>
    <mergeCell ref="H78:I78"/>
    <mergeCell ref="H79:I79"/>
    <mergeCell ref="H92:I92"/>
    <mergeCell ref="H84:I84"/>
    <mergeCell ref="H88:I88"/>
    <mergeCell ref="H87:I87"/>
    <mergeCell ref="H89:I89"/>
    <mergeCell ref="H90:I90"/>
    <mergeCell ref="H91:I91"/>
    <mergeCell ref="H93:I93"/>
    <mergeCell ref="H94:I94"/>
    <mergeCell ref="H81:I81"/>
    <mergeCell ref="H60:I60"/>
    <mergeCell ref="H61:I61"/>
    <mergeCell ref="H62:I62"/>
    <mergeCell ref="H56:I56"/>
    <mergeCell ref="H57:I57"/>
    <mergeCell ref="H58:I58"/>
    <mergeCell ref="H59:I59"/>
    <mergeCell ref="H48:I48"/>
    <mergeCell ref="H52:I52"/>
    <mergeCell ref="H53:I53"/>
    <mergeCell ref="H54:I54"/>
    <mergeCell ref="H55:I55"/>
    <mergeCell ref="H20:I20"/>
    <mergeCell ref="H21:I21"/>
    <mergeCell ref="H22:I22"/>
    <mergeCell ref="H40:I40"/>
    <mergeCell ref="H36:I36"/>
    <mergeCell ref="H28:I28"/>
    <mergeCell ref="H32:I32"/>
    <mergeCell ref="H23:I23"/>
    <mergeCell ref="H24:I24"/>
    <mergeCell ref="H25:I25"/>
    <mergeCell ref="H26:I26"/>
    <mergeCell ref="H27:I27"/>
    <mergeCell ref="H29:I29"/>
    <mergeCell ref="H37:I37"/>
    <mergeCell ref="H38:I38"/>
    <mergeCell ref="H39:I39"/>
    <mergeCell ref="H15:I15"/>
    <mergeCell ref="H16:I16"/>
    <mergeCell ref="H17:I17"/>
    <mergeCell ref="H18:I18"/>
    <mergeCell ref="H19:I19"/>
    <mergeCell ref="A1:B1"/>
    <mergeCell ref="C1:G1"/>
    <mergeCell ref="A2:B2"/>
    <mergeCell ref="C2:G2"/>
    <mergeCell ref="A3:B3"/>
    <mergeCell ref="C3:G3"/>
    <mergeCell ref="A4:B4"/>
    <mergeCell ref="C4:G4"/>
    <mergeCell ref="H5:I5"/>
    <mergeCell ref="H6:I6"/>
    <mergeCell ref="H7:I7"/>
    <mergeCell ref="H8:I8"/>
    <mergeCell ref="H12:I12"/>
    <mergeCell ref="H10:I10"/>
    <mergeCell ref="H13:I13"/>
    <mergeCell ref="H14:I14"/>
    <mergeCell ref="H9:I9"/>
    <mergeCell ref="H11:I11"/>
  </mergeCells>
  <phoneticPr fontId="3" type="noConversion"/>
  <hyperlinks>
    <hyperlink ref="I4" location="'Table List(2차)'!A1" display="TABLE_LIST" xr:uid="{5FE88D70-F1F0-4078-99DD-4DBD082458D0}"/>
  </hyperlink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A0C1-5640-4CA3-9B05-E986E8F0132D}">
  <sheetPr codeName="Sheet5">
    <tabColor theme="5" tint="0.39997558519241921"/>
  </sheetPr>
  <dimension ref="A1:E13132"/>
  <sheetViews>
    <sheetView showGridLines="0" workbookViewId="0">
      <pane ySplit="1" topLeftCell="A2" activePane="bottomLeft" state="frozen"/>
      <selection activeCell="C3" sqref="C3:C24"/>
      <selection pane="bottomLeft" activeCell="I31" sqref="I31"/>
    </sheetView>
  </sheetViews>
  <sheetFormatPr defaultRowHeight="16.5"/>
  <cols>
    <col min="1" max="1" width="11.125" bestFit="1" customWidth="1"/>
    <col min="2" max="2" width="10.375" bestFit="1" customWidth="1"/>
    <col min="3" max="3" width="13.25" bestFit="1" customWidth="1"/>
    <col min="4" max="4" width="9.875" style="48" bestFit="1" customWidth="1"/>
    <col min="5" max="5" width="8.5" style="48" customWidth="1"/>
  </cols>
  <sheetData>
    <row r="1" spans="1:5">
      <c r="A1" s="49" t="s">
        <v>76</v>
      </c>
      <c r="B1" s="49" t="s">
        <v>77</v>
      </c>
      <c r="C1" s="49" t="s">
        <v>78</v>
      </c>
      <c r="D1" s="50" t="s">
        <v>79</v>
      </c>
      <c r="E1" s="50" t="s">
        <v>265</v>
      </c>
    </row>
    <row r="2" spans="1:5">
      <c r="A2" s="59">
        <v>1</v>
      </c>
      <c r="B2" s="59">
        <v>64</v>
      </c>
      <c r="C2" s="59">
        <v>510</v>
      </c>
      <c r="D2" s="51">
        <v>1996264</v>
      </c>
      <c r="E2" s="51">
        <f t="shared" ref="E2:E65" si="0">IF(OR(A2=6,A2=7,A2=14,A2=15,A2=16,A2=17,A2=18,A2=19,A2=20,A2=21,A2=22,A2=23,A2=25,A2=26,A2=27,A2=28,B2=41,B2=44,B2=62),1,0)</f>
        <v>0</v>
      </c>
    </row>
    <row r="3" spans="1:5">
      <c r="A3" s="59">
        <v>1</v>
      </c>
      <c r="B3" s="59">
        <v>63</v>
      </c>
      <c r="C3" s="59">
        <v>510</v>
      </c>
      <c r="D3" s="51">
        <v>949489</v>
      </c>
      <c r="E3" s="51">
        <f t="shared" si="0"/>
        <v>0</v>
      </c>
    </row>
    <row r="4" spans="1:5">
      <c r="A4" s="59">
        <v>1</v>
      </c>
      <c r="B4" s="59">
        <v>62</v>
      </c>
      <c r="C4" s="59">
        <v>510</v>
      </c>
      <c r="D4" s="51">
        <v>718876</v>
      </c>
      <c r="E4" s="51">
        <f t="shared" si="0"/>
        <v>1</v>
      </c>
    </row>
    <row r="5" spans="1:5">
      <c r="A5" s="59">
        <v>1</v>
      </c>
      <c r="B5" s="59">
        <v>43</v>
      </c>
      <c r="C5" s="59">
        <v>510</v>
      </c>
      <c r="D5" s="51">
        <v>544095</v>
      </c>
      <c r="E5" s="51">
        <f t="shared" si="0"/>
        <v>0</v>
      </c>
    </row>
    <row r="6" spans="1:5">
      <c r="A6" s="59">
        <v>1</v>
      </c>
      <c r="B6" s="59">
        <v>71</v>
      </c>
      <c r="C6" s="59">
        <v>510</v>
      </c>
      <c r="D6" s="51">
        <v>475488</v>
      </c>
      <c r="E6" s="51">
        <f t="shared" si="0"/>
        <v>0</v>
      </c>
    </row>
    <row r="7" spans="1:5">
      <c r="A7" s="59">
        <v>1</v>
      </c>
      <c r="B7" s="59">
        <v>44</v>
      </c>
      <c r="C7" s="59">
        <v>510</v>
      </c>
      <c r="D7" s="51">
        <v>183713</v>
      </c>
      <c r="E7" s="51">
        <f t="shared" si="0"/>
        <v>1</v>
      </c>
    </row>
    <row r="8" spans="1:5">
      <c r="A8" s="59">
        <v>1</v>
      </c>
      <c r="B8" s="59">
        <v>81</v>
      </c>
      <c r="C8" s="59">
        <v>510</v>
      </c>
      <c r="D8" s="51">
        <v>130501</v>
      </c>
      <c r="E8" s="51">
        <f t="shared" si="0"/>
        <v>0</v>
      </c>
    </row>
    <row r="9" spans="1:5">
      <c r="A9" s="59">
        <v>1</v>
      </c>
      <c r="B9" s="59">
        <v>64</v>
      </c>
      <c r="C9" s="59">
        <v>910</v>
      </c>
      <c r="D9" s="51">
        <v>117941</v>
      </c>
      <c r="E9" s="51">
        <f t="shared" si="0"/>
        <v>0</v>
      </c>
    </row>
    <row r="10" spans="1:5">
      <c r="A10" s="59">
        <v>1</v>
      </c>
      <c r="B10" s="59">
        <v>64</v>
      </c>
      <c r="C10" s="59">
        <v>110</v>
      </c>
      <c r="D10" s="51">
        <v>91807</v>
      </c>
      <c r="E10" s="51">
        <f t="shared" si="0"/>
        <v>0</v>
      </c>
    </row>
    <row r="11" spans="1:5">
      <c r="A11" s="59">
        <v>1</v>
      </c>
      <c r="B11" s="59">
        <v>64</v>
      </c>
      <c r="C11" s="59">
        <v>530</v>
      </c>
      <c r="D11" s="51">
        <v>72327</v>
      </c>
      <c r="E11" s="51">
        <f t="shared" si="0"/>
        <v>0</v>
      </c>
    </row>
    <row r="12" spans="1:5">
      <c r="A12" s="59">
        <v>1</v>
      </c>
      <c r="B12" s="59">
        <v>64</v>
      </c>
      <c r="C12" s="59">
        <v>610</v>
      </c>
      <c r="D12" s="51">
        <v>71971</v>
      </c>
      <c r="E12" s="51">
        <f t="shared" si="0"/>
        <v>0</v>
      </c>
    </row>
    <row r="13" spans="1:5">
      <c r="A13" s="59">
        <v>1</v>
      </c>
      <c r="B13" s="59">
        <v>64</v>
      </c>
      <c r="C13" s="59">
        <v>520</v>
      </c>
      <c r="D13" s="51">
        <v>69916</v>
      </c>
      <c r="E13" s="51">
        <f t="shared" si="0"/>
        <v>0</v>
      </c>
    </row>
    <row r="14" spans="1:5">
      <c r="A14" s="59">
        <v>1</v>
      </c>
      <c r="B14" s="59">
        <v>13</v>
      </c>
      <c r="C14" s="59">
        <v>150</v>
      </c>
      <c r="D14" s="51">
        <v>66505</v>
      </c>
      <c r="E14" s="51">
        <f t="shared" si="0"/>
        <v>0</v>
      </c>
    </row>
    <row r="15" spans="1:5">
      <c r="A15" s="59">
        <v>1</v>
      </c>
      <c r="B15" s="59">
        <v>14</v>
      </c>
      <c r="C15" s="59">
        <v>150</v>
      </c>
      <c r="D15" s="51">
        <v>59907</v>
      </c>
      <c r="E15" s="51">
        <f t="shared" si="0"/>
        <v>0</v>
      </c>
    </row>
    <row r="16" spans="1:5">
      <c r="A16" s="59">
        <v>1</v>
      </c>
      <c r="B16" s="59">
        <v>13</v>
      </c>
      <c r="C16" s="59">
        <v>510</v>
      </c>
      <c r="D16" s="51">
        <v>58811</v>
      </c>
      <c r="E16" s="51">
        <f t="shared" si="0"/>
        <v>0</v>
      </c>
    </row>
    <row r="17" spans="1:5">
      <c r="A17" s="59">
        <v>1</v>
      </c>
      <c r="B17" s="59">
        <v>71</v>
      </c>
      <c r="C17" s="59">
        <v>610</v>
      </c>
      <c r="D17" s="51">
        <v>56019</v>
      </c>
      <c r="E17" s="51">
        <f t="shared" si="0"/>
        <v>0</v>
      </c>
    </row>
    <row r="18" spans="1:5">
      <c r="A18" s="59">
        <v>1</v>
      </c>
      <c r="B18" s="59">
        <v>41</v>
      </c>
      <c r="C18" s="59">
        <v>510</v>
      </c>
      <c r="D18" s="51">
        <v>46580</v>
      </c>
      <c r="E18" s="51">
        <f t="shared" si="0"/>
        <v>1</v>
      </c>
    </row>
    <row r="19" spans="1:5">
      <c r="A19" s="59">
        <v>1</v>
      </c>
      <c r="B19" s="59">
        <v>43</v>
      </c>
      <c r="C19" s="59">
        <v>910</v>
      </c>
      <c r="D19" s="51">
        <v>46069</v>
      </c>
      <c r="E19" s="51">
        <f t="shared" si="0"/>
        <v>0</v>
      </c>
    </row>
    <row r="20" spans="1:5">
      <c r="A20" s="59">
        <v>1</v>
      </c>
      <c r="B20" s="59">
        <v>42</v>
      </c>
      <c r="C20" s="59">
        <v>510</v>
      </c>
      <c r="D20" s="51">
        <v>43909</v>
      </c>
      <c r="E20" s="51">
        <f t="shared" si="0"/>
        <v>0</v>
      </c>
    </row>
    <row r="21" spans="1:5">
      <c r="A21" s="59">
        <v>1</v>
      </c>
      <c r="B21" s="59">
        <v>63</v>
      </c>
      <c r="C21" s="59">
        <v>610</v>
      </c>
      <c r="D21" s="51">
        <v>41274</v>
      </c>
      <c r="E21" s="51">
        <f t="shared" si="0"/>
        <v>0</v>
      </c>
    </row>
    <row r="22" spans="1:5">
      <c r="A22" s="59">
        <v>1</v>
      </c>
      <c r="B22" s="59">
        <v>63</v>
      </c>
      <c r="C22" s="59">
        <v>910</v>
      </c>
      <c r="D22" s="51">
        <v>39842</v>
      </c>
      <c r="E22" s="51">
        <f t="shared" si="0"/>
        <v>0</v>
      </c>
    </row>
    <row r="23" spans="1:5">
      <c r="A23" s="59">
        <v>1</v>
      </c>
      <c r="B23" s="59">
        <v>62</v>
      </c>
      <c r="C23" s="59">
        <v>730</v>
      </c>
      <c r="D23" s="51">
        <v>36702</v>
      </c>
      <c r="E23" s="51">
        <f t="shared" si="0"/>
        <v>1</v>
      </c>
    </row>
    <row r="24" spans="1:5">
      <c r="A24" s="59">
        <v>1</v>
      </c>
      <c r="B24" s="59">
        <v>14</v>
      </c>
      <c r="C24" s="59">
        <v>510</v>
      </c>
      <c r="D24" s="51">
        <v>35925</v>
      </c>
      <c r="E24" s="51">
        <f t="shared" si="0"/>
        <v>0</v>
      </c>
    </row>
    <row r="25" spans="1:5">
      <c r="A25" s="59">
        <v>1</v>
      </c>
      <c r="B25" s="59">
        <v>43</v>
      </c>
      <c r="C25" s="59">
        <v>520</v>
      </c>
      <c r="D25" s="51">
        <v>35182</v>
      </c>
      <c r="E25" s="51">
        <f t="shared" si="0"/>
        <v>0</v>
      </c>
    </row>
    <row r="26" spans="1:5">
      <c r="A26" s="59">
        <v>1</v>
      </c>
      <c r="B26" s="59">
        <v>62</v>
      </c>
      <c r="C26" s="59">
        <v>910</v>
      </c>
      <c r="D26" s="51">
        <v>29975</v>
      </c>
      <c r="E26" s="51">
        <f t="shared" si="0"/>
        <v>1</v>
      </c>
    </row>
    <row r="27" spans="1:5">
      <c r="A27" s="59">
        <v>1</v>
      </c>
      <c r="B27" s="59">
        <v>71</v>
      </c>
      <c r="C27" s="59">
        <v>910</v>
      </c>
      <c r="D27" s="51">
        <v>29758</v>
      </c>
      <c r="E27" s="51">
        <f t="shared" si="0"/>
        <v>0</v>
      </c>
    </row>
    <row r="28" spans="1:5">
      <c r="A28" s="59">
        <v>1</v>
      </c>
      <c r="B28" s="59">
        <v>43</v>
      </c>
      <c r="C28" s="59">
        <v>530</v>
      </c>
      <c r="D28" s="51">
        <v>27774</v>
      </c>
      <c r="E28" s="51">
        <f t="shared" si="0"/>
        <v>0</v>
      </c>
    </row>
    <row r="29" spans="1:5">
      <c r="A29" s="59">
        <v>1</v>
      </c>
      <c r="B29" s="59">
        <v>63</v>
      </c>
      <c r="C29" s="59">
        <v>530</v>
      </c>
      <c r="D29" s="51">
        <v>26062</v>
      </c>
      <c r="E29" s="51">
        <f t="shared" si="0"/>
        <v>0</v>
      </c>
    </row>
    <row r="30" spans="1:5">
      <c r="A30" s="59">
        <v>1</v>
      </c>
      <c r="B30" s="59">
        <v>63</v>
      </c>
      <c r="C30" s="59">
        <v>520</v>
      </c>
      <c r="D30" s="51">
        <v>25422</v>
      </c>
      <c r="E30" s="51">
        <f t="shared" si="0"/>
        <v>0</v>
      </c>
    </row>
    <row r="31" spans="1:5">
      <c r="A31" s="59">
        <v>1</v>
      </c>
      <c r="B31" s="59">
        <v>64</v>
      </c>
      <c r="C31" s="59">
        <v>150</v>
      </c>
      <c r="D31" s="51">
        <v>25180</v>
      </c>
      <c r="E31" s="51">
        <f t="shared" si="0"/>
        <v>0</v>
      </c>
    </row>
    <row r="32" spans="1:5">
      <c r="A32" s="59">
        <v>1</v>
      </c>
      <c r="B32" s="59">
        <v>43</v>
      </c>
      <c r="C32" s="59">
        <v>610</v>
      </c>
      <c r="D32" s="51">
        <v>24951</v>
      </c>
      <c r="E32" s="51">
        <f t="shared" si="0"/>
        <v>0</v>
      </c>
    </row>
    <row r="33" spans="1:5">
      <c r="A33" s="59">
        <v>1</v>
      </c>
      <c r="B33" s="59">
        <v>62</v>
      </c>
      <c r="C33" s="59">
        <v>920</v>
      </c>
      <c r="D33" s="51">
        <v>24649</v>
      </c>
      <c r="E33" s="51">
        <f t="shared" si="0"/>
        <v>1</v>
      </c>
    </row>
    <row r="34" spans="1:5">
      <c r="A34" s="59">
        <v>1</v>
      </c>
      <c r="B34" s="59">
        <v>14</v>
      </c>
      <c r="C34" s="59">
        <v>910</v>
      </c>
      <c r="D34" s="51">
        <v>24221</v>
      </c>
      <c r="E34" s="51">
        <f t="shared" si="0"/>
        <v>0</v>
      </c>
    </row>
    <row r="35" spans="1:5">
      <c r="A35" s="59">
        <v>1</v>
      </c>
      <c r="B35" s="59">
        <v>62</v>
      </c>
      <c r="C35" s="59">
        <v>530</v>
      </c>
      <c r="D35" s="51">
        <v>24202</v>
      </c>
      <c r="E35" s="51">
        <f t="shared" si="0"/>
        <v>1</v>
      </c>
    </row>
    <row r="36" spans="1:5">
      <c r="A36" s="59">
        <v>1</v>
      </c>
      <c r="B36" s="59">
        <v>14</v>
      </c>
      <c r="C36" s="59">
        <v>110</v>
      </c>
      <c r="D36" s="51">
        <v>24035</v>
      </c>
      <c r="E36" s="51">
        <f t="shared" si="0"/>
        <v>0</v>
      </c>
    </row>
    <row r="37" spans="1:5">
      <c r="A37" s="59">
        <v>1</v>
      </c>
      <c r="B37" s="59">
        <v>71</v>
      </c>
      <c r="C37" s="59">
        <v>520</v>
      </c>
      <c r="D37" s="51">
        <v>24032</v>
      </c>
      <c r="E37" s="51">
        <f t="shared" si="0"/>
        <v>0</v>
      </c>
    </row>
    <row r="38" spans="1:5">
      <c r="A38" s="59">
        <v>1</v>
      </c>
      <c r="B38" s="59">
        <v>64</v>
      </c>
      <c r="C38" s="59">
        <v>730</v>
      </c>
      <c r="D38" s="51">
        <v>22702</v>
      </c>
      <c r="E38" s="51">
        <f t="shared" si="0"/>
        <v>0</v>
      </c>
    </row>
    <row r="39" spans="1:5">
      <c r="A39" s="59">
        <v>1</v>
      </c>
      <c r="B39" s="59">
        <v>62</v>
      </c>
      <c r="C39" s="59">
        <v>610</v>
      </c>
      <c r="D39" s="51">
        <v>22345</v>
      </c>
      <c r="E39" s="51">
        <f t="shared" si="0"/>
        <v>1</v>
      </c>
    </row>
    <row r="40" spans="1:5">
      <c r="A40" s="59">
        <v>1</v>
      </c>
      <c r="B40" s="59">
        <v>62</v>
      </c>
      <c r="C40" s="59">
        <v>520</v>
      </c>
      <c r="D40" s="51">
        <v>21240</v>
      </c>
      <c r="E40" s="51">
        <f t="shared" si="0"/>
        <v>1</v>
      </c>
    </row>
    <row r="41" spans="1:5">
      <c r="A41" s="59">
        <v>1</v>
      </c>
      <c r="B41" s="59">
        <v>64</v>
      </c>
      <c r="C41" s="59">
        <v>160</v>
      </c>
      <c r="D41" s="51">
        <v>20991</v>
      </c>
      <c r="E41" s="51">
        <f t="shared" si="0"/>
        <v>0</v>
      </c>
    </row>
    <row r="42" spans="1:5">
      <c r="A42" s="59">
        <v>1</v>
      </c>
      <c r="B42" s="59">
        <v>13</v>
      </c>
      <c r="C42" s="59">
        <v>110</v>
      </c>
      <c r="D42" s="51">
        <v>19577</v>
      </c>
      <c r="E42" s="51">
        <f t="shared" si="0"/>
        <v>0</v>
      </c>
    </row>
    <row r="43" spans="1:5">
      <c r="A43" s="59">
        <v>1</v>
      </c>
      <c r="B43" s="59">
        <v>63</v>
      </c>
      <c r="C43" s="59">
        <v>730</v>
      </c>
      <c r="D43" s="51">
        <v>18998</v>
      </c>
      <c r="E43" s="51">
        <f t="shared" si="0"/>
        <v>0</v>
      </c>
    </row>
    <row r="44" spans="1:5">
      <c r="A44" s="59">
        <v>1</v>
      </c>
      <c r="B44" s="59">
        <v>13</v>
      </c>
      <c r="C44" s="59">
        <v>910</v>
      </c>
      <c r="D44" s="51">
        <v>18996</v>
      </c>
      <c r="E44" s="51">
        <f t="shared" si="0"/>
        <v>0</v>
      </c>
    </row>
    <row r="45" spans="1:5">
      <c r="A45" s="59">
        <v>1</v>
      </c>
      <c r="B45" s="59">
        <v>43</v>
      </c>
      <c r="C45" s="59">
        <v>110</v>
      </c>
      <c r="D45" s="51">
        <v>18271</v>
      </c>
      <c r="E45" s="51">
        <f t="shared" si="0"/>
        <v>0</v>
      </c>
    </row>
    <row r="46" spans="1:5">
      <c r="A46" s="59">
        <v>1</v>
      </c>
      <c r="B46" s="59">
        <v>81</v>
      </c>
      <c r="C46" s="59">
        <v>730</v>
      </c>
      <c r="D46" s="51">
        <v>15790</v>
      </c>
      <c r="E46" s="51">
        <f t="shared" si="0"/>
        <v>0</v>
      </c>
    </row>
    <row r="47" spans="1:5">
      <c r="A47" s="59">
        <v>1</v>
      </c>
      <c r="B47" s="59">
        <v>44</v>
      </c>
      <c r="C47" s="59">
        <v>910</v>
      </c>
      <c r="D47" s="51">
        <v>14665</v>
      </c>
      <c r="E47" s="51">
        <f t="shared" si="0"/>
        <v>1</v>
      </c>
    </row>
    <row r="48" spans="1:5">
      <c r="A48" s="59">
        <v>1</v>
      </c>
      <c r="B48" s="59">
        <v>64</v>
      </c>
      <c r="C48" s="59">
        <v>920</v>
      </c>
      <c r="D48" s="51">
        <v>13701</v>
      </c>
      <c r="E48" s="51">
        <f t="shared" si="0"/>
        <v>0</v>
      </c>
    </row>
    <row r="49" spans="1:5">
      <c r="A49" s="59">
        <v>1</v>
      </c>
      <c r="B49" s="59">
        <v>64</v>
      </c>
      <c r="C49" s="59">
        <v>550</v>
      </c>
      <c r="D49" s="51">
        <v>13547</v>
      </c>
      <c r="E49" s="51">
        <f t="shared" si="0"/>
        <v>0</v>
      </c>
    </row>
    <row r="50" spans="1:5">
      <c r="A50" s="59">
        <v>1</v>
      </c>
      <c r="B50" s="59">
        <v>62</v>
      </c>
      <c r="C50" s="59">
        <v>720</v>
      </c>
      <c r="D50" s="51">
        <v>13442</v>
      </c>
      <c r="E50" s="51">
        <f t="shared" si="0"/>
        <v>1</v>
      </c>
    </row>
    <row r="51" spans="1:5">
      <c r="A51" s="59">
        <v>1</v>
      </c>
      <c r="B51" s="59">
        <v>71</v>
      </c>
      <c r="C51" s="59">
        <v>530</v>
      </c>
      <c r="D51" s="51">
        <v>12608</v>
      </c>
      <c r="E51" s="51">
        <f t="shared" si="0"/>
        <v>0</v>
      </c>
    </row>
    <row r="52" spans="1:5">
      <c r="A52" s="59">
        <v>1</v>
      </c>
      <c r="B52" s="59">
        <v>71</v>
      </c>
      <c r="C52" s="59">
        <v>920</v>
      </c>
      <c r="D52" s="51">
        <v>11934</v>
      </c>
      <c r="E52" s="51">
        <f t="shared" si="0"/>
        <v>0</v>
      </c>
    </row>
    <row r="53" spans="1:5">
      <c r="A53" s="59">
        <v>1</v>
      </c>
      <c r="B53" s="59">
        <v>32</v>
      </c>
      <c r="C53" s="59">
        <v>510</v>
      </c>
      <c r="D53" s="51">
        <v>11684</v>
      </c>
      <c r="E53" s="51">
        <f t="shared" si="0"/>
        <v>0</v>
      </c>
    </row>
    <row r="54" spans="1:5">
      <c r="A54" s="59">
        <v>1</v>
      </c>
      <c r="B54" s="59">
        <v>64</v>
      </c>
      <c r="C54" s="59">
        <v>720</v>
      </c>
      <c r="D54" s="51">
        <v>11122</v>
      </c>
      <c r="E54" s="51">
        <f t="shared" si="0"/>
        <v>0</v>
      </c>
    </row>
    <row r="55" spans="1:5">
      <c r="A55" s="59">
        <v>1</v>
      </c>
      <c r="B55" s="59">
        <v>63</v>
      </c>
      <c r="C55" s="59">
        <v>110</v>
      </c>
      <c r="D55" s="51">
        <v>10473</v>
      </c>
      <c r="E55" s="51">
        <f t="shared" si="0"/>
        <v>0</v>
      </c>
    </row>
    <row r="56" spans="1:5">
      <c r="A56" s="59">
        <v>1</v>
      </c>
      <c r="B56" s="59">
        <v>43</v>
      </c>
      <c r="C56" s="59">
        <v>920</v>
      </c>
      <c r="D56" s="51">
        <v>9395</v>
      </c>
      <c r="E56" s="51">
        <f t="shared" si="0"/>
        <v>0</v>
      </c>
    </row>
    <row r="57" spans="1:5">
      <c r="A57" s="59">
        <v>1</v>
      </c>
      <c r="B57" s="59">
        <v>43</v>
      </c>
      <c r="C57" s="59">
        <v>150</v>
      </c>
      <c r="D57" s="51">
        <v>9222</v>
      </c>
      <c r="E57" s="51">
        <f t="shared" si="0"/>
        <v>0</v>
      </c>
    </row>
    <row r="58" spans="1:5">
      <c r="A58" s="59">
        <v>1</v>
      </c>
      <c r="B58" s="59">
        <v>63</v>
      </c>
      <c r="C58" s="59">
        <v>720</v>
      </c>
      <c r="D58" s="51">
        <v>9065</v>
      </c>
      <c r="E58" s="51">
        <f t="shared" si="0"/>
        <v>0</v>
      </c>
    </row>
    <row r="59" spans="1:5">
      <c r="A59" s="59">
        <v>1</v>
      </c>
      <c r="B59" s="59">
        <v>44</v>
      </c>
      <c r="C59" s="59">
        <v>530</v>
      </c>
      <c r="D59" s="51">
        <v>8820</v>
      </c>
      <c r="E59" s="51">
        <f t="shared" si="0"/>
        <v>1</v>
      </c>
    </row>
    <row r="60" spans="1:5">
      <c r="A60" s="59">
        <v>1</v>
      </c>
      <c r="B60" s="59">
        <v>63</v>
      </c>
      <c r="C60" s="59">
        <v>920</v>
      </c>
      <c r="D60" s="51">
        <v>8295</v>
      </c>
      <c r="E60" s="51">
        <f t="shared" si="0"/>
        <v>0</v>
      </c>
    </row>
    <row r="61" spans="1:5">
      <c r="A61" s="59">
        <v>1</v>
      </c>
      <c r="B61" s="59">
        <v>14</v>
      </c>
      <c r="C61" s="59">
        <v>160</v>
      </c>
      <c r="D61" s="51">
        <v>8265</v>
      </c>
      <c r="E61" s="51">
        <f t="shared" si="0"/>
        <v>0</v>
      </c>
    </row>
    <row r="62" spans="1:5">
      <c r="A62" s="59">
        <v>1</v>
      </c>
      <c r="B62" s="59">
        <v>44</v>
      </c>
      <c r="C62" s="59">
        <v>520</v>
      </c>
      <c r="D62" s="51">
        <v>8203</v>
      </c>
      <c r="E62" s="51">
        <f t="shared" si="0"/>
        <v>1</v>
      </c>
    </row>
    <row r="63" spans="1:5">
      <c r="A63" s="59">
        <v>1</v>
      </c>
      <c r="B63" s="59">
        <v>44</v>
      </c>
      <c r="C63" s="59">
        <v>610</v>
      </c>
      <c r="D63" s="51">
        <v>7707</v>
      </c>
      <c r="E63" s="51">
        <f t="shared" si="0"/>
        <v>1</v>
      </c>
    </row>
    <row r="64" spans="1:5">
      <c r="A64" s="59">
        <v>1</v>
      </c>
      <c r="B64" s="59">
        <v>13</v>
      </c>
      <c r="C64" s="59">
        <v>160</v>
      </c>
      <c r="D64" s="51">
        <v>7385</v>
      </c>
      <c r="E64" s="51">
        <f t="shared" si="0"/>
        <v>0</v>
      </c>
    </row>
    <row r="65" spans="1:5">
      <c r="A65" s="59">
        <v>1</v>
      </c>
      <c r="B65" s="59">
        <v>81</v>
      </c>
      <c r="C65" s="59">
        <v>990</v>
      </c>
      <c r="D65" s="51">
        <v>7377</v>
      </c>
      <c r="E65" s="51">
        <f t="shared" si="0"/>
        <v>0</v>
      </c>
    </row>
    <row r="66" spans="1:5">
      <c r="A66" s="59">
        <v>1</v>
      </c>
      <c r="B66" s="59">
        <v>43</v>
      </c>
      <c r="C66" s="59">
        <v>160</v>
      </c>
      <c r="D66" s="51">
        <v>7158</v>
      </c>
      <c r="E66" s="51">
        <f t="shared" ref="E66:E129" si="1">IF(OR(A66=6,A66=7,A66=14,A66=15,A66=16,A66=17,A66=18,A66=19,A66=20,A66=21,A66=22,A66=23,A66=25,A66=26,A66=27,A66=28,B66=41,B66=44,B66=62),1,0)</f>
        <v>0</v>
      </c>
    </row>
    <row r="67" spans="1:5">
      <c r="A67" s="59">
        <v>1</v>
      </c>
      <c r="B67" s="59">
        <v>71</v>
      </c>
      <c r="C67" s="59">
        <v>110</v>
      </c>
      <c r="D67" s="51">
        <v>6556</v>
      </c>
      <c r="E67" s="51">
        <f t="shared" si="1"/>
        <v>0</v>
      </c>
    </row>
    <row r="68" spans="1:5">
      <c r="A68" s="59">
        <v>1</v>
      </c>
      <c r="B68" s="59">
        <v>42</v>
      </c>
      <c r="C68" s="59">
        <v>610</v>
      </c>
      <c r="D68" s="51">
        <v>6538</v>
      </c>
      <c r="E68" s="51">
        <f t="shared" si="1"/>
        <v>0</v>
      </c>
    </row>
    <row r="69" spans="1:5">
      <c r="A69" s="59">
        <v>1</v>
      </c>
      <c r="B69" s="59">
        <v>71</v>
      </c>
      <c r="C69" s="59">
        <v>730</v>
      </c>
      <c r="D69" s="51">
        <v>5806</v>
      </c>
      <c r="E69" s="51">
        <f t="shared" si="1"/>
        <v>0</v>
      </c>
    </row>
    <row r="70" spans="1:5">
      <c r="A70" s="59">
        <v>1</v>
      </c>
      <c r="B70" s="59">
        <v>63</v>
      </c>
      <c r="C70" s="59">
        <v>550</v>
      </c>
      <c r="D70" s="51">
        <v>5773</v>
      </c>
      <c r="E70" s="51">
        <f t="shared" si="1"/>
        <v>0</v>
      </c>
    </row>
    <row r="71" spans="1:5">
      <c r="A71" s="59">
        <v>1</v>
      </c>
      <c r="B71" s="59">
        <v>62</v>
      </c>
      <c r="C71" s="59">
        <v>110</v>
      </c>
      <c r="D71" s="51">
        <v>5667</v>
      </c>
      <c r="E71" s="51">
        <f t="shared" si="1"/>
        <v>1</v>
      </c>
    </row>
    <row r="72" spans="1:5">
      <c r="A72" s="59">
        <v>1</v>
      </c>
      <c r="B72" s="59">
        <v>64</v>
      </c>
      <c r="C72" s="59">
        <v>540</v>
      </c>
      <c r="D72" s="51">
        <v>5312</v>
      </c>
      <c r="E72" s="51">
        <f t="shared" si="1"/>
        <v>0</v>
      </c>
    </row>
    <row r="73" spans="1:5">
      <c r="A73" s="59">
        <v>1</v>
      </c>
      <c r="B73" s="59">
        <v>81</v>
      </c>
      <c r="C73" s="59">
        <v>910</v>
      </c>
      <c r="D73" s="51">
        <v>4905</v>
      </c>
      <c r="E73" s="51">
        <f t="shared" si="1"/>
        <v>0</v>
      </c>
    </row>
    <row r="74" spans="1:5">
      <c r="A74" s="59">
        <v>1</v>
      </c>
      <c r="B74" s="59">
        <v>71</v>
      </c>
      <c r="C74" s="59">
        <v>550</v>
      </c>
      <c r="D74" s="51">
        <v>4787</v>
      </c>
      <c r="E74" s="51">
        <f t="shared" si="1"/>
        <v>0</v>
      </c>
    </row>
    <row r="75" spans="1:5">
      <c r="A75" s="59">
        <v>1</v>
      </c>
      <c r="B75" s="59">
        <v>32</v>
      </c>
      <c r="C75" s="59">
        <v>420</v>
      </c>
      <c r="D75" s="51">
        <v>4477</v>
      </c>
      <c r="E75" s="51">
        <f t="shared" si="1"/>
        <v>0</v>
      </c>
    </row>
    <row r="76" spans="1:5">
      <c r="A76" s="59">
        <v>1</v>
      </c>
      <c r="B76" s="59">
        <v>43</v>
      </c>
      <c r="C76" s="59">
        <v>930</v>
      </c>
      <c r="D76" s="51">
        <v>4065</v>
      </c>
      <c r="E76" s="51">
        <f t="shared" si="1"/>
        <v>0</v>
      </c>
    </row>
    <row r="77" spans="1:5">
      <c r="A77" s="59">
        <v>1</v>
      </c>
      <c r="B77" s="59">
        <v>64</v>
      </c>
      <c r="C77" s="59">
        <v>410</v>
      </c>
      <c r="D77" s="51">
        <v>4026</v>
      </c>
      <c r="E77" s="51">
        <f t="shared" si="1"/>
        <v>0</v>
      </c>
    </row>
    <row r="78" spans="1:5">
      <c r="A78" s="59">
        <v>1</v>
      </c>
      <c r="B78" s="59">
        <v>43</v>
      </c>
      <c r="C78" s="59">
        <v>720</v>
      </c>
      <c r="D78" s="51">
        <v>3856</v>
      </c>
      <c r="E78" s="51">
        <f t="shared" si="1"/>
        <v>0</v>
      </c>
    </row>
    <row r="79" spans="1:5">
      <c r="A79" s="59">
        <v>1</v>
      </c>
      <c r="B79" s="59">
        <v>43</v>
      </c>
      <c r="C79" s="59">
        <v>730</v>
      </c>
      <c r="D79" s="51">
        <v>3724</v>
      </c>
      <c r="E79" s="51">
        <f t="shared" si="1"/>
        <v>0</v>
      </c>
    </row>
    <row r="80" spans="1:5">
      <c r="A80" s="59">
        <v>1</v>
      </c>
      <c r="B80" s="59">
        <v>16</v>
      </c>
      <c r="C80" s="59">
        <v>150</v>
      </c>
      <c r="D80" s="51">
        <v>3641</v>
      </c>
      <c r="E80" s="51">
        <f t="shared" si="1"/>
        <v>0</v>
      </c>
    </row>
    <row r="81" spans="1:5">
      <c r="A81" s="59">
        <v>1</v>
      </c>
      <c r="B81" s="59">
        <v>33</v>
      </c>
      <c r="C81" s="59">
        <v>510</v>
      </c>
      <c r="D81" s="51">
        <v>3566</v>
      </c>
      <c r="E81" s="51">
        <f t="shared" si="1"/>
        <v>0</v>
      </c>
    </row>
    <row r="82" spans="1:5">
      <c r="A82" s="59">
        <v>1</v>
      </c>
      <c r="B82" s="59">
        <v>13</v>
      </c>
      <c r="C82" s="59">
        <v>530</v>
      </c>
      <c r="D82" s="51">
        <v>3477</v>
      </c>
      <c r="E82" s="51">
        <f t="shared" si="1"/>
        <v>0</v>
      </c>
    </row>
    <row r="83" spans="1:5">
      <c r="A83" s="59">
        <v>1</v>
      </c>
      <c r="B83" s="59">
        <v>81</v>
      </c>
      <c r="C83" s="59">
        <v>720</v>
      </c>
      <c r="D83" s="51">
        <v>3434</v>
      </c>
      <c r="E83" s="51">
        <f t="shared" si="1"/>
        <v>0</v>
      </c>
    </row>
    <row r="84" spans="1:5">
      <c r="A84" s="59">
        <v>1</v>
      </c>
      <c r="B84" s="59">
        <v>42</v>
      </c>
      <c r="C84" s="59">
        <v>910</v>
      </c>
      <c r="D84" s="51">
        <v>3405</v>
      </c>
      <c r="E84" s="51">
        <f t="shared" si="1"/>
        <v>0</v>
      </c>
    </row>
    <row r="85" spans="1:5">
      <c r="A85" s="59">
        <v>1</v>
      </c>
      <c r="B85" s="59">
        <v>44</v>
      </c>
      <c r="C85" s="59">
        <v>920</v>
      </c>
      <c r="D85" s="51">
        <v>3328</v>
      </c>
      <c r="E85" s="51">
        <f t="shared" si="1"/>
        <v>1</v>
      </c>
    </row>
    <row r="86" spans="1:5">
      <c r="A86" s="59">
        <v>1</v>
      </c>
      <c r="B86" s="59">
        <v>64</v>
      </c>
      <c r="C86" s="59">
        <v>861</v>
      </c>
      <c r="D86" s="51">
        <v>3303</v>
      </c>
      <c r="E86" s="51">
        <f t="shared" si="1"/>
        <v>0</v>
      </c>
    </row>
    <row r="87" spans="1:5">
      <c r="A87" s="59">
        <v>1</v>
      </c>
      <c r="B87" s="59">
        <v>16</v>
      </c>
      <c r="C87" s="59">
        <v>510</v>
      </c>
      <c r="D87" s="51">
        <v>3203</v>
      </c>
      <c r="E87" s="51">
        <f t="shared" si="1"/>
        <v>0</v>
      </c>
    </row>
    <row r="88" spans="1:5">
      <c r="A88" s="59">
        <v>1</v>
      </c>
      <c r="B88" s="59">
        <v>13</v>
      </c>
      <c r="C88" s="59">
        <v>610</v>
      </c>
      <c r="D88" s="51">
        <v>3070</v>
      </c>
      <c r="E88" s="51">
        <f t="shared" si="1"/>
        <v>0</v>
      </c>
    </row>
    <row r="89" spans="1:5">
      <c r="A89" s="59">
        <v>1</v>
      </c>
      <c r="B89" s="59">
        <v>64</v>
      </c>
      <c r="C89" s="59">
        <v>620</v>
      </c>
      <c r="D89" s="51">
        <v>2937</v>
      </c>
      <c r="E89" s="51">
        <f t="shared" si="1"/>
        <v>0</v>
      </c>
    </row>
    <row r="90" spans="1:5">
      <c r="A90" s="59">
        <v>1</v>
      </c>
      <c r="B90" s="59">
        <v>81</v>
      </c>
      <c r="C90" s="59">
        <v>610</v>
      </c>
      <c r="D90" s="51">
        <v>2905</v>
      </c>
      <c r="E90" s="51">
        <f t="shared" si="1"/>
        <v>0</v>
      </c>
    </row>
    <row r="91" spans="1:5">
      <c r="A91" s="59">
        <v>1</v>
      </c>
      <c r="B91" s="59">
        <v>14</v>
      </c>
      <c r="C91" s="59">
        <v>530</v>
      </c>
      <c r="D91" s="51">
        <v>2840</v>
      </c>
      <c r="E91" s="51">
        <f t="shared" si="1"/>
        <v>0</v>
      </c>
    </row>
    <row r="92" spans="1:5">
      <c r="A92" s="59">
        <v>1</v>
      </c>
      <c r="B92" s="59">
        <v>81</v>
      </c>
      <c r="C92" s="59">
        <v>530</v>
      </c>
      <c r="D92" s="51">
        <v>2756</v>
      </c>
      <c r="E92" s="51">
        <f t="shared" si="1"/>
        <v>0</v>
      </c>
    </row>
    <row r="93" spans="1:5">
      <c r="A93" s="59">
        <v>1</v>
      </c>
      <c r="B93" s="59">
        <v>81</v>
      </c>
      <c r="C93" s="59">
        <v>920</v>
      </c>
      <c r="D93" s="51">
        <v>2676</v>
      </c>
      <c r="E93" s="51">
        <f t="shared" si="1"/>
        <v>0</v>
      </c>
    </row>
    <row r="94" spans="1:5">
      <c r="A94" s="59">
        <v>1</v>
      </c>
      <c r="B94" s="59">
        <v>14</v>
      </c>
      <c r="C94" s="59">
        <v>140</v>
      </c>
      <c r="D94" s="51">
        <v>2674</v>
      </c>
      <c r="E94" s="51">
        <f t="shared" si="1"/>
        <v>0</v>
      </c>
    </row>
    <row r="95" spans="1:5">
      <c r="A95" s="59">
        <v>1</v>
      </c>
      <c r="B95" s="59">
        <v>14</v>
      </c>
      <c r="C95" s="59">
        <v>520</v>
      </c>
      <c r="D95" s="51">
        <v>2637</v>
      </c>
      <c r="E95" s="51">
        <f t="shared" si="1"/>
        <v>0</v>
      </c>
    </row>
    <row r="96" spans="1:5">
      <c r="A96" s="59">
        <v>1</v>
      </c>
      <c r="B96" s="59">
        <v>71</v>
      </c>
      <c r="C96" s="59">
        <v>720</v>
      </c>
      <c r="D96" s="51">
        <v>2605</v>
      </c>
      <c r="E96" s="51">
        <f t="shared" si="1"/>
        <v>0</v>
      </c>
    </row>
    <row r="97" spans="1:5">
      <c r="A97" s="59">
        <v>1</v>
      </c>
      <c r="B97" s="59">
        <v>62</v>
      </c>
      <c r="C97" s="59">
        <v>550</v>
      </c>
      <c r="D97" s="51">
        <v>2591</v>
      </c>
      <c r="E97" s="51">
        <f t="shared" si="1"/>
        <v>1</v>
      </c>
    </row>
    <row r="98" spans="1:5">
      <c r="A98" s="59">
        <v>1</v>
      </c>
      <c r="B98" s="59">
        <v>64</v>
      </c>
      <c r="C98" s="59">
        <v>210</v>
      </c>
      <c r="D98" s="51">
        <v>2551</v>
      </c>
      <c r="E98" s="51">
        <f t="shared" si="1"/>
        <v>0</v>
      </c>
    </row>
    <row r="99" spans="1:5">
      <c r="A99" s="59">
        <v>1</v>
      </c>
      <c r="B99" s="59">
        <v>13</v>
      </c>
      <c r="C99" s="59">
        <v>520</v>
      </c>
      <c r="D99" s="51">
        <v>2544</v>
      </c>
      <c r="E99" s="51">
        <f t="shared" si="1"/>
        <v>0</v>
      </c>
    </row>
    <row r="100" spans="1:5">
      <c r="A100" s="59">
        <v>1</v>
      </c>
      <c r="B100" s="59">
        <v>14</v>
      </c>
      <c r="C100" s="59">
        <v>310</v>
      </c>
      <c r="D100" s="51">
        <v>2524</v>
      </c>
      <c r="E100" s="51">
        <f t="shared" si="1"/>
        <v>0</v>
      </c>
    </row>
    <row r="101" spans="1:5">
      <c r="A101" s="59">
        <v>1</v>
      </c>
      <c r="B101" s="59">
        <v>14</v>
      </c>
      <c r="C101" s="59">
        <v>210</v>
      </c>
      <c r="D101" s="51">
        <v>2510</v>
      </c>
      <c r="E101" s="51">
        <f t="shared" si="1"/>
        <v>0</v>
      </c>
    </row>
    <row r="102" spans="1:5">
      <c r="A102" s="59">
        <v>1</v>
      </c>
      <c r="B102" s="59">
        <v>15</v>
      </c>
      <c r="C102" s="59">
        <v>150</v>
      </c>
      <c r="D102" s="51">
        <v>2477</v>
      </c>
      <c r="E102" s="51">
        <f t="shared" si="1"/>
        <v>0</v>
      </c>
    </row>
    <row r="103" spans="1:5">
      <c r="A103" s="59">
        <v>1</v>
      </c>
      <c r="B103" s="59">
        <v>15</v>
      </c>
      <c r="C103" s="59">
        <v>910</v>
      </c>
      <c r="D103" s="51">
        <v>2444</v>
      </c>
      <c r="E103" s="51">
        <f t="shared" si="1"/>
        <v>0</v>
      </c>
    </row>
    <row r="104" spans="1:5">
      <c r="A104" s="59">
        <v>1</v>
      </c>
      <c r="B104" s="59">
        <v>63</v>
      </c>
      <c r="C104" s="59">
        <v>160</v>
      </c>
      <c r="D104" s="51">
        <v>2398</v>
      </c>
      <c r="E104" s="51">
        <f t="shared" si="1"/>
        <v>0</v>
      </c>
    </row>
    <row r="105" spans="1:5">
      <c r="A105" s="59">
        <v>1</v>
      </c>
      <c r="B105" s="59">
        <v>22</v>
      </c>
      <c r="C105" s="59">
        <v>150</v>
      </c>
      <c r="D105" s="51">
        <v>2368</v>
      </c>
      <c r="E105" s="51">
        <f t="shared" si="1"/>
        <v>0</v>
      </c>
    </row>
    <row r="106" spans="1:5">
      <c r="A106" s="59">
        <v>1</v>
      </c>
      <c r="B106" s="59">
        <v>41</v>
      </c>
      <c r="C106" s="59">
        <v>520</v>
      </c>
      <c r="D106" s="51">
        <v>2212</v>
      </c>
      <c r="E106" s="51">
        <f t="shared" si="1"/>
        <v>1</v>
      </c>
    </row>
    <row r="107" spans="1:5">
      <c r="A107" s="59">
        <v>1</v>
      </c>
      <c r="B107" s="59">
        <v>22</v>
      </c>
      <c r="C107" s="59">
        <v>910</v>
      </c>
      <c r="D107" s="51">
        <v>2196</v>
      </c>
      <c r="E107" s="51">
        <f t="shared" si="1"/>
        <v>0</v>
      </c>
    </row>
    <row r="108" spans="1:5">
      <c r="A108" s="59">
        <v>1</v>
      </c>
      <c r="B108" s="59">
        <v>32</v>
      </c>
      <c r="C108" s="59">
        <v>910</v>
      </c>
      <c r="D108" s="51">
        <v>2172</v>
      </c>
      <c r="E108" s="51">
        <f t="shared" si="1"/>
        <v>0</v>
      </c>
    </row>
    <row r="109" spans="1:5">
      <c r="A109" s="59">
        <v>1</v>
      </c>
      <c r="B109" s="59">
        <v>62</v>
      </c>
      <c r="C109" s="59">
        <v>150</v>
      </c>
      <c r="D109" s="51">
        <v>2100</v>
      </c>
      <c r="E109" s="51">
        <f t="shared" si="1"/>
        <v>1</v>
      </c>
    </row>
    <row r="110" spans="1:5">
      <c r="A110" s="59">
        <v>1</v>
      </c>
      <c r="B110" s="59">
        <v>64</v>
      </c>
      <c r="C110" s="59">
        <v>440</v>
      </c>
      <c r="D110" s="51">
        <v>2086</v>
      </c>
      <c r="E110" s="51">
        <f t="shared" si="1"/>
        <v>0</v>
      </c>
    </row>
    <row r="111" spans="1:5">
      <c r="A111" s="59">
        <v>1</v>
      </c>
      <c r="B111" s="59">
        <v>15</v>
      </c>
      <c r="C111" s="59">
        <v>510</v>
      </c>
      <c r="D111" s="51">
        <v>2054</v>
      </c>
      <c r="E111" s="51">
        <f t="shared" si="1"/>
        <v>0</v>
      </c>
    </row>
    <row r="112" spans="1:5">
      <c r="A112" s="59">
        <v>1</v>
      </c>
      <c r="B112" s="59">
        <v>33</v>
      </c>
      <c r="C112" s="59">
        <v>420</v>
      </c>
      <c r="D112" s="51">
        <v>2025</v>
      </c>
      <c r="E112" s="51">
        <f t="shared" si="1"/>
        <v>0</v>
      </c>
    </row>
    <row r="113" spans="1:5">
      <c r="A113" s="59">
        <v>1</v>
      </c>
      <c r="B113" s="59">
        <v>81</v>
      </c>
      <c r="C113" s="59">
        <v>520</v>
      </c>
      <c r="D113" s="51">
        <v>2024</v>
      </c>
      <c r="E113" s="51">
        <f t="shared" si="1"/>
        <v>0</v>
      </c>
    </row>
    <row r="114" spans="1:5">
      <c r="A114" s="59">
        <v>1</v>
      </c>
      <c r="B114" s="59">
        <v>71</v>
      </c>
      <c r="C114" s="59">
        <v>620</v>
      </c>
      <c r="D114" s="51">
        <v>1974</v>
      </c>
      <c r="E114" s="51">
        <f t="shared" si="1"/>
        <v>0</v>
      </c>
    </row>
    <row r="115" spans="1:5">
      <c r="A115" s="59">
        <v>1</v>
      </c>
      <c r="B115" s="59">
        <v>63</v>
      </c>
      <c r="C115" s="59">
        <v>150</v>
      </c>
      <c r="D115" s="51">
        <v>1965</v>
      </c>
      <c r="E115" s="51">
        <f t="shared" si="1"/>
        <v>0</v>
      </c>
    </row>
    <row r="116" spans="1:5">
      <c r="A116" s="59">
        <v>1</v>
      </c>
      <c r="B116" s="59">
        <v>16</v>
      </c>
      <c r="C116" s="59">
        <v>910</v>
      </c>
      <c r="D116" s="51">
        <v>1959</v>
      </c>
      <c r="E116" s="51">
        <f t="shared" si="1"/>
        <v>0</v>
      </c>
    </row>
    <row r="117" spans="1:5">
      <c r="A117" s="59">
        <v>1</v>
      </c>
      <c r="B117" s="59">
        <v>22</v>
      </c>
      <c r="C117" s="59">
        <v>510</v>
      </c>
      <c r="D117" s="51">
        <v>1928</v>
      </c>
      <c r="E117" s="51">
        <f t="shared" si="1"/>
        <v>0</v>
      </c>
    </row>
    <row r="118" spans="1:5">
      <c r="A118" s="59">
        <v>1</v>
      </c>
      <c r="B118" s="59">
        <v>22</v>
      </c>
      <c r="C118" s="59">
        <v>210</v>
      </c>
      <c r="D118" s="51">
        <v>1908</v>
      </c>
      <c r="E118" s="51">
        <f t="shared" si="1"/>
        <v>0</v>
      </c>
    </row>
    <row r="119" spans="1:5">
      <c r="A119" s="59">
        <v>1</v>
      </c>
      <c r="B119" s="59">
        <v>64</v>
      </c>
      <c r="C119" s="59">
        <v>310</v>
      </c>
      <c r="D119" s="51">
        <v>1858</v>
      </c>
      <c r="E119" s="51">
        <f t="shared" si="1"/>
        <v>0</v>
      </c>
    </row>
    <row r="120" spans="1:5">
      <c r="A120" s="59">
        <v>1</v>
      </c>
      <c r="B120" s="59">
        <v>43</v>
      </c>
      <c r="C120" s="59">
        <v>210</v>
      </c>
      <c r="D120" s="51">
        <v>1847</v>
      </c>
      <c r="E120" s="51">
        <f t="shared" si="1"/>
        <v>0</v>
      </c>
    </row>
    <row r="121" spans="1:5">
      <c r="A121" s="59">
        <v>1</v>
      </c>
      <c r="B121" s="59">
        <v>81</v>
      </c>
      <c r="C121" s="59">
        <v>110</v>
      </c>
      <c r="D121" s="51">
        <v>1827</v>
      </c>
      <c r="E121" s="51">
        <f t="shared" si="1"/>
        <v>0</v>
      </c>
    </row>
    <row r="122" spans="1:5">
      <c r="A122" s="59">
        <v>1</v>
      </c>
      <c r="B122" s="59">
        <v>41</v>
      </c>
      <c r="C122" s="59">
        <v>610</v>
      </c>
      <c r="D122" s="51">
        <v>1819</v>
      </c>
      <c r="E122" s="51">
        <f t="shared" si="1"/>
        <v>1</v>
      </c>
    </row>
    <row r="123" spans="1:5">
      <c r="A123" s="59">
        <v>1</v>
      </c>
      <c r="B123" s="59">
        <v>22</v>
      </c>
      <c r="C123" s="59">
        <v>110</v>
      </c>
      <c r="D123" s="51">
        <v>1812</v>
      </c>
      <c r="E123" s="51">
        <f t="shared" si="1"/>
        <v>0</v>
      </c>
    </row>
    <row r="124" spans="1:5">
      <c r="A124" s="59">
        <v>1</v>
      </c>
      <c r="B124" s="59">
        <v>41</v>
      </c>
      <c r="C124" s="59">
        <v>910</v>
      </c>
      <c r="D124" s="51">
        <v>1803</v>
      </c>
      <c r="E124" s="51">
        <f t="shared" si="1"/>
        <v>1</v>
      </c>
    </row>
    <row r="125" spans="1:5">
      <c r="A125" s="59">
        <v>1</v>
      </c>
      <c r="B125" s="59">
        <v>15</v>
      </c>
      <c r="C125" s="59">
        <v>110</v>
      </c>
      <c r="D125" s="51">
        <v>1802</v>
      </c>
      <c r="E125" s="51">
        <f t="shared" si="1"/>
        <v>0</v>
      </c>
    </row>
    <row r="126" spans="1:5">
      <c r="A126" s="59">
        <v>1</v>
      </c>
      <c r="B126" s="59">
        <v>14</v>
      </c>
      <c r="C126" s="59">
        <v>320</v>
      </c>
      <c r="D126" s="51">
        <v>1775</v>
      </c>
      <c r="E126" s="51">
        <f t="shared" si="1"/>
        <v>0</v>
      </c>
    </row>
    <row r="127" spans="1:5">
      <c r="A127" s="59">
        <v>1</v>
      </c>
      <c r="B127" s="59">
        <v>62</v>
      </c>
      <c r="C127" s="59">
        <v>160</v>
      </c>
      <c r="D127" s="51">
        <v>1760</v>
      </c>
      <c r="E127" s="51">
        <f t="shared" si="1"/>
        <v>1</v>
      </c>
    </row>
    <row r="128" spans="1:5">
      <c r="A128" s="59">
        <v>1</v>
      </c>
      <c r="B128" s="59">
        <v>22</v>
      </c>
      <c r="C128" s="59">
        <v>230</v>
      </c>
      <c r="D128" s="51">
        <v>1755</v>
      </c>
      <c r="E128" s="51">
        <f t="shared" si="1"/>
        <v>0</v>
      </c>
    </row>
    <row r="129" spans="1:5">
      <c r="A129" s="59">
        <v>1</v>
      </c>
      <c r="B129" s="59">
        <v>42</v>
      </c>
      <c r="C129" s="59">
        <v>530</v>
      </c>
      <c r="D129" s="51">
        <v>1664</v>
      </c>
      <c r="E129" s="51">
        <f t="shared" si="1"/>
        <v>0</v>
      </c>
    </row>
    <row r="130" spans="1:5">
      <c r="A130" s="59">
        <v>1</v>
      </c>
      <c r="B130" s="59">
        <v>71</v>
      </c>
      <c r="C130" s="59">
        <v>160</v>
      </c>
      <c r="D130" s="51">
        <v>1661</v>
      </c>
      <c r="E130" s="51">
        <f t="shared" ref="E130:E193" si="2">IF(OR(A130=6,A130=7,A130=14,A130=15,A130=16,A130=17,A130=18,A130=19,A130=20,A130=21,A130=22,A130=23,A130=25,A130=26,A130=27,A130=28,B130=41,B130=44,B130=62),1,0)</f>
        <v>0</v>
      </c>
    </row>
    <row r="131" spans="1:5">
      <c r="A131" s="59">
        <v>1</v>
      </c>
      <c r="B131" s="59">
        <v>62</v>
      </c>
      <c r="C131" s="59">
        <v>710</v>
      </c>
      <c r="D131" s="51">
        <v>1648</v>
      </c>
      <c r="E131" s="51">
        <f t="shared" si="2"/>
        <v>1</v>
      </c>
    </row>
    <row r="132" spans="1:5">
      <c r="A132" s="59">
        <v>1</v>
      </c>
      <c r="B132" s="59">
        <v>41</v>
      </c>
      <c r="C132" s="59">
        <v>720</v>
      </c>
      <c r="D132" s="51">
        <v>1647</v>
      </c>
      <c r="E132" s="51">
        <f t="shared" si="2"/>
        <v>1</v>
      </c>
    </row>
    <row r="133" spans="1:5">
      <c r="A133" s="59">
        <v>1</v>
      </c>
      <c r="B133" s="59">
        <v>63</v>
      </c>
      <c r="C133" s="59">
        <v>440</v>
      </c>
      <c r="D133" s="51">
        <v>1647</v>
      </c>
      <c r="E133" s="51">
        <f t="shared" si="2"/>
        <v>0</v>
      </c>
    </row>
    <row r="134" spans="1:5">
      <c r="A134" s="59">
        <v>1</v>
      </c>
      <c r="B134" s="59">
        <v>64</v>
      </c>
      <c r="C134" s="59">
        <v>710</v>
      </c>
      <c r="D134" s="51">
        <v>1641</v>
      </c>
      <c r="E134" s="51">
        <f t="shared" si="2"/>
        <v>0</v>
      </c>
    </row>
    <row r="135" spans="1:5">
      <c r="A135" s="59">
        <v>1</v>
      </c>
      <c r="B135" s="59">
        <v>43</v>
      </c>
      <c r="C135" s="59">
        <v>550</v>
      </c>
      <c r="D135" s="51">
        <v>1612</v>
      </c>
      <c r="E135" s="51">
        <f t="shared" si="2"/>
        <v>0</v>
      </c>
    </row>
    <row r="136" spans="1:5">
      <c r="A136" s="59">
        <v>1</v>
      </c>
      <c r="B136" s="59">
        <v>64</v>
      </c>
      <c r="C136" s="59">
        <v>420</v>
      </c>
      <c r="D136" s="51">
        <v>1605</v>
      </c>
      <c r="E136" s="51">
        <f t="shared" si="2"/>
        <v>0</v>
      </c>
    </row>
    <row r="137" spans="1:5">
      <c r="A137" s="59">
        <v>1</v>
      </c>
      <c r="B137" s="59">
        <v>63</v>
      </c>
      <c r="C137" s="59">
        <v>540</v>
      </c>
      <c r="D137" s="51">
        <v>1594</v>
      </c>
      <c r="E137" s="51">
        <f t="shared" si="2"/>
        <v>0</v>
      </c>
    </row>
    <row r="138" spans="1:5">
      <c r="A138" s="59">
        <v>1</v>
      </c>
      <c r="B138" s="59">
        <v>41</v>
      </c>
      <c r="C138" s="59">
        <v>530</v>
      </c>
      <c r="D138" s="51">
        <v>1592</v>
      </c>
      <c r="E138" s="51">
        <f t="shared" si="2"/>
        <v>1</v>
      </c>
    </row>
    <row r="139" spans="1:5">
      <c r="A139" s="59">
        <v>1</v>
      </c>
      <c r="B139" s="59">
        <v>43</v>
      </c>
      <c r="C139" s="59">
        <v>410</v>
      </c>
      <c r="D139" s="51">
        <v>1546</v>
      </c>
      <c r="E139" s="51">
        <f t="shared" si="2"/>
        <v>0</v>
      </c>
    </row>
    <row r="140" spans="1:5">
      <c r="A140" s="59">
        <v>1</v>
      </c>
      <c r="B140" s="59">
        <v>44</v>
      </c>
      <c r="C140" s="59">
        <v>930</v>
      </c>
      <c r="D140" s="51">
        <v>1531</v>
      </c>
      <c r="E140" s="51">
        <f t="shared" si="2"/>
        <v>1</v>
      </c>
    </row>
    <row r="141" spans="1:5">
      <c r="A141" s="59">
        <v>1</v>
      </c>
      <c r="B141" s="59">
        <v>16</v>
      </c>
      <c r="C141" s="59">
        <v>110</v>
      </c>
      <c r="D141" s="51">
        <v>1507</v>
      </c>
      <c r="E141" s="51">
        <f t="shared" si="2"/>
        <v>0</v>
      </c>
    </row>
    <row r="142" spans="1:5">
      <c r="A142" s="59">
        <v>1</v>
      </c>
      <c r="B142" s="59">
        <v>44</v>
      </c>
      <c r="C142" s="59">
        <v>730</v>
      </c>
      <c r="D142" s="51">
        <v>1489</v>
      </c>
      <c r="E142" s="51">
        <f t="shared" si="2"/>
        <v>1</v>
      </c>
    </row>
    <row r="143" spans="1:5">
      <c r="A143" s="59">
        <v>1</v>
      </c>
      <c r="B143" s="59">
        <v>43</v>
      </c>
      <c r="C143" s="59">
        <v>940</v>
      </c>
      <c r="D143" s="51">
        <v>1472</v>
      </c>
      <c r="E143" s="51">
        <f t="shared" si="2"/>
        <v>0</v>
      </c>
    </row>
    <row r="144" spans="1:5">
      <c r="A144" s="59">
        <v>1</v>
      </c>
      <c r="B144" s="59">
        <v>32</v>
      </c>
      <c r="C144" s="59">
        <v>410</v>
      </c>
      <c r="D144" s="51">
        <v>1468</v>
      </c>
      <c r="E144" s="51">
        <f t="shared" si="2"/>
        <v>0</v>
      </c>
    </row>
    <row r="145" spans="1:5">
      <c r="A145" s="59">
        <v>1</v>
      </c>
      <c r="B145" s="59">
        <v>14</v>
      </c>
      <c r="C145" s="59">
        <v>610</v>
      </c>
      <c r="D145" s="51">
        <v>1403</v>
      </c>
      <c r="E145" s="51">
        <f t="shared" si="2"/>
        <v>0</v>
      </c>
    </row>
    <row r="146" spans="1:5">
      <c r="A146" s="59">
        <v>1</v>
      </c>
      <c r="B146" s="59">
        <v>64</v>
      </c>
      <c r="C146" s="59">
        <v>230</v>
      </c>
      <c r="D146" s="51">
        <v>1394</v>
      </c>
      <c r="E146" s="51">
        <f t="shared" si="2"/>
        <v>0</v>
      </c>
    </row>
    <row r="147" spans="1:5">
      <c r="A147" s="59">
        <v>1</v>
      </c>
      <c r="B147" s="59">
        <v>71</v>
      </c>
      <c r="C147" s="59">
        <v>540</v>
      </c>
      <c r="D147" s="51">
        <v>1394</v>
      </c>
      <c r="E147" s="51">
        <f t="shared" si="2"/>
        <v>0</v>
      </c>
    </row>
    <row r="148" spans="1:5">
      <c r="A148" s="59">
        <v>1</v>
      </c>
      <c r="B148" s="59">
        <v>41</v>
      </c>
      <c r="C148" s="59">
        <v>920</v>
      </c>
      <c r="D148" s="51">
        <v>1387</v>
      </c>
      <c r="E148" s="51">
        <f t="shared" si="2"/>
        <v>1</v>
      </c>
    </row>
    <row r="149" spans="1:5">
      <c r="A149" s="59">
        <v>1</v>
      </c>
      <c r="B149" s="59">
        <v>51</v>
      </c>
      <c r="C149" s="59">
        <v>510</v>
      </c>
      <c r="D149" s="51">
        <v>1380</v>
      </c>
      <c r="E149" s="51">
        <f t="shared" si="2"/>
        <v>0</v>
      </c>
    </row>
    <row r="150" spans="1:5">
      <c r="A150" s="59">
        <v>1</v>
      </c>
      <c r="B150" s="59">
        <v>42</v>
      </c>
      <c r="C150" s="59">
        <v>520</v>
      </c>
      <c r="D150" s="51">
        <v>1373</v>
      </c>
      <c r="E150" s="51">
        <f t="shared" si="2"/>
        <v>0</v>
      </c>
    </row>
    <row r="151" spans="1:5">
      <c r="A151" s="59">
        <v>1</v>
      </c>
      <c r="B151" s="59">
        <v>15</v>
      </c>
      <c r="C151" s="59">
        <v>140</v>
      </c>
      <c r="D151" s="51">
        <v>1330</v>
      </c>
      <c r="E151" s="51">
        <f t="shared" si="2"/>
        <v>0</v>
      </c>
    </row>
    <row r="152" spans="1:5">
      <c r="A152" s="59">
        <v>1</v>
      </c>
      <c r="B152" s="59">
        <v>42</v>
      </c>
      <c r="C152" s="59">
        <v>920</v>
      </c>
      <c r="D152" s="51">
        <v>1329</v>
      </c>
      <c r="E152" s="51">
        <f t="shared" si="2"/>
        <v>0</v>
      </c>
    </row>
    <row r="153" spans="1:5">
      <c r="A153" s="59">
        <v>1</v>
      </c>
      <c r="B153" s="59">
        <v>43</v>
      </c>
      <c r="C153" s="59">
        <v>230</v>
      </c>
      <c r="D153" s="51">
        <v>1326</v>
      </c>
      <c r="E153" s="51">
        <f t="shared" si="2"/>
        <v>0</v>
      </c>
    </row>
    <row r="154" spans="1:5">
      <c r="A154" s="59">
        <v>1</v>
      </c>
      <c r="B154" s="59">
        <v>43</v>
      </c>
      <c r="C154" s="59">
        <v>620</v>
      </c>
      <c r="D154" s="51">
        <v>1304</v>
      </c>
      <c r="E154" s="51">
        <f t="shared" si="2"/>
        <v>0</v>
      </c>
    </row>
    <row r="155" spans="1:5">
      <c r="A155" s="59">
        <v>1</v>
      </c>
      <c r="B155" s="59">
        <v>33</v>
      </c>
      <c r="C155" s="59">
        <v>910</v>
      </c>
      <c r="D155" s="51">
        <v>1301</v>
      </c>
      <c r="E155" s="51">
        <f t="shared" si="2"/>
        <v>0</v>
      </c>
    </row>
    <row r="156" spans="1:5">
      <c r="A156" s="59">
        <v>1</v>
      </c>
      <c r="B156" s="59">
        <v>14</v>
      </c>
      <c r="C156" s="59">
        <v>230</v>
      </c>
      <c r="D156" s="51">
        <v>1286</v>
      </c>
      <c r="E156" s="51">
        <f t="shared" si="2"/>
        <v>0</v>
      </c>
    </row>
    <row r="157" spans="1:5">
      <c r="A157" s="59">
        <v>1</v>
      </c>
      <c r="B157" s="59">
        <v>62</v>
      </c>
      <c r="C157" s="59">
        <v>990</v>
      </c>
      <c r="D157" s="51">
        <v>1254</v>
      </c>
      <c r="E157" s="51">
        <f t="shared" si="2"/>
        <v>1</v>
      </c>
    </row>
    <row r="158" spans="1:5">
      <c r="A158" s="59">
        <v>1</v>
      </c>
      <c r="B158" s="59">
        <v>14</v>
      </c>
      <c r="C158" s="59">
        <v>330</v>
      </c>
      <c r="D158" s="51">
        <v>1246</v>
      </c>
      <c r="E158" s="51">
        <f t="shared" si="2"/>
        <v>0</v>
      </c>
    </row>
    <row r="159" spans="1:5">
      <c r="A159" s="59">
        <v>1</v>
      </c>
      <c r="B159" s="59">
        <v>63</v>
      </c>
      <c r="C159" s="59">
        <v>620</v>
      </c>
      <c r="D159" s="51">
        <v>1215</v>
      </c>
      <c r="E159" s="51">
        <f t="shared" si="2"/>
        <v>0</v>
      </c>
    </row>
    <row r="160" spans="1:5">
      <c r="A160" s="59">
        <v>1</v>
      </c>
      <c r="B160" s="59">
        <v>13</v>
      </c>
      <c r="C160" s="59">
        <v>310</v>
      </c>
      <c r="D160" s="51">
        <v>1184</v>
      </c>
      <c r="E160" s="51">
        <f t="shared" si="2"/>
        <v>0</v>
      </c>
    </row>
    <row r="161" spans="1:5">
      <c r="A161" s="59">
        <v>1</v>
      </c>
      <c r="B161" s="59">
        <v>44</v>
      </c>
      <c r="C161" s="59">
        <v>720</v>
      </c>
      <c r="D161" s="51">
        <v>1174</v>
      </c>
      <c r="E161" s="51">
        <f t="shared" si="2"/>
        <v>1</v>
      </c>
    </row>
    <row r="162" spans="1:5">
      <c r="A162" s="59">
        <v>1</v>
      </c>
      <c r="B162" s="59">
        <v>13</v>
      </c>
      <c r="C162" s="59">
        <v>210</v>
      </c>
      <c r="D162" s="51">
        <v>1160</v>
      </c>
      <c r="E162" s="51">
        <f t="shared" si="2"/>
        <v>0</v>
      </c>
    </row>
    <row r="163" spans="1:5">
      <c r="A163" s="59">
        <v>1</v>
      </c>
      <c r="B163" s="59">
        <v>14</v>
      </c>
      <c r="C163" s="59">
        <v>130</v>
      </c>
      <c r="D163" s="51">
        <v>1156</v>
      </c>
      <c r="E163" s="51">
        <f t="shared" si="2"/>
        <v>0</v>
      </c>
    </row>
    <row r="164" spans="1:5">
      <c r="A164" s="59">
        <v>1</v>
      </c>
      <c r="B164" s="59">
        <v>64</v>
      </c>
      <c r="C164" s="59">
        <v>430</v>
      </c>
      <c r="D164" s="51">
        <v>1083</v>
      </c>
      <c r="E164" s="51">
        <f t="shared" si="2"/>
        <v>0</v>
      </c>
    </row>
    <row r="165" spans="1:5">
      <c r="A165" s="59">
        <v>1</v>
      </c>
      <c r="B165" s="59">
        <v>61</v>
      </c>
      <c r="C165" s="59">
        <v>510</v>
      </c>
      <c r="D165" s="51">
        <v>1066</v>
      </c>
      <c r="E165" s="51">
        <f t="shared" si="2"/>
        <v>0</v>
      </c>
    </row>
    <row r="166" spans="1:5">
      <c r="A166" s="59">
        <v>1</v>
      </c>
      <c r="B166" s="59">
        <v>62</v>
      </c>
      <c r="C166" s="59">
        <v>620</v>
      </c>
      <c r="D166" s="51">
        <v>1031</v>
      </c>
      <c r="E166" s="51">
        <f t="shared" si="2"/>
        <v>1</v>
      </c>
    </row>
    <row r="167" spans="1:5">
      <c r="A167" s="59">
        <v>1</v>
      </c>
      <c r="B167" s="59">
        <v>71</v>
      </c>
      <c r="C167" s="59">
        <v>640</v>
      </c>
      <c r="D167" s="51">
        <v>1020</v>
      </c>
      <c r="E167" s="51">
        <f t="shared" si="2"/>
        <v>0</v>
      </c>
    </row>
    <row r="168" spans="1:5">
      <c r="A168" s="59">
        <v>1</v>
      </c>
      <c r="B168" s="59">
        <v>13</v>
      </c>
      <c r="C168" s="59">
        <v>130</v>
      </c>
      <c r="D168" s="51">
        <v>1007</v>
      </c>
      <c r="E168" s="51">
        <f t="shared" si="2"/>
        <v>0</v>
      </c>
    </row>
    <row r="169" spans="1:5">
      <c r="A169" s="59">
        <v>1</v>
      </c>
      <c r="B169" s="59">
        <v>63</v>
      </c>
      <c r="C169" s="59">
        <v>710</v>
      </c>
      <c r="D169" s="51">
        <v>991</v>
      </c>
      <c r="E169" s="51">
        <f t="shared" si="2"/>
        <v>0</v>
      </c>
    </row>
    <row r="170" spans="1:5">
      <c r="A170" s="59">
        <v>1</v>
      </c>
      <c r="B170" s="59">
        <v>64</v>
      </c>
      <c r="C170" s="59">
        <v>640</v>
      </c>
      <c r="D170" s="51">
        <v>986</v>
      </c>
      <c r="E170" s="51">
        <f t="shared" si="2"/>
        <v>0</v>
      </c>
    </row>
    <row r="171" spans="1:5">
      <c r="A171" s="59">
        <v>1</v>
      </c>
      <c r="B171" s="59">
        <v>43</v>
      </c>
      <c r="C171" s="59">
        <v>540</v>
      </c>
      <c r="D171" s="51">
        <v>971</v>
      </c>
      <c r="E171" s="51">
        <f t="shared" si="2"/>
        <v>0</v>
      </c>
    </row>
    <row r="172" spans="1:5">
      <c r="A172" s="59">
        <v>1</v>
      </c>
      <c r="B172" s="59">
        <v>11</v>
      </c>
      <c r="C172" s="59">
        <v>510</v>
      </c>
      <c r="D172" s="51">
        <v>970</v>
      </c>
      <c r="E172" s="51">
        <f t="shared" si="2"/>
        <v>0</v>
      </c>
    </row>
    <row r="173" spans="1:5">
      <c r="A173" s="59">
        <v>1</v>
      </c>
      <c r="B173" s="59">
        <v>13</v>
      </c>
      <c r="C173" s="59">
        <v>320</v>
      </c>
      <c r="D173" s="51">
        <v>929</v>
      </c>
      <c r="E173" s="51">
        <f t="shared" si="2"/>
        <v>0</v>
      </c>
    </row>
    <row r="174" spans="1:5">
      <c r="A174" s="59">
        <v>1</v>
      </c>
      <c r="B174" s="59">
        <v>64</v>
      </c>
      <c r="C174" s="59">
        <v>320</v>
      </c>
      <c r="D174" s="51">
        <v>907</v>
      </c>
      <c r="E174" s="51">
        <f t="shared" si="2"/>
        <v>0</v>
      </c>
    </row>
    <row r="175" spans="1:5">
      <c r="A175" s="59">
        <v>1</v>
      </c>
      <c r="B175" s="59">
        <v>42</v>
      </c>
      <c r="C175" s="59">
        <v>110</v>
      </c>
      <c r="D175" s="51">
        <v>898</v>
      </c>
      <c r="E175" s="51">
        <f t="shared" si="2"/>
        <v>0</v>
      </c>
    </row>
    <row r="176" spans="1:5">
      <c r="A176" s="59">
        <v>1</v>
      </c>
      <c r="B176" s="59">
        <v>43</v>
      </c>
      <c r="C176" s="59">
        <v>420</v>
      </c>
      <c r="D176" s="51">
        <v>880</v>
      </c>
      <c r="E176" s="51">
        <f t="shared" si="2"/>
        <v>0</v>
      </c>
    </row>
    <row r="177" spans="1:5">
      <c r="A177" s="59">
        <v>1</v>
      </c>
      <c r="B177" s="59">
        <v>14</v>
      </c>
      <c r="C177" s="59">
        <v>120</v>
      </c>
      <c r="D177" s="51">
        <v>852</v>
      </c>
      <c r="E177" s="51">
        <f t="shared" si="2"/>
        <v>0</v>
      </c>
    </row>
    <row r="178" spans="1:5">
      <c r="A178" s="59">
        <v>1</v>
      </c>
      <c r="B178" s="59">
        <v>13</v>
      </c>
      <c r="C178" s="59">
        <v>410</v>
      </c>
      <c r="D178" s="51">
        <v>846</v>
      </c>
      <c r="E178" s="51">
        <f t="shared" si="2"/>
        <v>0</v>
      </c>
    </row>
    <row r="179" spans="1:5">
      <c r="A179" s="59">
        <v>1</v>
      </c>
      <c r="B179" s="59">
        <v>43</v>
      </c>
      <c r="C179" s="59">
        <v>430</v>
      </c>
      <c r="D179" s="51">
        <v>838</v>
      </c>
      <c r="E179" s="51">
        <f t="shared" si="2"/>
        <v>0</v>
      </c>
    </row>
    <row r="180" spans="1:5">
      <c r="A180" s="59">
        <v>1</v>
      </c>
      <c r="B180" s="59">
        <v>62</v>
      </c>
      <c r="C180" s="59">
        <v>750</v>
      </c>
      <c r="D180" s="51">
        <v>803</v>
      </c>
      <c r="E180" s="51">
        <f t="shared" si="2"/>
        <v>1</v>
      </c>
    </row>
    <row r="181" spans="1:5">
      <c r="A181" s="59">
        <v>1</v>
      </c>
      <c r="B181" s="59">
        <v>64</v>
      </c>
      <c r="C181" s="59">
        <v>990</v>
      </c>
      <c r="D181" s="51">
        <v>801</v>
      </c>
      <c r="E181" s="51">
        <f t="shared" si="2"/>
        <v>0</v>
      </c>
    </row>
    <row r="182" spans="1:5">
      <c r="A182" s="59">
        <v>1</v>
      </c>
      <c r="B182" s="59">
        <v>71</v>
      </c>
      <c r="C182" s="59">
        <v>150</v>
      </c>
      <c r="D182" s="51">
        <v>800</v>
      </c>
      <c r="E182" s="51">
        <f t="shared" si="2"/>
        <v>0</v>
      </c>
    </row>
    <row r="183" spans="1:5">
      <c r="A183" s="59">
        <v>1</v>
      </c>
      <c r="B183" s="59">
        <v>62</v>
      </c>
      <c r="C183" s="59">
        <v>540</v>
      </c>
      <c r="D183" s="51">
        <v>791</v>
      </c>
      <c r="E183" s="51">
        <f t="shared" si="2"/>
        <v>1</v>
      </c>
    </row>
    <row r="184" spans="1:5">
      <c r="A184" s="59">
        <v>1</v>
      </c>
      <c r="B184" s="59">
        <v>64</v>
      </c>
      <c r="C184" s="59">
        <v>750</v>
      </c>
      <c r="D184" s="51">
        <v>789</v>
      </c>
      <c r="E184" s="51">
        <f t="shared" si="2"/>
        <v>0</v>
      </c>
    </row>
    <row r="185" spans="1:5">
      <c r="A185" s="59">
        <v>1</v>
      </c>
      <c r="B185" s="59">
        <v>64</v>
      </c>
      <c r="C185" s="59">
        <v>930</v>
      </c>
      <c r="D185" s="51">
        <v>786</v>
      </c>
      <c r="E185" s="51">
        <f t="shared" si="2"/>
        <v>0</v>
      </c>
    </row>
    <row r="186" spans="1:5">
      <c r="A186" s="59">
        <v>1</v>
      </c>
      <c r="B186" s="59">
        <v>32</v>
      </c>
      <c r="C186" s="59">
        <v>530</v>
      </c>
      <c r="D186" s="51">
        <v>771</v>
      </c>
      <c r="E186" s="51">
        <f t="shared" si="2"/>
        <v>0</v>
      </c>
    </row>
    <row r="187" spans="1:5">
      <c r="A187" s="59">
        <v>1</v>
      </c>
      <c r="B187" s="59">
        <v>32</v>
      </c>
      <c r="C187" s="59">
        <v>520</v>
      </c>
      <c r="D187" s="51">
        <v>767</v>
      </c>
      <c r="E187" s="51">
        <f t="shared" si="2"/>
        <v>0</v>
      </c>
    </row>
    <row r="188" spans="1:5">
      <c r="A188" s="59">
        <v>1</v>
      </c>
      <c r="B188" s="59">
        <v>33</v>
      </c>
      <c r="C188" s="59">
        <v>410</v>
      </c>
      <c r="D188" s="51">
        <v>767</v>
      </c>
      <c r="E188" s="51">
        <f t="shared" si="2"/>
        <v>0</v>
      </c>
    </row>
    <row r="189" spans="1:5">
      <c r="A189" s="59">
        <v>1</v>
      </c>
      <c r="B189" s="59">
        <v>44</v>
      </c>
      <c r="C189" s="59">
        <v>110</v>
      </c>
      <c r="D189" s="51">
        <v>762</v>
      </c>
      <c r="E189" s="51">
        <f t="shared" si="2"/>
        <v>1</v>
      </c>
    </row>
    <row r="190" spans="1:5">
      <c r="A190" s="59">
        <v>1</v>
      </c>
      <c r="B190" s="59">
        <v>71</v>
      </c>
      <c r="C190" s="59">
        <v>440</v>
      </c>
      <c r="D190" s="51">
        <v>761</v>
      </c>
      <c r="E190" s="51">
        <f t="shared" si="2"/>
        <v>0</v>
      </c>
    </row>
    <row r="191" spans="1:5">
      <c r="A191" s="59">
        <v>1</v>
      </c>
      <c r="B191" s="59">
        <v>64</v>
      </c>
      <c r="C191" s="59">
        <v>970</v>
      </c>
      <c r="D191" s="51">
        <v>752</v>
      </c>
      <c r="E191" s="51">
        <f t="shared" si="2"/>
        <v>0</v>
      </c>
    </row>
    <row r="192" spans="1:5">
      <c r="A192" s="59">
        <v>1</v>
      </c>
      <c r="B192" s="59">
        <v>44</v>
      </c>
      <c r="C192" s="59">
        <v>540</v>
      </c>
      <c r="D192" s="51">
        <v>748</v>
      </c>
      <c r="E192" s="51">
        <f t="shared" si="2"/>
        <v>1</v>
      </c>
    </row>
    <row r="193" spans="1:5">
      <c r="A193" s="59">
        <v>1</v>
      </c>
      <c r="B193" s="59">
        <v>13</v>
      </c>
      <c r="C193" s="59">
        <v>230</v>
      </c>
      <c r="D193" s="51">
        <v>721</v>
      </c>
      <c r="E193" s="51">
        <f t="shared" si="2"/>
        <v>0</v>
      </c>
    </row>
    <row r="194" spans="1:5">
      <c r="A194" s="59">
        <v>1</v>
      </c>
      <c r="B194" s="59">
        <v>32</v>
      </c>
      <c r="C194" s="59">
        <v>610</v>
      </c>
      <c r="D194" s="51">
        <v>719</v>
      </c>
      <c r="E194" s="51">
        <f t="shared" ref="E194:E257" si="3">IF(OR(A194=6,A194=7,A194=14,A194=15,A194=16,A194=17,A194=18,A194=19,A194=20,A194=21,A194=22,A194=23,A194=25,A194=26,A194=27,A194=28,B194=41,B194=44,B194=62),1,0)</f>
        <v>0</v>
      </c>
    </row>
    <row r="195" spans="1:5">
      <c r="A195" s="59">
        <v>1</v>
      </c>
      <c r="B195" s="59">
        <v>43</v>
      </c>
      <c r="C195" s="59">
        <v>970</v>
      </c>
      <c r="D195" s="51">
        <v>706</v>
      </c>
      <c r="E195" s="51">
        <f t="shared" si="3"/>
        <v>0</v>
      </c>
    </row>
    <row r="196" spans="1:5">
      <c r="A196" s="59">
        <v>1</v>
      </c>
      <c r="B196" s="59">
        <v>22</v>
      </c>
      <c r="C196" s="59">
        <v>310</v>
      </c>
      <c r="D196" s="51">
        <v>702</v>
      </c>
      <c r="E196" s="51">
        <f t="shared" si="3"/>
        <v>0</v>
      </c>
    </row>
    <row r="197" spans="1:5">
      <c r="A197" s="59">
        <v>1</v>
      </c>
      <c r="B197" s="59">
        <v>33</v>
      </c>
      <c r="C197" s="59">
        <v>110</v>
      </c>
      <c r="D197" s="51">
        <v>646</v>
      </c>
      <c r="E197" s="51">
        <f t="shared" si="3"/>
        <v>0</v>
      </c>
    </row>
    <row r="198" spans="1:5">
      <c r="A198" s="59">
        <v>1</v>
      </c>
      <c r="B198" s="59">
        <v>16</v>
      </c>
      <c r="C198" s="59">
        <v>210</v>
      </c>
      <c r="D198" s="51">
        <v>628</v>
      </c>
      <c r="E198" s="51">
        <f t="shared" si="3"/>
        <v>0</v>
      </c>
    </row>
    <row r="199" spans="1:5">
      <c r="A199" s="59">
        <v>1</v>
      </c>
      <c r="B199" s="59">
        <v>41</v>
      </c>
      <c r="C199" s="59">
        <v>730</v>
      </c>
      <c r="D199" s="51">
        <v>625</v>
      </c>
      <c r="E199" s="51">
        <f t="shared" si="3"/>
        <v>1</v>
      </c>
    </row>
    <row r="200" spans="1:5">
      <c r="A200" s="59">
        <v>1</v>
      </c>
      <c r="B200" s="59">
        <v>13</v>
      </c>
      <c r="C200" s="59">
        <v>120</v>
      </c>
      <c r="D200" s="51">
        <v>623</v>
      </c>
      <c r="E200" s="51">
        <f t="shared" si="3"/>
        <v>0</v>
      </c>
    </row>
    <row r="201" spans="1:5">
      <c r="A201" s="59">
        <v>1</v>
      </c>
      <c r="B201" s="59">
        <v>13</v>
      </c>
      <c r="C201" s="59">
        <v>920</v>
      </c>
      <c r="D201" s="51">
        <v>617</v>
      </c>
      <c r="E201" s="51">
        <f t="shared" si="3"/>
        <v>0</v>
      </c>
    </row>
    <row r="202" spans="1:5">
      <c r="A202" s="59">
        <v>1</v>
      </c>
      <c r="B202" s="59">
        <v>32</v>
      </c>
      <c r="C202" s="59">
        <v>430</v>
      </c>
      <c r="D202" s="51">
        <v>604</v>
      </c>
      <c r="E202" s="51">
        <f t="shared" si="3"/>
        <v>0</v>
      </c>
    </row>
    <row r="203" spans="1:5">
      <c r="A203" s="59">
        <v>1</v>
      </c>
      <c r="B203" s="59">
        <v>43</v>
      </c>
      <c r="C203" s="59">
        <v>950</v>
      </c>
      <c r="D203" s="51">
        <v>603</v>
      </c>
      <c r="E203" s="51">
        <f t="shared" si="3"/>
        <v>0</v>
      </c>
    </row>
    <row r="204" spans="1:5">
      <c r="A204" s="59">
        <v>1</v>
      </c>
      <c r="B204" s="59">
        <v>64</v>
      </c>
      <c r="C204" s="59">
        <v>330</v>
      </c>
      <c r="D204" s="51">
        <v>591</v>
      </c>
      <c r="E204" s="51">
        <f t="shared" si="3"/>
        <v>0</v>
      </c>
    </row>
    <row r="205" spans="1:5">
      <c r="A205" s="59">
        <v>1</v>
      </c>
      <c r="B205" s="59">
        <v>62</v>
      </c>
      <c r="C205" s="59">
        <v>440</v>
      </c>
      <c r="D205" s="51">
        <v>590</v>
      </c>
      <c r="E205" s="51">
        <f t="shared" si="3"/>
        <v>1</v>
      </c>
    </row>
    <row r="206" spans="1:5">
      <c r="A206" s="59">
        <v>1</v>
      </c>
      <c r="B206" s="59">
        <v>14</v>
      </c>
      <c r="C206" s="59">
        <v>920</v>
      </c>
      <c r="D206" s="51">
        <v>584</v>
      </c>
      <c r="E206" s="51">
        <f t="shared" si="3"/>
        <v>0</v>
      </c>
    </row>
    <row r="207" spans="1:5">
      <c r="A207" s="59">
        <v>1</v>
      </c>
      <c r="B207" s="59">
        <v>14</v>
      </c>
      <c r="C207" s="59">
        <v>410</v>
      </c>
      <c r="D207" s="51">
        <v>579</v>
      </c>
      <c r="E207" s="51">
        <f t="shared" si="3"/>
        <v>0</v>
      </c>
    </row>
    <row r="208" spans="1:5">
      <c r="A208" s="59">
        <v>1</v>
      </c>
      <c r="B208" s="59">
        <v>64</v>
      </c>
      <c r="C208" s="59">
        <v>740</v>
      </c>
      <c r="D208" s="51">
        <v>573</v>
      </c>
      <c r="E208" s="51">
        <f t="shared" si="3"/>
        <v>0</v>
      </c>
    </row>
    <row r="209" spans="1:5">
      <c r="A209" s="59">
        <v>1</v>
      </c>
      <c r="B209" s="59">
        <v>44</v>
      </c>
      <c r="C209" s="59">
        <v>160</v>
      </c>
      <c r="D209" s="51">
        <v>566</v>
      </c>
      <c r="E209" s="51">
        <f t="shared" si="3"/>
        <v>1</v>
      </c>
    </row>
    <row r="210" spans="1:5">
      <c r="A210" s="59">
        <v>1</v>
      </c>
      <c r="B210" s="59">
        <v>63</v>
      </c>
      <c r="C210" s="59">
        <v>640</v>
      </c>
      <c r="D210" s="51">
        <v>565</v>
      </c>
      <c r="E210" s="51">
        <f t="shared" si="3"/>
        <v>0</v>
      </c>
    </row>
    <row r="211" spans="1:5">
      <c r="A211" s="59">
        <v>1</v>
      </c>
      <c r="B211" s="59">
        <v>64</v>
      </c>
      <c r="C211" s="59">
        <v>220</v>
      </c>
      <c r="D211" s="51">
        <v>560</v>
      </c>
      <c r="E211" s="51">
        <f t="shared" si="3"/>
        <v>0</v>
      </c>
    </row>
    <row r="212" spans="1:5">
      <c r="A212" s="59">
        <v>1</v>
      </c>
      <c r="B212" s="59">
        <v>64</v>
      </c>
      <c r="C212" s="59">
        <v>240</v>
      </c>
      <c r="D212" s="51">
        <v>557</v>
      </c>
      <c r="E212" s="51">
        <f t="shared" si="3"/>
        <v>0</v>
      </c>
    </row>
    <row r="213" spans="1:5">
      <c r="A213" s="59">
        <v>1</v>
      </c>
      <c r="B213" s="59">
        <v>43</v>
      </c>
      <c r="C213" s="59">
        <v>990</v>
      </c>
      <c r="D213" s="51">
        <v>548</v>
      </c>
      <c r="E213" s="51">
        <f t="shared" si="3"/>
        <v>0</v>
      </c>
    </row>
    <row r="214" spans="1:5">
      <c r="A214" s="59">
        <v>1</v>
      </c>
      <c r="B214" s="59">
        <v>41</v>
      </c>
      <c r="C214" s="59">
        <v>110</v>
      </c>
      <c r="D214" s="51">
        <v>546</v>
      </c>
      <c r="E214" s="51">
        <f t="shared" si="3"/>
        <v>1</v>
      </c>
    </row>
    <row r="215" spans="1:5">
      <c r="A215" s="59">
        <v>1</v>
      </c>
      <c r="B215" s="59">
        <v>13</v>
      </c>
      <c r="C215" s="59">
        <v>330</v>
      </c>
      <c r="D215" s="51">
        <v>545</v>
      </c>
      <c r="E215" s="51">
        <f t="shared" si="3"/>
        <v>0</v>
      </c>
    </row>
    <row r="216" spans="1:5">
      <c r="A216" s="59">
        <v>1</v>
      </c>
      <c r="B216" s="59">
        <v>22</v>
      </c>
      <c r="C216" s="59">
        <v>320</v>
      </c>
      <c r="D216" s="51">
        <v>544</v>
      </c>
      <c r="E216" s="51">
        <f t="shared" si="3"/>
        <v>0</v>
      </c>
    </row>
    <row r="217" spans="1:5">
      <c r="A217" s="59">
        <v>1</v>
      </c>
      <c r="B217" s="59">
        <v>16</v>
      </c>
      <c r="C217" s="59">
        <v>160</v>
      </c>
      <c r="D217" s="51">
        <v>542</v>
      </c>
      <c r="E217" s="51">
        <f t="shared" si="3"/>
        <v>0</v>
      </c>
    </row>
    <row r="218" spans="1:5">
      <c r="A218" s="59">
        <v>1</v>
      </c>
      <c r="B218" s="59">
        <v>15</v>
      </c>
      <c r="C218" s="59">
        <v>160</v>
      </c>
      <c r="D218" s="51">
        <v>528</v>
      </c>
      <c r="E218" s="51">
        <f t="shared" si="3"/>
        <v>0</v>
      </c>
    </row>
    <row r="219" spans="1:5">
      <c r="A219" s="59">
        <v>1</v>
      </c>
      <c r="B219" s="59">
        <v>81</v>
      </c>
      <c r="C219" s="59">
        <v>160</v>
      </c>
      <c r="D219" s="51">
        <v>528</v>
      </c>
      <c r="E219" s="51">
        <f t="shared" si="3"/>
        <v>0</v>
      </c>
    </row>
    <row r="220" spans="1:5">
      <c r="A220" s="59">
        <v>1</v>
      </c>
      <c r="B220" s="59">
        <v>43</v>
      </c>
      <c r="C220" s="59">
        <v>310</v>
      </c>
      <c r="D220" s="51">
        <v>522</v>
      </c>
      <c r="E220" s="51">
        <f t="shared" si="3"/>
        <v>0</v>
      </c>
    </row>
    <row r="221" spans="1:5">
      <c r="A221" s="59">
        <v>1</v>
      </c>
      <c r="B221" s="59">
        <v>64</v>
      </c>
      <c r="C221" s="59">
        <v>860</v>
      </c>
      <c r="D221" s="51">
        <v>506</v>
      </c>
      <c r="E221" s="51">
        <f t="shared" si="3"/>
        <v>0</v>
      </c>
    </row>
    <row r="222" spans="1:5">
      <c r="A222" s="59">
        <v>1</v>
      </c>
      <c r="B222" s="59">
        <v>44</v>
      </c>
      <c r="C222" s="59">
        <v>550</v>
      </c>
      <c r="D222" s="51">
        <v>501</v>
      </c>
      <c r="E222" s="51">
        <f t="shared" si="3"/>
        <v>1</v>
      </c>
    </row>
    <row r="223" spans="1:5">
      <c r="A223" s="59">
        <v>1</v>
      </c>
      <c r="B223" s="59">
        <v>43</v>
      </c>
      <c r="C223" s="59">
        <v>861</v>
      </c>
      <c r="D223" s="51">
        <v>486</v>
      </c>
      <c r="E223" s="51">
        <f t="shared" si="3"/>
        <v>0</v>
      </c>
    </row>
    <row r="224" spans="1:5">
      <c r="A224" s="59">
        <v>1</v>
      </c>
      <c r="B224" s="59">
        <v>71</v>
      </c>
      <c r="C224" s="59">
        <v>990</v>
      </c>
      <c r="D224" s="51">
        <v>485</v>
      </c>
      <c r="E224" s="51">
        <f t="shared" si="3"/>
        <v>0</v>
      </c>
    </row>
    <row r="225" spans="1:5">
      <c r="A225" s="59">
        <v>1</v>
      </c>
      <c r="B225" s="59">
        <v>33</v>
      </c>
      <c r="C225" s="59">
        <v>430</v>
      </c>
      <c r="D225" s="51">
        <v>476</v>
      </c>
      <c r="E225" s="51">
        <f t="shared" si="3"/>
        <v>0</v>
      </c>
    </row>
    <row r="226" spans="1:5">
      <c r="A226" s="59">
        <v>1</v>
      </c>
      <c r="B226" s="59">
        <v>22</v>
      </c>
      <c r="C226" s="59">
        <v>240</v>
      </c>
      <c r="D226" s="51">
        <v>475</v>
      </c>
      <c r="E226" s="51">
        <f t="shared" si="3"/>
        <v>0</v>
      </c>
    </row>
    <row r="227" spans="1:5">
      <c r="A227" s="59">
        <v>1</v>
      </c>
      <c r="B227" s="59">
        <v>14</v>
      </c>
      <c r="C227" s="59">
        <v>240</v>
      </c>
      <c r="D227" s="51">
        <v>471</v>
      </c>
      <c r="E227" s="51">
        <f t="shared" si="3"/>
        <v>0</v>
      </c>
    </row>
    <row r="228" spans="1:5">
      <c r="A228" s="59">
        <v>1</v>
      </c>
      <c r="B228" s="59">
        <v>63</v>
      </c>
      <c r="C228" s="59">
        <v>750</v>
      </c>
      <c r="D228" s="51">
        <v>469</v>
      </c>
      <c r="E228" s="51">
        <f t="shared" si="3"/>
        <v>0</v>
      </c>
    </row>
    <row r="229" spans="1:5">
      <c r="A229" s="59">
        <v>1</v>
      </c>
      <c r="B229" s="59">
        <v>43</v>
      </c>
      <c r="C229" s="59">
        <v>240</v>
      </c>
      <c r="D229" s="51">
        <v>460</v>
      </c>
      <c r="E229" s="51">
        <f t="shared" si="3"/>
        <v>0</v>
      </c>
    </row>
    <row r="230" spans="1:5">
      <c r="A230" s="59">
        <v>1</v>
      </c>
      <c r="B230" s="59">
        <v>16</v>
      </c>
      <c r="C230" s="59">
        <v>310</v>
      </c>
      <c r="D230" s="51">
        <v>458</v>
      </c>
      <c r="E230" s="51">
        <f t="shared" si="3"/>
        <v>0</v>
      </c>
    </row>
    <row r="231" spans="1:5">
      <c r="A231" s="59">
        <v>1</v>
      </c>
      <c r="B231" s="59">
        <v>14</v>
      </c>
      <c r="C231" s="59">
        <v>930</v>
      </c>
      <c r="D231" s="51">
        <v>455</v>
      </c>
      <c r="E231" s="51">
        <f t="shared" si="3"/>
        <v>0</v>
      </c>
    </row>
    <row r="232" spans="1:5">
      <c r="A232" s="59">
        <v>1</v>
      </c>
      <c r="B232" s="59">
        <v>64</v>
      </c>
      <c r="C232" s="59">
        <v>950</v>
      </c>
      <c r="D232" s="51">
        <v>455</v>
      </c>
      <c r="E232" s="51">
        <f t="shared" si="3"/>
        <v>0</v>
      </c>
    </row>
    <row r="233" spans="1:5">
      <c r="A233" s="59">
        <v>1</v>
      </c>
      <c r="B233" s="59">
        <v>43</v>
      </c>
      <c r="C233" s="59">
        <v>320</v>
      </c>
      <c r="D233" s="51">
        <v>452</v>
      </c>
      <c r="E233" s="51">
        <f t="shared" si="3"/>
        <v>0</v>
      </c>
    </row>
    <row r="234" spans="1:5">
      <c r="A234" s="59">
        <v>1</v>
      </c>
      <c r="B234" s="59">
        <v>63</v>
      </c>
      <c r="C234" s="59">
        <v>990</v>
      </c>
      <c r="D234" s="51">
        <v>452</v>
      </c>
      <c r="E234" s="51">
        <f t="shared" si="3"/>
        <v>0</v>
      </c>
    </row>
    <row r="235" spans="1:5">
      <c r="A235" s="59">
        <v>1</v>
      </c>
      <c r="B235" s="59">
        <v>33</v>
      </c>
      <c r="C235" s="59">
        <v>150</v>
      </c>
      <c r="D235" s="51">
        <v>445</v>
      </c>
      <c r="E235" s="51">
        <f t="shared" si="3"/>
        <v>0</v>
      </c>
    </row>
    <row r="236" spans="1:5">
      <c r="A236" s="59">
        <v>1</v>
      </c>
      <c r="B236" s="59">
        <v>42</v>
      </c>
      <c r="C236" s="59">
        <v>150</v>
      </c>
      <c r="D236" s="51">
        <v>432</v>
      </c>
      <c r="E236" s="51">
        <f t="shared" si="3"/>
        <v>0</v>
      </c>
    </row>
    <row r="237" spans="1:5">
      <c r="A237" s="59">
        <v>1</v>
      </c>
      <c r="B237" s="59">
        <v>13</v>
      </c>
      <c r="C237" s="59">
        <v>930</v>
      </c>
      <c r="D237" s="51">
        <v>428</v>
      </c>
      <c r="E237" s="51">
        <f t="shared" si="3"/>
        <v>0</v>
      </c>
    </row>
    <row r="238" spans="1:5">
      <c r="A238" s="59">
        <v>1</v>
      </c>
      <c r="B238" s="59">
        <v>62</v>
      </c>
      <c r="C238" s="59">
        <v>930</v>
      </c>
      <c r="D238" s="51">
        <v>423</v>
      </c>
      <c r="E238" s="51">
        <f t="shared" si="3"/>
        <v>1</v>
      </c>
    </row>
    <row r="239" spans="1:5">
      <c r="A239" s="59">
        <v>1</v>
      </c>
      <c r="B239" s="59">
        <v>22</v>
      </c>
      <c r="C239" s="59">
        <v>160</v>
      </c>
      <c r="D239" s="51">
        <v>419</v>
      </c>
      <c r="E239" s="51">
        <f t="shared" si="3"/>
        <v>0</v>
      </c>
    </row>
    <row r="240" spans="1:5">
      <c r="A240" s="59">
        <v>1</v>
      </c>
      <c r="B240" s="59">
        <v>43</v>
      </c>
      <c r="C240" s="59">
        <v>330</v>
      </c>
      <c r="D240" s="51">
        <v>413</v>
      </c>
      <c r="E240" s="51">
        <f t="shared" si="3"/>
        <v>0</v>
      </c>
    </row>
    <row r="241" spans="1:5">
      <c r="A241" s="59">
        <v>1</v>
      </c>
      <c r="B241" s="59">
        <v>32</v>
      </c>
      <c r="C241" s="59">
        <v>110</v>
      </c>
      <c r="D241" s="51">
        <v>398</v>
      </c>
      <c r="E241" s="51">
        <f t="shared" si="3"/>
        <v>0</v>
      </c>
    </row>
    <row r="242" spans="1:5">
      <c r="A242" s="59">
        <v>1</v>
      </c>
      <c r="B242" s="59">
        <v>64</v>
      </c>
      <c r="C242" s="59">
        <v>940</v>
      </c>
      <c r="D242" s="51">
        <v>394</v>
      </c>
      <c r="E242" s="51">
        <f t="shared" si="3"/>
        <v>0</v>
      </c>
    </row>
    <row r="243" spans="1:5">
      <c r="A243" s="59">
        <v>1</v>
      </c>
      <c r="B243" s="59">
        <v>63</v>
      </c>
      <c r="C243" s="59">
        <v>930</v>
      </c>
      <c r="D243" s="51">
        <v>390</v>
      </c>
      <c r="E243" s="51">
        <f t="shared" si="3"/>
        <v>0</v>
      </c>
    </row>
    <row r="244" spans="1:5">
      <c r="A244" s="59">
        <v>1</v>
      </c>
      <c r="B244" s="59">
        <v>33</v>
      </c>
      <c r="C244" s="59">
        <v>530</v>
      </c>
      <c r="D244" s="51">
        <v>377</v>
      </c>
      <c r="E244" s="51">
        <f t="shared" si="3"/>
        <v>0</v>
      </c>
    </row>
    <row r="245" spans="1:5">
      <c r="A245" s="59">
        <v>1</v>
      </c>
      <c r="B245" s="59">
        <v>13</v>
      </c>
      <c r="C245" s="59">
        <v>420</v>
      </c>
      <c r="D245" s="51">
        <v>374</v>
      </c>
      <c r="E245" s="51">
        <f t="shared" si="3"/>
        <v>0</v>
      </c>
    </row>
    <row r="246" spans="1:5">
      <c r="A246" s="59">
        <v>1</v>
      </c>
      <c r="B246" s="59">
        <v>16</v>
      </c>
      <c r="C246" s="59">
        <v>410</v>
      </c>
      <c r="D246" s="51">
        <v>371</v>
      </c>
      <c r="E246" s="51">
        <f t="shared" si="3"/>
        <v>0</v>
      </c>
    </row>
    <row r="247" spans="1:5">
      <c r="A247" s="59">
        <v>1</v>
      </c>
      <c r="B247" s="59">
        <v>42</v>
      </c>
      <c r="C247" s="59">
        <v>620</v>
      </c>
      <c r="D247" s="51">
        <v>371</v>
      </c>
      <c r="E247" s="51">
        <f t="shared" si="3"/>
        <v>0</v>
      </c>
    </row>
    <row r="248" spans="1:5">
      <c r="A248" s="59">
        <v>1</v>
      </c>
      <c r="B248" s="59">
        <v>15</v>
      </c>
      <c r="C248" s="59">
        <v>310</v>
      </c>
      <c r="D248" s="51">
        <v>370</v>
      </c>
      <c r="E248" s="51">
        <f t="shared" si="3"/>
        <v>0</v>
      </c>
    </row>
    <row r="249" spans="1:5">
      <c r="A249" s="59">
        <v>1</v>
      </c>
      <c r="B249" s="59">
        <v>44</v>
      </c>
      <c r="C249" s="59">
        <v>990</v>
      </c>
      <c r="D249" s="51">
        <v>370</v>
      </c>
      <c r="E249" s="51">
        <f t="shared" si="3"/>
        <v>1</v>
      </c>
    </row>
    <row r="250" spans="1:5">
      <c r="A250" s="59">
        <v>1</v>
      </c>
      <c r="B250" s="59">
        <v>22</v>
      </c>
      <c r="C250" s="59">
        <v>330</v>
      </c>
      <c r="D250" s="51">
        <v>368</v>
      </c>
      <c r="E250" s="51">
        <f t="shared" si="3"/>
        <v>0</v>
      </c>
    </row>
    <row r="251" spans="1:5">
      <c r="A251" s="59">
        <v>1</v>
      </c>
      <c r="B251" s="59">
        <v>43</v>
      </c>
      <c r="C251" s="59">
        <v>750</v>
      </c>
      <c r="D251" s="51">
        <v>359</v>
      </c>
      <c r="E251" s="51">
        <f t="shared" si="3"/>
        <v>0</v>
      </c>
    </row>
    <row r="252" spans="1:5">
      <c r="A252" s="59">
        <v>1</v>
      </c>
      <c r="B252" s="59">
        <v>43</v>
      </c>
      <c r="C252" s="59">
        <v>220</v>
      </c>
      <c r="D252" s="51">
        <v>353</v>
      </c>
      <c r="E252" s="51">
        <f t="shared" si="3"/>
        <v>0</v>
      </c>
    </row>
    <row r="253" spans="1:5">
      <c r="A253" s="59">
        <v>1</v>
      </c>
      <c r="B253" s="59">
        <v>41</v>
      </c>
      <c r="C253" s="59">
        <v>930</v>
      </c>
      <c r="D253" s="51">
        <v>352</v>
      </c>
      <c r="E253" s="51">
        <f t="shared" si="3"/>
        <v>1</v>
      </c>
    </row>
    <row r="254" spans="1:5">
      <c r="A254" s="59">
        <v>1</v>
      </c>
      <c r="B254" s="59">
        <v>16</v>
      </c>
      <c r="C254" s="59">
        <v>230</v>
      </c>
      <c r="D254" s="51">
        <v>345</v>
      </c>
      <c r="E254" s="51">
        <f t="shared" si="3"/>
        <v>0</v>
      </c>
    </row>
    <row r="255" spans="1:5">
      <c r="A255" s="59">
        <v>1</v>
      </c>
      <c r="B255" s="59">
        <v>11</v>
      </c>
      <c r="C255" s="59">
        <v>150</v>
      </c>
      <c r="D255" s="51">
        <v>336</v>
      </c>
      <c r="E255" s="51">
        <f t="shared" si="3"/>
        <v>0</v>
      </c>
    </row>
    <row r="256" spans="1:5">
      <c r="A256" s="59">
        <v>1</v>
      </c>
      <c r="B256" s="59">
        <v>64</v>
      </c>
      <c r="C256" s="59">
        <v>130</v>
      </c>
      <c r="D256" s="51">
        <v>328</v>
      </c>
      <c r="E256" s="51">
        <f t="shared" si="3"/>
        <v>0</v>
      </c>
    </row>
    <row r="257" spans="1:5">
      <c r="A257" s="59">
        <v>1</v>
      </c>
      <c r="B257" s="59">
        <v>81</v>
      </c>
      <c r="C257" s="59">
        <v>150</v>
      </c>
      <c r="D257" s="51">
        <v>322</v>
      </c>
      <c r="E257" s="51">
        <f t="shared" si="3"/>
        <v>0</v>
      </c>
    </row>
    <row r="258" spans="1:5">
      <c r="A258" s="59">
        <v>1</v>
      </c>
      <c r="B258" s="59">
        <v>14</v>
      </c>
      <c r="C258" s="59">
        <v>950</v>
      </c>
      <c r="D258" s="51">
        <v>318</v>
      </c>
      <c r="E258" s="51">
        <f t="shared" ref="E258:E321" si="4">IF(OR(A258=6,A258=7,A258=14,A258=15,A258=16,A258=17,A258=18,A258=19,A258=20,A258=21,A258=22,A258=23,A258=25,A258=26,A258=27,A258=28,B258=41,B258=44,B258=62),1,0)</f>
        <v>0</v>
      </c>
    </row>
    <row r="259" spans="1:5">
      <c r="A259" s="59">
        <v>1</v>
      </c>
      <c r="B259" s="59">
        <v>63</v>
      </c>
      <c r="C259" s="59">
        <v>970</v>
      </c>
      <c r="D259" s="51">
        <v>317</v>
      </c>
      <c r="E259" s="51">
        <f t="shared" si="4"/>
        <v>0</v>
      </c>
    </row>
    <row r="260" spans="1:5">
      <c r="A260" s="59">
        <v>1</v>
      </c>
      <c r="B260" s="59">
        <v>44</v>
      </c>
      <c r="C260" s="59">
        <v>620</v>
      </c>
      <c r="D260" s="51">
        <v>314</v>
      </c>
      <c r="E260" s="51">
        <f t="shared" si="4"/>
        <v>1</v>
      </c>
    </row>
    <row r="261" spans="1:5">
      <c r="A261" s="59">
        <v>1</v>
      </c>
      <c r="B261" s="59">
        <v>12</v>
      </c>
      <c r="C261" s="59">
        <v>510</v>
      </c>
      <c r="D261" s="51">
        <v>313</v>
      </c>
      <c r="E261" s="51">
        <f t="shared" si="4"/>
        <v>0</v>
      </c>
    </row>
    <row r="262" spans="1:5">
      <c r="A262" s="59">
        <v>1</v>
      </c>
      <c r="B262" s="59">
        <v>16</v>
      </c>
      <c r="C262" s="59">
        <v>320</v>
      </c>
      <c r="D262" s="51">
        <v>310</v>
      </c>
      <c r="E262" s="51">
        <f t="shared" si="4"/>
        <v>0</v>
      </c>
    </row>
    <row r="263" spans="1:5">
      <c r="A263" s="59">
        <v>1</v>
      </c>
      <c r="B263" s="59">
        <v>44</v>
      </c>
      <c r="C263" s="59">
        <v>150</v>
      </c>
      <c r="D263" s="51">
        <v>310</v>
      </c>
      <c r="E263" s="51">
        <f t="shared" si="4"/>
        <v>1</v>
      </c>
    </row>
    <row r="264" spans="1:5">
      <c r="A264" s="59">
        <v>1</v>
      </c>
      <c r="B264" s="59">
        <v>14</v>
      </c>
      <c r="C264" s="59">
        <v>420</v>
      </c>
      <c r="D264" s="51">
        <v>307</v>
      </c>
      <c r="E264" s="51">
        <f t="shared" si="4"/>
        <v>0</v>
      </c>
    </row>
    <row r="265" spans="1:5">
      <c r="A265" s="59">
        <v>1</v>
      </c>
      <c r="B265" s="59">
        <v>15</v>
      </c>
      <c r="C265" s="59">
        <v>530</v>
      </c>
      <c r="D265" s="51">
        <v>304</v>
      </c>
      <c r="E265" s="51">
        <f t="shared" si="4"/>
        <v>0</v>
      </c>
    </row>
    <row r="266" spans="1:5">
      <c r="A266" s="59">
        <v>1</v>
      </c>
      <c r="B266" s="59">
        <v>62</v>
      </c>
      <c r="C266" s="59">
        <v>970</v>
      </c>
      <c r="D266" s="51">
        <v>304</v>
      </c>
      <c r="E266" s="51">
        <f t="shared" si="4"/>
        <v>1</v>
      </c>
    </row>
    <row r="267" spans="1:5">
      <c r="A267" s="59">
        <v>1</v>
      </c>
      <c r="B267" s="59">
        <v>41</v>
      </c>
      <c r="C267" s="59">
        <v>150</v>
      </c>
      <c r="D267" s="51">
        <v>294</v>
      </c>
      <c r="E267" s="51">
        <f t="shared" si="4"/>
        <v>1</v>
      </c>
    </row>
    <row r="268" spans="1:5">
      <c r="A268" s="59">
        <v>1</v>
      </c>
      <c r="B268" s="59">
        <v>16</v>
      </c>
      <c r="C268" s="59">
        <v>530</v>
      </c>
      <c r="D268" s="51">
        <v>288</v>
      </c>
      <c r="E268" s="51">
        <f t="shared" si="4"/>
        <v>0</v>
      </c>
    </row>
    <row r="269" spans="1:5">
      <c r="A269" s="59">
        <v>1</v>
      </c>
      <c r="B269" s="59">
        <v>44</v>
      </c>
      <c r="C269" s="59">
        <v>840</v>
      </c>
      <c r="D269" s="51">
        <v>287</v>
      </c>
      <c r="E269" s="51">
        <f t="shared" si="4"/>
        <v>1</v>
      </c>
    </row>
    <row r="270" spans="1:5">
      <c r="A270" s="59">
        <v>1</v>
      </c>
      <c r="B270" s="59">
        <v>81</v>
      </c>
      <c r="C270" s="59">
        <v>550</v>
      </c>
      <c r="D270" s="51">
        <v>286</v>
      </c>
      <c r="E270" s="51">
        <f t="shared" si="4"/>
        <v>0</v>
      </c>
    </row>
    <row r="271" spans="1:5">
      <c r="A271" s="59">
        <v>1</v>
      </c>
      <c r="B271" s="59">
        <v>12</v>
      </c>
      <c r="C271" s="59">
        <v>150</v>
      </c>
      <c r="D271" s="51">
        <v>280</v>
      </c>
      <c r="E271" s="51">
        <f t="shared" si="4"/>
        <v>0</v>
      </c>
    </row>
    <row r="272" spans="1:5">
      <c r="A272" s="59">
        <v>1</v>
      </c>
      <c r="B272" s="59">
        <v>42</v>
      </c>
      <c r="C272" s="59">
        <v>160</v>
      </c>
      <c r="D272" s="51">
        <v>279</v>
      </c>
      <c r="E272" s="51">
        <f t="shared" si="4"/>
        <v>0</v>
      </c>
    </row>
    <row r="273" spans="1:5">
      <c r="A273" s="59">
        <v>1</v>
      </c>
      <c r="B273" s="59">
        <v>13</v>
      </c>
      <c r="C273" s="59">
        <v>240</v>
      </c>
      <c r="D273" s="51">
        <v>272</v>
      </c>
      <c r="E273" s="51">
        <f t="shared" si="4"/>
        <v>0</v>
      </c>
    </row>
    <row r="274" spans="1:5">
      <c r="A274" s="59">
        <v>1</v>
      </c>
      <c r="B274" s="59">
        <v>63</v>
      </c>
      <c r="C274" s="59">
        <v>740</v>
      </c>
      <c r="D274" s="51">
        <v>272</v>
      </c>
      <c r="E274" s="51">
        <f t="shared" si="4"/>
        <v>0</v>
      </c>
    </row>
    <row r="275" spans="1:5">
      <c r="A275" s="59">
        <v>1</v>
      </c>
      <c r="B275" s="59">
        <v>43</v>
      </c>
      <c r="C275" s="59">
        <v>840</v>
      </c>
      <c r="D275" s="51">
        <v>270</v>
      </c>
      <c r="E275" s="51">
        <f t="shared" si="4"/>
        <v>0</v>
      </c>
    </row>
    <row r="276" spans="1:5">
      <c r="A276" s="59">
        <v>1</v>
      </c>
      <c r="B276" s="59">
        <v>43</v>
      </c>
      <c r="C276" s="59">
        <v>895</v>
      </c>
      <c r="D276" s="51">
        <v>270</v>
      </c>
      <c r="E276" s="51">
        <f t="shared" si="4"/>
        <v>0</v>
      </c>
    </row>
    <row r="277" spans="1:5">
      <c r="A277" s="59">
        <v>1</v>
      </c>
      <c r="B277" s="59">
        <v>64</v>
      </c>
      <c r="C277" s="59">
        <v>140</v>
      </c>
      <c r="D277" s="51">
        <v>269</v>
      </c>
      <c r="E277" s="51">
        <f t="shared" si="4"/>
        <v>0</v>
      </c>
    </row>
    <row r="278" spans="1:5">
      <c r="A278" s="59">
        <v>1</v>
      </c>
      <c r="B278" s="59">
        <v>15</v>
      </c>
      <c r="C278" s="59">
        <v>210</v>
      </c>
      <c r="D278" s="51">
        <v>267</v>
      </c>
      <c r="E278" s="51">
        <f t="shared" si="4"/>
        <v>0</v>
      </c>
    </row>
    <row r="279" spans="1:5">
      <c r="A279" s="59">
        <v>1</v>
      </c>
      <c r="B279" s="59">
        <v>41</v>
      </c>
      <c r="C279" s="59">
        <v>160</v>
      </c>
      <c r="D279" s="51">
        <v>266</v>
      </c>
      <c r="E279" s="51">
        <f t="shared" si="4"/>
        <v>1</v>
      </c>
    </row>
    <row r="280" spans="1:5">
      <c r="A280" s="59">
        <v>1</v>
      </c>
      <c r="B280" s="59">
        <v>14</v>
      </c>
      <c r="C280" s="59">
        <v>220</v>
      </c>
      <c r="D280" s="51">
        <v>264</v>
      </c>
      <c r="E280" s="51">
        <f t="shared" si="4"/>
        <v>0</v>
      </c>
    </row>
    <row r="281" spans="1:5">
      <c r="A281" s="59">
        <v>1</v>
      </c>
      <c r="B281" s="59">
        <v>71</v>
      </c>
      <c r="C281" s="59">
        <v>630</v>
      </c>
      <c r="D281" s="51">
        <v>255</v>
      </c>
      <c r="E281" s="51">
        <f t="shared" si="4"/>
        <v>0</v>
      </c>
    </row>
    <row r="282" spans="1:5">
      <c r="A282" s="59">
        <v>1</v>
      </c>
      <c r="B282" s="59">
        <v>44</v>
      </c>
      <c r="C282" s="59">
        <v>970</v>
      </c>
      <c r="D282" s="51">
        <v>252</v>
      </c>
      <c r="E282" s="51">
        <f t="shared" si="4"/>
        <v>1</v>
      </c>
    </row>
    <row r="283" spans="1:5">
      <c r="A283" s="59">
        <v>1</v>
      </c>
      <c r="B283" s="59">
        <v>13</v>
      </c>
      <c r="C283" s="59">
        <v>140</v>
      </c>
      <c r="D283" s="51">
        <v>250</v>
      </c>
      <c r="E283" s="51">
        <f t="shared" si="4"/>
        <v>0</v>
      </c>
    </row>
    <row r="284" spans="1:5">
      <c r="A284" s="59">
        <v>1</v>
      </c>
      <c r="B284" s="59">
        <v>32</v>
      </c>
      <c r="C284" s="59">
        <v>895</v>
      </c>
      <c r="D284" s="51">
        <v>241</v>
      </c>
      <c r="E284" s="51">
        <f t="shared" si="4"/>
        <v>0</v>
      </c>
    </row>
    <row r="285" spans="1:5">
      <c r="A285" s="59">
        <v>1</v>
      </c>
      <c r="B285" s="59">
        <v>16</v>
      </c>
      <c r="C285" s="59">
        <v>420</v>
      </c>
      <c r="D285" s="51">
        <v>237</v>
      </c>
      <c r="E285" s="51">
        <f t="shared" si="4"/>
        <v>0</v>
      </c>
    </row>
    <row r="286" spans="1:5">
      <c r="A286" s="59">
        <v>1</v>
      </c>
      <c r="B286" s="59">
        <v>43</v>
      </c>
      <c r="C286" s="59">
        <v>440</v>
      </c>
      <c r="D286" s="51">
        <v>237</v>
      </c>
      <c r="E286" s="51">
        <f t="shared" si="4"/>
        <v>0</v>
      </c>
    </row>
    <row r="287" spans="1:5">
      <c r="A287" s="59">
        <v>1</v>
      </c>
      <c r="B287" s="59">
        <v>71</v>
      </c>
      <c r="C287" s="59">
        <v>410</v>
      </c>
      <c r="D287" s="51">
        <v>232</v>
      </c>
      <c r="E287" s="51">
        <f t="shared" si="4"/>
        <v>0</v>
      </c>
    </row>
    <row r="288" spans="1:5">
      <c r="A288" s="59">
        <v>1</v>
      </c>
      <c r="B288" s="59">
        <v>13</v>
      </c>
      <c r="C288" s="59">
        <v>950</v>
      </c>
      <c r="D288" s="51">
        <v>231</v>
      </c>
      <c r="E288" s="51">
        <f t="shared" si="4"/>
        <v>0</v>
      </c>
    </row>
    <row r="289" spans="1:5">
      <c r="A289" s="59">
        <v>1</v>
      </c>
      <c r="B289" s="59">
        <v>64</v>
      </c>
      <c r="C289" s="59">
        <v>840</v>
      </c>
      <c r="D289" s="51">
        <v>231</v>
      </c>
      <c r="E289" s="51">
        <f t="shared" si="4"/>
        <v>0</v>
      </c>
    </row>
    <row r="290" spans="1:5">
      <c r="A290" s="59">
        <v>1</v>
      </c>
      <c r="B290" s="59">
        <v>63</v>
      </c>
      <c r="C290" s="59">
        <v>410</v>
      </c>
      <c r="D290" s="51">
        <v>228</v>
      </c>
      <c r="E290" s="51">
        <f t="shared" si="4"/>
        <v>0</v>
      </c>
    </row>
    <row r="291" spans="1:5">
      <c r="A291" s="59">
        <v>1</v>
      </c>
      <c r="B291" s="59">
        <v>62</v>
      </c>
      <c r="C291" s="59">
        <v>640</v>
      </c>
      <c r="D291" s="51">
        <v>219</v>
      </c>
      <c r="E291" s="51">
        <f t="shared" si="4"/>
        <v>1</v>
      </c>
    </row>
    <row r="292" spans="1:5">
      <c r="A292" s="59">
        <v>1</v>
      </c>
      <c r="B292" s="59">
        <v>43</v>
      </c>
      <c r="C292" s="59">
        <v>710</v>
      </c>
      <c r="D292" s="51">
        <v>211</v>
      </c>
      <c r="E292" s="51">
        <f t="shared" si="4"/>
        <v>0</v>
      </c>
    </row>
    <row r="293" spans="1:5">
      <c r="A293" s="59">
        <v>1</v>
      </c>
      <c r="B293" s="59">
        <v>44</v>
      </c>
      <c r="C293" s="59">
        <v>940</v>
      </c>
      <c r="D293" s="51">
        <v>207</v>
      </c>
      <c r="E293" s="51">
        <f t="shared" si="4"/>
        <v>1</v>
      </c>
    </row>
    <row r="294" spans="1:5">
      <c r="A294" s="59">
        <v>1</v>
      </c>
      <c r="B294" s="59">
        <v>13</v>
      </c>
      <c r="C294" s="59">
        <v>220</v>
      </c>
      <c r="D294" s="51">
        <v>206</v>
      </c>
      <c r="E294" s="51">
        <f t="shared" si="4"/>
        <v>0</v>
      </c>
    </row>
    <row r="295" spans="1:5">
      <c r="A295" s="59">
        <v>1</v>
      </c>
      <c r="B295" s="59">
        <v>22</v>
      </c>
      <c r="C295" s="59">
        <v>530</v>
      </c>
      <c r="D295" s="51">
        <v>205</v>
      </c>
      <c r="E295" s="51">
        <f t="shared" si="4"/>
        <v>0</v>
      </c>
    </row>
    <row r="296" spans="1:5">
      <c r="A296" s="59">
        <v>1</v>
      </c>
      <c r="B296" s="59">
        <v>14</v>
      </c>
      <c r="C296" s="59">
        <v>720</v>
      </c>
      <c r="D296" s="51">
        <v>203</v>
      </c>
      <c r="E296" s="51">
        <f t="shared" si="4"/>
        <v>0</v>
      </c>
    </row>
    <row r="297" spans="1:5">
      <c r="A297" s="59">
        <v>1</v>
      </c>
      <c r="B297" s="59">
        <v>32</v>
      </c>
      <c r="C297" s="59">
        <v>620</v>
      </c>
      <c r="D297" s="51">
        <v>202</v>
      </c>
      <c r="E297" s="51">
        <f t="shared" si="4"/>
        <v>0</v>
      </c>
    </row>
    <row r="298" spans="1:5">
      <c r="A298" s="59">
        <v>1</v>
      </c>
      <c r="B298" s="59">
        <v>16</v>
      </c>
      <c r="C298" s="59">
        <v>330</v>
      </c>
      <c r="D298" s="51">
        <v>198</v>
      </c>
      <c r="E298" s="51">
        <f t="shared" si="4"/>
        <v>0</v>
      </c>
    </row>
    <row r="299" spans="1:5">
      <c r="A299" s="59">
        <v>1</v>
      </c>
      <c r="B299" s="59">
        <v>81</v>
      </c>
      <c r="C299" s="59">
        <v>620</v>
      </c>
      <c r="D299" s="51">
        <v>198</v>
      </c>
      <c r="E299" s="51">
        <f t="shared" si="4"/>
        <v>0</v>
      </c>
    </row>
    <row r="300" spans="1:5">
      <c r="A300" s="59">
        <v>1</v>
      </c>
      <c r="B300" s="59">
        <v>33</v>
      </c>
      <c r="C300" s="59">
        <v>610</v>
      </c>
      <c r="D300" s="51">
        <v>195</v>
      </c>
      <c r="E300" s="51">
        <f t="shared" si="4"/>
        <v>0</v>
      </c>
    </row>
    <row r="301" spans="1:5">
      <c r="A301" s="59">
        <v>1</v>
      </c>
      <c r="B301" s="59">
        <v>64</v>
      </c>
      <c r="C301" s="59">
        <v>831</v>
      </c>
      <c r="D301" s="51">
        <v>194</v>
      </c>
      <c r="E301" s="51">
        <f t="shared" si="4"/>
        <v>0</v>
      </c>
    </row>
    <row r="302" spans="1:5">
      <c r="A302" s="59">
        <v>1</v>
      </c>
      <c r="B302" s="59">
        <v>42</v>
      </c>
      <c r="C302" s="59">
        <v>550</v>
      </c>
      <c r="D302" s="51">
        <v>193</v>
      </c>
      <c r="E302" s="51">
        <f t="shared" si="4"/>
        <v>0</v>
      </c>
    </row>
    <row r="303" spans="1:5">
      <c r="A303" s="59">
        <v>1</v>
      </c>
      <c r="B303" s="59">
        <v>71</v>
      </c>
      <c r="C303" s="59">
        <v>750</v>
      </c>
      <c r="D303" s="51">
        <v>190</v>
      </c>
      <c r="E303" s="51">
        <f t="shared" si="4"/>
        <v>0</v>
      </c>
    </row>
    <row r="304" spans="1:5">
      <c r="A304" s="59">
        <v>1</v>
      </c>
      <c r="B304" s="59">
        <v>13</v>
      </c>
      <c r="C304" s="59">
        <v>730</v>
      </c>
      <c r="D304" s="51">
        <v>189</v>
      </c>
      <c r="E304" s="51">
        <f t="shared" si="4"/>
        <v>0</v>
      </c>
    </row>
    <row r="305" spans="1:5">
      <c r="A305" s="59">
        <v>1</v>
      </c>
      <c r="B305" s="59">
        <v>24</v>
      </c>
      <c r="C305" s="59">
        <v>510</v>
      </c>
      <c r="D305" s="51">
        <v>184</v>
      </c>
      <c r="E305" s="51">
        <f t="shared" si="4"/>
        <v>0</v>
      </c>
    </row>
    <row r="306" spans="1:5">
      <c r="A306" s="59">
        <v>1</v>
      </c>
      <c r="B306" s="59">
        <v>31</v>
      </c>
      <c r="C306" s="59">
        <v>530</v>
      </c>
      <c r="D306" s="51">
        <v>181</v>
      </c>
      <c r="E306" s="51">
        <f t="shared" si="4"/>
        <v>0</v>
      </c>
    </row>
    <row r="307" spans="1:5">
      <c r="A307" s="59">
        <v>1</v>
      </c>
      <c r="B307" s="59">
        <v>44</v>
      </c>
      <c r="C307" s="59">
        <v>950</v>
      </c>
      <c r="D307" s="51">
        <v>180</v>
      </c>
      <c r="E307" s="51">
        <f t="shared" si="4"/>
        <v>1</v>
      </c>
    </row>
    <row r="308" spans="1:5">
      <c r="A308" s="59">
        <v>1</v>
      </c>
      <c r="B308" s="59">
        <v>64</v>
      </c>
      <c r="C308" s="59">
        <v>630</v>
      </c>
      <c r="D308" s="51">
        <v>179</v>
      </c>
      <c r="E308" s="51">
        <f t="shared" si="4"/>
        <v>0</v>
      </c>
    </row>
    <row r="309" spans="1:5">
      <c r="A309" s="59">
        <v>1</v>
      </c>
      <c r="B309" s="59">
        <v>62</v>
      </c>
      <c r="C309" s="59">
        <v>210</v>
      </c>
      <c r="D309" s="51">
        <v>176</v>
      </c>
      <c r="E309" s="51">
        <f t="shared" si="4"/>
        <v>1</v>
      </c>
    </row>
    <row r="310" spans="1:5">
      <c r="A310" s="59">
        <v>1</v>
      </c>
      <c r="B310" s="59">
        <v>63</v>
      </c>
      <c r="C310" s="59">
        <v>210</v>
      </c>
      <c r="D310" s="51">
        <v>175</v>
      </c>
      <c r="E310" s="51">
        <f t="shared" si="4"/>
        <v>0</v>
      </c>
    </row>
    <row r="311" spans="1:5">
      <c r="A311" s="59">
        <v>1</v>
      </c>
      <c r="B311" s="59">
        <v>32</v>
      </c>
      <c r="C311" s="59">
        <v>150</v>
      </c>
      <c r="D311" s="51">
        <v>174</v>
      </c>
      <c r="E311" s="51">
        <f t="shared" si="4"/>
        <v>0</v>
      </c>
    </row>
    <row r="312" spans="1:5">
      <c r="A312" s="59">
        <v>1</v>
      </c>
      <c r="B312" s="59">
        <v>43</v>
      </c>
      <c r="C312" s="59">
        <v>130</v>
      </c>
      <c r="D312" s="51">
        <v>172</v>
      </c>
      <c r="E312" s="51">
        <f t="shared" si="4"/>
        <v>0</v>
      </c>
    </row>
    <row r="313" spans="1:5">
      <c r="A313" s="59">
        <v>1</v>
      </c>
      <c r="B313" s="59">
        <v>71</v>
      </c>
      <c r="C313" s="59">
        <v>710</v>
      </c>
      <c r="D313" s="51">
        <v>170</v>
      </c>
      <c r="E313" s="51">
        <f t="shared" si="4"/>
        <v>0</v>
      </c>
    </row>
    <row r="314" spans="1:5">
      <c r="A314" s="59">
        <v>1</v>
      </c>
      <c r="B314" s="59">
        <v>62</v>
      </c>
      <c r="C314" s="59">
        <v>740</v>
      </c>
      <c r="D314" s="51">
        <v>169</v>
      </c>
      <c r="E314" s="51">
        <f t="shared" si="4"/>
        <v>1</v>
      </c>
    </row>
    <row r="315" spans="1:5">
      <c r="A315" s="59">
        <v>1</v>
      </c>
      <c r="B315" s="59">
        <v>13</v>
      </c>
      <c r="C315" s="59">
        <v>720</v>
      </c>
      <c r="D315" s="51">
        <v>167</v>
      </c>
      <c r="E315" s="51">
        <f t="shared" si="4"/>
        <v>0</v>
      </c>
    </row>
    <row r="316" spans="1:5">
      <c r="A316" s="59">
        <v>1</v>
      </c>
      <c r="B316" s="59">
        <v>31</v>
      </c>
      <c r="C316" s="59">
        <v>510</v>
      </c>
      <c r="D316" s="51">
        <v>165</v>
      </c>
      <c r="E316" s="51">
        <f t="shared" si="4"/>
        <v>0</v>
      </c>
    </row>
    <row r="317" spans="1:5">
      <c r="A317" s="59">
        <v>1</v>
      </c>
      <c r="B317" s="59">
        <v>32</v>
      </c>
      <c r="C317" s="59">
        <v>730</v>
      </c>
      <c r="D317" s="51">
        <v>165</v>
      </c>
      <c r="E317" s="51">
        <f t="shared" si="4"/>
        <v>0</v>
      </c>
    </row>
    <row r="318" spans="1:5">
      <c r="A318" s="59">
        <v>1</v>
      </c>
      <c r="B318" s="59">
        <v>81</v>
      </c>
      <c r="C318" s="59">
        <v>710</v>
      </c>
      <c r="D318" s="51">
        <v>164</v>
      </c>
      <c r="E318" s="51">
        <f t="shared" si="4"/>
        <v>0</v>
      </c>
    </row>
    <row r="319" spans="1:5">
      <c r="A319" s="59">
        <v>1</v>
      </c>
      <c r="B319" s="59">
        <v>16</v>
      </c>
      <c r="C319" s="59">
        <v>140</v>
      </c>
      <c r="D319" s="51">
        <v>161</v>
      </c>
      <c r="E319" s="51">
        <f t="shared" si="4"/>
        <v>0</v>
      </c>
    </row>
    <row r="320" spans="1:5">
      <c r="A320" s="59">
        <v>1</v>
      </c>
      <c r="B320" s="59">
        <v>43</v>
      </c>
      <c r="C320" s="59">
        <v>860</v>
      </c>
      <c r="D320" s="51">
        <v>161</v>
      </c>
      <c r="E320" s="51">
        <f t="shared" si="4"/>
        <v>0</v>
      </c>
    </row>
    <row r="321" spans="1:5">
      <c r="A321" s="59">
        <v>1</v>
      </c>
      <c r="B321" s="59">
        <v>64</v>
      </c>
      <c r="C321" s="59">
        <v>891</v>
      </c>
      <c r="D321" s="51">
        <v>161</v>
      </c>
      <c r="E321" s="51">
        <f t="shared" si="4"/>
        <v>0</v>
      </c>
    </row>
    <row r="322" spans="1:5">
      <c r="A322" s="59">
        <v>1</v>
      </c>
      <c r="B322" s="59">
        <v>14</v>
      </c>
      <c r="C322" s="59">
        <v>730</v>
      </c>
      <c r="D322" s="51">
        <v>159</v>
      </c>
      <c r="E322" s="51">
        <f t="shared" ref="E322:E385" si="5">IF(OR(A322=6,A322=7,A322=14,A322=15,A322=16,A322=17,A322=18,A322=19,A322=20,A322=21,A322=22,A322=23,A322=25,A322=26,A322=27,A322=28,B322=41,B322=44,B322=62),1,0)</f>
        <v>0</v>
      </c>
    </row>
    <row r="323" spans="1:5">
      <c r="A323" s="59">
        <v>1</v>
      </c>
      <c r="B323" s="59">
        <v>33</v>
      </c>
      <c r="C323" s="59">
        <v>520</v>
      </c>
      <c r="D323" s="51">
        <v>158</v>
      </c>
      <c r="E323" s="51">
        <f t="shared" si="5"/>
        <v>0</v>
      </c>
    </row>
    <row r="324" spans="1:5">
      <c r="A324" s="59">
        <v>1</v>
      </c>
      <c r="B324" s="59">
        <v>13</v>
      </c>
      <c r="C324" s="59">
        <v>620</v>
      </c>
      <c r="D324" s="51">
        <v>157</v>
      </c>
      <c r="E324" s="51">
        <f t="shared" si="5"/>
        <v>0</v>
      </c>
    </row>
    <row r="325" spans="1:5">
      <c r="A325" s="59">
        <v>1</v>
      </c>
      <c r="B325" s="59">
        <v>23</v>
      </c>
      <c r="C325" s="59">
        <v>210</v>
      </c>
      <c r="D325" s="51">
        <v>153</v>
      </c>
      <c r="E325" s="51">
        <f t="shared" si="5"/>
        <v>0</v>
      </c>
    </row>
    <row r="326" spans="1:5">
      <c r="A326" s="59">
        <v>1</v>
      </c>
      <c r="B326" s="59">
        <v>13</v>
      </c>
      <c r="C326" s="59">
        <v>540</v>
      </c>
      <c r="D326" s="51">
        <v>152</v>
      </c>
      <c r="E326" s="51">
        <f t="shared" si="5"/>
        <v>0</v>
      </c>
    </row>
    <row r="327" spans="1:5">
      <c r="A327" s="59">
        <v>1</v>
      </c>
      <c r="B327" s="59">
        <v>13</v>
      </c>
      <c r="C327" s="59">
        <v>430</v>
      </c>
      <c r="D327" s="51">
        <v>150</v>
      </c>
      <c r="E327" s="51">
        <f t="shared" si="5"/>
        <v>0</v>
      </c>
    </row>
    <row r="328" spans="1:5">
      <c r="A328" s="59">
        <v>1</v>
      </c>
      <c r="B328" s="59">
        <v>41</v>
      </c>
      <c r="C328" s="59">
        <v>710</v>
      </c>
      <c r="D328" s="51">
        <v>150</v>
      </c>
      <c r="E328" s="51">
        <f t="shared" si="5"/>
        <v>1</v>
      </c>
    </row>
    <row r="329" spans="1:5">
      <c r="A329" s="59">
        <v>1</v>
      </c>
      <c r="B329" s="59">
        <v>44</v>
      </c>
      <c r="C329" s="59">
        <v>410</v>
      </c>
      <c r="D329" s="51">
        <v>149</v>
      </c>
      <c r="E329" s="51">
        <f t="shared" si="5"/>
        <v>1</v>
      </c>
    </row>
    <row r="330" spans="1:5">
      <c r="A330" s="59">
        <v>1</v>
      </c>
      <c r="B330" s="59">
        <v>23</v>
      </c>
      <c r="C330" s="59">
        <v>910</v>
      </c>
      <c r="D330" s="51">
        <v>147</v>
      </c>
      <c r="E330" s="51">
        <f t="shared" si="5"/>
        <v>0</v>
      </c>
    </row>
    <row r="331" spans="1:5">
      <c r="A331" s="59">
        <v>1</v>
      </c>
      <c r="B331" s="59">
        <v>64</v>
      </c>
      <c r="C331" s="59">
        <v>820</v>
      </c>
      <c r="D331" s="51">
        <v>147</v>
      </c>
      <c r="E331" s="51">
        <f t="shared" si="5"/>
        <v>0</v>
      </c>
    </row>
    <row r="332" spans="1:5">
      <c r="A332" s="59">
        <v>1</v>
      </c>
      <c r="B332" s="59">
        <v>23</v>
      </c>
      <c r="C332" s="59">
        <v>510</v>
      </c>
      <c r="D332" s="51">
        <v>144</v>
      </c>
      <c r="E332" s="51">
        <f t="shared" si="5"/>
        <v>0</v>
      </c>
    </row>
    <row r="333" spans="1:5">
      <c r="A333" s="59">
        <v>1</v>
      </c>
      <c r="B333" s="59">
        <v>14</v>
      </c>
      <c r="C333" s="59">
        <v>430</v>
      </c>
      <c r="D333" s="51">
        <v>142</v>
      </c>
      <c r="E333" s="51">
        <f t="shared" si="5"/>
        <v>0</v>
      </c>
    </row>
    <row r="334" spans="1:5">
      <c r="A334" s="59">
        <v>1</v>
      </c>
      <c r="B334" s="59">
        <v>16</v>
      </c>
      <c r="C334" s="59">
        <v>940</v>
      </c>
      <c r="D334" s="51">
        <v>141</v>
      </c>
      <c r="E334" s="51">
        <f t="shared" si="5"/>
        <v>0</v>
      </c>
    </row>
    <row r="335" spans="1:5">
      <c r="A335" s="59">
        <v>1</v>
      </c>
      <c r="B335" s="59">
        <v>23</v>
      </c>
      <c r="C335" s="59">
        <v>150</v>
      </c>
      <c r="D335" s="51">
        <v>140</v>
      </c>
      <c r="E335" s="51">
        <f t="shared" si="5"/>
        <v>0</v>
      </c>
    </row>
    <row r="336" spans="1:5">
      <c r="A336" s="59">
        <v>1</v>
      </c>
      <c r="B336" s="59">
        <v>32</v>
      </c>
      <c r="C336" s="59">
        <v>920</v>
      </c>
      <c r="D336" s="51">
        <v>140</v>
      </c>
      <c r="E336" s="51">
        <f t="shared" si="5"/>
        <v>0</v>
      </c>
    </row>
    <row r="337" spans="1:5">
      <c r="A337" s="59">
        <v>1</v>
      </c>
      <c r="B337" s="59">
        <v>11</v>
      </c>
      <c r="C337" s="59">
        <v>110</v>
      </c>
      <c r="D337" s="51">
        <v>139</v>
      </c>
      <c r="E337" s="51">
        <f t="shared" si="5"/>
        <v>0</v>
      </c>
    </row>
    <row r="338" spans="1:5">
      <c r="A338" s="59">
        <v>1</v>
      </c>
      <c r="B338" s="59">
        <v>33</v>
      </c>
      <c r="C338" s="59">
        <v>160</v>
      </c>
      <c r="D338" s="51">
        <v>138</v>
      </c>
      <c r="E338" s="51">
        <f t="shared" si="5"/>
        <v>0</v>
      </c>
    </row>
    <row r="339" spans="1:5">
      <c r="A339" s="59">
        <v>1</v>
      </c>
      <c r="B339" s="59">
        <v>64</v>
      </c>
      <c r="C339" s="59">
        <v>870</v>
      </c>
      <c r="D339" s="51">
        <v>135</v>
      </c>
      <c r="E339" s="51">
        <f t="shared" si="5"/>
        <v>0</v>
      </c>
    </row>
    <row r="340" spans="1:5">
      <c r="A340" s="59">
        <v>1</v>
      </c>
      <c r="B340" s="59">
        <v>16</v>
      </c>
      <c r="C340" s="59">
        <v>240</v>
      </c>
      <c r="D340" s="51">
        <v>133</v>
      </c>
      <c r="E340" s="51">
        <f t="shared" si="5"/>
        <v>0</v>
      </c>
    </row>
    <row r="341" spans="1:5">
      <c r="A341" s="59">
        <v>1</v>
      </c>
      <c r="B341" s="59">
        <v>43</v>
      </c>
      <c r="C341" s="59">
        <v>640</v>
      </c>
      <c r="D341" s="51">
        <v>132</v>
      </c>
      <c r="E341" s="51">
        <f t="shared" si="5"/>
        <v>0</v>
      </c>
    </row>
    <row r="342" spans="1:5">
      <c r="A342" s="59">
        <v>1</v>
      </c>
      <c r="B342" s="59">
        <v>43</v>
      </c>
      <c r="C342" s="59">
        <v>960</v>
      </c>
      <c r="D342" s="51">
        <v>130</v>
      </c>
      <c r="E342" s="51">
        <f t="shared" si="5"/>
        <v>0</v>
      </c>
    </row>
    <row r="343" spans="1:5">
      <c r="A343" s="59">
        <v>1</v>
      </c>
      <c r="B343" s="59">
        <v>33</v>
      </c>
      <c r="C343" s="59">
        <v>210</v>
      </c>
      <c r="D343" s="51">
        <v>129</v>
      </c>
      <c r="E343" s="51">
        <f t="shared" si="5"/>
        <v>0</v>
      </c>
    </row>
    <row r="344" spans="1:5">
      <c r="A344" s="59">
        <v>1</v>
      </c>
      <c r="B344" s="59">
        <v>51</v>
      </c>
      <c r="C344" s="59">
        <v>530</v>
      </c>
      <c r="D344" s="51">
        <v>128</v>
      </c>
      <c r="E344" s="51">
        <f t="shared" si="5"/>
        <v>0</v>
      </c>
    </row>
    <row r="345" spans="1:5">
      <c r="A345" s="59">
        <v>1</v>
      </c>
      <c r="B345" s="59">
        <v>13</v>
      </c>
      <c r="C345" s="59">
        <v>550</v>
      </c>
      <c r="D345" s="51">
        <v>127</v>
      </c>
      <c r="E345" s="51">
        <f t="shared" si="5"/>
        <v>0</v>
      </c>
    </row>
    <row r="346" spans="1:5">
      <c r="A346" s="59">
        <v>1</v>
      </c>
      <c r="B346" s="59">
        <v>15</v>
      </c>
      <c r="C346" s="59">
        <v>330</v>
      </c>
      <c r="D346" s="51">
        <v>125</v>
      </c>
      <c r="E346" s="51">
        <f t="shared" si="5"/>
        <v>0</v>
      </c>
    </row>
    <row r="347" spans="1:5">
      <c r="A347" s="59">
        <v>1</v>
      </c>
      <c r="B347" s="59">
        <v>81</v>
      </c>
      <c r="C347" s="59">
        <v>540</v>
      </c>
      <c r="D347" s="51">
        <v>124</v>
      </c>
      <c r="E347" s="51">
        <f t="shared" si="5"/>
        <v>0</v>
      </c>
    </row>
    <row r="348" spans="1:5">
      <c r="A348" s="59">
        <v>1</v>
      </c>
      <c r="B348" s="59">
        <v>51</v>
      </c>
      <c r="C348" s="59">
        <v>610</v>
      </c>
      <c r="D348" s="51">
        <v>123</v>
      </c>
      <c r="E348" s="51">
        <f t="shared" si="5"/>
        <v>0</v>
      </c>
    </row>
    <row r="349" spans="1:5">
      <c r="A349" s="59">
        <v>1</v>
      </c>
      <c r="B349" s="59">
        <v>51</v>
      </c>
      <c r="C349" s="59">
        <v>910</v>
      </c>
      <c r="D349" s="51">
        <v>123</v>
      </c>
      <c r="E349" s="51">
        <f t="shared" si="5"/>
        <v>0</v>
      </c>
    </row>
    <row r="350" spans="1:5">
      <c r="A350" s="59">
        <v>1</v>
      </c>
      <c r="B350" s="59">
        <v>62</v>
      </c>
      <c r="C350" s="59">
        <v>410</v>
      </c>
      <c r="D350" s="51">
        <v>123</v>
      </c>
      <c r="E350" s="51">
        <f t="shared" si="5"/>
        <v>1</v>
      </c>
    </row>
    <row r="351" spans="1:5">
      <c r="A351" s="59">
        <v>1</v>
      </c>
      <c r="B351" s="59">
        <v>44</v>
      </c>
      <c r="C351" s="59">
        <v>220</v>
      </c>
      <c r="D351" s="51">
        <v>120</v>
      </c>
      <c r="E351" s="51">
        <f t="shared" si="5"/>
        <v>1</v>
      </c>
    </row>
    <row r="352" spans="1:5">
      <c r="A352" s="59">
        <v>1</v>
      </c>
      <c r="B352" s="59">
        <v>71</v>
      </c>
      <c r="C352" s="59">
        <v>210</v>
      </c>
      <c r="D352" s="51">
        <v>120</v>
      </c>
      <c r="E352" s="51">
        <f t="shared" si="5"/>
        <v>0</v>
      </c>
    </row>
    <row r="353" spans="1:5">
      <c r="A353" s="59">
        <v>1</v>
      </c>
      <c r="B353" s="59">
        <v>41</v>
      </c>
      <c r="C353" s="59">
        <v>620</v>
      </c>
      <c r="D353" s="51">
        <v>119</v>
      </c>
      <c r="E353" s="51">
        <f t="shared" si="5"/>
        <v>1</v>
      </c>
    </row>
    <row r="354" spans="1:5">
      <c r="A354" s="59">
        <v>1</v>
      </c>
      <c r="B354" s="59">
        <v>15</v>
      </c>
      <c r="C354" s="59">
        <v>320</v>
      </c>
      <c r="D354" s="51">
        <v>118</v>
      </c>
      <c r="E354" s="51">
        <f t="shared" si="5"/>
        <v>0</v>
      </c>
    </row>
    <row r="355" spans="1:5">
      <c r="A355" s="59">
        <v>1</v>
      </c>
      <c r="B355" s="59">
        <v>62</v>
      </c>
      <c r="C355" s="59">
        <v>310</v>
      </c>
      <c r="D355" s="51">
        <v>118</v>
      </c>
      <c r="E355" s="51">
        <f t="shared" si="5"/>
        <v>1</v>
      </c>
    </row>
    <row r="356" spans="1:5">
      <c r="A356" s="59">
        <v>1</v>
      </c>
      <c r="B356" s="59">
        <v>64</v>
      </c>
      <c r="C356" s="59">
        <v>120</v>
      </c>
      <c r="D356" s="51">
        <v>118</v>
      </c>
      <c r="E356" s="51">
        <f t="shared" si="5"/>
        <v>0</v>
      </c>
    </row>
    <row r="357" spans="1:5">
      <c r="A357" s="59">
        <v>1</v>
      </c>
      <c r="B357" s="59">
        <v>42</v>
      </c>
      <c r="C357" s="59">
        <v>540</v>
      </c>
      <c r="D357" s="51">
        <v>117</v>
      </c>
      <c r="E357" s="51">
        <f t="shared" si="5"/>
        <v>0</v>
      </c>
    </row>
    <row r="358" spans="1:5">
      <c r="A358" s="59">
        <v>1</v>
      </c>
      <c r="B358" s="59">
        <v>15</v>
      </c>
      <c r="C358" s="59">
        <v>130</v>
      </c>
      <c r="D358" s="51">
        <v>115</v>
      </c>
      <c r="E358" s="51">
        <f t="shared" si="5"/>
        <v>0</v>
      </c>
    </row>
    <row r="359" spans="1:5">
      <c r="A359" s="59">
        <v>1</v>
      </c>
      <c r="B359" s="59">
        <v>16</v>
      </c>
      <c r="C359" s="59">
        <v>610</v>
      </c>
      <c r="D359" s="51">
        <v>115</v>
      </c>
      <c r="E359" s="51">
        <f t="shared" si="5"/>
        <v>0</v>
      </c>
    </row>
    <row r="360" spans="1:5">
      <c r="A360" s="59">
        <v>1</v>
      </c>
      <c r="B360" s="59">
        <v>64</v>
      </c>
      <c r="C360" s="59">
        <v>893</v>
      </c>
      <c r="D360" s="51">
        <v>114</v>
      </c>
      <c r="E360" s="51">
        <f t="shared" si="5"/>
        <v>0</v>
      </c>
    </row>
    <row r="361" spans="1:5">
      <c r="A361" s="59">
        <v>1</v>
      </c>
      <c r="B361" s="59">
        <v>44</v>
      </c>
      <c r="C361" s="59">
        <v>210</v>
      </c>
      <c r="D361" s="51">
        <v>113</v>
      </c>
      <c r="E361" s="51">
        <f t="shared" si="5"/>
        <v>1</v>
      </c>
    </row>
    <row r="362" spans="1:5">
      <c r="A362" s="59">
        <v>1</v>
      </c>
      <c r="B362" s="59">
        <v>51</v>
      </c>
      <c r="C362" s="59">
        <v>150</v>
      </c>
      <c r="D362" s="51">
        <v>111</v>
      </c>
      <c r="E362" s="51">
        <f t="shared" si="5"/>
        <v>0</v>
      </c>
    </row>
    <row r="363" spans="1:5">
      <c r="A363" s="59">
        <v>1</v>
      </c>
      <c r="B363" s="59">
        <v>81</v>
      </c>
      <c r="C363" s="59">
        <v>930</v>
      </c>
      <c r="D363" s="51">
        <v>111</v>
      </c>
      <c r="E363" s="51">
        <f t="shared" si="5"/>
        <v>0</v>
      </c>
    </row>
    <row r="364" spans="1:5">
      <c r="A364" s="59">
        <v>1</v>
      </c>
      <c r="B364" s="59">
        <v>23</v>
      </c>
      <c r="C364" s="59">
        <v>230</v>
      </c>
      <c r="D364" s="51">
        <v>109</v>
      </c>
      <c r="E364" s="51">
        <f t="shared" si="5"/>
        <v>0</v>
      </c>
    </row>
    <row r="365" spans="1:5">
      <c r="A365" s="59">
        <v>1</v>
      </c>
      <c r="B365" s="59">
        <v>22</v>
      </c>
      <c r="C365" s="59">
        <v>220</v>
      </c>
      <c r="D365" s="51">
        <v>107</v>
      </c>
      <c r="E365" s="51">
        <f t="shared" si="5"/>
        <v>0</v>
      </c>
    </row>
    <row r="366" spans="1:5">
      <c r="A366" s="59">
        <v>1</v>
      </c>
      <c r="B366" s="59">
        <v>32</v>
      </c>
      <c r="C366" s="59">
        <v>160</v>
      </c>
      <c r="D366" s="51">
        <v>106</v>
      </c>
      <c r="E366" s="51">
        <f t="shared" si="5"/>
        <v>0</v>
      </c>
    </row>
    <row r="367" spans="1:5">
      <c r="A367" s="59">
        <v>1</v>
      </c>
      <c r="B367" s="59">
        <v>15</v>
      </c>
      <c r="C367" s="59">
        <v>230</v>
      </c>
      <c r="D367" s="51">
        <v>104</v>
      </c>
      <c r="E367" s="51">
        <f t="shared" si="5"/>
        <v>0</v>
      </c>
    </row>
    <row r="368" spans="1:5">
      <c r="A368" s="59">
        <v>1</v>
      </c>
      <c r="B368" s="59">
        <v>71</v>
      </c>
      <c r="C368" s="59">
        <v>310</v>
      </c>
      <c r="D368" s="51">
        <v>102</v>
      </c>
      <c r="E368" s="51">
        <f t="shared" si="5"/>
        <v>0</v>
      </c>
    </row>
    <row r="369" spans="1:5">
      <c r="A369" s="59">
        <v>1</v>
      </c>
      <c r="B369" s="59">
        <v>16</v>
      </c>
      <c r="C369" s="59">
        <v>220</v>
      </c>
      <c r="D369" s="51">
        <v>101</v>
      </c>
      <c r="E369" s="51">
        <f t="shared" si="5"/>
        <v>0</v>
      </c>
    </row>
    <row r="370" spans="1:5">
      <c r="A370" s="59">
        <v>1</v>
      </c>
      <c r="B370" s="59">
        <v>22</v>
      </c>
      <c r="C370" s="59">
        <v>520</v>
      </c>
      <c r="D370" s="51">
        <v>101</v>
      </c>
      <c r="E370" s="51">
        <f t="shared" si="5"/>
        <v>0</v>
      </c>
    </row>
    <row r="371" spans="1:5">
      <c r="A371" s="59">
        <v>1</v>
      </c>
      <c r="B371" s="59">
        <v>14</v>
      </c>
      <c r="C371" s="59">
        <v>620</v>
      </c>
      <c r="D371" s="51">
        <v>100</v>
      </c>
      <c r="E371" s="51">
        <f t="shared" si="5"/>
        <v>0</v>
      </c>
    </row>
    <row r="372" spans="1:5">
      <c r="A372" s="59">
        <v>1</v>
      </c>
      <c r="B372" s="59">
        <v>16</v>
      </c>
      <c r="C372" s="59">
        <v>520</v>
      </c>
      <c r="D372" s="51">
        <v>100</v>
      </c>
      <c r="E372" s="51">
        <f t="shared" si="5"/>
        <v>0</v>
      </c>
    </row>
    <row r="373" spans="1:5">
      <c r="A373" s="59">
        <v>1</v>
      </c>
      <c r="B373" s="59">
        <v>32</v>
      </c>
      <c r="C373" s="59">
        <v>720</v>
      </c>
      <c r="D373" s="51">
        <v>100</v>
      </c>
      <c r="E373" s="51">
        <f t="shared" si="5"/>
        <v>0</v>
      </c>
    </row>
    <row r="374" spans="1:5">
      <c r="A374" s="59">
        <v>1</v>
      </c>
      <c r="B374" s="59">
        <v>44</v>
      </c>
      <c r="C374" s="59">
        <v>892</v>
      </c>
      <c r="D374" s="51">
        <v>100</v>
      </c>
      <c r="E374" s="51">
        <f t="shared" si="5"/>
        <v>1</v>
      </c>
    </row>
    <row r="375" spans="1:5">
      <c r="A375" s="59">
        <v>1</v>
      </c>
      <c r="B375" s="59">
        <v>63</v>
      </c>
      <c r="C375" s="59">
        <v>310</v>
      </c>
      <c r="D375" s="51">
        <v>100</v>
      </c>
      <c r="E375" s="51">
        <f t="shared" si="5"/>
        <v>0</v>
      </c>
    </row>
    <row r="376" spans="1:5">
      <c r="A376" s="59">
        <v>1</v>
      </c>
      <c r="B376" s="59">
        <v>63</v>
      </c>
      <c r="C376" s="59">
        <v>420</v>
      </c>
      <c r="D376" s="51">
        <v>100</v>
      </c>
      <c r="E376" s="51">
        <f t="shared" si="5"/>
        <v>0</v>
      </c>
    </row>
    <row r="377" spans="1:5">
      <c r="A377" s="59">
        <v>1</v>
      </c>
      <c r="B377" s="59">
        <v>11</v>
      </c>
      <c r="C377" s="59">
        <v>530</v>
      </c>
      <c r="D377" s="51">
        <v>99</v>
      </c>
      <c r="E377" s="51">
        <f t="shared" si="5"/>
        <v>0</v>
      </c>
    </row>
    <row r="378" spans="1:5">
      <c r="A378" s="59">
        <v>1</v>
      </c>
      <c r="B378" s="59">
        <v>11</v>
      </c>
      <c r="C378" s="59">
        <v>910</v>
      </c>
      <c r="D378" s="51">
        <v>98</v>
      </c>
      <c r="E378" s="51">
        <f t="shared" si="5"/>
        <v>0</v>
      </c>
    </row>
    <row r="379" spans="1:5">
      <c r="A379" s="59">
        <v>1</v>
      </c>
      <c r="B379" s="59">
        <v>42</v>
      </c>
      <c r="C379" s="59">
        <v>210</v>
      </c>
      <c r="D379" s="51">
        <v>98</v>
      </c>
      <c r="E379" s="51">
        <f t="shared" si="5"/>
        <v>0</v>
      </c>
    </row>
    <row r="380" spans="1:5">
      <c r="A380" s="59">
        <v>1</v>
      </c>
      <c r="B380" s="59">
        <v>43</v>
      </c>
      <c r="C380" s="59">
        <v>850</v>
      </c>
      <c r="D380" s="51">
        <v>97</v>
      </c>
      <c r="E380" s="51">
        <f t="shared" si="5"/>
        <v>0</v>
      </c>
    </row>
    <row r="381" spans="1:5">
      <c r="A381" s="59">
        <v>1</v>
      </c>
      <c r="B381" s="59">
        <v>44</v>
      </c>
      <c r="C381" s="59">
        <v>750</v>
      </c>
      <c r="D381" s="51">
        <v>97</v>
      </c>
      <c r="E381" s="51">
        <f t="shared" si="5"/>
        <v>1</v>
      </c>
    </row>
    <row r="382" spans="1:5">
      <c r="A382" s="59">
        <v>1</v>
      </c>
      <c r="B382" s="59">
        <v>43</v>
      </c>
      <c r="C382" s="59">
        <v>120</v>
      </c>
      <c r="D382" s="51">
        <v>94</v>
      </c>
      <c r="E382" s="51">
        <f t="shared" si="5"/>
        <v>0</v>
      </c>
    </row>
    <row r="383" spans="1:5">
      <c r="A383" s="59">
        <v>1</v>
      </c>
      <c r="B383" s="59">
        <v>62</v>
      </c>
      <c r="C383" s="59">
        <v>940</v>
      </c>
      <c r="D383" s="51">
        <v>93</v>
      </c>
      <c r="E383" s="51">
        <f t="shared" si="5"/>
        <v>1</v>
      </c>
    </row>
    <row r="384" spans="1:5">
      <c r="A384" s="59">
        <v>1</v>
      </c>
      <c r="B384" s="59">
        <v>81</v>
      </c>
      <c r="C384" s="59">
        <v>831</v>
      </c>
      <c r="D384" s="51">
        <v>93</v>
      </c>
      <c r="E384" s="51">
        <f t="shared" si="5"/>
        <v>0</v>
      </c>
    </row>
    <row r="385" spans="1:5">
      <c r="A385" s="59">
        <v>1</v>
      </c>
      <c r="B385" s="59">
        <v>63</v>
      </c>
      <c r="C385" s="59">
        <v>430</v>
      </c>
      <c r="D385" s="51">
        <v>92</v>
      </c>
      <c r="E385" s="51">
        <f t="shared" si="5"/>
        <v>0</v>
      </c>
    </row>
    <row r="386" spans="1:5">
      <c r="A386" s="59">
        <v>1</v>
      </c>
      <c r="B386" s="59">
        <v>14</v>
      </c>
      <c r="C386" s="59">
        <v>940</v>
      </c>
      <c r="D386" s="51">
        <v>89</v>
      </c>
      <c r="E386" s="51">
        <f t="shared" ref="E386:E449" si="6">IF(OR(A386=6,A386=7,A386=14,A386=15,A386=16,A386=17,A386=18,A386=19,A386=20,A386=21,A386=22,A386=23,A386=25,A386=26,A386=27,A386=28,B386=41,B386=44,B386=62),1,0)</f>
        <v>0</v>
      </c>
    </row>
    <row r="387" spans="1:5">
      <c r="A387" s="59">
        <v>1</v>
      </c>
      <c r="B387" s="59">
        <v>63</v>
      </c>
      <c r="C387" s="59">
        <v>230</v>
      </c>
      <c r="D387" s="51">
        <v>88</v>
      </c>
      <c r="E387" s="51">
        <f t="shared" si="6"/>
        <v>0</v>
      </c>
    </row>
    <row r="388" spans="1:5">
      <c r="A388" s="59">
        <v>1</v>
      </c>
      <c r="B388" s="59">
        <v>15</v>
      </c>
      <c r="C388" s="59">
        <v>120</v>
      </c>
      <c r="D388" s="51">
        <v>85</v>
      </c>
      <c r="E388" s="51">
        <f t="shared" si="6"/>
        <v>0</v>
      </c>
    </row>
    <row r="389" spans="1:5">
      <c r="A389" s="59">
        <v>1</v>
      </c>
      <c r="B389" s="59">
        <v>22</v>
      </c>
      <c r="C389" s="59">
        <v>610</v>
      </c>
      <c r="D389" s="51">
        <v>85</v>
      </c>
      <c r="E389" s="51">
        <f t="shared" si="6"/>
        <v>0</v>
      </c>
    </row>
    <row r="390" spans="1:5">
      <c r="A390" s="59">
        <v>1</v>
      </c>
      <c r="B390" s="59">
        <v>41</v>
      </c>
      <c r="C390" s="59">
        <v>550</v>
      </c>
      <c r="D390" s="51">
        <v>84</v>
      </c>
      <c r="E390" s="51">
        <f t="shared" si="6"/>
        <v>1</v>
      </c>
    </row>
    <row r="391" spans="1:5">
      <c r="A391" s="59">
        <v>1</v>
      </c>
      <c r="B391" s="59">
        <v>81</v>
      </c>
      <c r="C391" s="59">
        <v>950</v>
      </c>
      <c r="D391" s="51">
        <v>84</v>
      </c>
      <c r="E391" s="51">
        <f t="shared" si="6"/>
        <v>0</v>
      </c>
    </row>
    <row r="392" spans="1:5">
      <c r="A392" s="59">
        <v>1</v>
      </c>
      <c r="B392" s="59">
        <v>32</v>
      </c>
      <c r="C392" s="59">
        <v>210</v>
      </c>
      <c r="D392" s="51">
        <v>83</v>
      </c>
      <c r="E392" s="51">
        <f t="shared" si="6"/>
        <v>0</v>
      </c>
    </row>
    <row r="393" spans="1:5">
      <c r="A393" s="59">
        <v>1</v>
      </c>
      <c r="B393" s="59">
        <v>43</v>
      </c>
      <c r="C393" s="59">
        <v>820</v>
      </c>
      <c r="D393" s="51">
        <v>83</v>
      </c>
      <c r="E393" s="51">
        <f t="shared" si="6"/>
        <v>0</v>
      </c>
    </row>
    <row r="394" spans="1:5">
      <c r="A394" s="59">
        <v>1</v>
      </c>
      <c r="B394" s="59">
        <v>62</v>
      </c>
      <c r="C394" s="59">
        <v>230</v>
      </c>
      <c r="D394" s="51">
        <v>83</v>
      </c>
      <c r="E394" s="51">
        <f t="shared" si="6"/>
        <v>1</v>
      </c>
    </row>
    <row r="395" spans="1:5">
      <c r="A395" s="59">
        <v>1</v>
      </c>
      <c r="B395" s="59">
        <v>64</v>
      </c>
      <c r="C395" s="59">
        <v>960</v>
      </c>
      <c r="D395" s="51">
        <v>83</v>
      </c>
      <c r="E395" s="51">
        <f t="shared" si="6"/>
        <v>0</v>
      </c>
    </row>
    <row r="396" spans="1:5">
      <c r="A396" s="59">
        <v>1</v>
      </c>
      <c r="B396" s="59">
        <v>71</v>
      </c>
      <c r="C396" s="59">
        <v>930</v>
      </c>
      <c r="D396" s="51">
        <v>83</v>
      </c>
      <c r="E396" s="51">
        <f t="shared" si="6"/>
        <v>0</v>
      </c>
    </row>
    <row r="397" spans="1:5">
      <c r="A397" s="59">
        <v>1</v>
      </c>
      <c r="B397" s="59">
        <v>42</v>
      </c>
      <c r="C397" s="59">
        <v>410</v>
      </c>
      <c r="D397" s="51">
        <v>80</v>
      </c>
      <c r="E397" s="51">
        <f t="shared" si="6"/>
        <v>0</v>
      </c>
    </row>
    <row r="398" spans="1:5">
      <c r="A398" s="59">
        <v>1</v>
      </c>
      <c r="B398" s="59">
        <v>16</v>
      </c>
      <c r="C398" s="59">
        <v>840</v>
      </c>
      <c r="D398" s="51">
        <v>78</v>
      </c>
      <c r="E398" s="51">
        <f t="shared" si="6"/>
        <v>0</v>
      </c>
    </row>
    <row r="399" spans="1:5">
      <c r="A399" s="59">
        <v>1</v>
      </c>
      <c r="B399" s="59">
        <v>71</v>
      </c>
      <c r="C399" s="59">
        <v>420</v>
      </c>
      <c r="D399" s="51">
        <v>78</v>
      </c>
      <c r="E399" s="51">
        <f t="shared" si="6"/>
        <v>0</v>
      </c>
    </row>
    <row r="400" spans="1:5">
      <c r="A400" s="59">
        <v>1</v>
      </c>
      <c r="B400" s="59">
        <v>81</v>
      </c>
      <c r="C400" s="59">
        <v>210</v>
      </c>
      <c r="D400" s="51">
        <v>78</v>
      </c>
      <c r="E400" s="51">
        <f t="shared" si="6"/>
        <v>0</v>
      </c>
    </row>
    <row r="401" spans="1:5">
      <c r="A401" s="59">
        <v>1</v>
      </c>
      <c r="B401" s="59">
        <v>15</v>
      </c>
      <c r="C401" s="59">
        <v>240</v>
      </c>
      <c r="D401" s="51">
        <v>77</v>
      </c>
      <c r="E401" s="51">
        <f t="shared" si="6"/>
        <v>0</v>
      </c>
    </row>
    <row r="402" spans="1:5">
      <c r="A402" s="59">
        <v>1</v>
      </c>
      <c r="B402" s="59">
        <v>15</v>
      </c>
      <c r="C402" s="59">
        <v>930</v>
      </c>
      <c r="D402" s="51">
        <v>77</v>
      </c>
      <c r="E402" s="51">
        <f t="shared" si="6"/>
        <v>0</v>
      </c>
    </row>
    <row r="403" spans="1:5">
      <c r="A403" s="59">
        <v>1</v>
      </c>
      <c r="B403" s="59">
        <v>22</v>
      </c>
      <c r="C403" s="59">
        <v>950</v>
      </c>
      <c r="D403" s="51">
        <v>77</v>
      </c>
      <c r="E403" s="51">
        <f t="shared" si="6"/>
        <v>0</v>
      </c>
    </row>
    <row r="404" spans="1:5">
      <c r="A404" s="59">
        <v>1</v>
      </c>
      <c r="B404" s="59">
        <v>33</v>
      </c>
      <c r="C404" s="59">
        <v>230</v>
      </c>
      <c r="D404" s="51">
        <v>76</v>
      </c>
      <c r="E404" s="51">
        <f t="shared" si="6"/>
        <v>0</v>
      </c>
    </row>
    <row r="405" spans="1:5">
      <c r="A405" s="59">
        <v>1</v>
      </c>
      <c r="B405" s="59">
        <v>81</v>
      </c>
      <c r="C405" s="59">
        <v>230</v>
      </c>
      <c r="D405" s="51">
        <v>75</v>
      </c>
      <c r="E405" s="51">
        <f t="shared" si="6"/>
        <v>0</v>
      </c>
    </row>
    <row r="406" spans="1:5">
      <c r="A406" s="59">
        <v>1</v>
      </c>
      <c r="B406" s="59">
        <v>44</v>
      </c>
      <c r="C406" s="59">
        <v>861</v>
      </c>
      <c r="D406" s="51">
        <v>74</v>
      </c>
      <c r="E406" s="51">
        <f t="shared" si="6"/>
        <v>1</v>
      </c>
    </row>
    <row r="407" spans="1:5">
      <c r="A407" s="59">
        <v>1</v>
      </c>
      <c r="B407" s="59">
        <v>81</v>
      </c>
      <c r="C407" s="59">
        <v>750</v>
      </c>
      <c r="D407" s="51">
        <v>74</v>
      </c>
      <c r="E407" s="51">
        <f t="shared" si="6"/>
        <v>0</v>
      </c>
    </row>
    <row r="408" spans="1:5">
      <c r="A408" s="59">
        <v>1</v>
      </c>
      <c r="B408" s="59">
        <v>14</v>
      </c>
      <c r="C408" s="59">
        <v>540</v>
      </c>
      <c r="D408" s="51">
        <v>73</v>
      </c>
      <c r="E408" s="51">
        <f t="shared" si="6"/>
        <v>0</v>
      </c>
    </row>
    <row r="409" spans="1:5">
      <c r="A409" s="59">
        <v>1</v>
      </c>
      <c r="B409" s="59">
        <v>62</v>
      </c>
      <c r="C409" s="59">
        <v>850</v>
      </c>
      <c r="D409" s="51">
        <v>72</v>
      </c>
      <c r="E409" s="51">
        <f t="shared" si="6"/>
        <v>1</v>
      </c>
    </row>
    <row r="410" spans="1:5">
      <c r="A410" s="59">
        <v>1</v>
      </c>
      <c r="B410" s="59">
        <v>31</v>
      </c>
      <c r="C410" s="59">
        <v>910</v>
      </c>
      <c r="D410" s="51">
        <v>71</v>
      </c>
      <c r="E410" s="51">
        <f t="shared" si="6"/>
        <v>0</v>
      </c>
    </row>
    <row r="411" spans="1:5">
      <c r="A411" s="59">
        <v>1</v>
      </c>
      <c r="B411" s="59">
        <v>15</v>
      </c>
      <c r="C411" s="59">
        <v>610</v>
      </c>
      <c r="D411" s="51">
        <v>70</v>
      </c>
      <c r="E411" s="51">
        <f t="shared" si="6"/>
        <v>0</v>
      </c>
    </row>
    <row r="412" spans="1:5">
      <c r="A412" s="59">
        <v>1</v>
      </c>
      <c r="B412" s="59">
        <v>16</v>
      </c>
      <c r="C412" s="59">
        <v>130</v>
      </c>
      <c r="D412" s="51">
        <v>69</v>
      </c>
      <c r="E412" s="51">
        <f t="shared" si="6"/>
        <v>0</v>
      </c>
    </row>
    <row r="413" spans="1:5">
      <c r="A413" s="59">
        <v>1</v>
      </c>
      <c r="B413" s="59">
        <v>22</v>
      </c>
      <c r="C413" s="59">
        <v>920</v>
      </c>
      <c r="D413" s="51">
        <v>68</v>
      </c>
      <c r="E413" s="51">
        <f t="shared" si="6"/>
        <v>0</v>
      </c>
    </row>
    <row r="414" spans="1:5">
      <c r="A414" s="59">
        <v>1</v>
      </c>
      <c r="B414" s="59">
        <v>43</v>
      </c>
      <c r="C414" s="59">
        <v>740</v>
      </c>
      <c r="D414" s="51">
        <v>68</v>
      </c>
      <c r="E414" s="51">
        <f t="shared" si="6"/>
        <v>0</v>
      </c>
    </row>
    <row r="415" spans="1:5">
      <c r="A415" s="59">
        <v>1</v>
      </c>
      <c r="B415" s="59">
        <v>16</v>
      </c>
      <c r="C415" s="59">
        <v>430</v>
      </c>
      <c r="D415" s="51">
        <v>67</v>
      </c>
      <c r="E415" s="51">
        <f t="shared" si="6"/>
        <v>0</v>
      </c>
    </row>
    <row r="416" spans="1:5">
      <c r="A416" s="59">
        <v>1</v>
      </c>
      <c r="B416" s="59">
        <v>22</v>
      </c>
      <c r="C416" s="59">
        <v>140</v>
      </c>
      <c r="D416" s="51">
        <v>67</v>
      </c>
      <c r="E416" s="51">
        <f t="shared" si="6"/>
        <v>0</v>
      </c>
    </row>
    <row r="417" spans="1:5">
      <c r="A417" s="59">
        <v>1</v>
      </c>
      <c r="B417" s="59">
        <v>41</v>
      </c>
      <c r="C417" s="59">
        <v>750</v>
      </c>
      <c r="D417" s="51">
        <v>67</v>
      </c>
      <c r="E417" s="51">
        <f t="shared" si="6"/>
        <v>1</v>
      </c>
    </row>
    <row r="418" spans="1:5">
      <c r="A418" s="59">
        <v>1</v>
      </c>
      <c r="B418" s="59">
        <v>16</v>
      </c>
      <c r="C418" s="59">
        <v>920</v>
      </c>
      <c r="D418" s="51">
        <v>65</v>
      </c>
      <c r="E418" s="51">
        <f t="shared" si="6"/>
        <v>0</v>
      </c>
    </row>
    <row r="419" spans="1:5">
      <c r="A419" s="59">
        <v>1</v>
      </c>
      <c r="B419" s="59">
        <v>43</v>
      </c>
      <c r="C419" s="59">
        <v>892</v>
      </c>
      <c r="D419" s="51">
        <v>65</v>
      </c>
      <c r="E419" s="51">
        <f t="shared" si="6"/>
        <v>0</v>
      </c>
    </row>
    <row r="420" spans="1:5">
      <c r="A420" s="59">
        <v>1</v>
      </c>
      <c r="B420" s="59">
        <v>21</v>
      </c>
      <c r="C420" s="59">
        <v>910</v>
      </c>
      <c r="D420" s="51">
        <v>64</v>
      </c>
      <c r="E420" s="51">
        <f t="shared" si="6"/>
        <v>0</v>
      </c>
    </row>
    <row r="421" spans="1:5">
      <c r="A421" s="59">
        <v>1</v>
      </c>
      <c r="B421" s="59">
        <v>44</v>
      </c>
      <c r="C421" s="59">
        <v>310</v>
      </c>
      <c r="D421" s="51">
        <v>63</v>
      </c>
      <c r="E421" s="51">
        <f t="shared" si="6"/>
        <v>1</v>
      </c>
    </row>
    <row r="422" spans="1:5">
      <c r="A422" s="59">
        <v>1</v>
      </c>
      <c r="B422" s="59">
        <v>44</v>
      </c>
      <c r="C422" s="59">
        <v>960</v>
      </c>
      <c r="D422" s="51">
        <v>63</v>
      </c>
      <c r="E422" s="51">
        <f t="shared" si="6"/>
        <v>1</v>
      </c>
    </row>
    <row r="423" spans="1:5">
      <c r="A423" s="59">
        <v>1</v>
      </c>
      <c r="B423" s="59">
        <v>63</v>
      </c>
      <c r="C423" s="59">
        <v>630</v>
      </c>
      <c r="D423" s="51">
        <v>63</v>
      </c>
      <c r="E423" s="51">
        <f t="shared" si="6"/>
        <v>0</v>
      </c>
    </row>
    <row r="424" spans="1:5">
      <c r="A424" s="59">
        <v>1</v>
      </c>
      <c r="B424" s="59">
        <v>41</v>
      </c>
      <c r="C424" s="59">
        <v>210</v>
      </c>
      <c r="D424" s="51">
        <v>62</v>
      </c>
      <c r="E424" s="51">
        <f t="shared" si="6"/>
        <v>1</v>
      </c>
    </row>
    <row r="425" spans="1:5">
      <c r="A425" s="59">
        <v>1</v>
      </c>
      <c r="B425" s="59">
        <v>71</v>
      </c>
      <c r="C425" s="59">
        <v>970</v>
      </c>
      <c r="D425" s="51">
        <v>62</v>
      </c>
      <c r="E425" s="51">
        <f t="shared" si="6"/>
        <v>0</v>
      </c>
    </row>
    <row r="426" spans="1:5">
      <c r="A426" s="59">
        <v>1</v>
      </c>
      <c r="B426" s="59">
        <v>63</v>
      </c>
      <c r="C426" s="59">
        <v>831</v>
      </c>
      <c r="D426" s="51">
        <v>61</v>
      </c>
      <c r="E426" s="51">
        <f t="shared" si="6"/>
        <v>0</v>
      </c>
    </row>
    <row r="427" spans="1:5">
      <c r="A427" s="59">
        <v>1</v>
      </c>
      <c r="B427" s="59">
        <v>32</v>
      </c>
      <c r="C427" s="59">
        <v>970</v>
      </c>
      <c r="D427" s="51">
        <v>60</v>
      </c>
      <c r="E427" s="51">
        <f t="shared" si="6"/>
        <v>0</v>
      </c>
    </row>
    <row r="428" spans="1:5">
      <c r="A428" s="59">
        <v>1</v>
      </c>
      <c r="B428" s="59">
        <v>33</v>
      </c>
      <c r="C428" s="59">
        <v>920</v>
      </c>
      <c r="D428" s="51">
        <v>60</v>
      </c>
      <c r="E428" s="51">
        <f t="shared" si="6"/>
        <v>0</v>
      </c>
    </row>
    <row r="429" spans="1:5">
      <c r="A429" s="59">
        <v>1</v>
      </c>
      <c r="B429" s="59">
        <v>44</v>
      </c>
      <c r="C429" s="59">
        <v>430</v>
      </c>
      <c r="D429" s="51">
        <v>59</v>
      </c>
      <c r="E429" s="51">
        <f t="shared" si="6"/>
        <v>1</v>
      </c>
    </row>
    <row r="430" spans="1:5">
      <c r="A430" s="59">
        <v>1</v>
      </c>
      <c r="B430" s="59">
        <v>62</v>
      </c>
      <c r="C430" s="59">
        <v>320</v>
      </c>
      <c r="D430" s="51">
        <v>59</v>
      </c>
      <c r="E430" s="51">
        <f t="shared" si="6"/>
        <v>1</v>
      </c>
    </row>
    <row r="431" spans="1:5">
      <c r="A431" s="59">
        <v>1</v>
      </c>
      <c r="B431" s="59">
        <v>42</v>
      </c>
      <c r="C431" s="59">
        <v>720</v>
      </c>
      <c r="D431" s="51">
        <v>57</v>
      </c>
      <c r="E431" s="51">
        <f t="shared" si="6"/>
        <v>0</v>
      </c>
    </row>
    <row r="432" spans="1:5">
      <c r="A432" s="59">
        <v>1</v>
      </c>
      <c r="B432" s="59">
        <v>43</v>
      </c>
      <c r="C432" s="59">
        <v>140</v>
      </c>
      <c r="D432" s="51">
        <v>56</v>
      </c>
      <c r="E432" s="51">
        <f t="shared" si="6"/>
        <v>0</v>
      </c>
    </row>
    <row r="433" spans="1:5">
      <c r="A433" s="59">
        <v>1</v>
      </c>
      <c r="B433" s="59">
        <v>71</v>
      </c>
      <c r="C433" s="59">
        <v>430</v>
      </c>
      <c r="D433" s="51">
        <v>56</v>
      </c>
      <c r="E433" s="51">
        <f t="shared" si="6"/>
        <v>0</v>
      </c>
    </row>
    <row r="434" spans="1:5">
      <c r="A434" s="59">
        <v>1</v>
      </c>
      <c r="B434" s="59">
        <v>11</v>
      </c>
      <c r="C434" s="59">
        <v>160</v>
      </c>
      <c r="D434" s="51">
        <v>54</v>
      </c>
      <c r="E434" s="51">
        <f t="shared" si="6"/>
        <v>0</v>
      </c>
    </row>
    <row r="435" spans="1:5">
      <c r="A435" s="59">
        <v>1</v>
      </c>
      <c r="B435" s="59">
        <v>23</v>
      </c>
      <c r="C435" s="59">
        <v>110</v>
      </c>
      <c r="D435" s="51">
        <v>54</v>
      </c>
      <c r="E435" s="51">
        <f t="shared" si="6"/>
        <v>0</v>
      </c>
    </row>
    <row r="436" spans="1:5">
      <c r="A436" s="59">
        <v>1</v>
      </c>
      <c r="B436" s="59">
        <v>33</v>
      </c>
      <c r="C436" s="59">
        <v>330</v>
      </c>
      <c r="D436" s="51">
        <v>54</v>
      </c>
      <c r="E436" s="51">
        <f t="shared" si="6"/>
        <v>0</v>
      </c>
    </row>
    <row r="437" spans="1:5">
      <c r="A437" s="59">
        <v>1</v>
      </c>
      <c r="B437" s="59">
        <v>42</v>
      </c>
      <c r="C437" s="59">
        <v>730</v>
      </c>
      <c r="D437" s="51">
        <v>54</v>
      </c>
      <c r="E437" s="51">
        <f t="shared" si="6"/>
        <v>0</v>
      </c>
    </row>
    <row r="438" spans="1:5">
      <c r="A438" s="59">
        <v>1</v>
      </c>
      <c r="B438" s="59">
        <v>22</v>
      </c>
      <c r="C438" s="59">
        <v>840</v>
      </c>
      <c r="D438" s="51">
        <v>53</v>
      </c>
      <c r="E438" s="51">
        <f t="shared" si="6"/>
        <v>0</v>
      </c>
    </row>
    <row r="439" spans="1:5">
      <c r="A439" s="59">
        <v>1</v>
      </c>
      <c r="B439" s="59">
        <v>33</v>
      </c>
      <c r="C439" s="59">
        <v>970</v>
      </c>
      <c r="D439" s="51">
        <v>53</v>
      </c>
      <c r="E439" s="51">
        <f t="shared" si="6"/>
        <v>0</v>
      </c>
    </row>
    <row r="440" spans="1:5">
      <c r="A440" s="59">
        <v>1</v>
      </c>
      <c r="B440" s="59">
        <v>42</v>
      </c>
      <c r="C440" s="59">
        <v>430</v>
      </c>
      <c r="D440" s="51">
        <v>53</v>
      </c>
      <c r="E440" s="51">
        <f t="shared" si="6"/>
        <v>0</v>
      </c>
    </row>
    <row r="441" spans="1:5">
      <c r="A441" s="59">
        <v>1</v>
      </c>
      <c r="B441" s="59">
        <v>42</v>
      </c>
      <c r="C441" s="59">
        <v>640</v>
      </c>
      <c r="D441" s="51">
        <v>53</v>
      </c>
      <c r="E441" s="51">
        <f t="shared" si="6"/>
        <v>0</v>
      </c>
    </row>
    <row r="442" spans="1:5">
      <c r="A442" s="59">
        <v>1</v>
      </c>
      <c r="B442" s="59">
        <v>44</v>
      </c>
      <c r="C442" s="59">
        <v>899</v>
      </c>
      <c r="D442" s="51">
        <v>52</v>
      </c>
      <c r="E442" s="51">
        <f t="shared" si="6"/>
        <v>1</v>
      </c>
    </row>
    <row r="443" spans="1:5">
      <c r="A443" s="59">
        <v>1</v>
      </c>
      <c r="B443" s="59">
        <v>81</v>
      </c>
      <c r="C443" s="59">
        <v>310</v>
      </c>
      <c r="D443" s="51">
        <v>52</v>
      </c>
      <c r="E443" s="51">
        <f t="shared" si="6"/>
        <v>0</v>
      </c>
    </row>
    <row r="444" spans="1:5">
      <c r="A444" s="59">
        <v>1</v>
      </c>
      <c r="B444" s="59">
        <v>62</v>
      </c>
      <c r="C444" s="59">
        <v>420</v>
      </c>
      <c r="D444" s="51">
        <v>50</v>
      </c>
      <c r="E444" s="51">
        <f t="shared" si="6"/>
        <v>1</v>
      </c>
    </row>
    <row r="445" spans="1:5">
      <c r="A445" s="59">
        <v>1</v>
      </c>
      <c r="B445" s="59">
        <v>14</v>
      </c>
      <c r="C445" s="59">
        <v>550</v>
      </c>
      <c r="D445" s="51">
        <v>49</v>
      </c>
      <c r="E445" s="51">
        <f t="shared" si="6"/>
        <v>0</v>
      </c>
    </row>
    <row r="446" spans="1:5">
      <c r="A446" s="59">
        <v>1</v>
      </c>
      <c r="B446" s="59">
        <v>42</v>
      </c>
      <c r="C446" s="59">
        <v>930</v>
      </c>
      <c r="D446" s="51">
        <v>49</v>
      </c>
      <c r="E446" s="51">
        <f t="shared" si="6"/>
        <v>0</v>
      </c>
    </row>
    <row r="447" spans="1:5">
      <c r="A447" s="59">
        <v>1</v>
      </c>
      <c r="B447" s="59">
        <v>63</v>
      </c>
      <c r="C447" s="59">
        <v>950</v>
      </c>
      <c r="D447" s="51">
        <v>49</v>
      </c>
      <c r="E447" s="51">
        <f t="shared" si="6"/>
        <v>0</v>
      </c>
    </row>
    <row r="448" spans="1:5">
      <c r="A448" s="59">
        <v>1</v>
      </c>
      <c r="B448" s="59">
        <v>13</v>
      </c>
      <c r="C448" s="59">
        <v>750</v>
      </c>
      <c r="D448" s="51">
        <v>48</v>
      </c>
      <c r="E448" s="51">
        <f t="shared" si="6"/>
        <v>0</v>
      </c>
    </row>
    <row r="449" spans="1:5">
      <c r="A449" s="59">
        <v>1</v>
      </c>
      <c r="B449" s="59">
        <v>42</v>
      </c>
      <c r="C449" s="59">
        <v>230</v>
      </c>
      <c r="D449" s="51">
        <v>47</v>
      </c>
      <c r="E449" s="51">
        <f t="shared" si="6"/>
        <v>0</v>
      </c>
    </row>
    <row r="450" spans="1:5">
      <c r="A450" s="59">
        <v>1</v>
      </c>
      <c r="B450" s="59">
        <v>15</v>
      </c>
      <c r="C450" s="59">
        <v>410</v>
      </c>
      <c r="D450" s="51">
        <v>46</v>
      </c>
      <c r="E450" s="51">
        <f t="shared" ref="E450:E513" si="7">IF(OR(A450=6,A450=7,A450=14,A450=15,A450=16,A450=17,A450=18,A450=19,A450=20,A450=21,A450=22,A450=23,A450=25,A450=26,A450=27,A450=28,B450=41,B450=44,B450=62),1,0)</f>
        <v>0</v>
      </c>
    </row>
    <row r="451" spans="1:5">
      <c r="A451" s="59">
        <v>1</v>
      </c>
      <c r="B451" s="59">
        <v>23</v>
      </c>
      <c r="C451" s="59">
        <v>320</v>
      </c>
      <c r="D451" s="51">
        <v>46</v>
      </c>
      <c r="E451" s="51">
        <f t="shared" si="7"/>
        <v>0</v>
      </c>
    </row>
    <row r="452" spans="1:5">
      <c r="A452" s="59">
        <v>1</v>
      </c>
      <c r="B452" s="59">
        <v>33</v>
      </c>
      <c r="C452" s="59">
        <v>310</v>
      </c>
      <c r="D452" s="51">
        <v>44</v>
      </c>
      <c r="E452" s="51">
        <f t="shared" si="7"/>
        <v>0</v>
      </c>
    </row>
    <row r="453" spans="1:5">
      <c r="A453" s="59">
        <v>1</v>
      </c>
      <c r="B453" s="59">
        <v>43</v>
      </c>
      <c r="C453" s="59">
        <v>630</v>
      </c>
      <c r="D453" s="51">
        <v>44</v>
      </c>
      <c r="E453" s="51">
        <f t="shared" si="7"/>
        <v>0</v>
      </c>
    </row>
    <row r="454" spans="1:5">
      <c r="A454" s="59">
        <v>1</v>
      </c>
      <c r="B454" s="59">
        <v>44</v>
      </c>
      <c r="C454" s="59">
        <v>893</v>
      </c>
      <c r="D454" s="51">
        <v>44</v>
      </c>
      <c r="E454" s="51">
        <f t="shared" si="7"/>
        <v>1</v>
      </c>
    </row>
    <row r="455" spans="1:5">
      <c r="A455" s="59">
        <v>1</v>
      </c>
      <c r="B455" s="59">
        <v>12</v>
      </c>
      <c r="C455" s="59">
        <v>520</v>
      </c>
      <c r="D455" s="51">
        <v>43</v>
      </c>
      <c r="E455" s="51">
        <f t="shared" si="7"/>
        <v>0</v>
      </c>
    </row>
    <row r="456" spans="1:5">
      <c r="A456" s="59">
        <v>1</v>
      </c>
      <c r="B456" s="59">
        <v>24</v>
      </c>
      <c r="C456" s="59">
        <v>230</v>
      </c>
      <c r="D456" s="51">
        <v>43</v>
      </c>
      <c r="E456" s="51">
        <f t="shared" si="7"/>
        <v>0</v>
      </c>
    </row>
    <row r="457" spans="1:5">
      <c r="A457" s="59">
        <v>1</v>
      </c>
      <c r="B457" s="59">
        <v>32</v>
      </c>
      <c r="C457" s="59">
        <v>930</v>
      </c>
      <c r="D457" s="51">
        <v>43</v>
      </c>
      <c r="E457" s="51">
        <f t="shared" si="7"/>
        <v>0</v>
      </c>
    </row>
    <row r="458" spans="1:5">
      <c r="A458" s="59">
        <v>1</v>
      </c>
      <c r="B458" s="59">
        <v>33</v>
      </c>
      <c r="C458" s="59">
        <v>730</v>
      </c>
      <c r="D458" s="51">
        <v>43</v>
      </c>
      <c r="E458" s="51">
        <f t="shared" si="7"/>
        <v>0</v>
      </c>
    </row>
    <row r="459" spans="1:5">
      <c r="A459" s="59">
        <v>1</v>
      </c>
      <c r="B459" s="59">
        <v>62</v>
      </c>
      <c r="C459" s="59">
        <v>950</v>
      </c>
      <c r="D459" s="51">
        <v>43</v>
      </c>
      <c r="E459" s="51">
        <f t="shared" si="7"/>
        <v>1</v>
      </c>
    </row>
    <row r="460" spans="1:5">
      <c r="A460" s="59">
        <v>1</v>
      </c>
      <c r="B460" s="59">
        <v>81</v>
      </c>
      <c r="C460" s="59">
        <v>410</v>
      </c>
      <c r="D460" s="51">
        <v>43</v>
      </c>
      <c r="E460" s="51">
        <f t="shared" si="7"/>
        <v>0</v>
      </c>
    </row>
    <row r="461" spans="1:5">
      <c r="A461" s="59">
        <v>1</v>
      </c>
      <c r="B461" s="59">
        <v>16</v>
      </c>
      <c r="C461" s="59">
        <v>120</v>
      </c>
      <c r="D461" s="51">
        <v>42</v>
      </c>
      <c r="E461" s="51">
        <f t="shared" si="7"/>
        <v>0</v>
      </c>
    </row>
    <row r="462" spans="1:5">
      <c r="A462" s="59">
        <v>1</v>
      </c>
      <c r="B462" s="59">
        <v>33</v>
      </c>
      <c r="C462" s="59">
        <v>720</v>
      </c>
      <c r="D462" s="51">
        <v>42</v>
      </c>
      <c r="E462" s="51">
        <f t="shared" si="7"/>
        <v>0</v>
      </c>
    </row>
    <row r="463" spans="1:5">
      <c r="A463" s="59">
        <v>1</v>
      </c>
      <c r="B463" s="59">
        <v>51</v>
      </c>
      <c r="C463" s="59">
        <v>920</v>
      </c>
      <c r="D463" s="51">
        <v>42</v>
      </c>
      <c r="E463" s="51">
        <f t="shared" si="7"/>
        <v>0</v>
      </c>
    </row>
    <row r="464" spans="1:5">
      <c r="A464" s="59">
        <v>1</v>
      </c>
      <c r="B464" s="59">
        <v>62</v>
      </c>
      <c r="C464" s="59">
        <v>430</v>
      </c>
      <c r="D464" s="51">
        <v>42</v>
      </c>
      <c r="E464" s="51">
        <f t="shared" si="7"/>
        <v>1</v>
      </c>
    </row>
    <row r="465" spans="1:5">
      <c r="A465" s="59">
        <v>1</v>
      </c>
      <c r="B465" s="59">
        <v>63</v>
      </c>
      <c r="C465" s="59">
        <v>320</v>
      </c>
      <c r="D465" s="51">
        <v>42</v>
      </c>
      <c r="E465" s="51">
        <f t="shared" si="7"/>
        <v>0</v>
      </c>
    </row>
    <row r="466" spans="1:5">
      <c r="A466" s="59">
        <v>1</v>
      </c>
      <c r="B466" s="59">
        <v>11</v>
      </c>
      <c r="C466" s="59">
        <v>730</v>
      </c>
      <c r="D466" s="51">
        <v>41</v>
      </c>
      <c r="E466" s="51">
        <f t="shared" si="7"/>
        <v>0</v>
      </c>
    </row>
    <row r="467" spans="1:5">
      <c r="A467" s="59">
        <v>1</v>
      </c>
      <c r="B467" s="59">
        <v>15</v>
      </c>
      <c r="C467" s="59">
        <v>920</v>
      </c>
      <c r="D467" s="51">
        <v>40</v>
      </c>
      <c r="E467" s="51">
        <f t="shared" si="7"/>
        <v>0</v>
      </c>
    </row>
    <row r="468" spans="1:5">
      <c r="A468" s="59">
        <v>1</v>
      </c>
      <c r="B468" s="59">
        <v>31</v>
      </c>
      <c r="C468" s="59">
        <v>420</v>
      </c>
      <c r="D468" s="51">
        <v>40</v>
      </c>
      <c r="E468" s="51">
        <f t="shared" si="7"/>
        <v>0</v>
      </c>
    </row>
    <row r="469" spans="1:5">
      <c r="A469" s="59">
        <v>1</v>
      </c>
      <c r="B469" s="59">
        <v>21</v>
      </c>
      <c r="C469" s="59">
        <v>510</v>
      </c>
      <c r="D469" s="51">
        <v>39</v>
      </c>
      <c r="E469" s="51">
        <f t="shared" si="7"/>
        <v>0</v>
      </c>
    </row>
    <row r="470" spans="1:5">
      <c r="A470" s="59">
        <v>1</v>
      </c>
      <c r="B470" s="59">
        <v>32</v>
      </c>
      <c r="C470" s="59">
        <v>550</v>
      </c>
      <c r="D470" s="51">
        <v>39</v>
      </c>
      <c r="E470" s="51">
        <f t="shared" si="7"/>
        <v>0</v>
      </c>
    </row>
    <row r="471" spans="1:5">
      <c r="A471" s="59">
        <v>1</v>
      </c>
      <c r="B471" s="59">
        <v>42</v>
      </c>
      <c r="C471" s="59">
        <v>970</v>
      </c>
      <c r="D471" s="51">
        <v>39</v>
      </c>
      <c r="E471" s="51">
        <f t="shared" si="7"/>
        <v>0</v>
      </c>
    </row>
    <row r="472" spans="1:5">
      <c r="A472" s="59">
        <v>1</v>
      </c>
      <c r="B472" s="59">
        <v>62</v>
      </c>
      <c r="C472" s="59">
        <v>960</v>
      </c>
      <c r="D472" s="51">
        <v>39</v>
      </c>
      <c r="E472" s="51">
        <f t="shared" si="7"/>
        <v>1</v>
      </c>
    </row>
    <row r="473" spans="1:5">
      <c r="A473" s="59">
        <v>1</v>
      </c>
      <c r="B473" s="59">
        <v>12</v>
      </c>
      <c r="C473" s="59">
        <v>110</v>
      </c>
      <c r="D473" s="51">
        <v>38</v>
      </c>
      <c r="E473" s="51">
        <f t="shared" si="7"/>
        <v>0</v>
      </c>
    </row>
    <row r="474" spans="1:5">
      <c r="A474" s="59">
        <v>1</v>
      </c>
      <c r="B474" s="59">
        <v>42</v>
      </c>
      <c r="C474" s="59">
        <v>420</v>
      </c>
      <c r="D474" s="51">
        <v>38</v>
      </c>
      <c r="E474" s="51">
        <f t="shared" si="7"/>
        <v>0</v>
      </c>
    </row>
    <row r="475" spans="1:5">
      <c r="A475" s="59">
        <v>1</v>
      </c>
      <c r="B475" s="59">
        <v>44</v>
      </c>
      <c r="C475" s="59">
        <v>710</v>
      </c>
      <c r="D475" s="51">
        <v>38</v>
      </c>
      <c r="E475" s="51">
        <f t="shared" si="7"/>
        <v>1</v>
      </c>
    </row>
    <row r="476" spans="1:5">
      <c r="A476" s="59">
        <v>1</v>
      </c>
      <c r="B476" s="59">
        <v>44</v>
      </c>
      <c r="C476" s="59">
        <v>850</v>
      </c>
      <c r="D476" s="51">
        <v>38</v>
      </c>
      <c r="E476" s="51">
        <f t="shared" si="7"/>
        <v>1</v>
      </c>
    </row>
    <row r="477" spans="1:5">
      <c r="A477" s="59">
        <v>1</v>
      </c>
      <c r="B477" s="59">
        <v>64</v>
      </c>
      <c r="C477" s="59">
        <v>899</v>
      </c>
      <c r="D477" s="51">
        <v>38</v>
      </c>
      <c r="E477" s="51">
        <f t="shared" si="7"/>
        <v>0</v>
      </c>
    </row>
    <row r="478" spans="1:5">
      <c r="A478" s="59">
        <v>1</v>
      </c>
      <c r="B478" s="59">
        <v>71</v>
      </c>
      <c r="C478" s="59">
        <v>740</v>
      </c>
      <c r="D478" s="51">
        <v>38</v>
      </c>
      <c r="E478" s="51">
        <f t="shared" si="7"/>
        <v>0</v>
      </c>
    </row>
    <row r="479" spans="1:5">
      <c r="A479" s="59">
        <v>1</v>
      </c>
      <c r="B479" s="59">
        <v>12</v>
      </c>
      <c r="C479" s="59">
        <v>910</v>
      </c>
      <c r="D479" s="51">
        <v>37</v>
      </c>
      <c r="E479" s="51">
        <f t="shared" si="7"/>
        <v>0</v>
      </c>
    </row>
    <row r="480" spans="1:5">
      <c r="A480" s="59">
        <v>1</v>
      </c>
      <c r="B480" s="59">
        <v>24</v>
      </c>
      <c r="C480" s="59">
        <v>610</v>
      </c>
      <c r="D480" s="51">
        <v>37</v>
      </c>
      <c r="E480" s="51">
        <f t="shared" si="7"/>
        <v>0</v>
      </c>
    </row>
    <row r="481" spans="1:5">
      <c r="A481" s="59">
        <v>1</v>
      </c>
      <c r="B481" s="59">
        <v>31</v>
      </c>
      <c r="C481" s="59">
        <v>410</v>
      </c>
      <c r="D481" s="51">
        <v>37</v>
      </c>
      <c r="E481" s="51">
        <f t="shared" si="7"/>
        <v>0</v>
      </c>
    </row>
    <row r="482" spans="1:5">
      <c r="A482" s="59">
        <v>1</v>
      </c>
      <c r="B482" s="59">
        <v>41</v>
      </c>
      <c r="C482" s="59">
        <v>960</v>
      </c>
      <c r="D482" s="51">
        <v>37</v>
      </c>
      <c r="E482" s="51">
        <f t="shared" si="7"/>
        <v>1</v>
      </c>
    </row>
    <row r="483" spans="1:5">
      <c r="A483" s="59">
        <v>1</v>
      </c>
      <c r="B483" s="59">
        <v>43</v>
      </c>
      <c r="C483" s="59">
        <v>899</v>
      </c>
      <c r="D483" s="51">
        <v>37</v>
      </c>
      <c r="E483" s="51">
        <f t="shared" si="7"/>
        <v>0</v>
      </c>
    </row>
    <row r="484" spans="1:5">
      <c r="A484" s="59">
        <v>1</v>
      </c>
      <c r="B484" s="59">
        <v>63</v>
      </c>
      <c r="C484" s="59">
        <v>220</v>
      </c>
      <c r="D484" s="51">
        <v>37</v>
      </c>
      <c r="E484" s="51">
        <f t="shared" si="7"/>
        <v>0</v>
      </c>
    </row>
    <row r="485" spans="1:5">
      <c r="A485" s="59">
        <v>1</v>
      </c>
      <c r="B485" s="59">
        <v>63</v>
      </c>
      <c r="C485" s="59">
        <v>330</v>
      </c>
      <c r="D485" s="51">
        <v>37</v>
      </c>
      <c r="E485" s="51">
        <f t="shared" si="7"/>
        <v>0</v>
      </c>
    </row>
    <row r="486" spans="1:5">
      <c r="A486" s="59">
        <v>1</v>
      </c>
      <c r="B486" s="59">
        <v>63</v>
      </c>
      <c r="C486" s="59">
        <v>940</v>
      </c>
      <c r="D486" s="51">
        <v>37</v>
      </c>
      <c r="E486" s="51">
        <f t="shared" si="7"/>
        <v>0</v>
      </c>
    </row>
    <row r="487" spans="1:5">
      <c r="A487" s="59">
        <v>1</v>
      </c>
      <c r="B487" s="59">
        <v>13</v>
      </c>
      <c r="C487" s="59">
        <v>940</v>
      </c>
      <c r="D487" s="51">
        <v>36</v>
      </c>
      <c r="E487" s="51">
        <f t="shared" si="7"/>
        <v>0</v>
      </c>
    </row>
    <row r="488" spans="1:5">
      <c r="A488" s="59">
        <v>1</v>
      </c>
      <c r="B488" s="59">
        <v>22</v>
      </c>
      <c r="C488" s="59">
        <v>120</v>
      </c>
      <c r="D488" s="51">
        <v>36</v>
      </c>
      <c r="E488" s="51">
        <f t="shared" si="7"/>
        <v>0</v>
      </c>
    </row>
    <row r="489" spans="1:5">
      <c r="A489" s="59">
        <v>1</v>
      </c>
      <c r="B489" s="59">
        <v>32</v>
      </c>
      <c r="C489" s="59">
        <v>230</v>
      </c>
      <c r="D489" s="51">
        <v>36</v>
      </c>
      <c r="E489" s="51">
        <f t="shared" si="7"/>
        <v>0</v>
      </c>
    </row>
    <row r="490" spans="1:5">
      <c r="A490" s="59">
        <v>1</v>
      </c>
      <c r="B490" s="59">
        <v>33</v>
      </c>
      <c r="C490" s="59">
        <v>320</v>
      </c>
      <c r="D490" s="51">
        <v>36</v>
      </c>
      <c r="E490" s="51">
        <f t="shared" si="7"/>
        <v>0</v>
      </c>
    </row>
    <row r="491" spans="1:5">
      <c r="A491" s="59">
        <v>1</v>
      </c>
      <c r="B491" s="59">
        <v>71</v>
      </c>
      <c r="C491" s="59">
        <v>831</v>
      </c>
      <c r="D491" s="51">
        <v>36</v>
      </c>
      <c r="E491" s="51">
        <f t="shared" si="7"/>
        <v>0</v>
      </c>
    </row>
    <row r="492" spans="1:5">
      <c r="A492" s="59">
        <v>1</v>
      </c>
      <c r="B492" s="59">
        <v>31</v>
      </c>
      <c r="C492" s="59">
        <v>895</v>
      </c>
      <c r="D492" s="51">
        <v>35</v>
      </c>
      <c r="E492" s="51">
        <f t="shared" si="7"/>
        <v>0</v>
      </c>
    </row>
    <row r="493" spans="1:5">
      <c r="A493" s="59">
        <v>1</v>
      </c>
      <c r="B493" s="59">
        <v>42</v>
      </c>
      <c r="C493" s="59">
        <v>940</v>
      </c>
      <c r="D493" s="51">
        <v>35</v>
      </c>
      <c r="E493" s="51">
        <f t="shared" si="7"/>
        <v>0</v>
      </c>
    </row>
    <row r="494" spans="1:5">
      <c r="A494" s="59">
        <v>1</v>
      </c>
      <c r="B494" s="59">
        <v>62</v>
      </c>
      <c r="C494" s="59">
        <v>630</v>
      </c>
      <c r="D494" s="51">
        <v>35</v>
      </c>
      <c r="E494" s="51">
        <f t="shared" si="7"/>
        <v>1</v>
      </c>
    </row>
    <row r="495" spans="1:5">
      <c r="A495" s="59">
        <v>1</v>
      </c>
      <c r="B495" s="59">
        <v>14</v>
      </c>
      <c r="C495" s="59">
        <v>970</v>
      </c>
      <c r="D495" s="51">
        <v>34</v>
      </c>
      <c r="E495" s="51">
        <f t="shared" si="7"/>
        <v>0</v>
      </c>
    </row>
    <row r="496" spans="1:5">
      <c r="A496" s="59">
        <v>1</v>
      </c>
      <c r="B496" s="59">
        <v>14</v>
      </c>
      <c r="C496" s="59">
        <v>990</v>
      </c>
      <c r="D496" s="51">
        <v>34</v>
      </c>
      <c r="E496" s="51">
        <f t="shared" si="7"/>
        <v>0</v>
      </c>
    </row>
    <row r="497" spans="1:5">
      <c r="A497" s="59">
        <v>1</v>
      </c>
      <c r="B497" s="59">
        <v>22</v>
      </c>
      <c r="C497" s="59">
        <v>130</v>
      </c>
      <c r="D497" s="51">
        <v>34</v>
      </c>
      <c r="E497" s="51">
        <f t="shared" si="7"/>
        <v>0</v>
      </c>
    </row>
    <row r="498" spans="1:5">
      <c r="A498" s="59">
        <v>1</v>
      </c>
      <c r="B498" s="59">
        <v>41</v>
      </c>
      <c r="C498" s="59">
        <v>950</v>
      </c>
      <c r="D498" s="51">
        <v>34</v>
      </c>
      <c r="E498" s="51">
        <f t="shared" si="7"/>
        <v>1</v>
      </c>
    </row>
    <row r="499" spans="1:5">
      <c r="A499" s="59">
        <v>1</v>
      </c>
      <c r="B499" s="59">
        <v>81</v>
      </c>
      <c r="C499" s="59">
        <v>320</v>
      </c>
      <c r="D499" s="51">
        <v>34</v>
      </c>
      <c r="E499" s="51">
        <f t="shared" si="7"/>
        <v>0</v>
      </c>
    </row>
    <row r="500" spans="1:5">
      <c r="A500" s="59">
        <v>1</v>
      </c>
      <c r="B500" s="59">
        <v>41</v>
      </c>
      <c r="C500" s="59">
        <v>970</v>
      </c>
      <c r="D500" s="51">
        <v>33</v>
      </c>
      <c r="E500" s="51">
        <f t="shared" si="7"/>
        <v>1</v>
      </c>
    </row>
    <row r="501" spans="1:5">
      <c r="A501" s="59">
        <v>1</v>
      </c>
      <c r="B501" s="59">
        <v>41</v>
      </c>
      <c r="C501" s="59">
        <v>990</v>
      </c>
      <c r="D501" s="51">
        <v>33</v>
      </c>
      <c r="E501" s="51">
        <f t="shared" si="7"/>
        <v>1</v>
      </c>
    </row>
    <row r="502" spans="1:5">
      <c r="A502" s="59">
        <v>1</v>
      </c>
      <c r="B502" s="59">
        <v>42</v>
      </c>
      <c r="C502" s="59">
        <v>320</v>
      </c>
      <c r="D502" s="51">
        <v>33</v>
      </c>
      <c r="E502" s="51">
        <f t="shared" si="7"/>
        <v>0</v>
      </c>
    </row>
    <row r="503" spans="1:5">
      <c r="A503" s="59">
        <v>1</v>
      </c>
      <c r="B503" s="59">
        <v>42</v>
      </c>
      <c r="C503" s="59">
        <v>310</v>
      </c>
      <c r="D503" s="51">
        <v>32</v>
      </c>
      <c r="E503" s="51">
        <f t="shared" si="7"/>
        <v>0</v>
      </c>
    </row>
    <row r="504" spans="1:5">
      <c r="A504" s="59">
        <v>1</v>
      </c>
      <c r="B504" s="59">
        <v>43</v>
      </c>
      <c r="C504" s="59">
        <v>862</v>
      </c>
      <c r="D504" s="51">
        <v>32</v>
      </c>
      <c r="E504" s="51">
        <f t="shared" si="7"/>
        <v>0</v>
      </c>
    </row>
    <row r="505" spans="1:5">
      <c r="A505" s="59">
        <v>1</v>
      </c>
      <c r="B505" s="59">
        <v>61</v>
      </c>
      <c r="C505" s="59">
        <v>910</v>
      </c>
      <c r="D505" s="51">
        <v>32</v>
      </c>
      <c r="E505" s="51">
        <f t="shared" si="7"/>
        <v>0</v>
      </c>
    </row>
    <row r="506" spans="1:5">
      <c r="A506" s="59">
        <v>1</v>
      </c>
      <c r="B506" s="59">
        <v>62</v>
      </c>
      <c r="C506" s="59">
        <v>240</v>
      </c>
      <c r="D506" s="51">
        <v>32</v>
      </c>
      <c r="E506" s="51">
        <f t="shared" si="7"/>
        <v>1</v>
      </c>
    </row>
    <row r="507" spans="1:5">
      <c r="A507" s="59">
        <v>1</v>
      </c>
      <c r="B507" s="59">
        <v>71</v>
      </c>
      <c r="C507" s="59">
        <v>230</v>
      </c>
      <c r="D507" s="51">
        <v>31</v>
      </c>
      <c r="E507" s="51">
        <f t="shared" si="7"/>
        <v>0</v>
      </c>
    </row>
    <row r="508" spans="1:5">
      <c r="A508" s="59">
        <v>1</v>
      </c>
      <c r="B508" s="59">
        <v>22</v>
      </c>
      <c r="C508" s="59">
        <v>410</v>
      </c>
      <c r="D508" s="51">
        <v>30</v>
      </c>
      <c r="E508" s="51">
        <f t="shared" si="7"/>
        <v>0</v>
      </c>
    </row>
    <row r="509" spans="1:5">
      <c r="A509" s="59">
        <v>1</v>
      </c>
      <c r="B509" s="59">
        <v>22</v>
      </c>
      <c r="C509" s="59">
        <v>930</v>
      </c>
      <c r="D509" s="51">
        <v>30</v>
      </c>
      <c r="E509" s="51">
        <f t="shared" si="7"/>
        <v>0</v>
      </c>
    </row>
    <row r="510" spans="1:5">
      <c r="A510" s="59">
        <v>1</v>
      </c>
      <c r="B510" s="59">
        <v>23</v>
      </c>
      <c r="C510" s="59">
        <v>160</v>
      </c>
      <c r="D510" s="51">
        <v>30</v>
      </c>
      <c r="E510" s="51">
        <f t="shared" si="7"/>
        <v>0</v>
      </c>
    </row>
    <row r="511" spans="1:5">
      <c r="A511" s="59">
        <v>1</v>
      </c>
      <c r="B511" s="59">
        <v>32</v>
      </c>
      <c r="C511" s="59">
        <v>540</v>
      </c>
      <c r="D511" s="51">
        <v>30</v>
      </c>
      <c r="E511" s="51">
        <f t="shared" si="7"/>
        <v>0</v>
      </c>
    </row>
    <row r="512" spans="1:5">
      <c r="A512" s="59">
        <v>1</v>
      </c>
      <c r="B512" s="59">
        <v>41</v>
      </c>
      <c r="C512" s="59">
        <v>540</v>
      </c>
      <c r="D512" s="51">
        <v>30</v>
      </c>
      <c r="E512" s="51">
        <f t="shared" si="7"/>
        <v>1</v>
      </c>
    </row>
    <row r="513" spans="1:5">
      <c r="A513" s="59">
        <v>1</v>
      </c>
      <c r="B513" s="59">
        <v>62</v>
      </c>
      <c r="C513" s="59">
        <v>330</v>
      </c>
      <c r="D513" s="51">
        <v>30</v>
      </c>
      <c r="E513" s="51">
        <f t="shared" si="7"/>
        <v>1</v>
      </c>
    </row>
    <row r="514" spans="1:5">
      <c r="A514" s="59">
        <v>1</v>
      </c>
      <c r="B514" s="59">
        <v>71</v>
      </c>
      <c r="C514" s="59">
        <v>330</v>
      </c>
      <c r="D514" s="51">
        <v>30</v>
      </c>
      <c r="E514" s="51">
        <f t="shared" ref="E514:E577" si="8">IF(OR(A514=6,A514=7,A514=14,A514=15,A514=16,A514=17,A514=18,A514=19,A514=20,A514=21,A514=22,A514=23,A514=25,A514=26,A514=27,A514=28,B514=41,B514=44,B514=62),1,0)</f>
        <v>0</v>
      </c>
    </row>
    <row r="515" spans="1:5">
      <c r="A515" s="59">
        <v>1</v>
      </c>
      <c r="B515" s="59">
        <v>13</v>
      </c>
      <c r="C515" s="59">
        <v>960</v>
      </c>
      <c r="D515" s="51">
        <v>29</v>
      </c>
      <c r="E515" s="51">
        <f t="shared" si="8"/>
        <v>0</v>
      </c>
    </row>
    <row r="516" spans="1:5">
      <c r="A516" s="59">
        <v>1</v>
      </c>
      <c r="B516" s="59">
        <v>14</v>
      </c>
      <c r="C516" s="59">
        <v>750</v>
      </c>
      <c r="D516" s="51">
        <v>29</v>
      </c>
      <c r="E516" s="51">
        <f t="shared" si="8"/>
        <v>0</v>
      </c>
    </row>
    <row r="517" spans="1:5">
      <c r="A517" s="59">
        <v>1</v>
      </c>
      <c r="B517" s="59">
        <v>41</v>
      </c>
      <c r="C517" s="59">
        <v>240</v>
      </c>
      <c r="D517" s="51">
        <v>29</v>
      </c>
      <c r="E517" s="51">
        <f t="shared" si="8"/>
        <v>1</v>
      </c>
    </row>
    <row r="518" spans="1:5">
      <c r="A518" s="59">
        <v>1</v>
      </c>
      <c r="B518" s="59">
        <v>44</v>
      </c>
      <c r="C518" s="59">
        <v>640</v>
      </c>
      <c r="D518" s="51">
        <v>29</v>
      </c>
      <c r="E518" s="51">
        <f t="shared" si="8"/>
        <v>1</v>
      </c>
    </row>
    <row r="519" spans="1:5">
      <c r="A519" s="59">
        <v>1</v>
      </c>
      <c r="B519" s="59">
        <v>62</v>
      </c>
      <c r="C519" s="59">
        <v>220</v>
      </c>
      <c r="D519" s="51">
        <v>29</v>
      </c>
      <c r="E519" s="51">
        <f t="shared" si="8"/>
        <v>1</v>
      </c>
    </row>
    <row r="520" spans="1:5">
      <c r="A520" s="59">
        <v>1</v>
      </c>
      <c r="B520" s="59">
        <v>63</v>
      </c>
      <c r="C520" s="59">
        <v>960</v>
      </c>
      <c r="D520" s="51">
        <v>29</v>
      </c>
      <c r="E520" s="51">
        <f t="shared" si="8"/>
        <v>0</v>
      </c>
    </row>
    <row r="521" spans="1:5">
      <c r="A521" s="59">
        <v>1</v>
      </c>
      <c r="B521" s="59">
        <v>71</v>
      </c>
      <c r="C521" s="59">
        <v>220</v>
      </c>
      <c r="D521" s="51">
        <v>29</v>
      </c>
      <c r="E521" s="51">
        <f t="shared" si="8"/>
        <v>0</v>
      </c>
    </row>
    <row r="522" spans="1:5">
      <c r="A522" s="59">
        <v>1</v>
      </c>
      <c r="B522" s="59">
        <v>21</v>
      </c>
      <c r="C522" s="59">
        <v>150</v>
      </c>
      <c r="D522" s="51">
        <v>28</v>
      </c>
      <c r="E522" s="51">
        <f t="shared" si="8"/>
        <v>0</v>
      </c>
    </row>
    <row r="523" spans="1:5">
      <c r="A523" s="59">
        <v>1</v>
      </c>
      <c r="B523" s="59">
        <v>22</v>
      </c>
      <c r="C523" s="59">
        <v>890</v>
      </c>
      <c r="D523" s="51">
        <v>28</v>
      </c>
      <c r="E523" s="51">
        <f t="shared" si="8"/>
        <v>0</v>
      </c>
    </row>
    <row r="524" spans="1:5">
      <c r="A524" s="59">
        <v>1</v>
      </c>
      <c r="B524" s="59">
        <v>24</v>
      </c>
      <c r="C524" s="59">
        <v>530</v>
      </c>
      <c r="D524" s="51">
        <v>28</v>
      </c>
      <c r="E524" s="51">
        <f t="shared" si="8"/>
        <v>0</v>
      </c>
    </row>
    <row r="525" spans="1:5">
      <c r="A525" s="59">
        <v>1</v>
      </c>
      <c r="B525" s="59">
        <v>32</v>
      </c>
      <c r="C525" s="59">
        <v>310</v>
      </c>
      <c r="D525" s="51">
        <v>28</v>
      </c>
      <c r="E525" s="51">
        <f t="shared" si="8"/>
        <v>0</v>
      </c>
    </row>
    <row r="526" spans="1:5">
      <c r="A526" s="59">
        <v>1</v>
      </c>
      <c r="B526" s="59">
        <v>81</v>
      </c>
      <c r="C526" s="59">
        <v>220</v>
      </c>
      <c r="D526" s="51">
        <v>28</v>
      </c>
      <c r="E526" s="51">
        <f t="shared" si="8"/>
        <v>0</v>
      </c>
    </row>
    <row r="527" spans="1:5">
      <c r="A527" s="59">
        <v>1</v>
      </c>
      <c r="B527" s="59">
        <v>21</v>
      </c>
      <c r="C527" s="59">
        <v>110</v>
      </c>
      <c r="D527" s="51">
        <v>27</v>
      </c>
      <c r="E527" s="51">
        <f t="shared" si="8"/>
        <v>0</v>
      </c>
    </row>
    <row r="528" spans="1:5">
      <c r="A528" s="59">
        <v>1</v>
      </c>
      <c r="B528" s="59">
        <v>33</v>
      </c>
      <c r="C528" s="59">
        <v>240</v>
      </c>
      <c r="D528" s="51">
        <v>27</v>
      </c>
      <c r="E528" s="51">
        <f t="shared" si="8"/>
        <v>0</v>
      </c>
    </row>
    <row r="529" spans="1:5">
      <c r="A529" s="59">
        <v>1</v>
      </c>
      <c r="B529" s="59">
        <v>51</v>
      </c>
      <c r="C529" s="59">
        <v>420</v>
      </c>
      <c r="D529" s="51">
        <v>27</v>
      </c>
      <c r="E529" s="51">
        <f t="shared" si="8"/>
        <v>0</v>
      </c>
    </row>
    <row r="530" spans="1:5">
      <c r="A530" s="59">
        <v>1</v>
      </c>
      <c r="B530" s="59">
        <v>11</v>
      </c>
      <c r="C530" s="59">
        <v>520</v>
      </c>
      <c r="D530" s="51">
        <v>26</v>
      </c>
      <c r="E530" s="51">
        <f t="shared" si="8"/>
        <v>0</v>
      </c>
    </row>
    <row r="531" spans="1:5">
      <c r="A531" s="59">
        <v>1</v>
      </c>
      <c r="B531" s="59">
        <v>24</v>
      </c>
      <c r="C531" s="59">
        <v>910</v>
      </c>
      <c r="D531" s="51">
        <v>26</v>
      </c>
      <c r="E531" s="51">
        <f t="shared" si="8"/>
        <v>0</v>
      </c>
    </row>
    <row r="532" spans="1:5">
      <c r="A532" s="59">
        <v>1</v>
      </c>
      <c r="B532" s="59">
        <v>61</v>
      </c>
      <c r="C532" s="59">
        <v>610</v>
      </c>
      <c r="D532" s="51">
        <v>26</v>
      </c>
      <c r="E532" s="51">
        <f t="shared" si="8"/>
        <v>0</v>
      </c>
    </row>
    <row r="533" spans="1:5">
      <c r="A533" s="59">
        <v>1</v>
      </c>
      <c r="B533" s="59">
        <v>23</v>
      </c>
      <c r="C533" s="59">
        <v>310</v>
      </c>
      <c r="D533" s="51">
        <v>25</v>
      </c>
      <c r="E533" s="51">
        <f t="shared" si="8"/>
        <v>0</v>
      </c>
    </row>
    <row r="534" spans="1:5">
      <c r="A534" s="59">
        <v>1</v>
      </c>
      <c r="B534" s="59">
        <v>42</v>
      </c>
      <c r="C534" s="59">
        <v>440</v>
      </c>
      <c r="D534" s="51">
        <v>25</v>
      </c>
      <c r="E534" s="51">
        <f t="shared" si="8"/>
        <v>0</v>
      </c>
    </row>
    <row r="535" spans="1:5">
      <c r="A535" s="59">
        <v>1</v>
      </c>
      <c r="B535" s="59">
        <v>63</v>
      </c>
      <c r="C535" s="59">
        <v>240</v>
      </c>
      <c r="D535" s="51">
        <v>25</v>
      </c>
      <c r="E535" s="51">
        <f t="shared" si="8"/>
        <v>0</v>
      </c>
    </row>
    <row r="536" spans="1:5">
      <c r="A536" s="59">
        <v>1</v>
      </c>
      <c r="B536" s="59">
        <v>63</v>
      </c>
      <c r="C536" s="59">
        <v>850</v>
      </c>
      <c r="D536" s="51">
        <v>25</v>
      </c>
      <c r="E536" s="51">
        <f t="shared" si="8"/>
        <v>0</v>
      </c>
    </row>
    <row r="537" spans="1:5">
      <c r="A537" s="59">
        <v>1</v>
      </c>
      <c r="B537" s="59">
        <v>71</v>
      </c>
      <c r="C537" s="59">
        <v>960</v>
      </c>
      <c r="D537" s="51">
        <v>25</v>
      </c>
      <c r="E537" s="51">
        <f t="shared" si="8"/>
        <v>0</v>
      </c>
    </row>
    <row r="538" spans="1:5">
      <c r="A538" s="59">
        <v>1</v>
      </c>
      <c r="B538" s="59">
        <v>21</v>
      </c>
      <c r="C538" s="59">
        <v>230</v>
      </c>
      <c r="D538" s="51">
        <v>24</v>
      </c>
      <c r="E538" s="51">
        <f t="shared" si="8"/>
        <v>0</v>
      </c>
    </row>
    <row r="539" spans="1:5">
      <c r="A539" s="59">
        <v>1</v>
      </c>
      <c r="B539" s="59">
        <v>21</v>
      </c>
      <c r="C539" s="59">
        <v>330</v>
      </c>
      <c r="D539" s="51">
        <v>24</v>
      </c>
      <c r="E539" s="51">
        <f t="shared" si="8"/>
        <v>0</v>
      </c>
    </row>
    <row r="540" spans="1:5">
      <c r="A540" s="59">
        <v>1</v>
      </c>
      <c r="B540" s="59">
        <v>31</v>
      </c>
      <c r="C540" s="59">
        <v>970</v>
      </c>
      <c r="D540" s="51">
        <v>24</v>
      </c>
      <c r="E540" s="51">
        <f t="shared" si="8"/>
        <v>0</v>
      </c>
    </row>
    <row r="541" spans="1:5">
      <c r="A541" s="59">
        <v>1</v>
      </c>
      <c r="B541" s="59">
        <v>62</v>
      </c>
      <c r="C541" s="59">
        <v>899</v>
      </c>
      <c r="D541" s="51">
        <v>24</v>
      </c>
      <c r="E541" s="51">
        <f t="shared" si="8"/>
        <v>1</v>
      </c>
    </row>
    <row r="542" spans="1:5">
      <c r="A542" s="59">
        <v>1</v>
      </c>
      <c r="B542" s="59">
        <v>13</v>
      </c>
      <c r="C542" s="59">
        <v>990</v>
      </c>
      <c r="D542" s="51">
        <v>23</v>
      </c>
      <c r="E542" s="51">
        <f t="shared" si="8"/>
        <v>0</v>
      </c>
    </row>
    <row r="543" spans="1:5">
      <c r="A543" s="59">
        <v>1</v>
      </c>
      <c r="B543" s="59">
        <v>16</v>
      </c>
      <c r="C543" s="59">
        <v>950</v>
      </c>
      <c r="D543" s="51">
        <v>23</v>
      </c>
      <c r="E543" s="51">
        <f t="shared" si="8"/>
        <v>0</v>
      </c>
    </row>
    <row r="544" spans="1:5">
      <c r="A544" s="59">
        <v>1</v>
      </c>
      <c r="B544" s="59">
        <v>42</v>
      </c>
      <c r="C544" s="59">
        <v>630</v>
      </c>
      <c r="D544" s="51">
        <v>23</v>
      </c>
      <c r="E544" s="51">
        <f t="shared" si="8"/>
        <v>0</v>
      </c>
    </row>
    <row r="545" spans="1:5">
      <c r="A545" s="59">
        <v>1</v>
      </c>
      <c r="B545" s="59">
        <v>71</v>
      </c>
      <c r="C545" s="59">
        <v>320</v>
      </c>
      <c r="D545" s="51">
        <v>23</v>
      </c>
      <c r="E545" s="51">
        <f t="shared" si="8"/>
        <v>0</v>
      </c>
    </row>
    <row r="546" spans="1:5">
      <c r="A546" s="59">
        <v>1</v>
      </c>
      <c r="B546" s="59">
        <v>32</v>
      </c>
      <c r="C546" s="59">
        <v>330</v>
      </c>
      <c r="D546" s="51">
        <v>22</v>
      </c>
      <c r="E546" s="51">
        <f t="shared" si="8"/>
        <v>0</v>
      </c>
    </row>
    <row r="547" spans="1:5">
      <c r="A547" s="59">
        <v>1</v>
      </c>
      <c r="B547" s="59">
        <v>33</v>
      </c>
      <c r="C547" s="59">
        <v>540</v>
      </c>
      <c r="D547" s="51">
        <v>22</v>
      </c>
      <c r="E547" s="51">
        <f t="shared" si="8"/>
        <v>0</v>
      </c>
    </row>
    <row r="548" spans="1:5">
      <c r="A548" s="59">
        <v>1</v>
      </c>
      <c r="B548" s="59">
        <v>41</v>
      </c>
      <c r="C548" s="59">
        <v>230</v>
      </c>
      <c r="D548" s="51">
        <v>22</v>
      </c>
      <c r="E548" s="51">
        <f t="shared" si="8"/>
        <v>1</v>
      </c>
    </row>
    <row r="549" spans="1:5">
      <c r="A549" s="59">
        <v>1</v>
      </c>
      <c r="B549" s="59">
        <v>44</v>
      </c>
      <c r="C549" s="59">
        <v>630</v>
      </c>
      <c r="D549" s="51">
        <v>22</v>
      </c>
      <c r="E549" s="51">
        <f t="shared" si="8"/>
        <v>1</v>
      </c>
    </row>
    <row r="550" spans="1:5">
      <c r="A550" s="59">
        <v>1</v>
      </c>
      <c r="B550" s="59">
        <v>23</v>
      </c>
      <c r="C550" s="59">
        <v>530</v>
      </c>
      <c r="D550" s="51">
        <v>21</v>
      </c>
      <c r="E550" s="51">
        <f t="shared" si="8"/>
        <v>0</v>
      </c>
    </row>
    <row r="551" spans="1:5">
      <c r="A551" s="59">
        <v>1</v>
      </c>
      <c r="B551" s="59">
        <v>31</v>
      </c>
      <c r="C551" s="59">
        <v>430</v>
      </c>
      <c r="D551" s="51">
        <v>21</v>
      </c>
      <c r="E551" s="51">
        <f t="shared" si="8"/>
        <v>0</v>
      </c>
    </row>
    <row r="552" spans="1:5">
      <c r="A552" s="59">
        <v>1</v>
      </c>
      <c r="B552" s="59">
        <v>32</v>
      </c>
      <c r="C552" s="59">
        <v>750</v>
      </c>
      <c r="D552" s="51">
        <v>21</v>
      </c>
      <c r="E552" s="51">
        <f t="shared" si="8"/>
        <v>0</v>
      </c>
    </row>
    <row r="553" spans="1:5">
      <c r="A553" s="59">
        <v>1</v>
      </c>
      <c r="B553" s="59">
        <v>33</v>
      </c>
      <c r="C553" s="59">
        <v>130</v>
      </c>
      <c r="D553" s="51">
        <v>21</v>
      </c>
      <c r="E553" s="51">
        <f t="shared" si="8"/>
        <v>0</v>
      </c>
    </row>
    <row r="554" spans="1:5">
      <c r="A554" s="59">
        <v>1</v>
      </c>
      <c r="B554" s="59">
        <v>41</v>
      </c>
      <c r="C554" s="59">
        <v>940</v>
      </c>
      <c r="D554" s="51">
        <v>21</v>
      </c>
      <c r="E554" s="51">
        <f t="shared" si="8"/>
        <v>1</v>
      </c>
    </row>
    <row r="555" spans="1:5">
      <c r="A555" s="59">
        <v>1</v>
      </c>
      <c r="B555" s="59">
        <v>42</v>
      </c>
      <c r="C555" s="59">
        <v>330</v>
      </c>
      <c r="D555" s="51">
        <v>21</v>
      </c>
      <c r="E555" s="51">
        <f t="shared" si="8"/>
        <v>0</v>
      </c>
    </row>
    <row r="556" spans="1:5">
      <c r="A556" s="59">
        <v>1</v>
      </c>
      <c r="B556" s="59">
        <v>64</v>
      </c>
      <c r="C556" s="59">
        <v>850</v>
      </c>
      <c r="D556" s="51">
        <v>21</v>
      </c>
      <c r="E556" s="51">
        <f t="shared" si="8"/>
        <v>0</v>
      </c>
    </row>
    <row r="557" spans="1:5">
      <c r="A557" s="59">
        <v>1</v>
      </c>
      <c r="B557" s="59">
        <v>81</v>
      </c>
      <c r="C557" s="59">
        <v>840</v>
      </c>
      <c r="D557" s="51">
        <v>21</v>
      </c>
      <c r="E557" s="51">
        <f t="shared" si="8"/>
        <v>0</v>
      </c>
    </row>
    <row r="558" spans="1:5">
      <c r="A558" s="59">
        <v>1</v>
      </c>
      <c r="B558" s="59">
        <v>15</v>
      </c>
      <c r="C558" s="59">
        <v>950</v>
      </c>
      <c r="D558" s="51">
        <v>20</v>
      </c>
      <c r="E558" s="51">
        <f t="shared" si="8"/>
        <v>0</v>
      </c>
    </row>
    <row r="559" spans="1:5">
      <c r="A559" s="59">
        <v>1</v>
      </c>
      <c r="B559" s="59">
        <v>23</v>
      </c>
      <c r="C559" s="59">
        <v>330</v>
      </c>
      <c r="D559" s="51">
        <v>20</v>
      </c>
      <c r="E559" s="51">
        <f t="shared" si="8"/>
        <v>0</v>
      </c>
    </row>
    <row r="560" spans="1:5">
      <c r="A560" s="59">
        <v>1</v>
      </c>
      <c r="B560" s="59">
        <v>44</v>
      </c>
      <c r="C560" s="59">
        <v>320</v>
      </c>
      <c r="D560" s="51">
        <v>20</v>
      </c>
      <c r="E560" s="51">
        <f t="shared" si="8"/>
        <v>1</v>
      </c>
    </row>
    <row r="561" spans="1:5">
      <c r="A561" s="59">
        <v>1</v>
      </c>
      <c r="B561" s="59">
        <v>11</v>
      </c>
      <c r="C561" s="59">
        <v>720</v>
      </c>
      <c r="D561" s="51">
        <v>19</v>
      </c>
      <c r="E561" s="51">
        <f t="shared" si="8"/>
        <v>0</v>
      </c>
    </row>
    <row r="562" spans="1:5">
      <c r="A562" s="59">
        <v>1</v>
      </c>
      <c r="B562" s="59">
        <v>15</v>
      </c>
      <c r="C562" s="59">
        <v>520</v>
      </c>
      <c r="D562" s="51">
        <v>19</v>
      </c>
      <c r="E562" s="51">
        <f t="shared" si="8"/>
        <v>0</v>
      </c>
    </row>
    <row r="563" spans="1:5">
      <c r="A563" s="59">
        <v>1</v>
      </c>
      <c r="B563" s="59">
        <v>33</v>
      </c>
      <c r="C563" s="59">
        <v>120</v>
      </c>
      <c r="D563" s="51">
        <v>19</v>
      </c>
      <c r="E563" s="51">
        <f t="shared" si="8"/>
        <v>0</v>
      </c>
    </row>
    <row r="564" spans="1:5">
      <c r="A564" s="59">
        <v>1</v>
      </c>
      <c r="B564" s="59">
        <v>44</v>
      </c>
      <c r="C564" s="59">
        <v>230</v>
      </c>
      <c r="D564" s="51">
        <v>19</v>
      </c>
      <c r="E564" s="51">
        <f t="shared" si="8"/>
        <v>1</v>
      </c>
    </row>
    <row r="565" spans="1:5">
      <c r="A565" s="59">
        <v>1</v>
      </c>
      <c r="B565" s="59">
        <v>71</v>
      </c>
      <c r="C565" s="59">
        <v>950</v>
      </c>
      <c r="D565" s="51">
        <v>19</v>
      </c>
      <c r="E565" s="51">
        <f t="shared" si="8"/>
        <v>0</v>
      </c>
    </row>
    <row r="566" spans="1:5">
      <c r="A566" s="59">
        <v>1</v>
      </c>
      <c r="B566" s="59">
        <v>81</v>
      </c>
      <c r="C566" s="59">
        <v>740</v>
      </c>
      <c r="D566" s="51">
        <v>19</v>
      </c>
      <c r="E566" s="51">
        <f t="shared" si="8"/>
        <v>0</v>
      </c>
    </row>
    <row r="567" spans="1:5">
      <c r="A567" s="59">
        <v>1</v>
      </c>
      <c r="B567" s="59">
        <v>22</v>
      </c>
      <c r="C567" s="59">
        <v>730</v>
      </c>
      <c r="D567" s="51">
        <v>18</v>
      </c>
      <c r="E567" s="51">
        <f t="shared" si="8"/>
        <v>0</v>
      </c>
    </row>
    <row r="568" spans="1:5">
      <c r="A568" s="59">
        <v>1</v>
      </c>
      <c r="B568" s="59">
        <v>41</v>
      </c>
      <c r="C568" s="59">
        <v>410</v>
      </c>
      <c r="D568" s="51">
        <v>18</v>
      </c>
      <c r="E568" s="51">
        <f t="shared" si="8"/>
        <v>1</v>
      </c>
    </row>
    <row r="569" spans="1:5">
      <c r="A569" s="59">
        <v>1</v>
      </c>
      <c r="B569" s="59">
        <v>44</v>
      </c>
      <c r="C569" s="59">
        <v>330</v>
      </c>
      <c r="D569" s="51">
        <v>18</v>
      </c>
      <c r="E569" s="51">
        <f t="shared" si="8"/>
        <v>1</v>
      </c>
    </row>
    <row r="570" spans="1:5">
      <c r="A570" s="59">
        <v>1</v>
      </c>
      <c r="B570" s="59">
        <v>51</v>
      </c>
      <c r="C570" s="59">
        <v>160</v>
      </c>
      <c r="D570" s="51">
        <v>18</v>
      </c>
      <c r="E570" s="51">
        <f t="shared" si="8"/>
        <v>0</v>
      </c>
    </row>
    <row r="571" spans="1:5">
      <c r="A571" s="59">
        <v>1</v>
      </c>
      <c r="B571" s="59">
        <v>71</v>
      </c>
      <c r="C571" s="59">
        <v>240</v>
      </c>
      <c r="D571" s="51">
        <v>18</v>
      </c>
      <c r="E571" s="51">
        <f t="shared" si="8"/>
        <v>0</v>
      </c>
    </row>
    <row r="572" spans="1:5">
      <c r="A572" s="59">
        <v>1</v>
      </c>
      <c r="B572" s="59">
        <v>81</v>
      </c>
      <c r="C572" s="59">
        <v>440</v>
      </c>
      <c r="D572" s="51">
        <v>18</v>
      </c>
      <c r="E572" s="51">
        <f t="shared" si="8"/>
        <v>0</v>
      </c>
    </row>
    <row r="573" spans="1:5">
      <c r="A573" s="59">
        <v>1</v>
      </c>
      <c r="B573" s="59">
        <v>81</v>
      </c>
      <c r="C573" s="59">
        <v>860</v>
      </c>
      <c r="D573" s="51">
        <v>18</v>
      </c>
      <c r="E573" s="51">
        <f t="shared" si="8"/>
        <v>0</v>
      </c>
    </row>
    <row r="574" spans="1:5">
      <c r="A574" s="59">
        <v>1</v>
      </c>
      <c r="B574" s="59">
        <v>14</v>
      </c>
      <c r="C574" s="59">
        <v>710</v>
      </c>
      <c r="D574" s="51">
        <v>17</v>
      </c>
      <c r="E574" s="51">
        <f t="shared" si="8"/>
        <v>0</v>
      </c>
    </row>
    <row r="575" spans="1:5">
      <c r="A575" s="59">
        <v>1</v>
      </c>
      <c r="B575" s="59">
        <v>23</v>
      </c>
      <c r="C575" s="59">
        <v>240</v>
      </c>
      <c r="D575" s="51">
        <v>17</v>
      </c>
      <c r="E575" s="51">
        <f t="shared" si="8"/>
        <v>0</v>
      </c>
    </row>
    <row r="576" spans="1:5">
      <c r="A576" s="59">
        <v>1</v>
      </c>
      <c r="B576" s="59">
        <v>33</v>
      </c>
      <c r="C576" s="59">
        <v>990</v>
      </c>
      <c r="D576" s="51">
        <v>17</v>
      </c>
      <c r="E576" s="51">
        <f t="shared" si="8"/>
        <v>0</v>
      </c>
    </row>
    <row r="577" spans="1:5">
      <c r="A577" s="59">
        <v>1</v>
      </c>
      <c r="B577" s="59">
        <v>42</v>
      </c>
      <c r="C577" s="59">
        <v>990</v>
      </c>
      <c r="D577" s="51">
        <v>17</v>
      </c>
      <c r="E577" s="51">
        <f t="shared" si="8"/>
        <v>0</v>
      </c>
    </row>
    <row r="578" spans="1:5">
      <c r="A578" s="59">
        <v>1</v>
      </c>
      <c r="B578" s="59">
        <v>51</v>
      </c>
      <c r="C578" s="59">
        <v>110</v>
      </c>
      <c r="D578" s="51">
        <v>17</v>
      </c>
      <c r="E578" s="51">
        <f t="shared" ref="E578:E641" si="9">IF(OR(A578=6,A578=7,A578=14,A578=15,A578=16,A578=17,A578=18,A578=19,A578=20,A578=21,A578=22,A578=23,A578=25,A578=26,A578=27,A578=28,B578=41,B578=44,B578=62),1,0)</f>
        <v>0</v>
      </c>
    </row>
    <row r="579" spans="1:5">
      <c r="A579" s="59">
        <v>1</v>
      </c>
      <c r="B579" s="59">
        <v>81</v>
      </c>
      <c r="C579" s="59">
        <v>240</v>
      </c>
      <c r="D579" s="51">
        <v>17</v>
      </c>
      <c r="E579" s="51">
        <f t="shared" si="9"/>
        <v>0</v>
      </c>
    </row>
    <row r="580" spans="1:5">
      <c r="A580" s="59">
        <v>1</v>
      </c>
      <c r="B580" s="59">
        <v>32</v>
      </c>
      <c r="C580" s="59">
        <v>320</v>
      </c>
      <c r="D580" s="51">
        <v>16</v>
      </c>
      <c r="E580" s="51">
        <f t="shared" si="9"/>
        <v>0</v>
      </c>
    </row>
    <row r="581" spans="1:5">
      <c r="A581" s="59">
        <v>1</v>
      </c>
      <c r="B581" s="59">
        <v>41</v>
      </c>
      <c r="C581" s="59">
        <v>430</v>
      </c>
      <c r="D581" s="51">
        <v>16</v>
      </c>
      <c r="E581" s="51">
        <f t="shared" si="9"/>
        <v>1</v>
      </c>
    </row>
    <row r="582" spans="1:5">
      <c r="A582" s="59">
        <v>1</v>
      </c>
      <c r="B582" s="59">
        <v>42</v>
      </c>
      <c r="C582" s="59">
        <v>220</v>
      </c>
      <c r="D582" s="51">
        <v>16</v>
      </c>
      <c r="E582" s="51">
        <f t="shared" si="9"/>
        <v>0</v>
      </c>
    </row>
    <row r="583" spans="1:5">
      <c r="A583" s="59">
        <v>1</v>
      </c>
      <c r="B583" s="59">
        <v>44</v>
      </c>
      <c r="C583" s="59">
        <v>420</v>
      </c>
      <c r="D583" s="51">
        <v>16</v>
      </c>
      <c r="E583" s="51">
        <f t="shared" si="9"/>
        <v>1</v>
      </c>
    </row>
    <row r="584" spans="1:5">
      <c r="A584" s="59">
        <v>1</v>
      </c>
      <c r="B584" s="59">
        <v>81</v>
      </c>
      <c r="C584" s="59">
        <v>330</v>
      </c>
      <c r="D584" s="51">
        <v>16</v>
      </c>
      <c r="E584" s="51">
        <f t="shared" si="9"/>
        <v>0</v>
      </c>
    </row>
    <row r="585" spans="1:5">
      <c r="A585" s="59">
        <v>1</v>
      </c>
      <c r="B585" s="59">
        <v>16</v>
      </c>
      <c r="C585" s="59">
        <v>730</v>
      </c>
      <c r="D585" s="51">
        <v>15</v>
      </c>
      <c r="E585" s="51">
        <f t="shared" si="9"/>
        <v>0</v>
      </c>
    </row>
    <row r="586" spans="1:5">
      <c r="A586" s="59">
        <v>1</v>
      </c>
      <c r="B586" s="59">
        <v>21</v>
      </c>
      <c r="C586" s="59">
        <v>410</v>
      </c>
      <c r="D586" s="51">
        <v>15</v>
      </c>
      <c r="E586" s="51">
        <f t="shared" si="9"/>
        <v>0</v>
      </c>
    </row>
    <row r="587" spans="1:5">
      <c r="A587" s="59">
        <v>1</v>
      </c>
      <c r="B587" s="59">
        <v>61</v>
      </c>
      <c r="C587" s="59">
        <v>530</v>
      </c>
      <c r="D587" s="51">
        <v>15</v>
      </c>
      <c r="E587" s="51">
        <f t="shared" si="9"/>
        <v>0</v>
      </c>
    </row>
    <row r="588" spans="1:5">
      <c r="A588" s="59">
        <v>1</v>
      </c>
      <c r="B588" s="59">
        <v>61</v>
      </c>
      <c r="C588" s="59">
        <v>720</v>
      </c>
      <c r="D588" s="51">
        <v>15</v>
      </c>
      <c r="E588" s="51">
        <f t="shared" si="9"/>
        <v>0</v>
      </c>
    </row>
    <row r="589" spans="1:5">
      <c r="A589" s="59">
        <v>1</v>
      </c>
      <c r="B589" s="59">
        <v>81</v>
      </c>
      <c r="C589" s="59">
        <v>640</v>
      </c>
      <c r="D589" s="51">
        <v>15</v>
      </c>
      <c r="E589" s="51">
        <f t="shared" si="9"/>
        <v>0</v>
      </c>
    </row>
    <row r="590" spans="1:5">
      <c r="A590" s="59">
        <v>1</v>
      </c>
      <c r="B590" s="59">
        <v>11</v>
      </c>
      <c r="C590" s="59">
        <v>610</v>
      </c>
      <c r="D590" s="51">
        <v>14</v>
      </c>
      <c r="E590" s="51">
        <f t="shared" si="9"/>
        <v>0</v>
      </c>
    </row>
    <row r="591" spans="1:5">
      <c r="A591" s="59">
        <v>1</v>
      </c>
      <c r="B591" s="59">
        <v>14</v>
      </c>
      <c r="C591" s="59">
        <v>960</v>
      </c>
      <c r="D591" s="51">
        <v>14</v>
      </c>
      <c r="E591" s="51">
        <f t="shared" si="9"/>
        <v>0</v>
      </c>
    </row>
    <row r="592" spans="1:5">
      <c r="A592" s="59">
        <v>1</v>
      </c>
      <c r="B592" s="59">
        <v>21</v>
      </c>
      <c r="C592" s="59">
        <v>420</v>
      </c>
      <c r="D592" s="51">
        <v>14</v>
      </c>
      <c r="E592" s="51">
        <f t="shared" si="9"/>
        <v>0</v>
      </c>
    </row>
    <row r="593" spans="1:5">
      <c r="A593" s="59">
        <v>1</v>
      </c>
      <c r="B593" s="59">
        <v>41</v>
      </c>
      <c r="C593" s="59">
        <v>310</v>
      </c>
      <c r="D593" s="51">
        <v>14</v>
      </c>
      <c r="E593" s="51">
        <f t="shared" si="9"/>
        <v>1</v>
      </c>
    </row>
    <row r="594" spans="1:5">
      <c r="A594" s="59">
        <v>1</v>
      </c>
      <c r="B594" s="59">
        <v>42</v>
      </c>
      <c r="C594" s="59">
        <v>240</v>
      </c>
      <c r="D594" s="51">
        <v>14</v>
      </c>
      <c r="E594" s="51">
        <f t="shared" si="9"/>
        <v>0</v>
      </c>
    </row>
    <row r="595" spans="1:5">
      <c r="A595" s="59">
        <v>1</v>
      </c>
      <c r="B595" s="59">
        <v>44</v>
      </c>
      <c r="C595" s="59">
        <v>240</v>
      </c>
      <c r="D595" s="51">
        <v>14</v>
      </c>
      <c r="E595" s="51">
        <f t="shared" si="9"/>
        <v>1</v>
      </c>
    </row>
    <row r="596" spans="1:5">
      <c r="A596" s="59">
        <v>1</v>
      </c>
      <c r="B596" s="59">
        <v>22</v>
      </c>
      <c r="C596" s="59">
        <v>430</v>
      </c>
      <c r="D596" s="51">
        <v>13</v>
      </c>
      <c r="E596" s="51">
        <f t="shared" si="9"/>
        <v>0</v>
      </c>
    </row>
    <row r="597" spans="1:5">
      <c r="A597" s="59">
        <v>1</v>
      </c>
      <c r="B597" s="59">
        <v>32</v>
      </c>
      <c r="C597" s="59">
        <v>240</v>
      </c>
      <c r="D597" s="51">
        <v>13</v>
      </c>
      <c r="E597" s="51">
        <f t="shared" si="9"/>
        <v>0</v>
      </c>
    </row>
    <row r="598" spans="1:5">
      <c r="A598" s="59">
        <v>1</v>
      </c>
      <c r="B598" s="59">
        <v>42</v>
      </c>
      <c r="C598" s="59">
        <v>950</v>
      </c>
      <c r="D598" s="51">
        <v>13</v>
      </c>
      <c r="E598" s="51">
        <f t="shared" si="9"/>
        <v>0</v>
      </c>
    </row>
    <row r="599" spans="1:5">
      <c r="A599" s="59">
        <v>1</v>
      </c>
      <c r="B599" s="59">
        <v>81</v>
      </c>
      <c r="C599" s="59">
        <v>970</v>
      </c>
      <c r="D599" s="51">
        <v>13</v>
      </c>
      <c r="E599" s="51">
        <f t="shared" si="9"/>
        <v>0</v>
      </c>
    </row>
    <row r="600" spans="1:5">
      <c r="A600" s="59">
        <v>1</v>
      </c>
      <c r="B600" s="59">
        <v>12</v>
      </c>
      <c r="C600" s="59">
        <v>160</v>
      </c>
      <c r="D600" s="51">
        <v>12</v>
      </c>
      <c r="E600" s="51">
        <f t="shared" si="9"/>
        <v>0</v>
      </c>
    </row>
    <row r="601" spans="1:5">
      <c r="A601" s="59">
        <v>1</v>
      </c>
      <c r="B601" s="59">
        <v>13</v>
      </c>
      <c r="C601" s="59">
        <v>630</v>
      </c>
      <c r="D601" s="51">
        <v>12</v>
      </c>
      <c r="E601" s="51">
        <f t="shared" si="9"/>
        <v>0</v>
      </c>
    </row>
    <row r="602" spans="1:5">
      <c r="A602" s="59">
        <v>1</v>
      </c>
      <c r="B602" s="59">
        <v>24</v>
      </c>
      <c r="C602" s="59">
        <v>620</v>
      </c>
      <c r="D602" s="51">
        <v>12</v>
      </c>
      <c r="E602" s="51">
        <f t="shared" si="9"/>
        <v>0</v>
      </c>
    </row>
    <row r="603" spans="1:5">
      <c r="A603" s="59">
        <v>1</v>
      </c>
      <c r="B603" s="59">
        <v>71</v>
      </c>
      <c r="C603" s="59">
        <v>940</v>
      </c>
      <c r="D603" s="51">
        <v>12</v>
      </c>
      <c r="E603" s="51">
        <f t="shared" si="9"/>
        <v>0</v>
      </c>
    </row>
    <row r="604" spans="1:5">
      <c r="A604" s="59">
        <v>1</v>
      </c>
      <c r="B604" s="59">
        <v>81</v>
      </c>
      <c r="C604" s="59">
        <v>960</v>
      </c>
      <c r="D604" s="51">
        <v>12</v>
      </c>
      <c r="E604" s="51">
        <f t="shared" si="9"/>
        <v>0</v>
      </c>
    </row>
    <row r="605" spans="1:5">
      <c r="A605" s="59">
        <v>1</v>
      </c>
      <c r="B605" s="59">
        <v>12</v>
      </c>
      <c r="C605" s="59">
        <v>530</v>
      </c>
      <c r="D605" s="51">
        <v>11</v>
      </c>
      <c r="E605" s="51">
        <f t="shared" si="9"/>
        <v>0</v>
      </c>
    </row>
    <row r="606" spans="1:5">
      <c r="A606" s="59">
        <v>1</v>
      </c>
      <c r="B606" s="59">
        <v>15</v>
      </c>
      <c r="C606" s="59">
        <v>220</v>
      </c>
      <c r="D606" s="51">
        <v>11</v>
      </c>
      <c r="E606" s="51">
        <f t="shared" si="9"/>
        <v>0</v>
      </c>
    </row>
    <row r="607" spans="1:5">
      <c r="A607" s="59">
        <v>1</v>
      </c>
      <c r="B607" s="59">
        <v>16</v>
      </c>
      <c r="C607" s="59">
        <v>540</v>
      </c>
      <c r="D607" s="51">
        <v>11</v>
      </c>
      <c r="E607" s="51">
        <f t="shared" si="9"/>
        <v>0</v>
      </c>
    </row>
    <row r="608" spans="1:5">
      <c r="A608" s="59">
        <v>1</v>
      </c>
      <c r="B608" s="59">
        <v>21</v>
      </c>
      <c r="C608" s="59">
        <v>240</v>
      </c>
      <c r="D608" s="51">
        <v>11</v>
      </c>
      <c r="E608" s="51">
        <f t="shared" si="9"/>
        <v>0</v>
      </c>
    </row>
    <row r="609" spans="1:5">
      <c r="A609" s="59">
        <v>1</v>
      </c>
      <c r="B609" s="59">
        <v>22</v>
      </c>
      <c r="C609" s="59">
        <v>420</v>
      </c>
      <c r="D609" s="51">
        <v>11</v>
      </c>
      <c r="E609" s="51">
        <f t="shared" si="9"/>
        <v>0</v>
      </c>
    </row>
    <row r="610" spans="1:5">
      <c r="A610" s="59">
        <v>1</v>
      </c>
      <c r="B610" s="59">
        <v>23</v>
      </c>
      <c r="C610" s="59">
        <v>140</v>
      </c>
      <c r="D610" s="51">
        <v>11</v>
      </c>
      <c r="E610" s="51">
        <f t="shared" si="9"/>
        <v>0</v>
      </c>
    </row>
    <row r="611" spans="1:5">
      <c r="A611" s="59">
        <v>1</v>
      </c>
      <c r="B611" s="59">
        <v>24</v>
      </c>
      <c r="C611" s="59">
        <v>210</v>
      </c>
      <c r="D611" s="51">
        <v>11</v>
      </c>
      <c r="E611" s="51">
        <f t="shared" si="9"/>
        <v>0</v>
      </c>
    </row>
    <row r="612" spans="1:5">
      <c r="A612" s="59">
        <v>1</v>
      </c>
      <c r="B612" s="59">
        <v>31</v>
      </c>
      <c r="C612" s="59">
        <v>110</v>
      </c>
      <c r="D612" s="51">
        <v>11</v>
      </c>
      <c r="E612" s="51">
        <f t="shared" si="9"/>
        <v>0</v>
      </c>
    </row>
    <row r="613" spans="1:5">
      <c r="A613" s="59">
        <v>1</v>
      </c>
      <c r="B613" s="59">
        <v>32</v>
      </c>
      <c r="C613" s="59">
        <v>710</v>
      </c>
      <c r="D613" s="51">
        <v>11</v>
      </c>
      <c r="E613" s="51">
        <f t="shared" si="9"/>
        <v>0</v>
      </c>
    </row>
    <row r="614" spans="1:5">
      <c r="A614" s="59">
        <v>1</v>
      </c>
      <c r="B614" s="59">
        <v>32</v>
      </c>
      <c r="C614" s="59">
        <v>960</v>
      </c>
      <c r="D614" s="51">
        <v>11</v>
      </c>
      <c r="E614" s="51">
        <f t="shared" si="9"/>
        <v>0</v>
      </c>
    </row>
    <row r="615" spans="1:5">
      <c r="A615" s="59">
        <v>1</v>
      </c>
      <c r="B615" s="59">
        <v>33</v>
      </c>
      <c r="C615" s="59">
        <v>140</v>
      </c>
      <c r="D615" s="51">
        <v>11</v>
      </c>
      <c r="E615" s="51">
        <f t="shared" si="9"/>
        <v>0</v>
      </c>
    </row>
    <row r="616" spans="1:5">
      <c r="A616" s="59">
        <v>1</v>
      </c>
      <c r="B616" s="59">
        <v>33</v>
      </c>
      <c r="C616" s="59">
        <v>550</v>
      </c>
      <c r="D616" s="51">
        <v>11</v>
      </c>
      <c r="E616" s="51">
        <f t="shared" si="9"/>
        <v>0</v>
      </c>
    </row>
    <row r="617" spans="1:5">
      <c r="A617" s="59">
        <v>1</v>
      </c>
      <c r="B617" s="59">
        <v>41</v>
      </c>
      <c r="C617" s="59">
        <v>320</v>
      </c>
      <c r="D617" s="51">
        <v>11</v>
      </c>
      <c r="E617" s="51">
        <f t="shared" si="9"/>
        <v>1</v>
      </c>
    </row>
    <row r="618" spans="1:5">
      <c r="A618" s="59">
        <v>1</v>
      </c>
      <c r="B618" s="59">
        <v>63</v>
      </c>
      <c r="C618" s="59">
        <v>899</v>
      </c>
      <c r="D618" s="51">
        <v>11</v>
      </c>
      <c r="E618" s="51">
        <f t="shared" si="9"/>
        <v>0</v>
      </c>
    </row>
    <row r="619" spans="1:5">
      <c r="A619" s="59">
        <v>1</v>
      </c>
      <c r="B619" s="59">
        <v>12</v>
      </c>
      <c r="C619" s="59">
        <v>610</v>
      </c>
      <c r="D619" s="51">
        <v>10</v>
      </c>
      <c r="E619" s="51">
        <f t="shared" si="9"/>
        <v>0</v>
      </c>
    </row>
    <row r="620" spans="1:5">
      <c r="A620" s="59">
        <v>1</v>
      </c>
      <c r="B620" s="59">
        <v>15</v>
      </c>
      <c r="C620" s="59">
        <v>430</v>
      </c>
      <c r="D620" s="51">
        <v>10</v>
      </c>
      <c r="E620" s="51">
        <f t="shared" si="9"/>
        <v>0</v>
      </c>
    </row>
    <row r="621" spans="1:5">
      <c r="A621" s="59">
        <v>1</v>
      </c>
      <c r="B621" s="59">
        <v>16</v>
      </c>
      <c r="C621" s="59">
        <v>550</v>
      </c>
      <c r="D621" s="51">
        <v>10</v>
      </c>
      <c r="E621" s="51">
        <f t="shared" si="9"/>
        <v>0</v>
      </c>
    </row>
    <row r="622" spans="1:5">
      <c r="A622" s="59">
        <v>1</v>
      </c>
      <c r="B622" s="59">
        <v>22</v>
      </c>
      <c r="C622" s="59">
        <v>540</v>
      </c>
      <c r="D622" s="51">
        <v>10</v>
      </c>
      <c r="E622" s="51">
        <f t="shared" si="9"/>
        <v>0</v>
      </c>
    </row>
    <row r="623" spans="1:5">
      <c r="A623" s="59">
        <v>1</v>
      </c>
      <c r="B623" s="59">
        <v>24</v>
      </c>
      <c r="C623" s="59">
        <v>540</v>
      </c>
      <c r="D623" s="51">
        <v>10</v>
      </c>
      <c r="E623" s="51">
        <f t="shared" si="9"/>
        <v>0</v>
      </c>
    </row>
    <row r="624" spans="1:5">
      <c r="A624" s="59">
        <v>1</v>
      </c>
      <c r="B624" s="59">
        <v>32</v>
      </c>
      <c r="C624" s="59">
        <v>220</v>
      </c>
      <c r="D624" s="51">
        <v>10</v>
      </c>
      <c r="E624" s="51">
        <f t="shared" si="9"/>
        <v>0</v>
      </c>
    </row>
    <row r="625" spans="1:5">
      <c r="A625" s="59">
        <v>1</v>
      </c>
      <c r="B625" s="59">
        <v>41</v>
      </c>
      <c r="C625" s="59">
        <v>420</v>
      </c>
      <c r="D625" s="51">
        <v>10</v>
      </c>
      <c r="E625" s="51">
        <f t="shared" si="9"/>
        <v>1</v>
      </c>
    </row>
    <row r="626" spans="1:5">
      <c r="A626" s="59">
        <v>1</v>
      </c>
      <c r="B626" s="59">
        <v>41</v>
      </c>
      <c r="C626" s="59">
        <v>640</v>
      </c>
      <c r="D626" s="51">
        <v>10</v>
      </c>
      <c r="E626" s="51">
        <f t="shared" si="9"/>
        <v>1</v>
      </c>
    </row>
    <row r="627" spans="1:5">
      <c r="A627" s="59">
        <v>1</v>
      </c>
      <c r="B627" s="59">
        <v>41</v>
      </c>
      <c r="C627" s="59">
        <v>850</v>
      </c>
      <c r="D627" s="51">
        <v>10</v>
      </c>
      <c r="E627" s="51">
        <f t="shared" si="9"/>
        <v>1</v>
      </c>
    </row>
    <row r="628" spans="1:5">
      <c r="A628" s="59">
        <v>1</v>
      </c>
      <c r="B628" s="59">
        <v>42</v>
      </c>
      <c r="C628" s="59">
        <v>740</v>
      </c>
      <c r="D628" s="51">
        <v>10</v>
      </c>
      <c r="E628" s="51">
        <f t="shared" si="9"/>
        <v>0</v>
      </c>
    </row>
    <row r="629" spans="1:5">
      <c r="A629" s="59">
        <v>1</v>
      </c>
      <c r="B629" s="59">
        <v>42</v>
      </c>
      <c r="C629" s="59">
        <v>960</v>
      </c>
      <c r="D629" s="51">
        <v>10</v>
      </c>
      <c r="E629" s="51">
        <f t="shared" si="9"/>
        <v>0</v>
      </c>
    </row>
    <row r="630" spans="1:5">
      <c r="A630" s="59">
        <v>1</v>
      </c>
      <c r="B630" s="59">
        <v>51</v>
      </c>
      <c r="C630" s="59">
        <v>210</v>
      </c>
      <c r="D630" s="51">
        <v>10</v>
      </c>
      <c r="E630" s="51">
        <f t="shared" si="9"/>
        <v>0</v>
      </c>
    </row>
    <row r="631" spans="1:5">
      <c r="A631" s="59">
        <v>1</v>
      </c>
      <c r="B631" s="59">
        <v>63</v>
      </c>
      <c r="C631" s="59">
        <v>860</v>
      </c>
      <c r="D631" s="51">
        <v>10</v>
      </c>
      <c r="E631" s="51">
        <f t="shared" si="9"/>
        <v>0</v>
      </c>
    </row>
    <row r="632" spans="1:5">
      <c r="A632" s="59">
        <v>1</v>
      </c>
      <c r="B632" s="59">
        <v>81</v>
      </c>
      <c r="C632" s="59">
        <v>430</v>
      </c>
      <c r="D632" s="51">
        <v>10</v>
      </c>
      <c r="E632" s="51">
        <f t="shared" si="9"/>
        <v>0</v>
      </c>
    </row>
    <row r="633" spans="1:5">
      <c r="A633" s="59">
        <v>1</v>
      </c>
      <c r="B633" s="59">
        <v>81</v>
      </c>
      <c r="C633" s="59">
        <v>630</v>
      </c>
      <c r="D633" s="51">
        <v>10</v>
      </c>
      <c r="E633" s="51">
        <f t="shared" si="9"/>
        <v>0</v>
      </c>
    </row>
    <row r="634" spans="1:5">
      <c r="A634" s="59">
        <v>1</v>
      </c>
      <c r="B634" s="59">
        <v>15</v>
      </c>
      <c r="C634" s="59">
        <v>720</v>
      </c>
      <c r="D634" s="51">
        <v>9</v>
      </c>
      <c r="E634" s="51">
        <f t="shared" si="9"/>
        <v>0</v>
      </c>
    </row>
    <row r="635" spans="1:5">
      <c r="A635" s="59">
        <v>1</v>
      </c>
      <c r="B635" s="59">
        <v>33</v>
      </c>
      <c r="C635" s="59">
        <v>750</v>
      </c>
      <c r="D635" s="51">
        <v>9</v>
      </c>
      <c r="E635" s="51">
        <f t="shared" si="9"/>
        <v>0</v>
      </c>
    </row>
    <row r="636" spans="1:5">
      <c r="A636" s="59">
        <v>1</v>
      </c>
      <c r="B636" s="59">
        <v>42</v>
      </c>
      <c r="C636" s="59">
        <v>130</v>
      </c>
      <c r="D636" s="51">
        <v>9</v>
      </c>
      <c r="E636" s="51">
        <f t="shared" si="9"/>
        <v>0</v>
      </c>
    </row>
    <row r="637" spans="1:5">
      <c r="A637" s="59">
        <v>1</v>
      </c>
      <c r="B637" s="59">
        <v>43</v>
      </c>
      <c r="C637" s="59">
        <v>831</v>
      </c>
      <c r="D637" s="51">
        <v>9</v>
      </c>
      <c r="E637" s="51">
        <f t="shared" si="9"/>
        <v>0</v>
      </c>
    </row>
    <row r="638" spans="1:5">
      <c r="A638" s="59">
        <v>1</v>
      </c>
      <c r="B638" s="59">
        <v>44</v>
      </c>
      <c r="C638" s="59">
        <v>740</v>
      </c>
      <c r="D638" s="51">
        <v>9</v>
      </c>
      <c r="E638" s="51">
        <f t="shared" si="9"/>
        <v>1</v>
      </c>
    </row>
    <row r="639" spans="1:5">
      <c r="A639" s="59">
        <v>1</v>
      </c>
      <c r="B639" s="59">
        <v>51</v>
      </c>
      <c r="C639" s="59">
        <v>520</v>
      </c>
      <c r="D639" s="51">
        <v>9</v>
      </c>
      <c r="E639" s="51">
        <f t="shared" si="9"/>
        <v>0</v>
      </c>
    </row>
    <row r="640" spans="1:5">
      <c r="A640" s="59">
        <v>1</v>
      </c>
      <c r="B640" s="59">
        <v>15</v>
      </c>
      <c r="C640" s="59">
        <v>420</v>
      </c>
      <c r="D640" s="51">
        <v>8</v>
      </c>
      <c r="E640" s="51">
        <f t="shared" si="9"/>
        <v>0</v>
      </c>
    </row>
    <row r="641" spans="1:5">
      <c r="A641" s="59">
        <v>1</v>
      </c>
      <c r="B641" s="59">
        <v>15</v>
      </c>
      <c r="C641" s="59">
        <v>730</v>
      </c>
      <c r="D641" s="51">
        <v>8</v>
      </c>
      <c r="E641" s="51">
        <f t="shared" si="9"/>
        <v>0</v>
      </c>
    </row>
    <row r="642" spans="1:5">
      <c r="A642" s="59">
        <v>1</v>
      </c>
      <c r="B642" s="59">
        <v>21</v>
      </c>
      <c r="C642" s="59">
        <v>210</v>
      </c>
      <c r="D642" s="51">
        <v>8</v>
      </c>
      <c r="E642" s="51">
        <f t="shared" ref="E642:E705" si="10">IF(OR(A642=6,A642=7,A642=14,A642=15,A642=16,A642=17,A642=18,A642=19,A642=20,A642=21,A642=22,A642=23,A642=25,A642=26,A642=27,A642=28,B642=41,B642=44,B642=62),1,0)</f>
        <v>0</v>
      </c>
    </row>
    <row r="643" spans="1:5">
      <c r="A643" s="59">
        <v>1</v>
      </c>
      <c r="B643" s="59">
        <v>21</v>
      </c>
      <c r="C643" s="59">
        <v>930</v>
      </c>
      <c r="D643" s="51">
        <v>8</v>
      </c>
      <c r="E643" s="51">
        <f t="shared" si="10"/>
        <v>0</v>
      </c>
    </row>
    <row r="644" spans="1:5">
      <c r="A644" s="59">
        <v>1</v>
      </c>
      <c r="B644" s="59">
        <v>31</v>
      </c>
      <c r="C644" s="59">
        <v>150</v>
      </c>
      <c r="D644" s="51">
        <v>8</v>
      </c>
      <c r="E644" s="51">
        <f t="shared" si="10"/>
        <v>0</v>
      </c>
    </row>
    <row r="645" spans="1:5">
      <c r="A645" s="59">
        <v>1</v>
      </c>
      <c r="B645" s="59">
        <v>31</v>
      </c>
      <c r="C645" s="59">
        <v>610</v>
      </c>
      <c r="D645" s="51">
        <v>8</v>
      </c>
      <c r="E645" s="51">
        <f t="shared" si="10"/>
        <v>0</v>
      </c>
    </row>
    <row r="646" spans="1:5">
      <c r="A646" s="59">
        <v>1</v>
      </c>
      <c r="B646" s="59">
        <v>32</v>
      </c>
      <c r="C646" s="59">
        <v>950</v>
      </c>
      <c r="D646" s="51">
        <v>8</v>
      </c>
      <c r="E646" s="51">
        <f t="shared" si="10"/>
        <v>0</v>
      </c>
    </row>
    <row r="647" spans="1:5">
      <c r="A647" s="59">
        <v>1</v>
      </c>
      <c r="B647" s="59">
        <v>33</v>
      </c>
      <c r="C647" s="59">
        <v>220</v>
      </c>
      <c r="D647" s="51">
        <v>8</v>
      </c>
      <c r="E647" s="51">
        <f t="shared" si="10"/>
        <v>0</v>
      </c>
    </row>
    <row r="648" spans="1:5">
      <c r="A648" s="59">
        <v>1</v>
      </c>
      <c r="B648" s="59">
        <v>41</v>
      </c>
      <c r="C648" s="59">
        <v>740</v>
      </c>
      <c r="D648" s="51">
        <v>8</v>
      </c>
      <c r="E648" s="51">
        <f t="shared" si="10"/>
        <v>1</v>
      </c>
    </row>
    <row r="649" spans="1:5">
      <c r="A649" s="59">
        <v>1</v>
      </c>
      <c r="B649" s="59">
        <v>62</v>
      </c>
      <c r="C649" s="59">
        <v>831</v>
      </c>
      <c r="D649" s="51">
        <v>8</v>
      </c>
      <c r="E649" s="51">
        <f t="shared" si="10"/>
        <v>1</v>
      </c>
    </row>
    <row r="650" spans="1:5">
      <c r="A650" s="59">
        <v>1</v>
      </c>
      <c r="B650" s="59">
        <v>64</v>
      </c>
      <c r="C650" s="59">
        <v>830</v>
      </c>
      <c r="D650" s="51">
        <v>8</v>
      </c>
      <c r="E650" s="51">
        <f t="shared" si="10"/>
        <v>0</v>
      </c>
    </row>
    <row r="651" spans="1:5">
      <c r="A651" s="59">
        <v>1</v>
      </c>
      <c r="B651" s="59">
        <v>12</v>
      </c>
      <c r="C651" s="59">
        <v>410</v>
      </c>
      <c r="D651" s="51">
        <v>7</v>
      </c>
      <c r="E651" s="51">
        <f t="shared" si="10"/>
        <v>0</v>
      </c>
    </row>
    <row r="652" spans="1:5">
      <c r="A652" s="59">
        <v>1</v>
      </c>
      <c r="B652" s="59">
        <v>13</v>
      </c>
      <c r="C652" s="59">
        <v>710</v>
      </c>
      <c r="D652" s="51">
        <v>7</v>
      </c>
      <c r="E652" s="51">
        <f t="shared" si="10"/>
        <v>0</v>
      </c>
    </row>
    <row r="653" spans="1:5">
      <c r="A653" s="59">
        <v>1</v>
      </c>
      <c r="B653" s="59">
        <v>16</v>
      </c>
      <c r="C653" s="59">
        <v>720</v>
      </c>
      <c r="D653" s="51">
        <v>7</v>
      </c>
      <c r="E653" s="51">
        <f t="shared" si="10"/>
        <v>0</v>
      </c>
    </row>
    <row r="654" spans="1:5">
      <c r="A654" s="59">
        <v>1</v>
      </c>
      <c r="B654" s="59">
        <v>16</v>
      </c>
      <c r="C654" s="59">
        <v>930</v>
      </c>
      <c r="D654" s="51">
        <v>7</v>
      </c>
      <c r="E654" s="51">
        <f t="shared" si="10"/>
        <v>0</v>
      </c>
    </row>
    <row r="655" spans="1:5">
      <c r="A655" s="59">
        <v>1</v>
      </c>
      <c r="B655" s="59">
        <v>16</v>
      </c>
      <c r="C655" s="59">
        <v>990</v>
      </c>
      <c r="D655" s="51">
        <v>7</v>
      </c>
      <c r="E655" s="51">
        <f t="shared" si="10"/>
        <v>0</v>
      </c>
    </row>
    <row r="656" spans="1:5">
      <c r="A656" s="59">
        <v>1</v>
      </c>
      <c r="B656" s="59">
        <v>21</v>
      </c>
      <c r="C656" s="59">
        <v>320</v>
      </c>
      <c r="D656" s="51">
        <v>7</v>
      </c>
      <c r="E656" s="51">
        <f t="shared" si="10"/>
        <v>0</v>
      </c>
    </row>
    <row r="657" spans="1:5">
      <c r="A657" s="59">
        <v>1</v>
      </c>
      <c r="B657" s="59">
        <v>22</v>
      </c>
      <c r="C657" s="59">
        <v>620</v>
      </c>
      <c r="D657" s="51">
        <v>7</v>
      </c>
      <c r="E657" s="51">
        <f t="shared" si="10"/>
        <v>0</v>
      </c>
    </row>
    <row r="658" spans="1:5">
      <c r="A658" s="59">
        <v>1</v>
      </c>
      <c r="B658" s="59">
        <v>24</v>
      </c>
      <c r="C658" s="59">
        <v>110</v>
      </c>
      <c r="D658" s="51">
        <v>7</v>
      </c>
      <c r="E658" s="51">
        <f t="shared" si="10"/>
        <v>0</v>
      </c>
    </row>
    <row r="659" spans="1:5">
      <c r="A659" s="59">
        <v>1</v>
      </c>
      <c r="B659" s="59">
        <v>31</v>
      </c>
      <c r="C659" s="59">
        <v>620</v>
      </c>
      <c r="D659" s="51">
        <v>7</v>
      </c>
      <c r="E659" s="51">
        <f t="shared" si="10"/>
        <v>0</v>
      </c>
    </row>
    <row r="660" spans="1:5">
      <c r="A660" s="59">
        <v>1</v>
      </c>
      <c r="B660" s="59">
        <v>33</v>
      </c>
      <c r="C660" s="59">
        <v>950</v>
      </c>
      <c r="D660" s="51">
        <v>7</v>
      </c>
      <c r="E660" s="51">
        <f t="shared" si="10"/>
        <v>0</v>
      </c>
    </row>
    <row r="661" spans="1:5">
      <c r="A661" s="59">
        <v>1</v>
      </c>
      <c r="B661" s="59">
        <v>42</v>
      </c>
      <c r="C661" s="59">
        <v>750</v>
      </c>
      <c r="D661" s="51">
        <v>7</v>
      </c>
      <c r="E661" s="51">
        <f t="shared" si="10"/>
        <v>0</v>
      </c>
    </row>
    <row r="662" spans="1:5">
      <c r="A662" s="59">
        <v>1</v>
      </c>
      <c r="B662" s="59">
        <v>43</v>
      </c>
      <c r="C662" s="59">
        <v>891</v>
      </c>
      <c r="D662" s="51">
        <v>7</v>
      </c>
      <c r="E662" s="51">
        <f t="shared" si="10"/>
        <v>0</v>
      </c>
    </row>
    <row r="663" spans="1:5">
      <c r="A663" s="59">
        <v>1</v>
      </c>
      <c r="B663" s="59">
        <v>43</v>
      </c>
      <c r="C663" s="59">
        <v>893</v>
      </c>
      <c r="D663" s="51">
        <v>7</v>
      </c>
      <c r="E663" s="51">
        <f t="shared" si="10"/>
        <v>0</v>
      </c>
    </row>
    <row r="664" spans="1:5">
      <c r="A664" s="59">
        <v>1</v>
      </c>
      <c r="B664" s="59">
        <v>62</v>
      </c>
      <c r="C664" s="59">
        <v>893</v>
      </c>
      <c r="D664" s="51">
        <v>7</v>
      </c>
      <c r="E664" s="51">
        <f t="shared" si="10"/>
        <v>1</v>
      </c>
    </row>
    <row r="665" spans="1:5">
      <c r="A665" s="59">
        <v>1</v>
      </c>
      <c r="B665" s="59">
        <v>63</v>
      </c>
      <c r="C665" s="59">
        <v>830</v>
      </c>
      <c r="D665" s="51">
        <v>7</v>
      </c>
      <c r="E665" s="51">
        <f t="shared" si="10"/>
        <v>0</v>
      </c>
    </row>
    <row r="666" spans="1:5">
      <c r="A666" s="59">
        <v>1</v>
      </c>
      <c r="B666" s="59">
        <v>71</v>
      </c>
      <c r="C666" s="59">
        <v>840</v>
      </c>
      <c r="D666" s="51">
        <v>7</v>
      </c>
      <c r="E666" s="51">
        <f t="shared" si="10"/>
        <v>0</v>
      </c>
    </row>
    <row r="667" spans="1:5">
      <c r="A667" s="59">
        <v>1</v>
      </c>
      <c r="B667" s="59">
        <v>11</v>
      </c>
      <c r="C667" s="59">
        <v>120</v>
      </c>
      <c r="D667" s="51">
        <v>6</v>
      </c>
      <c r="E667" s="51">
        <f t="shared" si="10"/>
        <v>0</v>
      </c>
    </row>
    <row r="668" spans="1:5">
      <c r="A668" s="59">
        <v>1</v>
      </c>
      <c r="B668" s="59">
        <v>11</v>
      </c>
      <c r="C668" s="59">
        <v>310</v>
      </c>
      <c r="D668" s="51">
        <v>6</v>
      </c>
      <c r="E668" s="51">
        <f t="shared" si="10"/>
        <v>0</v>
      </c>
    </row>
    <row r="669" spans="1:5">
      <c r="A669" s="59">
        <v>1</v>
      </c>
      <c r="B669" s="59">
        <v>11</v>
      </c>
      <c r="C669" s="59">
        <v>320</v>
      </c>
      <c r="D669" s="51">
        <v>6</v>
      </c>
      <c r="E669" s="51">
        <f t="shared" si="10"/>
        <v>0</v>
      </c>
    </row>
    <row r="670" spans="1:5">
      <c r="A670" s="59">
        <v>1</v>
      </c>
      <c r="B670" s="59">
        <v>11</v>
      </c>
      <c r="C670" s="59">
        <v>920</v>
      </c>
      <c r="D670" s="51">
        <v>6</v>
      </c>
      <c r="E670" s="51">
        <f t="shared" si="10"/>
        <v>0</v>
      </c>
    </row>
    <row r="671" spans="1:5">
      <c r="A671" s="59">
        <v>1</v>
      </c>
      <c r="B671" s="59">
        <v>14</v>
      </c>
      <c r="C671" s="59">
        <v>740</v>
      </c>
      <c r="D671" s="51">
        <v>6</v>
      </c>
      <c r="E671" s="51">
        <f t="shared" si="10"/>
        <v>0</v>
      </c>
    </row>
    <row r="672" spans="1:5">
      <c r="A672" s="59">
        <v>1</v>
      </c>
      <c r="B672" s="59">
        <v>15</v>
      </c>
      <c r="C672" s="59">
        <v>620</v>
      </c>
      <c r="D672" s="51">
        <v>6</v>
      </c>
      <c r="E672" s="51">
        <f t="shared" si="10"/>
        <v>0</v>
      </c>
    </row>
    <row r="673" spans="1:5">
      <c r="A673" s="59">
        <v>1</v>
      </c>
      <c r="B673" s="59">
        <v>32</v>
      </c>
      <c r="C673" s="59">
        <v>120</v>
      </c>
      <c r="D673" s="51">
        <v>6</v>
      </c>
      <c r="E673" s="51">
        <f t="shared" si="10"/>
        <v>0</v>
      </c>
    </row>
    <row r="674" spans="1:5">
      <c r="A674" s="59">
        <v>1</v>
      </c>
      <c r="B674" s="59">
        <v>33</v>
      </c>
      <c r="C674" s="59">
        <v>930</v>
      </c>
      <c r="D674" s="51">
        <v>6</v>
      </c>
      <c r="E674" s="51">
        <f t="shared" si="10"/>
        <v>0</v>
      </c>
    </row>
    <row r="675" spans="1:5">
      <c r="A675" s="59">
        <v>1</v>
      </c>
      <c r="B675" s="59">
        <v>41</v>
      </c>
      <c r="C675" s="59">
        <v>831</v>
      </c>
      <c r="D675" s="51">
        <v>6</v>
      </c>
      <c r="E675" s="51">
        <f t="shared" si="10"/>
        <v>1</v>
      </c>
    </row>
    <row r="676" spans="1:5">
      <c r="A676" s="59">
        <v>1</v>
      </c>
      <c r="B676" s="59">
        <v>41</v>
      </c>
      <c r="C676" s="59">
        <v>893</v>
      </c>
      <c r="D676" s="51">
        <v>6</v>
      </c>
      <c r="E676" s="51">
        <f t="shared" si="10"/>
        <v>1</v>
      </c>
    </row>
    <row r="677" spans="1:5">
      <c r="A677" s="59">
        <v>1</v>
      </c>
      <c r="B677" s="59">
        <v>41</v>
      </c>
      <c r="C677" s="59">
        <v>899</v>
      </c>
      <c r="D677" s="51">
        <v>6</v>
      </c>
      <c r="E677" s="51">
        <f t="shared" si="10"/>
        <v>1</v>
      </c>
    </row>
    <row r="678" spans="1:5">
      <c r="A678" s="59">
        <v>1</v>
      </c>
      <c r="B678" s="59">
        <v>44</v>
      </c>
      <c r="C678" s="59">
        <v>140</v>
      </c>
      <c r="D678" s="51">
        <v>6</v>
      </c>
      <c r="E678" s="51">
        <f t="shared" si="10"/>
        <v>1</v>
      </c>
    </row>
    <row r="679" spans="1:5">
      <c r="A679" s="59">
        <v>1</v>
      </c>
      <c r="B679" s="59">
        <v>61</v>
      </c>
      <c r="C679" s="59">
        <v>110</v>
      </c>
      <c r="D679" s="51">
        <v>6</v>
      </c>
      <c r="E679" s="51">
        <f t="shared" si="10"/>
        <v>0</v>
      </c>
    </row>
    <row r="680" spans="1:5">
      <c r="A680" s="59">
        <v>1</v>
      </c>
      <c r="B680" s="59">
        <v>62</v>
      </c>
      <c r="C680" s="59">
        <v>120</v>
      </c>
      <c r="D680" s="51">
        <v>6</v>
      </c>
      <c r="E680" s="51">
        <f t="shared" si="10"/>
        <v>1</v>
      </c>
    </row>
    <row r="681" spans="1:5">
      <c r="A681" s="59">
        <v>1</v>
      </c>
      <c r="B681" s="59">
        <v>62</v>
      </c>
      <c r="C681" s="59">
        <v>820</v>
      </c>
      <c r="D681" s="51">
        <v>6</v>
      </c>
      <c r="E681" s="51">
        <f t="shared" si="10"/>
        <v>1</v>
      </c>
    </row>
    <row r="682" spans="1:5">
      <c r="A682" s="59">
        <v>1</v>
      </c>
      <c r="B682" s="59">
        <v>63</v>
      </c>
      <c r="C682" s="59">
        <v>820</v>
      </c>
      <c r="D682" s="51">
        <v>6</v>
      </c>
      <c r="E682" s="51">
        <f t="shared" si="10"/>
        <v>0</v>
      </c>
    </row>
    <row r="683" spans="1:5">
      <c r="A683" s="59">
        <v>1</v>
      </c>
      <c r="B683" s="59">
        <v>81</v>
      </c>
      <c r="C683" s="59">
        <v>420</v>
      </c>
      <c r="D683" s="51">
        <v>6</v>
      </c>
      <c r="E683" s="51">
        <f t="shared" si="10"/>
        <v>0</v>
      </c>
    </row>
    <row r="684" spans="1:5">
      <c r="A684" s="59">
        <v>1</v>
      </c>
      <c r="B684" s="59">
        <v>13</v>
      </c>
      <c r="C684" s="59">
        <v>640</v>
      </c>
      <c r="D684" s="51">
        <v>5</v>
      </c>
      <c r="E684" s="51">
        <f t="shared" si="10"/>
        <v>0</v>
      </c>
    </row>
    <row r="685" spans="1:5">
      <c r="A685" s="59">
        <v>1</v>
      </c>
      <c r="B685" s="59">
        <v>16</v>
      </c>
      <c r="C685" s="59">
        <v>620</v>
      </c>
      <c r="D685" s="51">
        <v>5</v>
      </c>
      <c r="E685" s="51">
        <f t="shared" si="10"/>
        <v>0</v>
      </c>
    </row>
    <row r="686" spans="1:5">
      <c r="A686" s="59">
        <v>1</v>
      </c>
      <c r="B686" s="59">
        <v>22</v>
      </c>
      <c r="C686" s="59">
        <v>990</v>
      </c>
      <c r="D686" s="51">
        <v>5</v>
      </c>
      <c r="E686" s="51">
        <f t="shared" si="10"/>
        <v>0</v>
      </c>
    </row>
    <row r="687" spans="1:5">
      <c r="A687" s="59">
        <v>1</v>
      </c>
      <c r="B687" s="59">
        <v>23</v>
      </c>
      <c r="C687" s="59">
        <v>220</v>
      </c>
      <c r="D687" s="51">
        <v>5</v>
      </c>
      <c r="E687" s="51">
        <f t="shared" si="10"/>
        <v>0</v>
      </c>
    </row>
    <row r="688" spans="1:5">
      <c r="A688" s="59">
        <v>1</v>
      </c>
      <c r="B688" s="59">
        <v>24</v>
      </c>
      <c r="C688" s="59">
        <v>240</v>
      </c>
      <c r="D688" s="51">
        <v>5</v>
      </c>
      <c r="E688" s="51">
        <f t="shared" si="10"/>
        <v>0</v>
      </c>
    </row>
    <row r="689" spans="1:5">
      <c r="A689" s="59">
        <v>1</v>
      </c>
      <c r="B689" s="59">
        <v>32</v>
      </c>
      <c r="C689" s="59">
        <v>630</v>
      </c>
      <c r="D689" s="51">
        <v>5</v>
      </c>
      <c r="E689" s="51">
        <f t="shared" si="10"/>
        <v>0</v>
      </c>
    </row>
    <row r="690" spans="1:5">
      <c r="A690" s="59">
        <v>1</v>
      </c>
      <c r="B690" s="59">
        <v>41</v>
      </c>
      <c r="C690" s="59">
        <v>330</v>
      </c>
      <c r="D690" s="51">
        <v>5</v>
      </c>
      <c r="E690" s="51">
        <f t="shared" si="10"/>
        <v>1</v>
      </c>
    </row>
    <row r="691" spans="1:5">
      <c r="A691" s="59">
        <v>1</v>
      </c>
      <c r="B691" s="59">
        <v>44</v>
      </c>
      <c r="C691" s="59">
        <v>860</v>
      </c>
      <c r="D691" s="51">
        <v>5</v>
      </c>
      <c r="E691" s="51">
        <f t="shared" si="10"/>
        <v>1</v>
      </c>
    </row>
    <row r="692" spans="1:5">
      <c r="A692" s="59">
        <v>1</v>
      </c>
      <c r="B692" s="59">
        <v>51</v>
      </c>
      <c r="C692" s="59">
        <v>620</v>
      </c>
      <c r="D692" s="51">
        <v>5</v>
      </c>
      <c r="E692" s="51">
        <f t="shared" si="10"/>
        <v>0</v>
      </c>
    </row>
    <row r="693" spans="1:5">
      <c r="A693" s="59">
        <v>1</v>
      </c>
      <c r="B693" s="59">
        <v>63</v>
      </c>
      <c r="C693" s="59">
        <v>130</v>
      </c>
      <c r="D693" s="51">
        <v>5</v>
      </c>
      <c r="E693" s="51">
        <f t="shared" si="10"/>
        <v>0</v>
      </c>
    </row>
    <row r="694" spans="1:5">
      <c r="A694" s="59">
        <v>1</v>
      </c>
      <c r="B694" s="59">
        <v>63</v>
      </c>
      <c r="C694" s="59">
        <v>861</v>
      </c>
      <c r="D694" s="51">
        <v>5</v>
      </c>
      <c r="E694" s="51">
        <f t="shared" si="10"/>
        <v>0</v>
      </c>
    </row>
    <row r="695" spans="1:5">
      <c r="A695" s="59">
        <v>1</v>
      </c>
      <c r="B695" s="59">
        <v>64</v>
      </c>
      <c r="C695" s="59">
        <v>881</v>
      </c>
      <c r="D695" s="51">
        <v>5</v>
      </c>
      <c r="E695" s="51">
        <f t="shared" si="10"/>
        <v>0</v>
      </c>
    </row>
    <row r="696" spans="1:5">
      <c r="A696" s="59">
        <v>1</v>
      </c>
      <c r="B696" s="59">
        <v>71</v>
      </c>
      <c r="C696" s="59">
        <v>130</v>
      </c>
      <c r="D696" s="51">
        <v>5</v>
      </c>
      <c r="E696" s="51">
        <f t="shared" si="10"/>
        <v>0</v>
      </c>
    </row>
    <row r="697" spans="1:5">
      <c r="A697" s="59">
        <v>1</v>
      </c>
      <c r="B697" s="59">
        <v>71</v>
      </c>
      <c r="C697" s="59">
        <v>820</v>
      </c>
      <c r="D697" s="51">
        <v>5</v>
      </c>
      <c r="E697" s="51">
        <f t="shared" si="10"/>
        <v>0</v>
      </c>
    </row>
    <row r="698" spans="1:5">
      <c r="A698" s="59">
        <v>1</v>
      </c>
      <c r="B698" s="59">
        <v>11</v>
      </c>
      <c r="C698" s="59">
        <v>210</v>
      </c>
      <c r="D698" s="51">
        <v>4</v>
      </c>
      <c r="E698" s="51">
        <f t="shared" si="10"/>
        <v>0</v>
      </c>
    </row>
    <row r="699" spans="1:5">
      <c r="A699" s="59">
        <v>1</v>
      </c>
      <c r="B699" s="59">
        <v>15</v>
      </c>
      <c r="C699" s="59">
        <v>550</v>
      </c>
      <c r="D699" s="51">
        <v>4</v>
      </c>
      <c r="E699" s="51">
        <f t="shared" si="10"/>
        <v>0</v>
      </c>
    </row>
    <row r="700" spans="1:5">
      <c r="A700" s="59">
        <v>1</v>
      </c>
      <c r="B700" s="59">
        <v>22</v>
      </c>
      <c r="C700" s="59">
        <v>970</v>
      </c>
      <c r="D700" s="51">
        <v>4</v>
      </c>
      <c r="E700" s="51">
        <f t="shared" si="10"/>
        <v>0</v>
      </c>
    </row>
    <row r="701" spans="1:5">
      <c r="A701" s="59">
        <v>1</v>
      </c>
      <c r="B701" s="59">
        <v>23</v>
      </c>
      <c r="C701" s="59">
        <v>930</v>
      </c>
      <c r="D701" s="51">
        <v>4</v>
      </c>
      <c r="E701" s="51">
        <f t="shared" si="10"/>
        <v>0</v>
      </c>
    </row>
    <row r="702" spans="1:5">
      <c r="A702" s="59">
        <v>1</v>
      </c>
      <c r="B702" s="59">
        <v>32</v>
      </c>
      <c r="C702" s="59">
        <v>440</v>
      </c>
      <c r="D702" s="51">
        <v>4</v>
      </c>
      <c r="E702" s="51">
        <f t="shared" si="10"/>
        <v>0</v>
      </c>
    </row>
    <row r="703" spans="1:5">
      <c r="A703" s="59">
        <v>1</v>
      </c>
      <c r="B703" s="59">
        <v>32</v>
      </c>
      <c r="C703" s="59">
        <v>640</v>
      </c>
      <c r="D703" s="51">
        <v>4</v>
      </c>
      <c r="E703" s="51">
        <f t="shared" si="10"/>
        <v>0</v>
      </c>
    </row>
    <row r="704" spans="1:5">
      <c r="A704" s="59">
        <v>1</v>
      </c>
      <c r="B704" s="59">
        <v>32</v>
      </c>
      <c r="C704" s="59">
        <v>990</v>
      </c>
      <c r="D704" s="51">
        <v>4</v>
      </c>
      <c r="E704" s="51">
        <f t="shared" si="10"/>
        <v>0</v>
      </c>
    </row>
    <row r="705" spans="1:5">
      <c r="A705" s="59">
        <v>1</v>
      </c>
      <c r="B705" s="59">
        <v>33</v>
      </c>
      <c r="C705" s="59">
        <v>740</v>
      </c>
      <c r="D705" s="51">
        <v>4</v>
      </c>
      <c r="E705" s="51">
        <f t="shared" si="10"/>
        <v>0</v>
      </c>
    </row>
    <row r="706" spans="1:5">
      <c r="A706" s="59">
        <v>1</v>
      </c>
      <c r="B706" s="59">
        <v>61</v>
      </c>
      <c r="C706" s="59">
        <v>160</v>
      </c>
      <c r="D706" s="51">
        <v>4</v>
      </c>
      <c r="E706" s="51">
        <f t="shared" ref="E706:E769" si="11">IF(OR(A706=6,A706=7,A706=14,A706=15,A706=16,A706=17,A706=18,A706=19,A706=20,A706=21,A706=22,A706=23,A706=25,A706=26,A706=27,A706=28,B706=41,B706=44,B706=62),1,0)</f>
        <v>0</v>
      </c>
    </row>
    <row r="707" spans="1:5">
      <c r="A707" s="59">
        <v>1</v>
      </c>
      <c r="B707" s="59">
        <v>61</v>
      </c>
      <c r="C707" s="59">
        <v>730</v>
      </c>
      <c r="D707" s="51">
        <v>4</v>
      </c>
      <c r="E707" s="51">
        <f t="shared" si="11"/>
        <v>0</v>
      </c>
    </row>
    <row r="708" spans="1:5">
      <c r="A708" s="59">
        <v>1</v>
      </c>
      <c r="B708" s="59">
        <v>61</v>
      </c>
      <c r="C708" s="59">
        <v>920</v>
      </c>
      <c r="D708" s="51">
        <v>4</v>
      </c>
      <c r="E708" s="51">
        <f t="shared" si="11"/>
        <v>0</v>
      </c>
    </row>
    <row r="709" spans="1:5">
      <c r="A709" s="59">
        <v>1</v>
      </c>
      <c r="B709" s="59">
        <v>62</v>
      </c>
      <c r="C709" s="59">
        <v>130</v>
      </c>
      <c r="D709" s="51">
        <v>4</v>
      </c>
      <c r="E709" s="51">
        <f t="shared" si="11"/>
        <v>1</v>
      </c>
    </row>
    <row r="710" spans="1:5">
      <c r="A710" s="59">
        <v>1</v>
      </c>
      <c r="B710" s="59">
        <v>71</v>
      </c>
      <c r="C710" s="59">
        <v>893</v>
      </c>
      <c r="D710" s="51">
        <v>4</v>
      </c>
      <c r="E710" s="51">
        <f t="shared" si="11"/>
        <v>0</v>
      </c>
    </row>
    <row r="711" spans="1:5">
      <c r="A711" s="59">
        <v>1</v>
      </c>
      <c r="B711" s="59">
        <v>12</v>
      </c>
      <c r="C711" s="59">
        <v>140</v>
      </c>
      <c r="D711" s="51">
        <v>3</v>
      </c>
      <c r="E711" s="51">
        <f t="shared" si="11"/>
        <v>0</v>
      </c>
    </row>
    <row r="712" spans="1:5">
      <c r="A712" s="59">
        <v>1</v>
      </c>
      <c r="B712" s="59">
        <v>13</v>
      </c>
      <c r="C712" s="59">
        <v>440</v>
      </c>
      <c r="D712" s="51">
        <v>3</v>
      </c>
      <c r="E712" s="51">
        <f t="shared" si="11"/>
        <v>0</v>
      </c>
    </row>
    <row r="713" spans="1:5">
      <c r="A713" s="59">
        <v>1</v>
      </c>
      <c r="B713" s="59">
        <v>13</v>
      </c>
      <c r="C713" s="59">
        <v>740</v>
      </c>
      <c r="D713" s="51">
        <v>3</v>
      </c>
      <c r="E713" s="51">
        <f t="shared" si="11"/>
        <v>0</v>
      </c>
    </row>
    <row r="714" spans="1:5">
      <c r="A714" s="59">
        <v>1</v>
      </c>
      <c r="B714" s="59">
        <v>13</v>
      </c>
      <c r="C714" s="59">
        <v>861</v>
      </c>
      <c r="D714" s="51">
        <v>3</v>
      </c>
      <c r="E714" s="51">
        <f t="shared" si="11"/>
        <v>0</v>
      </c>
    </row>
    <row r="715" spans="1:5">
      <c r="A715" s="59">
        <v>1</v>
      </c>
      <c r="B715" s="59">
        <v>15</v>
      </c>
      <c r="C715" s="59">
        <v>750</v>
      </c>
      <c r="D715" s="51">
        <v>3</v>
      </c>
      <c r="E715" s="51">
        <f t="shared" si="11"/>
        <v>0</v>
      </c>
    </row>
    <row r="716" spans="1:5">
      <c r="A716" s="59">
        <v>1</v>
      </c>
      <c r="B716" s="59">
        <v>16</v>
      </c>
      <c r="C716" s="59">
        <v>630</v>
      </c>
      <c r="D716" s="51">
        <v>3</v>
      </c>
      <c r="E716" s="51">
        <f t="shared" si="11"/>
        <v>0</v>
      </c>
    </row>
    <row r="717" spans="1:5">
      <c r="A717" s="59">
        <v>1</v>
      </c>
      <c r="B717" s="59">
        <v>21</v>
      </c>
      <c r="C717" s="59">
        <v>160</v>
      </c>
      <c r="D717" s="51">
        <v>3</v>
      </c>
      <c r="E717" s="51">
        <f t="shared" si="11"/>
        <v>0</v>
      </c>
    </row>
    <row r="718" spans="1:5">
      <c r="A718" s="59">
        <v>1</v>
      </c>
      <c r="B718" s="59">
        <v>22</v>
      </c>
      <c r="C718" s="59">
        <v>720</v>
      </c>
      <c r="D718" s="51">
        <v>3</v>
      </c>
      <c r="E718" s="51">
        <f t="shared" si="11"/>
        <v>0</v>
      </c>
    </row>
    <row r="719" spans="1:5">
      <c r="A719" s="59">
        <v>1</v>
      </c>
      <c r="B719" s="59">
        <v>22</v>
      </c>
      <c r="C719" s="59">
        <v>891</v>
      </c>
      <c r="D719" s="51">
        <v>3</v>
      </c>
      <c r="E719" s="51">
        <f t="shared" si="11"/>
        <v>0</v>
      </c>
    </row>
    <row r="720" spans="1:5">
      <c r="A720" s="59">
        <v>1</v>
      </c>
      <c r="B720" s="59">
        <v>23</v>
      </c>
      <c r="C720" s="59">
        <v>610</v>
      </c>
      <c r="D720" s="51">
        <v>3</v>
      </c>
      <c r="E720" s="51">
        <f t="shared" si="11"/>
        <v>0</v>
      </c>
    </row>
    <row r="721" spans="1:5">
      <c r="A721" s="59">
        <v>1</v>
      </c>
      <c r="B721" s="59">
        <v>32</v>
      </c>
      <c r="C721" s="59">
        <v>740</v>
      </c>
      <c r="D721" s="51">
        <v>3</v>
      </c>
      <c r="E721" s="51">
        <f t="shared" si="11"/>
        <v>0</v>
      </c>
    </row>
    <row r="722" spans="1:5">
      <c r="A722" s="59">
        <v>1</v>
      </c>
      <c r="B722" s="59">
        <v>32</v>
      </c>
      <c r="C722" s="59">
        <v>820</v>
      </c>
      <c r="D722" s="51">
        <v>3</v>
      </c>
      <c r="E722" s="51">
        <f t="shared" si="11"/>
        <v>0</v>
      </c>
    </row>
    <row r="723" spans="1:5">
      <c r="A723" s="59">
        <v>1</v>
      </c>
      <c r="B723" s="59">
        <v>33</v>
      </c>
      <c r="C723" s="59">
        <v>620</v>
      </c>
      <c r="D723" s="51">
        <v>3</v>
      </c>
      <c r="E723" s="51">
        <f t="shared" si="11"/>
        <v>0</v>
      </c>
    </row>
    <row r="724" spans="1:5">
      <c r="A724" s="59">
        <v>1</v>
      </c>
      <c r="B724" s="59">
        <v>33</v>
      </c>
      <c r="C724" s="59">
        <v>640</v>
      </c>
      <c r="D724" s="51">
        <v>3</v>
      </c>
      <c r="E724" s="51">
        <f t="shared" si="11"/>
        <v>0</v>
      </c>
    </row>
    <row r="725" spans="1:5">
      <c r="A725" s="59">
        <v>1</v>
      </c>
      <c r="B725" s="59">
        <v>33</v>
      </c>
      <c r="C725" s="59">
        <v>960</v>
      </c>
      <c r="D725" s="51">
        <v>3</v>
      </c>
      <c r="E725" s="51">
        <f t="shared" si="11"/>
        <v>0</v>
      </c>
    </row>
    <row r="726" spans="1:5">
      <c r="A726" s="59">
        <v>1</v>
      </c>
      <c r="B726" s="59">
        <v>41</v>
      </c>
      <c r="C726" s="59">
        <v>220</v>
      </c>
      <c r="D726" s="51">
        <v>3</v>
      </c>
      <c r="E726" s="51">
        <f t="shared" si="11"/>
        <v>1</v>
      </c>
    </row>
    <row r="727" spans="1:5">
      <c r="A727" s="59">
        <v>1</v>
      </c>
      <c r="B727" s="59">
        <v>43</v>
      </c>
      <c r="C727" s="59">
        <v>896</v>
      </c>
      <c r="D727" s="51">
        <v>3</v>
      </c>
      <c r="E727" s="51">
        <f t="shared" si="11"/>
        <v>0</v>
      </c>
    </row>
    <row r="728" spans="1:5">
      <c r="A728" s="59">
        <v>1</v>
      </c>
      <c r="B728" s="59">
        <v>51</v>
      </c>
      <c r="C728" s="59">
        <v>240</v>
      </c>
      <c r="D728" s="51">
        <v>3</v>
      </c>
      <c r="E728" s="51">
        <f t="shared" si="11"/>
        <v>0</v>
      </c>
    </row>
    <row r="729" spans="1:5">
      <c r="A729" s="59">
        <v>1</v>
      </c>
      <c r="B729" s="59">
        <v>51</v>
      </c>
      <c r="C729" s="59">
        <v>550</v>
      </c>
      <c r="D729" s="51">
        <v>3</v>
      </c>
      <c r="E729" s="51">
        <f t="shared" si="11"/>
        <v>0</v>
      </c>
    </row>
    <row r="730" spans="1:5">
      <c r="A730" s="59">
        <v>1</v>
      </c>
      <c r="B730" s="59">
        <v>61</v>
      </c>
      <c r="C730" s="59">
        <v>420</v>
      </c>
      <c r="D730" s="51">
        <v>3</v>
      </c>
      <c r="E730" s="51">
        <f t="shared" si="11"/>
        <v>0</v>
      </c>
    </row>
    <row r="731" spans="1:5">
      <c r="A731" s="59">
        <v>1</v>
      </c>
      <c r="B731" s="59">
        <v>61</v>
      </c>
      <c r="C731" s="59">
        <v>520</v>
      </c>
      <c r="D731" s="51">
        <v>3</v>
      </c>
      <c r="E731" s="51">
        <f t="shared" si="11"/>
        <v>0</v>
      </c>
    </row>
    <row r="732" spans="1:5">
      <c r="A732" s="59">
        <v>1</v>
      </c>
      <c r="B732" s="59">
        <v>71</v>
      </c>
      <c r="C732" s="59">
        <v>140</v>
      </c>
      <c r="D732" s="51">
        <v>3</v>
      </c>
      <c r="E732" s="51">
        <f t="shared" si="11"/>
        <v>0</v>
      </c>
    </row>
    <row r="733" spans="1:5">
      <c r="A733" s="59">
        <v>1</v>
      </c>
      <c r="B733" s="59">
        <v>81</v>
      </c>
      <c r="C733" s="59">
        <v>881</v>
      </c>
      <c r="D733" s="51">
        <v>3</v>
      </c>
      <c r="E733" s="51">
        <f t="shared" si="11"/>
        <v>0</v>
      </c>
    </row>
    <row r="734" spans="1:5">
      <c r="A734" s="59">
        <v>1</v>
      </c>
      <c r="B734" s="59">
        <v>11</v>
      </c>
      <c r="C734" s="59">
        <v>550</v>
      </c>
      <c r="D734" s="51">
        <v>2</v>
      </c>
      <c r="E734" s="51">
        <f t="shared" si="11"/>
        <v>0</v>
      </c>
    </row>
    <row r="735" spans="1:5">
      <c r="A735" s="59">
        <v>1</v>
      </c>
      <c r="B735" s="59">
        <v>11</v>
      </c>
      <c r="C735" s="59">
        <v>710</v>
      </c>
      <c r="D735" s="51">
        <v>2</v>
      </c>
      <c r="E735" s="51">
        <f t="shared" si="11"/>
        <v>0</v>
      </c>
    </row>
    <row r="736" spans="1:5">
      <c r="A736" s="59">
        <v>1</v>
      </c>
      <c r="B736" s="59">
        <v>11</v>
      </c>
      <c r="C736" s="59">
        <v>930</v>
      </c>
      <c r="D736" s="51">
        <v>2</v>
      </c>
      <c r="E736" s="51">
        <f t="shared" si="11"/>
        <v>0</v>
      </c>
    </row>
    <row r="737" spans="1:5">
      <c r="A737" s="59">
        <v>1</v>
      </c>
      <c r="B737" s="59">
        <v>12</v>
      </c>
      <c r="C737" s="59">
        <v>210</v>
      </c>
      <c r="D737" s="51">
        <v>2</v>
      </c>
      <c r="E737" s="51">
        <f t="shared" si="11"/>
        <v>0</v>
      </c>
    </row>
    <row r="738" spans="1:5">
      <c r="A738" s="59">
        <v>1</v>
      </c>
      <c r="B738" s="59">
        <v>13</v>
      </c>
      <c r="C738" s="59">
        <v>890</v>
      </c>
      <c r="D738" s="51">
        <v>2</v>
      </c>
      <c r="E738" s="51">
        <f t="shared" si="11"/>
        <v>0</v>
      </c>
    </row>
    <row r="739" spans="1:5">
      <c r="A739" s="59">
        <v>1</v>
      </c>
      <c r="B739" s="59">
        <v>14</v>
      </c>
      <c r="C739" s="59">
        <v>440</v>
      </c>
      <c r="D739" s="51">
        <v>2</v>
      </c>
      <c r="E739" s="51">
        <f t="shared" si="11"/>
        <v>0</v>
      </c>
    </row>
    <row r="740" spans="1:5">
      <c r="A740" s="59">
        <v>1</v>
      </c>
      <c r="B740" s="59">
        <v>14</v>
      </c>
      <c r="C740" s="59">
        <v>891</v>
      </c>
      <c r="D740" s="51">
        <v>2</v>
      </c>
      <c r="E740" s="51">
        <f t="shared" si="11"/>
        <v>0</v>
      </c>
    </row>
    <row r="741" spans="1:5">
      <c r="A741" s="59">
        <v>1</v>
      </c>
      <c r="B741" s="59">
        <v>15</v>
      </c>
      <c r="C741" s="59">
        <v>540</v>
      </c>
      <c r="D741" s="51">
        <v>2</v>
      </c>
      <c r="E741" s="51">
        <f t="shared" si="11"/>
        <v>0</v>
      </c>
    </row>
    <row r="742" spans="1:5">
      <c r="A742" s="59">
        <v>1</v>
      </c>
      <c r="B742" s="59">
        <v>15</v>
      </c>
      <c r="C742" s="59">
        <v>960</v>
      </c>
      <c r="D742" s="51">
        <v>2</v>
      </c>
      <c r="E742" s="51">
        <f t="shared" si="11"/>
        <v>0</v>
      </c>
    </row>
    <row r="743" spans="1:5">
      <c r="A743" s="59">
        <v>1</v>
      </c>
      <c r="B743" s="59">
        <v>15</v>
      </c>
      <c r="C743" s="59">
        <v>970</v>
      </c>
      <c r="D743" s="51">
        <v>2</v>
      </c>
      <c r="E743" s="51">
        <f t="shared" si="11"/>
        <v>0</v>
      </c>
    </row>
    <row r="744" spans="1:5">
      <c r="A744" s="59">
        <v>1</v>
      </c>
      <c r="B744" s="59">
        <v>21</v>
      </c>
      <c r="C744" s="59">
        <v>430</v>
      </c>
      <c r="D744" s="51">
        <v>2</v>
      </c>
      <c r="E744" s="51">
        <f t="shared" si="11"/>
        <v>0</v>
      </c>
    </row>
    <row r="745" spans="1:5">
      <c r="A745" s="59">
        <v>1</v>
      </c>
      <c r="B745" s="59">
        <v>22</v>
      </c>
      <c r="C745" s="59">
        <v>550</v>
      </c>
      <c r="D745" s="51">
        <v>2</v>
      </c>
      <c r="E745" s="51">
        <f t="shared" si="11"/>
        <v>0</v>
      </c>
    </row>
    <row r="746" spans="1:5">
      <c r="A746" s="59">
        <v>1</v>
      </c>
      <c r="B746" s="59">
        <v>22</v>
      </c>
      <c r="C746" s="59">
        <v>710</v>
      </c>
      <c r="D746" s="51">
        <v>2</v>
      </c>
      <c r="E746" s="51">
        <f t="shared" si="11"/>
        <v>0</v>
      </c>
    </row>
    <row r="747" spans="1:5">
      <c r="A747" s="59">
        <v>1</v>
      </c>
      <c r="B747" s="59">
        <v>22</v>
      </c>
      <c r="C747" s="59">
        <v>940</v>
      </c>
      <c r="D747" s="51">
        <v>2</v>
      </c>
      <c r="E747" s="51">
        <f t="shared" si="11"/>
        <v>0</v>
      </c>
    </row>
    <row r="748" spans="1:5">
      <c r="A748" s="59">
        <v>1</v>
      </c>
      <c r="B748" s="59">
        <v>23</v>
      </c>
      <c r="C748" s="59">
        <v>120</v>
      </c>
      <c r="D748" s="51">
        <v>2</v>
      </c>
      <c r="E748" s="51">
        <f t="shared" si="11"/>
        <v>0</v>
      </c>
    </row>
    <row r="749" spans="1:5">
      <c r="A749" s="59">
        <v>1</v>
      </c>
      <c r="B749" s="59">
        <v>23</v>
      </c>
      <c r="C749" s="59">
        <v>130</v>
      </c>
      <c r="D749" s="51">
        <v>2</v>
      </c>
      <c r="E749" s="51">
        <f t="shared" si="11"/>
        <v>0</v>
      </c>
    </row>
    <row r="750" spans="1:5">
      <c r="A750" s="59">
        <v>1</v>
      </c>
      <c r="B750" s="59">
        <v>23</v>
      </c>
      <c r="C750" s="59">
        <v>410</v>
      </c>
      <c r="D750" s="51">
        <v>2</v>
      </c>
      <c r="E750" s="51">
        <f t="shared" si="11"/>
        <v>0</v>
      </c>
    </row>
    <row r="751" spans="1:5">
      <c r="A751" s="59">
        <v>1</v>
      </c>
      <c r="B751" s="59">
        <v>23</v>
      </c>
      <c r="C751" s="59">
        <v>540</v>
      </c>
      <c r="D751" s="51">
        <v>2</v>
      </c>
      <c r="E751" s="51">
        <f t="shared" si="11"/>
        <v>0</v>
      </c>
    </row>
    <row r="752" spans="1:5">
      <c r="A752" s="59">
        <v>1</v>
      </c>
      <c r="B752" s="59">
        <v>23</v>
      </c>
      <c r="C752" s="59">
        <v>920</v>
      </c>
      <c r="D752" s="51">
        <v>2</v>
      </c>
      <c r="E752" s="51">
        <f t="shared" si="11"/>
        <v>0</v>
      </c>
    </row>
    <row r="753" spans="1:5">
      <c r="A753" s="59">
        <v>1</v>
      </c>
      <c r="B753" s="59">
        <v>23</v>
      </c>
      <c r="C753" s="59">
        <v>950</v>
      </c>
      <c r="D753" s="51">
        <v>2</v>
      </c>
      <c r="E753" s="51">
        <f t="shared" si="11"/>
        <v>0</v>
      </c>
    </row>
    <row r="754" spans="1:5">
      <c r="A754" s="59">
        <v>1</v>
      </c>
      <c r="B754" s="59">
        <v>24</v>
      </c>
      <c r="C754" s="59">
        <v>150</v>
      </c>
      <c r="D754" s="51">
        <v>2</v>
      </c>
      <c r="E754" s="51">
        <f t="shared" si="11"/>
        <v>0</v>
      </c>
    </row>
    <row r="755" spans="1:5">
      <c r="A755" s="59">
        <v>1</v>
      </c>
      <c r="B755" s="59">
        <v>24</v>
      </c>
      <c r="C755" s="59">
        <v>320</v>
      </c>
      <c r="D755" s="51">
        <v>2</v>
      </c>
      <c r="E755" s="51">
        <f t="shared" si="11"/>
        <v>0</v>
      </c>
    </row>
    <row r="756" spans="1:5">
      <c r="A756" s="59">
        <v>1</v>
      </c>
      <c r="B756" s="59">
        <v>24</v>
      </c>
      <c r="C756" s="59">
        <v>420</v>
      </c>
      <c r="D756" s="51">
        <v>2</v>
      </c>
      <c r="E756" s="51">
        <f t="shared" si="11"/>
        <v>0</v>
      </c>
    </row>
    <row r="757" spans="1:5">
      <c r="A757" s="59">
        <v>1</v>
      </c>
      <c r="B757" s="59">
        <v>31</v>
      </c>
      <c r="C757" s="59">
        <v>160</v>
      </c>
      <c r="D757" s="51">
        <v>2</v>
      </c>
      <c r="E757" s="51">
        <f t="shared" si="11"/>
        <v>0</v>
      </c>
    </row>
    <row r="758" spans="1:5">
      <c r="A758" s="59">
        <v>1</v>
      </c>
      <c r="B758" s="59">
        <v>41</v>
      </c>
      <c r="C758" s="59">
        <v>440</v>
      </c>
      <c r="D758" s="51">
        <v>2</v>
      </c>
      <c r="E758" s="51">
        <f t="shared" si="11"/>
        <v>1</v>
      </c>
    </row>
    <row r="759" spans="1:5">
      <c r="A759" s="59">
        <v>1</v>
      </c>
      <c r="B759" s="59">
        <v>43</v>
      </c>
      <c r="C759" s="59">
        <v>890</v>
      </c>
      <c r="D759" s="51">
        <v>2</v>
      </c>
      <c r="E759" s="51">
        <f t="shared" si="11"/>
        <v>0</v>
      </c>
    </row>
    <row r="760" spans="1:5">
      <c r="A760" s="59">
        <v>1</v>
      </c>
      <c r="B760" s="59">
        <v>44</v>
      </c>
      <c r="C760" s="59">
        <v>440</v>
      </c>
      <c r="D760" s="51">
        <v>2</v>
      </c>
      <c r="E760" s="51">
        <f t="shared" si="11"/>
        <v>1</v>
      </c>
    </row>
    <row r="761" spans="1:5">
      <c r="A761" s="59">
        <v>1</v>
      </c>
      <c r="B761" s="59">
        <v>51</v>
      </c>
      <c r="C761" s="59">
        <v>410</v>
      </c>
      <c r="D761" s="51">
        <v>2</v>
      </c>
      <c r="E761" s="51">
        <f t="shared" si="11"/>
        <v>0</v>
      </c>
    </row>
    <row r="762" spans="1:5">
      <c r="A762" s="59">
        <v>1</v>
      </c>
      <c r="B762" s="59">
        <v>51</v>
      </c>
      <c r="C762" s="59">
        <v>430</v>
      </c>
      <c r="D762" s="51">
        <v>2</v>
      </c>
      <c r="E762" s="51">
        <f t="shared" si="11"/>
        <v>0</v>
      </c>
    </row>
    <row r="763" spans="1:5">
      <c r="A763" s="59">
        <v>1</v>
      </c>
      <c r="B763" s="59">
        <v>51</v>
      </c>
      <c r="C763" s="59">
        <v>540</v>
      </c>
      <c r="D763" s="51">
        <v>2</v>
      </c>
      <c r="E763" s="51">
        <f t="shared" si="11"/>
        <v>0</v>
      </c>
    </row>
    <row r="764" spans="1:5">
      <c r="A764" s="59">
        <v>1</v>
      </c>
      <c r="B764" s="59">
        <v>61</v>
      </c>
      <c r="C764" s="59">
        <v>550</v>
      </c>
      <c r="D764" s="51">
        <v>2</v>
      </c>
      <c r="E764" s="51">
        <f t="shared" si="11"/>
        <v>0</v>
      </c>
    </row>
    <row r="765" spans="1:5">
      <c r="A765" s="59">
        <v>1</v>
      </c>
      <c r="B765" s="59">
        <v>62</v>
      </c>
      <c r="C765" s="59">
        <v>861</v>
      </c>
      <c r="D765" s="51">
        <v>2</v>
      </c>
      <c r="E765" s="51">
        <f t="shared" si="11"/>
        <v>1</v>
      </c>
    </row>
    <row r="766" spans="1:5">
      <c r="A766" s="59">
        <v>1</v>
      </c>
      <c r="B766" s="59">
        <v>63</v>
      </c>
      <c r="C766" s="59">
        <v>120</v>
      </c>
      <c r="D766" s="51">
        <v>2</v>
      </c>
      <c r="E766" s="51">
        <f t="shared" si="11"/>
        <v>0</v>
      </c>
    </row>
    <row r="767" spans="1:5">
      <c r="A767" s="59">
        <v>1</v>
      </c>
      <c r="B767" s="59">
        <v>63</v>
      </c>
      <c r="C767" s="59">
        <v>840</v>
      </c>
      <c r="D767" s="51">
        <v>2</v>
      </c>
      <c r="E767" s="51">
        <f t="shared" si="11"/>
        <v>0</v>
      </c>
    </row>
    <row r="768" spans="1:5">
      <c r="A768" s="59">
        <v>1</v>
      </c>
      <c r="B768" s="59">
        <v>64</v>
      </c>
      <c r="C768" s="59">
        <v>892</v>
      </c>
      <c r="D768" s="51">
        <v>2</v>
      </c>
      <c r="E768" s="51">
        <f t="shared" si="11"/>
        <v>0</v>
      </c>
    </row>
    <row r="769" spans="1:5">
      <c r="A769" s="59">
        <v>1</v>
      </c>
      <c r="B769" s="59">
        <v>64</v>
      </c>
      <c r="C769" s="59">
        <v>895</v>
      </c>
      <c r="D769" s="51">
        <v>2</v>
      </c>
      <c r="E769" s="51">
        <f t="shared" si="11"/>
        <v>0</v>
      </c>
    </row>
    <row r="770" spans="1:5">
      <c r="A770" s="59">
        <v>1</v>
      </c>
      <c r="B770" s="59">
        <v>71</v>
      </c>
      <c r="C770" s="59">
        <v>850</v>
      </c>
      <c r="D770" s="51">
        <v>2</v>
      </c>
      <c r="E770" s="51">
        <f t="shared" ref="E770:E833" si="12">IF(OR(A770=6,A770=7,A770=14,A770=15,A770=16,A770=17,A770=18,A770=19,A770=20,A770=21,A770=22,A770=23,A770=25,A770=26,A770=27,A770=28,B770=41,B770=44,B770=62),1,0)</f>
        <v>0</v>
      </c>
    </row>
    <row r="771" spans="1:5">
      <c r="A771" s="59">
        <v>1</v>
      </c>
      <c r="B771" s="59">
        <v>81</v>
      </c>
      <c r="C771" s="59">
        <v>940</v>
      </c>
      <c r="D771" s="51">
        <v>2</v>
      </c>
      <c r="E771" s="51">
        <f t="shared" si="12"/>
        <v>0</v>
      </c>
    </row>
    <row r="772" spans="1:5">
      <c r="A772" s="59">
        <v>1</v>
      </c>
      <c r="B772" s="59">
        <v>11</v>
      </c>
      <c r="C772" s="59">
        <v>220</v>
      </c>
      <c r="D772" s="51">
        <v>1</v>
      </c>
      <c r="E772" s="51">
        <f t="shared" si="12"/>
        <v>0</v>
      </c>
    </row>
    <row r="773" spans="1:5">
      <c r="A773" s="59">
        <v>1</v>
      </c>
      <c r="B773" s="59">
        <v>11</v>
      </c>
      <c r="C773" s="59">
        <v>230</v>
      </c>
      <c r="D773" s="51">
        <v>1</v>
      </c>
      <c r="E773" s="51">
        <f t="shared" si="12"/>
        <v>0</v>
      </c>
    </row>
    <row r="774" spans="1:5">
      <c r="A774" s="59">
        <v>1</v>
      </c>
      <c r="B774" s="59">
        <v>11</v>
      </c>
      <c r="C774" s="59">
        <v>410</v>
      </c>
      <c r="D774" s="51">
        <v>1</v>
      </c>
      <c r="E774" s="51">
        <f t="shared" si="12"/>
        <v>0</v>
      </c>
    </row>
    <row r="775" spans="1:5">
      <c r="A775" s="59">
        <v>1</v>
      </c>
      <c r="B775" s="59">
        <v>11</v>
      </c>
      <c r="C775" s="59">
        <v>430</v>
      </c>
      <c r="D775" s="51">
        <v>1</v>
      </c>
      <c r="E775" s="51">
        <f t="shared" si="12"/>
        <v>0</v>
      </c>
    </row>
    <row r="776" spans="1:5">
      <c r="A776" s="59">
        <v>1</v>
      </c>
      <c r="B776" s="59">
        <v>11</v>
      </c>
      <c r="C776" s="59">
        <v>540</v>
      </c>
      <c r="D776" s="51">
        <v>1</v>
      </c>
      <c r="E776" s="51">
        <f t="shared" si="12"/>
        <v>0</v>
      </c>
    </row>
    <row r="777" spans="1:5">
      <c r="A777" s="59">
        <v>1</v>
      </c>
      <c r="B777" s="59">
        <v>11</v>
      </c>
      <c r="C777" s="59">
        <v>620</v>
      </c>
      <c r="D777" s="51">
        <v>1</v>
      </c>
      <c r="E777" s="51">
        <f t="shared" si="12"/>
        <v>0</v>
      </c>
    </row>
    <row r="778" spans="1:5">
      <c r="A778" s="59">
        <v>1</v>
      </c>
      <c r="B778" s="59">
        <v>11</v>
      </c>
      <c r="C778" s="59">
        <v>750</v>
      </c>
      <c r="D778" s="51">
        <v>1</v>
      </c>
      <c r="E778" s="51">
        <f t="shared" si="12"/>
        <v>0</v>
      </c>
    </row>
    <row r="779" spans="1:5">
      <c r="A779" s="59">
        <v>1</v>
      </c>
      <c r="B779" s="59">
        <v>11</v>
      </c>
      <c r="C779" s="59">
        <v>950</v>
      </c>
      <c r="D779" s="51">
        <v>1</v>
      </c>
      <c r="E779" s="51">
        <f t="shared" si="12"/>
        <v>0</v>
      </c>
    </row>
    <row r="780" spans="1:5">
      <c r="A780" s="59">
        <v>1</v>
      </c>
      <c r="B780" s="59">
        <v>12</v>
      </c>
      <c r="C780" s="59">
        <v>130</v>
      </c>
      <c r="D780" s="51">
        <v>1</v>
      </c>
      <c r="E780" s="51">
        <f t="shared" si="12"/>
        <v>0</v>
      </c>
    </row>
    <row r="781" spans="1:5">
      <c r="A781" s="59">
        <v>1</v>
      </c>
      <c r="B781" s="59">
        <v>12</v>
      </c>
      <c r="C781" s="59">
        <v>240</v>
      </c>
      <c r="D781" s="51">
        <v>1</v>
      </c>
      <c r="E781" s="51">
        <f t="shared" si="12"/>
        <v>0</v>
      </c>
    </row>
    <row r="782" spans="1:5">
      <c r="A782" s="59">
        <v>1</v>
      </c>
      <c r="B782" s="59">
        <v>12</v>
      </c>
      <c r="C782" s="59">
        <v>330</v>
      </c>
      <c r="D782" s="51">
        <v>1</v>
      </c>
      <c r="E782" s="51">
        <f t="shared" si="12"/>
        <v>0</v>
      </c>
    </row>
    <row r="783" spans="1:5">
      <c r="A783" s="59">
        <v>1</v>
      </c>
      <c r="B783" s="59">
        <v>12</v>
      </c>
      <c r="C783" s="59">
        <v>430</v>
      </c>
      <c r="D783" s="51">
        <v>1</v>
      </c>
      <c r="E783" s="51">
        <f t="shared" si="12"/>
        <v>0</v>
      </c>
    </row>
    <row r="784" spans="1:5">
      <c r="A784" s="59">
        <v>1</v>
      </c>
      <c r="B784" s="59">
        <v>13</v>
      </c>
      <c r="C784" s="59">
        <v>840</v>
      </c>
      <c r="D784" s="51">
        <v>1</v>
      </c>
      <c r="E784" s="51">
        <f t="shared" si="12"/>
        <v>0</v>
      </c>
    </row>
    <row r="785" spans="1:5">
      <c r="A785" s="59">
        <v>1</v>
      </c>
      <c r="B785" s="59">
        <v>13</v>
      </c>
      <c r="C785" s="59">
        <v>970</v>
      </c>
      <c r="D785" s="51">
        <v>1</v>
      </c>
      <c r="E785" s="51">
        <f t="shared" si="12"/>
        <v>0</v>
      </c>
    </row>
    <row r="786" spans="1:5">
      <c r="A786" s="59">
        <v>1</v>
      </c>
      <c r="B786" s="59">
        <v>14</v>
      </c>
      <c r="C786" s="59">
        <v>630</v>
      </c>
      <c r="D786" s="51">
        <v>1</v>
      </c>
      <c r="E786" s="51">
        <f t="shared" si="12"/>
        <v>0</v>
      </c>
    </row>
    <row r="787" spans="1:5">
      <c r="A787" s="59">
        <v>1</v>
      </c>
      <c r="B787" s="59">
        <v>14</v>
      </c>
      <c r="C787" s="59">
        <v>860</v>
      </c>
      <c r="D787" s="51">
        <v>1</v>
      </c>
      <c r="E787" s="51">
        <f t="shared" si="12"/>
        <v>0</v>
      </c>
    </row>
    <row r="788" spans="1:5">
      <c r="A788" s="59">
        <v>1</v>
      </c>
      <c r="B788" s="59">
        <v>14</v>
      </c>
      <c r="C788" s="59">
        <v>890</v>
      </c>
      <c r="D788" s="51">
        <v>1</v>
      </c>
      <c r="E788" s="51">
        <f t="shared" si="12"/>
        <v>0</v>
      </c>
    </row>
    <row r="789" spans="1:5">
      <c r="A789" s="59">
        <v>1</v>
      </c>
      <c r="B789" s="59">
        <v>15</v>
      </c>
      <c r="C789" s="59">
        <v>630</v>
      </c>
      <c r="D789" s="51">
        <v>1</v>
      </c>
      <c r="E789" s="51">
        <f t="shared" si="12"/>
        <v>0</v>
      </c>
    </row>
    <row r="790" spans="1:5">
      <c r="A790" s="59">
        <v>1</v>
      </c>
      <c r="B790" s="59">
        <v>16</v>
      </c>
      <c r="C790" s="59">
        <v>960</v>
      </c>
      <c r="D790" s="51">
        <v>1</v>
      </c>
      <c r="E790" s="51">
        <f t="shared" si="12"/>
        <v>0</v>
      </c>
    </row>
    <row r="791" spans="1:5">
      <c r="A791" s="59">
        <v>1</v>
      </c>
      <c r="B791" s="59">
        <v>21</v>
      </c>
      <c r="C791" s="59">
        <v>130</v>
      </c>
      <c r="D791" s="51">
        <v>1</v>
      </c>
      <c r="E791" s="51">
        <f t="shared" si="12"/>
        <v>0</v>
      </c>
    </row>
    <row r="792" spans="1:5">
      <c r="A792" s="59">
        <v>1</v>
      </c>
      <c r="B792" s="59">
        <v>21</v>
      </c>
      <c r="C792" s="59">
        <v>140</v>
      </c>
      <c r="D792" s="51">
        <v>1</v>
      </c>
      <c r="E792" s="51">
        <f t="shared" si="12"/>
        <v>0</v>
      </c>
    </row>
    <row r="793" spans="1:5">
      <c r="A793" s="59">
        <v>1</v>
      </c>
      <c r="B793" s="59">
        <v>21</v>
      </c>
      <c r="C793" s="59">
        <v>220</v>
      </c>
      <c r="D793" s="51">
        <v>1</v>
      </c>
      <c r="E793" s="51">
        <f t="shared" si="12"/>
        <v>0</v>
      </c>
    </row>
    <row r="794" spans="1:5">
      <c r="A794" s="59">
        <v>1</v>
      </c>
      <c r="B794" s="59">
        <v>21</v>
      </c>
      <c r="C794" s="59">
        <v>310</v>
      </c>
      <c r="D794" s="51">
        <v>1</v>
      </c>
      <c r="E794" s="51">
        <f t="shared" si="12"/>
        <v>0</v>
      </c>
    </row>
    <row r="795" spans="1:5">
      <c r="A795" s="59">
        <v>1</v>
      </c>
      <c r="B795" s="59">
        <v>21</v>
      </c>
      <c r="C795" s="59">
        <v>520</v>
      </c>
      <c r="D795" s="51">
        <v>1</v>
      </c>
      <c r="E795" s="51">
        <f t="shared" si="12"/>
        <v>0</v>
      </c>
    </row>
    <row r="796" spans="1:5">
      <c r="A796" s="59">
        <v>1</v>
      </c>
      <c r="B796" s="59">
        <v>21</v>
      </c>
      <c r="C796" s="59">
        <v>530</v>
      </c>
      <c r="D796" s="51">
        <v>1</v>
      </c>
      <c r="E796" s="51">
        <f t="shared" si="12"/>
        <v>0</v>
      </c>
    </row>
    <row r="797" spans="1:5">
      <c r="A797" s="59">
        <v>1</v>
      </c>
      <c r="B797" s="59">
        <v>21</v>
      </c>
      <c r="C797" s="59">
        <v>730</v>
      </c>
      <c r="D797" s="51">
        <v>1</v>
      </c>
      <c r="E797" s="51">
        <f t="shared" si="12"/>
        <v>0</v>
      </c>
    </row>
    <row r="798" spans="1:5">
      <c r="A798" s="59">
        <v>1</v>
      </c>
      <c r="B798" s="59">
        <v>22</v>
      </c>
      <c r="C798" s="59">
        <v>750</v>
      </c>
      <c r="D798" s="51">
        <v>1</v>
      </c>
      <c r="E798" s="51">
        <f t="shared" si="12"/>
        <v>0</v>
      </c>
    </row>
    <row r="799" spans="1:5">
      <c r="A799" s="59">
        <v>1</v>
      </c>
      <c r="B799" s="59">
        <v>22</v>
      </c>
      <c r="C799" s="59">
        <v>960</v>
      </c>
      <c r="D799" s="51">
        <v>1</v>
      </c>
      <c r="E799" s="51">
        <f t="shared" si="12"/>
        <v>0</v>
      </c>
    </row>
    <row r="800" spans="1:5">
      <c r="A800" s="59">
        <v>1</v>
      </c>
      <c r="B800" s="59">
        <v>24</v>
      </c>
      <c r="C800" s="59">
        <v>160</v>
      </c>
      <c r="D800" s="51">
        <v>1</v>
      </c>
      <c r="E800" s="51">
        <f t="shared" si="12"/>
        <v>0</v>
      </c>
    </row>
    <row r="801" spans="1:5">
      <c r="A801" s="59">
        <v>1</v>
      </c>
      <c r="B801" s="59">
        <v>24</v>
      </c>
      <c r="C801" s="59">
        <v>720</v>
      </c>
      <c r="D801" s="51">
        <v>1</v>
      </c>
      <c r="E801" s="51">
        <f t="shared" si="12"/>
        <v>0</v>
      </c>
    </row>
    <row r="802" spans="1:5">
      <c r="A802" s="59">
        <v>1</v>
      </c>
      <c r="B802" s="59">
        <v>24</v>
      </c>
      <c r="C802" s="59">
        <v>730</v>
      </c>
      <c r="D802" s="51">
        <v>1</v>
      </c>
      <c r="E802" s="51">
        <f t="shared" si="12"/>
        <v>0</v>
      </c>
    </row>
    <row r="803" spans="1:5">
      <c r="A803" s="59">
        <v>1</v>
      </c>
      <c r="B803" s="59">
        <v>24</v>
      </c>
      <c r="C803" s="59">
        <v>920</v>
      </c>
      <c r="D803" s="51">
        <v>1</v>
      </c>
      <c r="E803" s="51">
        <f t="shared" si="12"/>
        <v>0</v>
      </c>
    </row>
    <row r="804" spans="1:5">
      <c r="A804" s="59">
        <v>1</v>
      </c>
      <c r="B804" s="59">
        <v>31</v>
      </c>
      <c r="C804" s="59">
        <v>230</v>
      </c>
      <c r="D804" s="51">
        <v>1</v>
      </c>
      <c r="E804" s="51">
        <f t="shared" si="12"/>
        <v>0</v>
      </c>
    </row>
    <row r="805" spans="1:5">
      <c r="A805" s="59">
        <v>1</v>
      </c>
      <c r="B805" s="59">
        <v>31</v>
      </c>
      <c r="C805" s="59">
        <v>310</v>
      </c>
      <c r="D805" s="51">
        <v>1</v>
      </c>
      <c r="E805" s="51">
        <f t="shared" si="12"/>
        <v>0</v>
      </c>
    </row>
    <row r="806" spans="1:5">
      <c r="A806" s="59">
        <v>1</v>
      </c>
      <c r="B806" s="59">
        <v>31</v>
      </c>
      <c r="C806" s="59">
        <v>550</v>
      </c>
      <c r="D806" s="51">
        <v>1</v>
      </c>
      <c r="E806" s="51">
        <f t="shared" si="12"/>
        <v>0</v>
      </c>
    </row>
    <row r="807" spans="1:5">
      <c r="A807" s="59">
        <v>1</v>
      </c>
      <c r="B807" s="59">
        <v>31</v>
      </c>
      <c r="C807" s="59">
        <v>920</v>
      </c>
      <c r="D807" s="51">
        <v>1</v>
      </c>
      <c r="E807" s="51">
        <f t="shared" si="12"/>
        <v>0</v>
      </c>
    </row>
    <row r="808" spans="1:5">
      <c r="A808" s="59">
        <v>1</v>
      </c>
      <c r="B808" s="59">
        <v>32</v>
      </c>
      <c r="C808" s="59">
        <v>130</v>
      </c>
      <c r="D808" s="51">
        <v>1</v>
      </c>
      <c r="E808" s="51">
        <f t="shared" si="12"/>
        <v>0</v>
      </c>
    </row>
    <row r="809" spans="1:5">
      <c r="A809" s="59">
        <v>1</v>
      </c>
      <c r="B809" s="59">
        <v>32</v>
      </c>
      <c r="C809" s="59">
        <v>140</v>
      </c>
      <c r="D809" s="51">
        <v>1</v>
      </c>
      <c r="E809" s="51">
        <f t="shared" si="12"/>
        <v>0</v>
      </c>
    </row>
    <row r="810" spans="1:5">
      <c r="A810" s="59">
        <v>1</v>
      </c>
      <c r="B810" s="59">
        <v>32</v>
      </c>
      <c r="C810" s="59">
        <v>940</v>
      </c>
      <c r="D810" s="51">
        <v>1</v>
      </c>
      <c r="E810" s="51">
        <f t="shared" si="12"/>
        <v>0</v>
      </c>
    </row>
    <row r="811" spans="1:5">
      <c r="A811" s="59">
        <v>1</v>
      </c>
      <c r="B811" s="59">
        <v>33</v>
      </c>
      <c r="C811" s="59">
        <v>630</v>
      </c>
      <c r="D811" s="51">
        <v>1</v>
      </c>
      <c r="E811" s="51">
        <f t="shared" si="12"/>
        <v>0</v>
      </c>
    </row>
    <row r="812" spans="1:5">
      <c r="A812" s="59">
        <v>1</v>
      </c>
      <c r="B812" s="59">
        <v>41</v>
      </c>
      <c r="C812" s="59">
        <v>130</v>
      </c>
      <c r="D812" s="51">
        <v>1</v>
      </c>
      <c r="E812" s="51">
        <f t="shared" si="12"/>
        <v>1</v>
      </c>
    </row>
    <row r="813" spans="1:5">
      <c r="A813" s="59">
        <v>1</v>
      </c>
      <c r="B813" s="59">
        <v>41</v>
      </c>
      <c r="C813" s="59">
        <v>140</v>
      </c>
      <c r="D813" s="51">
        <v>1</v>
      </c>
      <c r="E813" s="51">
        <f t="shared" si="12"/>
        <v>1</v>
      </c>
    </row>
    <row r="814" spans="1:5">
      <c r="A814" s="59">
        <v>1</v>
      </c>
      <c r="B814" s="59">
        <v>41</v>
      </c>
      <c r="C814" s="59">
        <v>892</v>
      </c>
      <c r="D814" s="51">
        <v>1</v>
      </c>
      <c r="E814" s="51">
        <f t="shared" si="12"/>
        <v>1</v>
      </c>
    </row>
    <row r="815" spans="1:5">
      <c r="A815" s="59">
        <v>1</v>
      </c>
      <c r="B815" s="59">
        <v>42</v>
      </c>
      <c r="C815" s="59">
        <v>140</v>
      </c>
      <c r="D815" s="51">
        <v>1</v>
      </c>
      <c r="E815" s="51">
        <f t="shared" si="12"/>
        <v>0</v>
      </c>
    </row>
    <row r="816" spans="1:5">
      <c r="A816" s="59">
        <v>1</v>
      </c>
      <c r="B816" s="59">
        <v>42</v>
      </c>
      <c r="C816" s="59">
        <v>710</v>
      </c>
      <c r="D816" s="51">
        <v>1</v>
      </c>
      <c r="E816" s="51">
        <f t="shared" si="12"/>
        <v>0</v>
      </c>
    </row>
    <row r="817" spans="1:5">
      <c r="A817" s="59">
        <v>1</v>
      </c>
      <c r="B817" s="59">
        <v>42</v>
      </c>
      <c r="C817" s="59">
        <v>831</v>
      </c>
      <c r="D817" s="51">
        <v>1</v>
      </c>
      <c r="E817" s="51">
        <f t="shared" si="12"/>
        <v>0</v>
      </c>
    </row>
    <row r="818" spans="1:5">
      <c r="A818" s="59">
        <v>1</v>
      </c>
      <c r="B818" s="59">
        <v>44</v>
      </c>
      <c r="C818" s="59">
        <v>862</v>
      </c>
      <c r="D818" s="51">
        <v>1</v>
      </c>
      <c r="E818" s="51">
        <f t="shared" si="12"/>
        <v>1</v>
      </c>
    </row>
    <row r="819" spans="1:5">
      <c r="A819" s="59">
        <v>1</v>
      </c>
      <c r="B819" s="59">
        <v>44</v>
      </c>
      <c r="C819" s="59">
        <v>881</v>
      </c>
      <c r="D819" s="51">
        <v>1</v>
      </c>
      <c r="E819" s="51">
        <f t="shared" si="12"/>
        <v>1</v>
      </c>
    </row>
    <row r="820" spans="1:5">
      <c r="A820" s="59">
        <v>1</v>
      </c>
      <c r="B820" s="59">
        <v>44</v>
      </c>
      <c r="C820" s="59">
        <v>890</v>
      </c>
      <c r="D820" s="51">
        <v>1</v>
      </c>
      <c r="E820" s="51">
        <f t="shared" si="12"/>
        <v>1</v>
      </c>
    </row>
    <row r="821" spans="1:5">
      <c r="A821" s="59">
        <v>1</v>
      </c>
      <c r="B821" s="59">
        <v>51</v>
      </c>
      <c r="C821" s="59">
        <v>220</v>
      </c>
      <c r="D821" s="51">
        <v>1</v>
      </c>
      <c r="E821" s="51">
        <f t="shared" si="12"/>
        <v>0</v>
      </c>
    </row>
    <row r="822" spans="1:5">
      <c r="A822" s="59">
        <v>1</v>
      </c>
      <c r="B822" s="59">
        <v>51</v>
      </c>
      <c r="C822" s="59">
        <v>310</v>
      </c>
      <c r="D822" s="51">
        <v>1</v>
      </c>
      <c r="E822" s="51">
        <f t="shared" si="12"/>
        <v>0</v>
      </c>
    </row>
    <row r="823" spans="1:5">
      <c r="A823" s="59">
        <v>1</v>
      </c>
      <c r="B823" s="59">
        <v>51</v>
      </c>
      <c r="C823" s="59">
        <v>320</v>
      </c>
      <c r="D823" s="51">
        <v>1</v>
      </c>
      <c r="E823" s="51">
        <f t="shared" si="12"/>
        <v>0</v>
      </c>
    </row>
    <row r="824" spans="1:5">
      <c r="A824" s="59">
        <v>1</v>
      </c>
      <c r="B824" s="59">
        <v>51</v>
      </c>
      <c r="C824" s="59">
        <v>440</v>
      </c>
      <c r="D824" s="51">
        <v>1</v>
      </c>
      <c r="E824" s="51">
        <f t="shared" si="12"/>
        <v>0</v>
      </c>
    </row>
    <row r="825" spans="1:5">
      <c r="A825" s="59">
        <v>1</v>
      </c>
      <c r="B825" s="59">
        <v>51</v>
      </c>
      <c r="C825" s="59">
        <v>640</v>
      </c>
      <c r="D825" s="51">
        <v>1</v>
      </c>
      <c r="E825" s="51">
        <f t="shared" si="12"/>
        <v>0</v>
      </c>
    </row>
    <row r="826" spans="1:5">
      <c r="A826" s="59">
        <v>1</v>
      </c>
      <c r="B826" s="59">
        <v>51</v>
      </c>
      <c r="C826" s="59">
        <v>720</v>
      </c>
      <c r="D826" s="51">
        <v>1</v>
      </c>
      <c r="E826" s="51">
        <f t="shared" si="12"/>
        <v>0</v>
      </c>
    </row>
    <row r="827" spans="1:5">
      <c r="A827" s="59">
        <v>1</v>
      </c>
      <c r="B827" s="59">
        <v>61</v>
      </c>
      <c r="C827" s="59">
        <v>120</v>
      </c>
      <c r="D827" s="51">
        <v>1</v>
      </c>
      <c r="E827" s="51">
        <f t="shared" si="12"/>
        <v>0</v>
      </c>
    </row>
    <row r="828" spans="1:5">
      <c r="A828" s="59">
        <v>1</v>
      </c>
      <c r="B828" s="59">
        <v>61</v>
      </c>
      <c r="C828" s="59">
        <v>150</v>
      </c>
      <c r="D828" s="51">
        <v>1</v>
      </c>
      <c r="E828" s="51">
        <f t="shared" si="12"/>
        <v>0</v>
      </c>
    </row>
    <row r="829" spans="1:5">
      <c r="A829" s="59">
        <v>1</v>
      </c>
      <c r="B829" s="59">
        <v>61</v>
      </c>
      <c r="C829" s="59">
        <v>430</v>
      </c>
      <c r="D829" s="51">
        <v>1</v>
      </c>
      <c r="E829" s="51">
        <f t="shared" si="12"/>
        <v>0</v>
      </c>
    </row>
    <row r="830" spans="1:5">
      <c r="A830" s="59">
        <v>1</v>
      </c>
      <c r="B830" s="59">
        <v>61</v>
      </c>
      <c r="C830" s="59">
        <v>620</v>
      </c>
      <c r="D830" s="51">
        <v>1</v>
      </c>
      <c r="E830" s="51">
        <f t="shared" si="12"/>
        <v>0</v>
      </c>
    </row>
    <row r="831" spans="1:5">
      <c r="A831" s="59">
        <v>1</v>
      </c>
      <c r="B831" s="59">
        <v>61</v>
      </c>
      <c r="C831" s="59">
        <v>710</v>
      </c>
      <c r="D831" s="51">
        <v>1</v>
      </c>
      <c r="E831" s="51">
        <f t="shared" si="12"/>
        <v>0</v>
      </c>
    </row>
    <row r="832" spans="1:5">
      <c r="A832" s="59">
        <v>1</v>
      </c>
      <c r="B832" s="59">
        <v>61</v>
      </c>
      <c r="C832" s="59">
        <v>861</v>
      </c>
      <c r="D832" s="51">
        <v>1</v>
      </c>
      <c r="E832" s="51">
        <f t="shared" si="12"/>
        <v>0</v>
      </c>
    </row>
    <row r="833" spans="1:5">
      <c r="A833" s="59">
        <v>1</v>
      </c>
      <c r="B833" s="59">
        <v>62</v>
      </c>
      <c r="C833" s="59">
        <v>140</v>
      </c>
      <c r="D833" s="51">
        <v>1</v>
      </c>
      <c r="E833" s="51">
        <f t="shared" si="12"/>
        <v>1</v>
      </c>
    </row>
    <row r="834" spans="1:5">
      <c r="A834" s="59">
        <v>1</v>
      </c>
      <c r="B834" s="59">
        <v>62</v>
      </c>
      <c r="C834" s="59">
        <v>860</v>
      </c>
      <c r="D834" s="51">
        <v>1</v>
      </c>
      <c r="E834" s="51">
        <f t="shared" ref="E834:E897" si="13">IF(OR(A834=6,A834=7,A834=14,A834=15,A834=16,A834=17,A834=18,A834=19,A834=20,A834=21,A834=22,A834=23,A834=25,A834=26,A834=27,A834=28,B834=41,B834=44,B834=62),1,0)</f>
        <v>1</v>
      </c>
    </row>
    <row r="835" spans="1:5">
      <c r="A835" s="59">
        <v>1</v>
      </c>
      <c r="B835" s="59">
        <v>62</v>
      </c>
      <c r="C835" s="59">
        <v>862</v>
      </c>
      <c r="D835" s="51">
        <v>1</v>
      </c>
      <c r="E835" s="51">
        <f t="shared" si="13"/>
        <v>1</v>
      </c>
    </row>
    <row r="836" spans="1:5">
      <c r="A836" s="59">
        <v>1</v>
      </c>
      <c r="B836" s="59">
        <v>63</v>
      </c>
      <c r="C836" s="59">
        <v>893</v>
      </c>
      <c r="D836" s="51">
        <v>1</v>
      </c>
      <c r="E836" s="51">
        <f t="shared" si="13"/>
        <v>0</v>
      </c>
    </row>
    <row r="837" spans="1:5">
      <c r="A837" s="59">
        <v>1</v>
      </c>
      <c r="B837" s="59">
        <v>64</v>
      </c>
      <c r="C837" s="59">
        <v>810</v>
      </c>
      <c r="D837" s="51">
        <v>1</v>
      </c>
      <c r="E837" s="51">
        <f t="shared" si="13"/>
        <v>0</v>
      </c>
    </row>
    <row r="838" spans="1:5">
      <c r="A838" s="59">
        <v>1</v>
      </c>
      <c r="B838" s="59">
        <v>64</v>
      </c>
      <c r="C838" s="59">
        <v>862</v>
      </c>
      <c r="D838" s="51">
        <v>1</v>
      </c>
      <c r="E838" s="51">
        <f t="shared" si="13"/>
        <v>0</v>
      </c>
    </row>
    <row r="839" spans="1:5">
      <c r="A839" s="59">
        <v>1</v>
      </c>
      <c r="B839" s="59">
        <v>71</v>
      </c>
      <c r="C839" s="59">
        <v>810</v>
      </c>
      <c r="D839" s="51">
        <v>1</v>
      </c>
      <c r="E839" s="51">
        <f t="shared" si="13"/>
        <v>0</v>
      </c>
    </row>
    <row r="840" spans="1:5">
      <c r="A840" s="59">
        <v>1</v>
      </c>
      <c r="B840" s="59">
        <v>81</v>
      </c>
      <c r="C840" s="59">
        <v>140</v>
      </c>
      <c r="D840" s="51">
        <v>1</v>
      </c>
      <c r="E840" s="51">
        <f t="shared" si="13"/>
        <v>0</v>
      </c>
    </row>
    <row r="841" spans="1:5">
      <c r="A841" s="59">
        <v>2</v>
      </c>
      <c r="B841" s="59">
        <v>71</v>
      </c>
      <c r="C841" s="59">
        <v>610</v>
      </c>
      <c r="D841" s="51">
        <v>2943503</v>
      </c>
      <c r="E841" s="51">
        <f t="shared" si="13"/>
        <v>0</v>
      </c>
    </row>
    <row r="842" spans="1:5">
      <c r="A842" s="59">
        <v>2</v>
      </c>
      <c r="B842" s="59">
        <v>64</v>
      </c>
      <c r="C842" s="59">
        <v>610</v>
      </c>
      <c r="D842" s="51">
        <v>855468</v>
      </c>
      <c r="E842" s="51">
        <f t="shared" si="13"/>
        <v>0</v>
      </c>
    </row>
    <row r="843" spans="1:5">
      <c r="A843" s="59">
        <v>2</v>
      </c>
      <c r="B843" s="59">
        <v>63</v>
      </c>
      <c r="C843" s="59">
        <v>610</v>
      </c>
      <c r="D843" s="51">
        <v>616499</v>
      </c>
      <c r="E843" s="51">
        <f t="shared" si="13"/>
        <v>0</v>
      </c>
    </row>
    <row r="844" spans="1:5">
      <c r="A844" s="59">
        <v>2</v>
      </c>
      <c r="B844" s="59">
        <v>43</v>
      </c>
      <c r="C844" s="59">
        <v>610</v>
      </c>
      <c r="D844" s="51">
        <v>348658</v>
      </c>
      <c r="E844" s="51">
        <f t="shared" si="13"/>
        <v>0</v>
      </c>
    </row>
    <row r="845" spans="1:5">
      <c r="A845" s="59">
        <v>2</v>
      </c>
      <c r="B845" s="59">
        <v>42</v>
      </c>
      <c r="C845" s="59">
        <v>610</v>
      </c>
      <c r="D845" s="51">
        <v>331043</v>
      </c>
      <c r="E845" s="51">
        <f t="shared" si="13"/>
        <v>0</v>
      </c>
    </row>
    <row r="846" spans="1:5">
      <c r="A846" s="59">
        <v>2</v>
      </c>
      <c r="B846" s="59">
        <v>62</v>
      </c>
      <c r="C846" s="59">
        <v>610</v>
      </c>
      <c r="D846" s="51">
        <v>323411</v>
      </c>
      <c r="E846" s="51">
        <f t="shared" si="13"/>
        <v>1</v>
      </c>
    </row>
    <row r="847" spans="1:5">
      <c r="A847" s="59">
        <v>2</v>
      </c>
      <c r="B847" s="59">
        <v>44</v>
      </c>
      <c r="C847" s="59">
        <v>610</v>
      </c>
      <c r="D847" s="51">
        <v>220317</v>
      </c>
      <c r="E847" s="51">
        <f t="shared" si="13"/>
        <v>1</v>
      </c>
    </row>
    <row r="848" spans="1:5">
      <c r="A848" s="59">
        <v>2</v>
      </c>
      <c r="B848" s="59">
        <v>64</v>
      </c>
      <c r="C848" s="59">
        <v>510</v>
      </c>
      <c r="D848" s="51">
        <v>156299</v>
      </c>
      <c r="E848" s="51">
        <f t="shared" si="13"/>
        <v>0</v>
      </c>
    </row>
    <row r="849" spans="1:5">
      <c r="A849" s="59">
        <v>2</v>
      </c>
      <c r="B849" s="59">
        <v>71</v>
      </c>
      <c r="C849" s="59">
        <v>910</v>
      </c>
      <c r="D849" s="51">
        <v>115831</v>
      </c>
      <c r="E849" s="51">
        <f t="shared" si="13"/>
        <v>0</v>
      </c>
    </row>
    <row r="850" spans="1:5">
      <c r="A850" s="59">
        <v>2</v>
      </c>
      <c r="B850" s="59">
        <v>81</v>
      </c>
      <c r="C850" s="59">
        <v>610</v>
      </c>
      <c r="D850" s="51">
        <v>86123</v>
      </c>
      <c r="E850" s="51">
        <f t="shared" si="13"/>
        <v>0</v>
      </c>
    </row>
    <row r="851" spans="1:5">
      <c r="A851" s="59">
        <v>2</v>
      </c>
      <c r="B851" s="59">
        <v>64</v>
      </c>
      <c r="C851" s="59">
        <v>910</v>
      </c>
      <c r="D851" s="51">
        <v>83714</v>
      </c>
      <c r="E851" s="51">
        <f t="shared" si="13"/>
        <v>0</v>
      </c>
    </row>
    <row r="852" spans="1:5">
      <c r="A852" s="59">
        <v>2</v>
      </c>
      <c r="B852" s="59">
        <v>63</v>
      </c>
      <c r="C852" s="59">
        <v>510</v>
      </c>
      <c r="D852" s="51">
        <v>77177</v>
      </c>
      <c r="E852" s="51">
        <f t="shared" si="13"/>
        <v>0</v>
      </c>
    </row>
    <row r="853" spans="1:5">
      <c r="A853" s="59">
        <v>2</v>
      </c>
      <c r="B853" s="59">
        <v>62</v>
      </c>
      <c r="C853" s="59">
        <v>510</v>
      </c>
      <c r="D853" s="51">
        <v>73963</v>
      </c>
      <c r="E853" s="51">
        <f t="shared" si="13"/>
        <v>1</v>
      </c>
    </row>
    <row r="854" spans="1:5">
      <c r="A854" s="59">
        <v>2</v>
      </c>
      <c r="B854" s="59">
        <v>43</v>
      </c>
      <c r="C854" s="59">
        <v>510</v>
      </c>
      <c r="D854" s="51">
        <v>70263</v>
      </c>
      <c r="E854" s="51">
        <f t="shared" si="13"/>
        <v>0</v>
      </c>
    </row>
    <row r="855" spans="1:5">
      <c r="A855" s="59">
        <v>2</v>
      </c>
      <c r="B855" s="59">
        <v>71</v>
      </c>
      <c r="C855" s="59">
        <v>510</v>
      </c>
      <c r="D855" s="51">
        <v>70256</v>
      </c>
      <c r="E855" s="51">
        <f t="shared" si="13"/>
        <v>0</v>
      </c>
    </row>
    <row r="856" spans="1:5">
      <c r="A856" s="59">
        <v>2</v>
      </c>
      <c r="B856" s="59">
        <v>71</v>
      </c>
      <c r="C856" s="59">
        <v>920</v>
      </c>
      <c r="D856" s="51">
        <v>66093</v>
      </c>
      <c r="E856" s="51">
        <f t="shared" si="13"/>
        <v>0</v>
      </c>
    </row>
    <row r="857" spans="1:5">
      <c r="A857" s="59">
        <v>2</v>
      </c>
      <c r="B857" s="59">
        <v>44</v>
      </c>
      <c r="C857" s="59">
        <v>510</v>
      </c>
      <c r="D857" s="51">
        <v>55308</v>
      </c>
      <c r="E857" s="51">
        <f t="shared" si="13"/>
        <v>1</v>
      </c>
    </row>
    <row r="858" spans="1:5">
      <c r="A858" s="59">
        <v>2</v>
      </c>
      <c r="B858" s="59">
        <v>43</v>
      </c>
      <c r="C858" s="59">
        <v>910</v>
      </c>
      <c r="D858" s="51">
        <v>51176</v>
      </c>
      <c r="E858" s="51">
        <f t="shared" si="13"/>
        <v>0</v>
      </c>
    </row>
    <row r="859" spans="1:5">
      <c r="A859" s="59">
        <v>2</v>
      </c>
      <c r="B859" s="59">
        <v>63</v>
      </c>
      <c r="C859" s="59">
        <v>910</v>
      </c>
      <c r="D859" s="51">
        <v>41776</v>
      </c>
      <c r="E859" s="51">
        <f t="shared" si="13"/>
        <v>0</v>
      </c>
    </row>
    <row r="860" spans="1:5">
      <c r="A860" s="59">
        <v>2</v>
      </c>
      <c r="B860" s="59">
        <v>14</v>
      </c>
      <c r="C860" s="59">
        <v>150</v>
      </c>
      <c r="D860" s="51">
        <v>41250</v>
      </c>
      <c r="E860" s="51">
        <f t="shared" si="13"/>
        <v>0</v>
      </c>
    </row>
    <row r="861" spans="1:5">
      <c r="A861" s="59">
        <v>2</v>
      </c>
      <c r="B861" s="59">
        <v>13</v>
      </c>
      <c r="C861" s="59">
        <v>150</v>
      </c>
      <c r="D861" s="51">
        <v>40631</v>
      </c>
      <c r="E861" s="51">
        <f t="shared" si="13"/>
        <v>0</v>
      </c>
    </row>
    <row r="862" spans="1:5">
      <c r="A862" s="59">
        <v>2</v>
      </c>
      <c r="B862" s="59">
        <v>13</v>
      </c>
      <c r="C862" s="59">
        <v>610</v>
      </c>
      <c r="D862" s="51">
        <v>35617</v>
      </c>
      <c r="E862" s="51">
        <f t="shared" si="13"/>
        <v>0</v>
      </c>
    </row>
    <row r="863" spans="1:5">
      <c r="A863" s="59">
        <v>2</v>
      </c>
      <c r="B863" s="59">
        <v>71</v>
      </c>
      <c r="C863" s="59">
        <v>520</v>
      </c>
      <c r="D863" s="51">
        <v>31703</v>
      </c>
      <c r="E863" s="51">
        <f t="shared" si="13"/>
        <v>0</v>
      </c>
    </row>
    <row r="864" spans="1:5">
      <c r="A864" s="59">
        <v>2</v>
      </c>
      <c r="B864" s="59">
        <v>64</v>
      </c>
      <c r="C864" s="59">
        <v>110</v>
      </c>
      <c r="D864" s="51">
        <v>30235</v>
      </c>
      <c r="E864" s="51">
        <f t="shared" si="13"/>
        <v>0</v>
      </c>
    </row>
    <row r="865" spans="1:5">
      <c r="A865" s="59">
        <v>2</v>
      </c>
      <c r="B865" s="59">
        <v>62</v>
      </c>
      <c r="C865" s="59">
        <v>910</v>
      </c>
      <c r="D865" s="51">
        <v>26136</v>
      </c>
      <c r="E865" s="51">
        <f t="shared" si="13"/>
        <v>1</v>
      </c>
    </row>
    <row r="866" spans="1:5">
      <c r="A866" s="59">
        <v>2</v>
      </c>
      <c r="B866" s="59">
        <v>14</v>
      </c>
      <c r="C866" s="59">
        <v>610</v>
      </c>
      <c r="D866" s="51">
        <v>25705</v>
      </c>
      <c r="E866" s="51">
        <f t="shared" si="13"/>
        <v>0</v>
      </c>
    </row>
    <row r="867" spans="1:5">
      <c r="A867" s="59">
        <v>2</v>
      </c>
      <c r="B867" s="59">
        <v>44</v>
      </c>
      <c r="C867" s="59">
        <v>910</v>
      </c>
      <c r="D867" s="51">
        <v>25179</v>
      </c>
      <c r="E867" s="51">
        <f t="shared" si="13"/>
        <v>1</v>
      </c>
    </row>
    <row r="868" spans="1:5">
      <c r="A868" s="59">
        <v>2</v>
      </c>
      <c r="B868" s="59">
        <v>41</v>
      </c>
      <c r="C868" s="59">
        <v>610</v>
      </c>
      <c r="D868" s="51">
        <v>23985</v>
      </c>
      <c r="E868" s="51">
        <f t="shared" si="13"/>
        <v>1</v>
      </c>
    </row>
    <row r="869" spans="1:5">
      <c r="A869" s="59">
        <v>2</v>
      </c>
      <c r="B869" s="59">
        <v>62</v>
      </c>
      <c r="C869" s="59">
        <v>920</v>
      </c>
      <c r="D869" s="51">
        <v>23010</v>
      </c>
      <c r="E869" s="51">
        <f t="shared" si="13"/>
        <v>1</v>
      </c>
    </row>
    <row r="870" spans="1:5">
      <c r="A870" s="59">
        <v>2</v>
      </c>
      <c r="B870" s="59">
        <v>42</v>
      </c>
      <c r="C870" s="59">
        <v>910</v>
      </c>
      <c r="D870" s="51">
        <v>21338</v>
      </c>
      <c r="E870" s="51">
        <f t="shared" si="13"/>
        <v>0</v>
      </c>
    </row>
    <row r="871" spans="1:5">
      <c r="A871" s="59">
        <v>2</v>
      </c>
      <c r="B871" s="59">
        <v>64</v>
      </c>
      <c r="C871" s="59">
        <v>520</v>
      </c>
      <c r="D871" s="51">
        <v>20959</v>
      </c>
      <c r="E871" s="51">
        <f t="shared" si="13"/>
        <v>0</v>
      </c>
    </row>
    <row r="872" spans="1:5">
      <c r="A872" s="59">
        <v>2</v>
      </c>
      <c r="B872" s="59">
        <v>64</v>
      </c>
      <c r="C872" s="59">
        <v>620</v>
      </c>
      <c r="D872" s="51">
        <v>20756</v>
      </c>
      <c r="E872" s="51">
        <f t="shared" si="13"/>
        <v>0</v>
      </c>
    </row>
    <row r="873" spans="1:5">
      <c r="A873" s="59">
        <v>2</v>
      </c>
      <c r="B873" s="59">
        <v>14</v>
      </c>
      <c r="C873" s="59">
        <v>910</v>
      </c>
      <c r="D873" s="51">
        <v>20224</v>
      </c>
      <c r="E873" s="51">
        <f t="shared" si="13"/>
        <v>0</v>
      </c>
    </row>
    <row r="874" spans="1:5">
      <c r="A874" s="59">
        <v>2</v>
      </c>
      <c r="B874" s="59">
        <v>71</v>
      </c>
      <c r="C874" s="59">
        <v>620</v>
      </c>
      <c r="D874" s="51">
        <v>19419</v>
      </c>
      <c r="E874" s="51">
        <f t="shared" si="13"/>
        <v>0</v>
      </c>
    </row>
    <row r="875" spans="1:5">
      <c r="A875" s="59">
        <v>2</v>
      </c>
      <c r="B875" s="59">
        <v>64</v>
      </c>
      <c r="C875" s="59">
        <v>920</v>
      </c>
      <c r="D875" s="51">
        <v>18055</v>
      </c>
      <c r="E875" s="51">
        <f t="shared" si="13"/>
        <v>0</v>
      </c>
    </row>
    <row r="876" spans="1:5">
      <c r="A876" s="59">
        <v>2</v>
      </c>
      <c r="B876" s="59">
        <v>62</v>
      </c>
      <c r="C876" s="59">
        <v>730</v>
      </c>
      <c r="D876" s="51">
        <v>17104</v>
      </c>
      <c r="E876" s="51">
        <f t="shared" si="13"/>
        <v>1</v>
      </c>
    </row>
    <row r="877" spans="1:5">
      <c r="A877" s="59">
        <v>2</v>
      </c>
      <c r="B877" s="59">
        <v>71</v>
      </c>
      <c r="C877" s="59">
        <v>640</v>
      </c>
      <c r="D877" s="51">
        <v>16426</v>
      </c>
      <c r="E877" s="51">
        <f t="shared" si="13"/>
        <v>0</v>
      </c>
    </row>
    <row r="878" spans="1:5">
      <c r="A878" s="59">
        <v>2</v>
      </c>
      <c r="B878" s="59">
        <v>64</v>
      </c>
      <c r="C878" s="59">
        <v>530</v>
      </c>
      <c r="D878" s="51">
        <v>15265</v>
      </c>
      <c r="E878" s="51">
        <f t="shared" si="13"/>
        <v>0</v>
      </c>
    </row>
    <row r="879" spans="1:5">
      <c r="A879" s="59">
        <v>2</v>
      </c>
      <c r="B879" s="59">
        <v>13</v>
      </c>
      <c r="C879" s="59">
        <v>910</v>
      </c>
      <c r="D879" s="51">
        <v>14937</v>
      </c>
      <c r="E879" s="51">
        <f t="shared" si="13"/>
        <v>0</v>
      </c>
    </row>
    <row r="880" spans="1:5">
      <c r="A880" s="59">
        <v>2</v>
      </c>
      <c r="B880" s="59">
        <v>63</v>
      </c>
      <c r="C880" s="59">
        <v>920</v>
      </c>
      <c r="D880" s="51">
        <v>14595</v>
      </c>
      <c r="E880" s="51">
        <f t="shared" si="13"/>
        <v>0</v>
      </c>
    </row>
    <row r="881" spans="1:5">
      <c r="A881" s="59">
        <v>2</v>
      </c>
      <c r="B881" s="59">
        <v>32</v>
      </c>
      <c r="C881" s="59">
        <v>610</v>
      </c>
      <c r="D881" s="51">
        <v>12932</v>
      </c>
      <c r="E881" s="51">
        <f t="shared" si="13"/>
        <v>0</v>
      </c>
    </row>
    <row r="882" spans="1:5">
      <c r="A882" s="59">
        <v>2</v>
      </c>
      <c r="B882" s="59">
        <v>43</v>
      </c>
      <c r="C882" s="59">
        <v>920</v>
      </c>
      <c r="D882" s="51">
        <v>12928</v>
      </c>
      <c r="E882" s="51">
        <f t="shared" si="13"/>
        <v>0</v>
      </c>
    </row>
    <row r="883" spans="1:5">
      <c r="A883" s="59">
        <v>2</v>
      </c>
      <c r="B883" s="59">
        <v>64</v>
      </c>
      <c r="C883" s="59">
        <v>150</v>
      </c>
      <c r="D883" s="51">
        <v>12077</v>
      </c>
      <c r="E883" s="51">
        <f t="shared" si="13"/>
        <v>0</v>
      </c>
    </row>
    <row r="884" spans="1:5">
      <c r="A884" s="59">
        <v>2</v>
      </c>
      <c r="B884" s="59">
        <v>64</v>
      </c>
      <c r="C884" s="59">
        <v>160</v>
      </c>
      <c r="D884" s="51">
        <v>11682</v>
      </c>
      <c r="E884" s="51">
        <f t="shared" si="13"/>
        <v>0</v>
      </c>
    </row>
    <row r="885" spans="1:5">
      <c r="A885" s="59">
        <v>2</v>
      </c>
      <c r="B885" s="59">
        <v>63</v>
      </c>
      <c r="C885" s="59">
        <v>520</v>
      </c>
      <c r="D885" s="51">
        <v>11265</v>
      </c>
      <c r="E885" s="51">
        <f t="shared" si="13"/>
        <v>0</v>
      </c>
    </row>
    <row r="886" spans="1:5">
      <c r="A886" s="59">
        <v>2</v>
      </c>
      <c r="B886" s="59">
        <v>13</v>
      </c>
      <c r="C886" s="59">
        <v>510</v>
      </c>
      <c r="D886" s="51">
        <v>11232</v>
      </c>
      <c r="E886" s="51">
        <f t="shared" si="13"/>
        <v>0</v>
      </c>
    </row>
    <row r="887" spans="1:5">
      <c r="A887" s="59">
        <v>2</v>
      </c>
      <c r="B887" s="59">
        <v>43</v>
      </c>
      <c r="C887" s="59">
        <v>530</v>
      </c>
      <c r="D887" s="51">
        <v>10691</v>
      </c>
      <c r="E887" s="51">
        <f t="shared" si="13"/>
        <v>0</v>
      </c>
    </row>
    <row r="888" spans="1:5">
      <c r="A888" s="59">
        <v>2</v>
      </c>
      <c r="B888" s="59">
        <v>42</v>
      </c>
      <c r="C888" s="59">
        <v>510</v>
      </c>
      <c r="D888" s="51">
        <v>10628</v>
      </c>
      <c r="E888" s="51">
        <f t="shared" si="13"/>
        <v>0</v>
      </c>
    </row>
    <row r="889" spans="1:5">
      <c r="A889" s="59">
        <v>2</v>
      </c>
      <c r="B889" s="59">
        <v>81</v>
      </c>
      <c r="C889" s="59">
        <v>510</v>
      </c>
      <c r="D889" s="51">
        <v>10242</v>
      </c>
      <c r="E889" s="51">
        <f t="shared" si="13"/>
        <v>0</v>
      </c>
    </row>
    <row r="890" spans="1:5">
      <c r="A890" s="59">
        <v>2</v>
      </c>
      <c r="B890" s="59">
        <v>43</v>
      </c>
      <c r="C890" s="59">
        <v>620</v>
      </c>
      <c r="D890" s="51">
        <v>9902</v>
      </c>
      <c r="E890" s="51">
        <f t="shared" si="13"/>
        <v>0</v>
      </c>
    </row>
    <row r="891" spans="1:5">
      <c r="A891" s="59">
        <v>2</v>
      </c>
      <c r="B891" s="59">
        <v>63</v>
      </c>
      <c r="C891" s="59">
        <v>620</v>
      </c>
      <c r="D891" s="51">
        <v>9465</v>
      </c>
      <c r="E891" s="51">
        <f t="shared" si="13"/>
        <v>0</v>
      </c>
    </row>
    <row r="892" spans="1:5">
      <c r="A892" s="59">
        <v>2</v>
      </c>
      <c r="B892" s="59">
        <v>43</v>
      </c>
      <c r="C892" s="59">
        <v>520</v>
      </c>
      <c r="D892" s="51">
        <v>8778</v>
      </c>
      <c r="E892" s="51">
        <f t="shared" si="13"/>
        <v>0</v>
      </c>
    </row>
    <row r="893" spans="1:5">
      <c r="A893" s="59">
        <v>2</v>
      </c>
      <c r="B893" s="59">
        <v>14</v>
      </c>
      <c r="C893" s="59">
        <v>110</v>
      </c>
      <c r="D893" s="51">
        <v>8198</v>
      </c>
      <c r="E893" s="51">
        <f t="shared" si="13"/>
        <v>0</v>
      </c>
    </row>
    <row r="894" spans="1:5">
      <c r="A894" s="59">
        <v>2</v>
      </c>
      <c r="B894" s="59">
        <v>62</v>
      </c>
      <c r="C894" s="59">
        <v>520</v>
      </c>
      <c r="D894" s="51">
        <v>8193</v>
      </c>
      <c r="E894" s="51">
        <f t="shared" si="13"/>
        <v>1</v>
      </c>
    </row>
    <row r="895" spans="1:5">
      <c r="A895" s="59">
        <v>2</v>
      </c>
      <c r="B895" s="59">
        <v>62</v>
      </c>
      <c r="C895" s="59">
        <v>620</v>
      </c>
      <c r="D895" s="51">
        <v>8043</v>
      </c>
      <c r="E895" s="51">
        <f t="shared" si="13"/>
        <v>1</v>
      </c>
    </row>
    <row r="896" spans="1:5">
      <c r="A896" s="59">
        <v>2</v>
      </c>
      <c r="B896" s="59">
        <v>63</v>
      </c>
      <c r="C896" s="59">
        <v>730</v>
      </c>
      <c r="D896" s="51">
        <v>7803</v>
      </c>
      <c r="E896" s="51">
        <f t="shared" si="13"/>
        <v>0</v>
      </c>
    </row>
    <row r="897" spans="1:5">
      <c r="A897" s="59">
        <v>2</v>
      </c>
      <c r="B897" s="59">
        <v>44</v>
      </c>
      <c r="C897" s="59">
        <v>920</v>
      </c>
      <c r="D897" s="51">
        <v>7513</v>
      </c>
      <c r="E897" s="51">
        <f t="shared" si="13"/>
        <v>1</v>
      </c>
    </row>
    <row r="898" spans="1:5">
      <c r="A898" s="59">
        <v>2</v>
      </c>
      <c r="B898" s="59">
        <v>14</v>
      </c>
      <c r="C898" s="59">
        <v>510</v>
      </c>
      <c r="D898" s="51">
        <v>7037</v>
      </c>
      <c r="E898" s="51">
        <f t="shared" ref="E898:E961" si="14">IF(OR(A898=6,A898=7,A898=14,A898=15,A898=16,A898=17,A898=18,A898=19,A898=20,A898=21,A898=22,A898=23,A898=25,A898=26,A898=27,A898=28,B898=41,B898=44,B898=62),1,0)</f>
        <v>0</v>
      </c>
    </row>
    <row r="899" spans="1:5">
      <c r="A899" s="59">
        <v>2</v>
      </c>
      <c r="B899" s="59">
        <v>64</v>
      </c>
      <c r="C899" s="59">
        <v>730</v>
      </c>
      <c r="D899" s="51">
        <v>6757</v>
      </c>
      <c r="E899" s="51">
        <f t="shared" si="14"/>
        <v>0</v>
      </c>
    </row>
    <row r="900" spans="1:5">
      <c r="A900" s="59">
        <v>2</v>
      </c>
      <c r="B900" s="59">
        <v>41</v>
      </c>
      <c r="C900" s="59">
        <v>510</v>
      </c>
      <c r="D900" s="51">
        <v>6603</v>
      </c>
      <c r="E900" s="51">
        <f t="shared" si="14"/>
        <v>1</v>
      </c>
    </row>
    <row r="901" spans="1:5">
      <c r="A901" s="59">
        <v>2</v>
      </c>
      <c r="B901" s="59">
        <v>13</v>
      </c>
      <c r="C901" s="59">
        <v>110</v>
      </c>
      <c r="D901" s="51">
        <v>6466</v>
      </c>
      <c r="E901" s="51">
        <f t="shared" si="14"/>
        <v>0</v>
      </c>
    </row>
    <row r="902" spans="1:5">
      <c r="A902" s="59">
        <v>2</v>
      </c>
      <c r="B902" s="59">
        <v>42</v>
      </c>
      <c r="C902" s="59">
        <v>920</v>
      </c>
      <c r="D902" s="51">
        <v>6301</v>
      </c>
      <c r="E902" s="51">
        <f t="shared" si="14"/>
        <v>0</v>
      </c>
    </row>
    <row r="903" spans="1:5">
      <c r="A903" s="59">
        <v>2</v>
      </c>
      <c r="B903" s="59">
        <v>62</v>
      </c>
      <c r="C903" s="59">
        <v>720</v>
      </c>
      <c r="D903" s="51">
        <v>6170</v>
      </c>
      <c r="E903" s="51">
        <f t="shared" si="14"/>
        <v>1</v>
      </c>
    </row>
    <row r="904" spans="1:5">
      <c r="A904" s="59">
        <v>2</v>
      </c>
      <c r="B904" s="59">
        <v>63</v>
      </c>
      <c r="C904" s="59">
        <v>530</v>
      </c>
      <c r="D904" s="51">
        <v>5846</v>
      </c>
      <c r="E904" s="51">
        <f t="shared" si="14"/>
        <v>0</v>
      </c>
    </row>
    <row r="905" spans="1:5">
      <c r="A905" s="59">
        <v>2</v>
      </c>
      <c r="B905" s="59">
        <v>14</v>
      </c>
      <c r="C905" s="59">
        <v>160</v>
      </c>
      <c r="D905" s="51">
        <v>5618</v>
      </c>
      <c r="E905" s="51">
        <f t="shared" si="14"/>
        <v>0</v>
      </c>
    </row>
    <row r="906" spans="1:5">
      <c r="A906" s="59">
        <v>2</v>
      </c>
      <c r="B906" s="59">
        <v>62</v>
      </c>
      <c r="C906" s="59">
        <v>530</v>
      </c>
      <c r="D906" s="51">
        <v>5457</v>
      </c>
      <c r="E906" s="51">
        <f t="shared" si="14"/>
        <v>1</v>
      </c>
    </row>
    <row r="907" spans="1:5">
      <c r="A907" s="59">
        <v>2</v>
      </c>
      <c r="B907" s="59">
        <v>71</v>
      </c>
      <c r="C907" s="59">
        <v>110</v>
      </c>
      <c r="D907" s="51">
        <v>5300</v>
      </c>
      <c r="E907" s="51">
        <f t="shared" si="14"/>
        <v>0</v>
      </c>
    </row>
    <row r="908" spans="1:5">
      <c r="A908" s="59">
        <v>2</v>
      </c>
      <c r="B908" s="59">
        <v>43</v>
      </c>
      <c r="C908" s="59">
        <v>110</v>
      </c>
      <c r="D908" s="51">
        <v>5205</v>
      </c>
      <c r="E908" s="51">
        <f t="shared" si="14"/>
        <v>0</v>
      </c>
    </row>
    <row r="909" spans="1:5">
      <c r="A909" s="59">
        <v>2</v>
      </c>
      <c r="B909" s="59">
        <v>43</v>
      </c>
      <c r="C909" s="59">
        <v>150</v>
      </c>
      <c r="D909" s="51">
        <v>4985</v>
      </c>
      <c r="E909" s="51">
        <f t="shared" si="14"/>
        <v>0</v>
      </c>
    </row>
    <row r="910" spans="1:5">
      <c r="A910" s="59">
        <v>2</v>
      </c>
      <c r="B910" s="59">
        <v>44</v>
      </c>
      <c r="C910" s="59">
        <v>520</v>
      </c>
      <c r="D910" s="51">
        <v>4921</v>
      </c>
      <c r="E910" s="51">
        <f t="shared" si="14"/>
        <v>1</v>
      </c>
    </row>
    <row r="911" spans="1:5">
      <c r="A911" s="59">
        <v>2</v>
      </c>
      <c r="B911" s="59">
        <v>81</v>
      </c>
      <c r="C911" s="59">
        <v>730</v>
      </c>
      <c r="D911" s="51">
        <v>4837</v>
      </c>
      <c r="E911" s="51">
        <f t="shared" si="14"/>
        <v>0</v>
      </c>
    </row>
    <row r="912" spans="1:5">
      <c r="A912" s="59">
        <v>2</v>
      </c>
      <c r="B912" s="59">
        <v>71</v>
      </c>
      <c r="C912" s="59">
        <v>530</v>
      </c>
      <c r="D912" s="51">
        <v>4814</v>
      </c>
      <c r="E912" s="51">
        <f t="shared" si="14"/>
        <v>0</v>
      </c>
    </row>
    <row r="913" spans="1:5">
      <c r="A913" s="59">
        <v>2</v>
      </c>
      <c r="B913" s="59">
        <v>32</v>
      </c>
      <c r="C913" s="59">
        <v>420</v>
      </c>
      <c r="D913" s="51">
        <v>4715</v>
      </c>
      <c r="E913" s="51">
        <f t="shared" si="14"/>
        <v>0</v>
      </c>
    </row>
    <row r="914" spans="1:5">
      <c r="A914" s="59">
        <v>2</v>
      </c>
      <c r="B914" s="59">
        <v>43</v>
      </c>
      <c r="C914" s="59">
        <v>160</v>
      </c>
      <c r="D914" s="51">
        <v>4493</v>
      </c>
      <c r="E914" s="51">
        <f t="shared" si="14"/>
        <v>0</v>
      </c>
    </row>
    <row r="915" spans="1:5">
      <c r="A915" s="59">
        <v>2</v>
      </c>
      <c r="B915" s="59">
        <v>44</v>
      </c>
      <c r="C915" s="59">
        <v>530</v>
      </c>
      <c r="D915" s="51">
        <v>4470</v>
      </c>
      <c r="E915" s="51">
        <f t="shared" si="14"/>
        <v>1</v>
      </c>
    </row>
    <row r="916" spans="1:5">
      <c r="A916" s="59">
        <v>2</v>
      </c>
      <c r="B916" s="59">
        <v>13</v>
      </c>
      <c r="C916" s="59">
        <v>160</v>
      </c>
      <c r="D916" s="51">
        <v>4361</v>
      </c>
      <c r="E916" s="51">
        <f t="shared" si="14"/>
        <v>0</v>
      </c>
    </row>
    <row r="917" spans="1:5">
      <c r="A917" s="59">
        <v>2</v>
      </c>
      <c r="B917" s="59">
        <v>81</v>
      </c>
      <c r="C917" s="59">
        <v>990</v>
      </c>
      <c r="D917" s="51">
        <v>4272</v>
      </c>
      <c r="E917" s="51">
        <f t="shared" si="14"/>
        <v>0</v>
      </c>
    </row>
    <row r="918" spans="1:5">
      <c r="A918" s="59">
        <v>2</v>
      </c>
      <c r="B918" s="59">
        <v>33</v>
      </c>
      <c r="C918" s="59">
        <v>610</v>
      </c>
      <c r="D918" s="51">
        <v>4265</v>
      </c>
      <c r="E918" s="51">
        <f t="shared" si="14"/>
        <v>0</v>
      </c>
    </row>
    <row r="919" spans="1:5">
      <c r="A919" s="59">
        <v>2</v>
      </c>
      <c r="B919" s="59">
        <v>64</v>
      </c>
      <c r="C919" s="59">
        <v>640</v>
      </c>
      <c r="D919" s="51">
        <v>4104</v>
      </c>
      <c r="E919" s="51">
        <f t="shared" si="14"/>
        <v>0</v>
      </c>
    </row>
    <row r="920" spans="1:5">
      <c r="A920" s="59">
        <v>2</v>
      </c>
      <c r="B920" s="59">
        <v>81</v>
      </c>
      <c r="C920" s="59">
        <v>910</v>
      </c>
      <c r="D920" s="51">
        <v>3931</v>
      </c>
      <c r="E920" s="51">
        <f t="shared" si="14"/>
        <v>0</v>
      </c>
    </row>
    <row r="921" spans="1:5">
      <c r="A921" s="59">
        <v>2</v>
      </c>
      <c r="B921" s="59">
        <v>63</v>
      </c>
      <c r="C921" s="59">
        <v>110</v>
      </c>
      <c r="D921" s="51">
        <v>3890</v>
      </c>
      <c r="E921" s="51">
        <f t="shared" si="14"/>
        <v>0</v>
      </c>
    </row>
    <row r="922" spans="1:5">
      <c r="A922" s="59">
        <v>2</v>
      </c>
      <c r="B922" s="59">
        <v>81</v>
      </c>
      <c r="C922" s="59">
        <v>920</v>
      </c>
      <c r="D922" s="51">
        <v>3454</v>
      </c>
      <c r="E922" s="51">
        <f t="shared" si="14"/>
        <v>0</v>
      </c>
    </row>
    <row r="923" spans="1:5">
      <c r="A923" s="59">
        <v>2</v>
      </c>
      <c r="B923" s="59">
        <v>42</v>
      </c>
      <c r="C923" s="59">
        <v>620</v>
      </c>
      <c r="D923" s="51">
        <v>3428</v>
      </c>
      <c r="E923" s="51">
        <f t="shared" si="14"/>
        <v>0</v>
      </c>
    </row>
    <row r="924" spans="1:5">
      <c r="A924" s="59">
        <v>2</v>
      </c>
      <c r="B924" s="59">
        <v>63</v>
      </c>
      <c r="C924" s="59">
        <v>720</v>
      </c>
      <c r="D924" s="51">
        <v>3418</v>
      </c>
      <c r="E924" s="51">
        <f t="shared" si="14"/>
        <v>0</v>
      </c>
    </row>
    <row r="925" spans="1:5">
      <c r="A925" s="59">
        <v>2</v>
      </c>
      <c r="B925" s="59">
        <v>64</v>
      </c>
      <c r="C925" s="59">
        <v>720</v>
      </c>
      <c r="D925" s="51">
        <v>3418</v>
      </c>
      <c r="E925" s="51">
        <f t="shared" si="14"/>
        <v>0</v>
      </c>
    </row>
    <row r="926" spans="1:5">
      <c r="A926" s="59">
        <v>2</v>
      </c>
      <c r="B926" s="59">
        <v>16</v>
      </c>
      <c r="C926" s="59">
        <v>150</v>
      </c>
      <c r="D926" s="51">
        <v>3316</v>
      </c>
      <c r="E926" s="51">
        <f t="shared" si="14"/>
        <v>0</v>
      </c>
    </row>
    <row r="927" spans="1:5">
      <c r="A927" s="59">
        <v>2</v>
      </c>
      <c r="B927" s="59">
        <v>42</v>
      </c>
      <c r="C927" s="59">
        <v>520</v>
      </c>
      <c r="D927" s="51">
        <v>3263</v>
      </c>
      <c r="E927" s="51">
        <f t="shared" si="14"/>
        <v>0</v>
      </c>
    </row>
    <row r="928" spans="1:5">
      <c r="A928" s="59">
        <v>2</v>
      </c>
      <c r="B928" s="59">
        <v>71</v>
      </c>
      <c r="C928" s="59">
        <v>630</v>
      </c>
      <c r="D928" s="51">
        <v>3231</v>
      </c>
      <c r="E928" s="51">
        <f t="shared" si="14"/>
        <v>0</v>
      </c>
    </row>
    <row r="929" spans="1:5">
      <c r="A929" s="59">
        <v>2</v>
      </c>
      <c r="B929" s="59">
        <v>16</v>
      </c>
      <c r="C929" s="59">
        <v>610</v>
      </c>
      <c r="D929" s="51">
        <v>3195</v>
      </c>
      <c r="E929" s="51">
        <f t="shared" si="14"/>
        <v>0</v>
      </c>
    </row>
    <row r="930" spans="1:5">
      <c r="A930" s="59">
        <v>2</v>
      </c>
      <c r="B930" s="59">
        <v>51</v>
      </c>
      <c r="C930" s="59">
        <v>610</v>
      </c>
      <c r="D930" s="51">
        <v>3159</v>
      </c>
      <c r="E930" s="51">
        <f t="shared" si="14"/>
        <v>0</v>
      </c>
    </row>
    <row r="931" spans="1:5">
      <c r="A931" s="59">
        <v>2</v>
      </c>
      <c r="B931" s="59">
        <v>62</v>
      </c>
      <c r="C931" s="59">
        <v>990</v>
      </c>
      <c r="D931" s="51">
        <v>3094</v>
      </c>
      <c r="E931" s="51">
        <f t="shared" si="14"/>
        <v>1</v>
      </c>
    </row>
    <row r="932" spans="1:5">
      <c r="A932" s="59">
        <v>2</v>
      </c>
      <c r="B932" s="59">
        <v>63</v>
      </c>
      <c r="C932" s="59">
        <v>640</v>
      </c>
      <c r="D932" s="51">
        <v>2966</v>
      </c>
      <c r="E932" s="51">
        <f t="shared" si="14"/>
        <v>0</v>
      </c>
    </row>
    <row r="933" spans="1:5">
      <c r="A933" s="59">
        <v>2</v>
      </c>
      <c r="B933" s="59">
        <v>22</v>
      </c>
      <c r="C933" s="59">
        <v>610</v>
      </c>
      <c r="D933" s="51">
        <v>2880</v>
      </c>
      <c r="E933" s="51">
        <f t="shared" si="14"/>
        <v>0</v>
      </c>
    </row>
    <row r="934" spans="1:5">
      <c r="A934" s="59">
        <v>2</v>
      </c>
      <c r="B934" s="59">
        <v>22</v>
      </c>
      <c r="C934" s="59">
        <v>910</v>
      </c>
      <c r="D934" s="51">
        <v>2795</v>
      </c>
      <c r="E934" s="51">
        <f t="shared" si="14"/>
        <v>0</v>
      </c>
    </row>
    <row r="935" spans="1:5">
      <c r="A935" s="59">
        <v>2</v>
      </c>
      <c r="B935" s="59">
        <v>71</v>
      </c>
      <c r="C935" s="59">
        <v>730</v>
      </c>
      <c r="D935" s="51">
        <v>2794</v>
      </c>
      <c r="E935" s="51">
        <f t="shared" si="14"/>
        <v>0</v>
      </c>
    </row>
    <row r="936" spans="1:5">
      <c r="A936" s="59">
        <v>2</v>
      </c>
      <c r="B936" s="59">
        <v>44</v>
      </c>
      <c r="C936" s="59">
        <v>620</v>
      </c>
      <c r="D936" s="51">
        <v>2679</v>
      </c>
      <c r="E936" s="51">
        <f t="shared" si="14"/>
        <v>1</v>
      </c>
    </row>
    <row r="937" spans="1:5">
      <c r="A937" s="59">
        <v>2</v>
      </c>
      <c r="B937" s="59">
        <v>14</v>
      </c>
      <c r="C937" s="59">
        <v>210</v>
      </c>
      <c r="D937" s="51">
        <v>2567</v>
      </c>
      <c r="E937" s="51">
        <f t="shared" si="14"/>
        <v>0</v>
      </c>
    </row>
    <row r="938" spans="1:5">
      <c r="A938" s="59">
        <v>2</v>
      </c>
      <c r="B938" s="59">
        <v>64</v>
      </c>
      <c r="C938" s="59">
        <v>550</v>
      </c>
      <c r="D938" s="51">
        <v>2537</v>
      </c>
      <c r="E938" s="51">
        <f t="shared" si="14"/>
        <v>0</v>
      </c>
    </row>
    <row r="939" spans="1:5">
      <c r="A939" s="59">
        <v>2</v>
      </c>
      <c r="B939" s="59">
        <v>64</v>
      </c>
      <c r="C939" s="59">
        <v>861</v>
      </c>
      <c r="D939" s="51">
        <v>2484</v>
      </c>
      <c r="E939" s="51">
        <f t="shared" si="14"/>
        <v>0</v>
      </c>
    </row>
    <row r="940" spans="1:5">
      <c r="A940" s="59">
        <v>2</v>
      </c>
      <c r="B940" s="59">
        <v>64</v>
      </c>
      <c r="C940" s="59">
        <v>410</v>
      </c>
      <c r="D940" s="51">
        <v>2449</v>
      </c>
      <c r="E940" s="51">
        <f t="shared" si="14"/>
        <v>0</v>
      </c>
    </row>
    <row r="941" spans="1:5">
      <c r="A941" s="59">
        <v>2</v>
      </c>
      <c r="B941" s="59">
        <v>16</v>
      </c>
      <c r="C941" s="59">
        <v>910</v>
      </c>
      <c r="D941" s="51">
        <v>2432</v>
      </c>
      <c r="E941" s="51">
        <f t="shared" si="14"/>
        <v>0</v>
      </c>
    </row>
    <row r="942" spans="1:5">
      <c r="A942" s="59">
        <v>2</v>
      </c>
      <c r="B942" s="59">
        <v>32</v>
      </c>
      <c r="C942" s="59">
        <v>910</v>
      </c>
      <c r="D942" s="51">
        <v>2412</v>
      </c>
      <c r="E942" s="51">
        <f t="shared" si="14"/>
        <v>0</v>
      </c>
    </row>
    <row r="943" spans="1:5">
      <c r="A943" s="59">
        <v>2</v>
      </c>
      <c r="B943" s="59">
        <v>43</v>
      </c>
      <c r="C943" s="59">
        <v>930</v>
      </c>
      <c r="D943" s="51">
        <v>2392</v>
      </c>
      <c r="E943" s="51">
        <f t="shared" si="14"/>
        <v>0</v>
      </c>
    </row>
    <row r="944" spans="1:5">
      <c r="A944" s="59">
        <v>2</v>
      </c>
      <c r="B944" s="59">
        <v>71</v>
      </c>
      <c r="C944" s="59">
        <v>160</v>
      </c>
      <c r="D944" s="51">
        <v>2279</v>
      </c>
      <c r="E944" s="51">
        <f t="shared" si="14"/>
        <v>0</v>
      </c>
    </row>
    <row r="945" spans="1:5">
      <c r="A945" s="59">
        <v>2</v>
      </c>
      <c r="B945" s="59">
        <v>15</v>
      </c>
      <c r="C945" s="59">
        <v>610</v>
      </c>
      <c r="D945" s="51">
        <v>2244</v>
      </c>
      <c r="E945" s="51">
        <f t="shared" si="14"/>
        <v>0</v>
      </c>
    </row>
    <row r="946" spans="1:5">
      <c r="A946" s="59">
        <v>2</v>
      </c>
      <c r="B946" s="59">
        <v>62</v>
      </c>
      <c r="C946" s="59">
        <v>110</v>
      </c>
      <c r="D946" s="51">
        <v>2232</v>
      </c>
      <c r="E946" s="51">
        <f t="shared" si="14"/>
        <v>1</v>
      </c>
    </row>
    <row r="947" spans="1:5">
      <c r="A947" s="59">
        <v>2</v>
      </c>
      <c r="B947" s="59">
        <v>15</v>
      </c>
      <c r="C947" s="59">
        <v>910</v>
      </c>
      <c r="D947" s="51">
        <v>2169</v>
      </c>
      <c r="E947" s="51">
        <f t="shared" si="14"/>
        <v>0</v>
      </c>
    </row>
    <row r="948" spans="1:5">
      <c r="A948" s="59">
        <v>2</v>
      </c>
      <c r="B948" s="59">
        <v>22</v>
      </c>
      <c r="C948" s="59">
        <v>230</v>
      </c>
      <c r="D948" s="51">
        <v>2124</v>
      </c>
      <c r="E948" s="51">
        <f t="shared" si="14"/>
        <v>0</v>
      </c>
    </row>
    <row r="949" spans="1:5">
      <c r="A949" s="59">
        <v>2</v>
      </c>
      <c r="B949" s="59">
        <v>14</v>
      </c>
      <c r="C949" s="59">
        <v>310</v>
      </c>
      <c r="D949" s="51">
        <v>2005</v>
      </c>
      <c r="E949" s="51">
        <f t="shared" si="14"/>
        <v>0</v>
      </c>
    </row>
    <row r="950" spans="1:5">
      <c r="A950" s="59">
        <v>2</v>
      </c>
      <c r="B950" s="59">
        <v>41</v>
      </c>
      <c r="C950" s="59">
        <v>910</v>
      </c>
      <c r="D950" s="51">
        <v>1858</v>
      </c>
      <c r="E950" s="51">
        <f t="shared" si="14"/>
        <v>1</v>
      </c>
    </row>
    <row r="951" spans="1:5">
      <c r="A951" s="59">
        <v>2</v>
      </c>
      <c r="B951" s="59">
        <v>14</v>
      </c>
      <c r="C951" s="59">
        <v>320</v>
      </c>
      <c r="D951" s="51">
        <v>1852</v>
      </c>
      <c r="E951" s="51">
        <f t="shared" si="14"/>
        <v>0</v>
      </c>
    </row>
    <row r="952" spans="1:5">
      <c r="A952" s="59">
        <v>2</v>
      </c>
      <c r="B952" s="59">
        <v>16</v>
      </c>
      <c r="C952" s="59">
        <v>510</v>
      </c>
      <c r="D952" s="51">
        <v>1844</v>
      </c>
      <c r="E952" s="51">
        <f t="shared" si="14"/>
        <v>0</v>
      </c>
    </row>
    <row r="953" spans="1:5">
      <c r="A953" s="59">
        <v>2</v>
      </c>
      <c r="B953" s="59">
        <v>71</v>
      </c>
      <c r="C953" s="59">
        <v>550</v>
      </c>
      <c r="D953" s="51">
        <v>1826</v>
      </c>
      <c r="E953" s="51">
        <f t="shared" si="14"/>
        <v>0</v>
      </c>
    </row>
    <row r="954" spans="1:5">
      <c r="A954" s="59">
        <v>2</v>
      </c>
      <c r="B954" s="59">
        <v>14</v>
      </c>
      <c r="C954" s="59">
        <v>140</v>
      </c>
      <c r="D954" s="51">
        <v>1804</v>
      </c>
      <c r="E954" s="51">
        <f t="shared" si="14"/>
        <v>0</v>
      </c>
    </row>
    <row r="955" spans="1:5">
      <c r="A955" s="59">
        <v>2</v>
      </c>
      <c r="B955" s="59">
        <v>33</v>
      </c>
      <c r="C955" s="59">
        <v>420</v>
      </c>
      <c r="D955" s="51">
        <v>1794</v>
      </c>
      <c r="E955" s="51">
        <f t="shared" si="14"/>
        <v>0</v>
      </c>
    </row>
    <row r="956" spans="1:5">
      <c r="A956" s="59">
        <v>2</v>
      </c>
      <c r="B956" s="59">
        <v>22</v>
      </c>
      <c r="C956" s="59">
        <v>150</v>
      </c>
      <c r="D956" s="51">
        <v>1733</v>
      </c>
      <c r="E956" s="51">
        <f t="shared" si="14"/>
        <v>0</v>
      </c>
    </row>
    <row r="957" spans="1:5">
      <c r="A957" s="59">
        <v>2</v>
      </c>
      <c r="B957" s="59">
        <v>43</v>
      </c>
      <c r="C957" s="59">
        <v>210</v>
      </c>
      <c r="D957" s="51">
        <v>1685</v>
      </c>
      <c r="E957" s="51">
        <f t="shared" si="14"/>
        <v>0</v>
      </c>
    </row>
    <row r="958" spans="1:5">
      <c r="A958" s="59">
        <v>2</v>
      </c>
      <c r="B958" s="59">
        <v>22</v>
      </c>
      <c r="C958" s="59">
        <v>210</v>
      </c>
      <c r="D958" s="51">
        <v>1650</v>
      </c>
      <c r="E958" s="51">
        <f t="shared" si="14"/>
        <v>0</v>
      </c>
    </row>
    <row r="959" spans="1:5">
      <c r="A959" s="59">
        <v>2</v>
      </c>
      <c r="B959" s="59">
        <v>14</v>
      </c>
      <c r="C959" s="59">
        <v>230</v>
      </c>
      <c r="D959" s="51">
        <v>1648</v>
      </c>
      <c r="E959" s="51">
        <f t="shared" si="14"/>
        <v>0</v>
      </c>
    </row>
    <row r="960" spans="1:5">
      <c r="A960" s="59">
        <v>2</v>
      </c>
      <c r="B960" s="59">
        <v>15</v>
      </c>
      <c r="C960" s="59">
        <v>150</v>
      </c>
      <c r="D960" s="51">
        <v>1640</v>
      </c>
      <c r="E960" s="51">
        <f t="shared" si="14"/>
        <v>0</v>
      </c>
    </row>
    <row r="961" spans="1:5">
      <c r="A961" s="59">
        <v>2</v>
      </c>
      <c r="B961" s="59">
        <v>32</v>
      </c>
      <c r="C961" s="59">
        <v>510</v>
      </c>
      <c r="D961" s="51">
        <v>1634</v>
      </c>
      <c r="E961" s="51">
        <f t="shared" si="14"/>
        <v>0</v>
      </c>
    </row>
    <row r="962" spans="1:5">
      <c r="A962" s="59">
        <v>2</v>
      </c>
      <c r="B962" s="59">
        <v>33</v>
      </c>
      <c r="C962" s="59">
        <v>910</v>
      </c>
      <c r="D962" s="51">
        <v>1604</v>
      </c>
      <c r="E962" s="51">
        <f t="shared" ref="E962:E1025" si="15">IF(OR(A962=6,A962=7,A962=14,A962=15,A962=16,A962=17,A962=18,A962=19,A962=20,A962=21,A962=22,A962=23,A962=25,A962=26,A962=27,A962=28,B962=41,B962=44,B962=62),1,0)</f>
        <v>0</v>
      </c>
    </row>
    <row r="963" spans="1:5">
      <c r="A963" s="59">
        <v>2</v>
      </c>
      <c r="B963" s="59">
        <v>64</v>
      </c>
      <c r="C963" s="59">
        <v>210</v>
      </c>
      <c r="D963" s="51">
        <v>1584</v>
      </c>
      <c r="E963" s="51">
        <f t="shared" si="15"/>
        <v>0</v>
      </c>
    </row>
    <row r="964" spans="1:5">
      <c r="A964" s="59">
        <v>2</v>
      </c>
      <c r="B964" s="59">
        <v>63</v>
      </c>
      <c r="C964" s="59">
        <v>440</v>
      </c>
      <c r="D964" s="51">
        <v>1569</v>
      </c>
      <c r="E964" s="51">
        <f t="shared" si="15"/>
        <v>0</v>
      </c>
    </row>
    <row r="965" spans="1:5">
      <c r="A965" s="59">
        <v>2</v>
      </c>
      <c r="B965" s="59">
        <v>32</v>
      </c>
      <c r="C965" s="59">
        <v>410</v>
      </c>
      <c r="D965" s="51">
        <v>1554</v>
      </c>
      <c r="E965" s="51">
        <f t="shared" si="15"/>
        <v>0</v>
      </c>
    </row>
    <row r="966" spans="1:5">
      <c r="A966" s="59">
        <v>2</v>
      </c>
      <c r="B966" s="59">
        <v>44</v>
      </c>
      <c r="C966" s="59">
        <v>930</v>
      </c>
      <c r="D966" s="51">
        <v>1510</v>
      </c>
      <c r="E966" s="51">
        <f t="shared" si="15"/>
        <v>1</v>
      </c>
    </row>
    <row r="967" spans="1:5">
      <c r="A967" s="59">
        <v>2</v>
      </c>
      <c r="B967" s="59">
        <v>64</v>
      </c>
      <c r="C967" s="59">
        <v>630</v>
      </c>
      <c r="D967" s="51">
        <v>1466</v>
      </c>
      <c r="E967" s="51">
        <f t="shared" si="15"/>
        <v>0</v>
      </c>
    </row>
    <row r="968" spans="1:5">
      <c r="A968" s="59">
        <v>2</v>
      </c>
      <c r="B968" s="59">
        <v>43</v>
      </c>
      <c r="C968" s="59">
        <v>940</v>
      </c>
      <c r="D968" s="51">
        <v>1435</v>
      </c>
      <c r="E968" s="51">
        <f t="shared" si="15"/>
        <v>0</v>
      </c>
    </row>
    <row r="969" spans="1:5">
      <c r="A969" s="59">
        <v>2</v>
      </c>
      <c r="B969" s="59">
        <v>13</v>
      </c>
      <c r="C969" s="59">
        <v>620</v>
      </c>
      <c r="D969" s="51">
        <v>1417</v>
      </c>
      <c r="E969" s="51">
        <f t="shared" si="15"/>
        <v>0</v>
      </c>
    </row>
    <row r="970" spans="1:5">
      <c r="A970" s="59">
        <v>2</v>
      </c>
      <c r="B970" s="59">
        <v>63</v>
      </c>
      <c r="C970" s="59">
        <v>160</v>
      </c>
      <c r="D970" s="51">
        <v>1383</v>
      </c>
      <c r="E970" s="51">
        <f t="shared" si="15"/>
        <v>0</v>
      </c>
    </row>
    <row r="971" spans="1:5">
      <c r="A971" s="59">
        <v>2</v>
      </c>
      <c r="B971" s="59">
        <v>13</v>
      </c>
      <c r="C971" s="59">
        <v>530</v>
      </c>
      <c r="D971" s="51">
        <v>1337</v>
      </c>
      <c r="E971" s="51">
        <f t="shared" si="15"/>
        <v>0</v>
      </c>
    </row>
    <row r="972" spans="1:5">
      <c r="A972" s="59">
        <v>2</v>
      </c>
      <c r="B972" s="59">
        <v>61</v>
      </c>
      <c r="C972" s="59">
        <v>610</v>
      </c>
      <c r="D972" s="51">
        <v>1314</v>
      </c>
      <c r="E972" s="51">
        <f t="shared" si="15"/>
        <v>0</v>
      </c>
    </row>
    <row r="973" spans="1:5">
      <c r="A973" s="59">
        <v>2</v>
      </c>
      <c r="B973" s="59">
        <v>64</v>
      </c>
      <c r="C973" s="59">
        <v>310</v>
      </c>
      <c r="D973" s="51">
        <v>1300</v>
      </c>
      <c r="E973" s="51">
        <f t="shared" si="15"/>
        <v>0</v>
      </c>
    </row>
    <row r="974" spans="1:5">
      <c r="A974" s="59">
        <v>2</v>
      </c>
      <c r="B974" s="59">
        <v>63</v>
      </c>
      <c r="C974" s="59">
        <v>550</v>
      </c>
      <c r="D974" s="51">
        <v>1277</v>
      </c>
      <c r="E974" s="51">
        <f t="shared" si="15"/>
        <v>0</v>
      </c>
    </row>
    <row r="975" spans="1:5">
      <c r="A975" s="59">
        <v>2</v>
      </c>
      <c r="B975" s="59">
        <v>64</v>
      </c>
      <c r="C975" s="59">
        <v>420</v>
      </c>
      <c r="D975" s="51">
        <v>1259</v>
      </c>
      <c r="E975" s="51">
        <f t="shared" si="15"/>
        <v>0</v>
      </c>
    </row>
    <row r="976" spans="1:5">
      <c r="A976" s="59">
        <v>2</v>
      </c>
      <c r="B976" s="59">
        <v>64</v>
      </c>
      <c r="C976" s="59">
        <v>440</v>
      </c>
      <c r="D976" s="51">
        <v>1225</v>
      </c>
      <c r="E976" s="51">
        <f t="shared" si="15"/>
        <v>0</v>
      </c>
    </row>
    <row r="977" spans="1:5">
      <c r="A977" s="59">
        <v>2</v>
      </c>
      <c r="B977" s="59">
        <v>81</v>
      </c>
      <c r="C977" s="59">
        <v>620</v>
      </c>
      <c r="D977" s="51">
        <v>1219</v>
      </c>
      <c r="E977" s="51">
        <f t="shared" si="15"/>
        <v>0</v>
      </c>
    </row>
    <row r="978" spans="1:5">
      <c r="A978" s="59">
        <v>2</v>
      </c>
      <c r="B978" s="59">
        <v>43</v>
      </c>
      <c r="C978" s="59">
        <v>230</v>
      </c>
      <c r="D978" s="51">
        <v>1212</v>
      </c>
      <c r="E978" s="51">
        <f t="shared" si="15"/>
        <v>0</v>
      </c>
    </row>
    <row r="979" spans="1:5">
      <c r="A979" s="59">
        <v>2</v>
      </c>
      <c r="B979" s="59">
        <v>42</v>
      </c>
      <c r="C979" s="59">
        <v>530</v>
      </c>
      <c r="D979" s="51">
        <v>1209</v>
      </c>
      <c r="E979" s="51">
        <f t="shared" si="15"/>
        <v>0</v>
      </c>
    </row>
    <row r="980" spans="1:5">
      <c r="A980" s="59">
        <v>2</v>
      </c>
      <c r="B980" s="59">
        <v>63</v>
      </c>
      <c r="C980" s="59">
        <v>150</v>
      </c>
      <c r="D980" s="51">
        <v>1173</v>
      </c>
      <c r="E980" s="51">
        <f t="shared" si="15"/>
        <v>0</v>
      </c>
    </row>
    <row r="981" spans="1:5">
      <c r="A981" s="59">
        <v>2</v>
      </c>
      <c r="B981" s="59">
        <v>62</v>
      </c>
      <c r="C981" s="59">
        <v>640</v>
      </c>
      <c r="D981" s="51">
        <v>1161</v>
      </c>
      <c r="E981" s="51">
        <f t="shared" si="15"/>
        <v>1</v>
      </c>
    </row>
    <row r="982" spans="1:5">
      <c r="A982" s="59">
        <v>2</v>
      </c>
      <c r="B982" s="59">
        <v>13</v>
      </c>
      <c r="C982" s="59">
        <v>210</v>
      </c>
      <c r="D982" s="51">
        <v>1106</v>
      </c>
      <c r="E982" s="51">
        <f t="shared" si="15"/>
        <v>0</v>
      </c>
    </row>
    <row r="983" spans="1:5">
      <c r="A983" s="59">
        <v>2</v>
      </c>
      <c r="B983" s="59">
        <v>71</v>
      </c>
      <c r="C983" s="59">
        <v>150</v>
      </c>
      <c r="D983" s="51">
        <v>1106</v>
      </c>
      <c r="E983" s="51">
        <f t="shared" si="15"/>
        <v>0</v>
      </c>
    </row>
    <row r="984" spans="1:5">
      <c r="A984" s="59">
        <v>2</v>
      </c>
      <c r="B984" s="59">
        <v>43</v>
      </c>
      <c r="C984" s="59">
        <v>720</v>
      </c>
      <c r="D984" s="51">
        <v>1104</v>
      </c>
      <c r="E984" s="51">
        <f t="shared" si="15"/>
        <v>0</v>
      </c>
    </row>
    <row r="985" spans="1:5">
      <c r="A985" s="59">
        <v>2</v>
      </c>
      <c r="B985" s="59">
        <v>22</v>
      </c>
      <c r="C985" s="59">
        <v>510</v>
      </c>
      <c r="D985" s="51">
        <v>1086</v>
      </c>
      <c r="E985" s="51">
        <f t="shared" si="15"/>
        <v>0</v>
      </c>
    </row>
    <row r="986" spans="1:5">
      <c r="A986" s="59">
        <v>2</v>
      </c>
      <c r="B986" s="59">
        <v>43</v>
      </c>
      <c r="C986" s="59">
        <v>410</v>
      </c>
      <c r="D986" s="51">
        <v>1085</v>
      </c>
      <c r="E986" s="51">
        <f t="shared" si="15"/>
        <v>0</v>
      </c>
    </row>
    <row r="987" spans="1:5">
      <c r="A987" s="59">
        <v>2</v>
      </c>
      <c r="B987" s="59">
        <v>14</v>
      </c>
      <c r="C987" s="59">
        <v>620</v>
      </c>
      <c r="D987" s="51">
        <v>1059</v>
      </c>
      <c r="E987" s="51">
        <f t="shared" si="15"/>
        <v>0</v>
      </c>
    </row>
    <row r="988" spans="1:5">
      <c r="A988" s="59">
        <v>2</v>
      </c>
      <c r="B988" s="59">
        <v>64</v>
      </c>
      <c r="C988" s="59">
        <v>230</v>
      </c>
      <c r="D988" s="51">
        <v>1056</v>
      </c>
      <c r="E988" s="51">
        <f t="shared" si="15"/>
        <v>0</v>
      </c>
    </row>
    <row r="989" spans="1:5">
      <c r="A989" s="59">
        <v>2</v>
      </c>
      <c r="B989" s="59">
        <v>43</v>
      </c>
      <c r="C989" s="59">
        <v>730</v>
      </c>
      <c r="D989" s="51">
        <v>1051</v>
      </c>
      <c r="E989" s="51">
        <f t="shared" si="15"/>
        <v>0</v>
      </c>
    </row>
    <row r="990" spans="1:5">
      <c r="A990" s="59">
        <v>2</v>
      </c>
      <c r="B990" s="59">
        <v>14</v>
      </c>
      <c r="C990" s="59">
        <v>530</v>
      </c>
      <c r="D990" s="51">
        <v>1043</v>
      </c>
      <c r="E990" s="51">
        <f t="shared" si="15"/>
        <v>0</v>
      </c>
    </row>
    <row r="991" spans="1:5">
      <c r="A991" s="59">
        <v>2</v>
      </c>
      <c r="B991" s="59">
        <v>14</v>
      </c>
      <c r="C991" s="59">
        <v>330</v>
      </c>
      <c r="D991" s="51">
        <v>1040</v>
      </c>
      <c r="E991" s="51">
        <f t="shared" si="15"/>
        <v>0</v>
      </c>
    </row>
    <row r="992" spans="1:5">
      <c r="A992" s="59">
        <v>2</v>
      </c>
      <c r="B992" s="59">
        <v>15</v>
      </c>
      <c r="C992" s="59">
        <v>510</v>
      </c>
      <c r="D992" s="51">
        <v>1029</v>
      </c>
      <c r="E992" s="51">
        <f t="shared" si="15"/>
        <v>0</v>
      </c>
    </row>
    <row r="993" spans="1:5">
      <c r="A993" s="59">
        <v>2</v>
      </c>
      <c r="B993" s="59">
        <v>42</v>
      </c>
      <c r="C993" s="59">
        <v>110</v>
      </c>
      <c r="D993" s="51">
        <v>1027</v>
      </c>
      <c r="E993" s="51">
        <f t="shared" si="15"/>
        <v>0</v>
      </c>
    </row>
    <row r="994" spans="1:5">
      <c r="A994" s="59">
        <v>2</v>
      </c>
      <c r="B994" s="59">
        <v>41</v>
      </c>
      <c r="C994" s="59">
        <v>920</v>
      </c>
      <c r="D994" s="51">
        <v>1025</v>
      </c>
      <c r="E994" s="51">
        <f t="shared" si="15"/>
        <v>1</v>
      </c>
    </row>
    <row r="995" spans="1:5">
      <c r="A995" s="59">
        <v>2</v>
      </c>
      <c r="B995" s="59">
        <v>62</v>
      </c>
      <c r="C995" s="59">
        <v>160</v>
      </c>
      <c r="D995" s="51">
        <v>1024</v>
      </c>
      <c r="E995" s="51">
        <f t="shared" si="15"/>
        <v>1</v>
      </c>
    </row>
    <row r="996" spans="1:5">
      <c r="A996" s="59">
        <v>2</v>
      </c>
      <c r="B996" s="59">
        <v>14</v>
      </c>
      <c r="C996" s="59">
        <v>920</v>
      </c>
      <c r="D996" s="51">
        <v>979</v>
      </c>
      <c r="E996" s="51">
        <f t="shared" si="15"/>
        <v>0</v>
      </c>
    </row>
    <row r="997" spans="1:5">
      <c r="A997" s="59">
        <v>2</v>
      </c>
      <c r="B997" s="59">
        <v>13</v>
      </c>
      <c r="C997" s="59">
        <v>520</v>
      </c>
      <c r="D997" s="51">
        <v>976</v>
      </c>
      <c r="E997" s="51">
        <f t="shared" si="15"/>
        <v>0</v>
      </c>
    </row>
    <row r="998" spans="1:5">
      <c r="A998" s="59">
        <v>2</v>
      </c>
      <c r="B998" s="59">
        <v>13</v>
      </c>
      <c r="C998" s="59">
        <v>320</v>
      </c>
      <c r="D998" s="51">
        <v>970</v>
      </c>
      <c r="E998" s="51">
        <f t="shared" si="15"/>
        <v>0</v>
      </c>
    </row>
    <row r="999" spans="1:5">
      <c r="A999" s="59">
        <v>2</v>
      </c>
      <c r="B999" s="59">
        <v>62</v>
      </c>
      <c r="C999" s="59">
        <v>150</v>
      </c>
      <c r="D999" s="51">
        <v>938</v>
      </c>
      <c r="E999" s="51">
        <f t="shared" si="15"/>
        <v>1</v>
      </c>
    </row>
    <row r="1000" spans="1:5">
      <c r="A1000" s="59">
        <v>2</v>
      </c>
      <c r="B1000" s="59">
        <v>71</v>
      </c>
      <c r="C1000" s="59">
        <v>720</v>
      </c>
      <c r="D1000" s="51">
        <v>929</v>
      </c>
      <c r="E1000" s="51">
        <f t="shared" si="15"/>
        <v>0</v>
      </c>
    </row>
    <row r="1001" spans="1:5">
      <c r="A1001" s="59">
        <v>2</v>
      </c>
      <c r="B1001" s="59">
        <v>13</v>
      </c>
      <c r="C1001" s="59">
        <v>310</v>
      </c>
      <c r="D1001" s="51">
        <v>920</v>
      </c>
      <c r="E1001" s="51">
        <f t="shared" si="15"/>
        <v>0</v>
      </c>
    </row>
    <row r="1002" spans="1:5">
      <c r="A1002" s="59">
        <v>2</v>
      </c>
      <c r="B1002" s="59">
        <v>13</v>
      </c>
      <c r="C1002" s="59">
        <v>920</v>
      </c>
      <c r="D1002" s="51">
        <v>919</v>
      </c>
      <c r="E1002" s="51">
        <f t="shared" si="15"/>
        <v>0</v>
      </c>
    </row>
    <row r="1003" spans="1:5">
      <c r="A1003" s="59">
        <v>2</v>
      </c>
      <c r="B1003" s="59">
        <v>43</v>
      </c>
      <c r="C1003" s="59">
        <v>970</v>
      </c>
      <c r="D1003" s="51">
        <v>890</v>
      </c>
      <c r="E1003" s="51">
        <f t="shared" si="15"/>
        <v>0</v>
      </c>
    </row>
    <row r="1004" spans="1:5">
      <c r="A1004" s="59">
        <v>2</v>
      </c>
      <c r="B1004" s="59">
        <v>22</v>
      </c>
      <c r="C1004" s="59">
        <v>110</v>
      </c>
      <c r="D1004" s="51">
        <v>875</v>
      </c>
      <c r="E1004" s="51">
        <f t="shared" si="15"/>
        <v>0</v>
      </c>
    </row>
    <row r="1005" spans="1:5">
      <c r="A1005" s="59">
        <v>2</v>
      </c>
      <c r="B1005" s="59">
        <v>43</v>
      </c>
      <c r="C1005" s="59">
        <v>861</v>
      </c>
      <c r="D1005" s="51">
        <v>870</v>
      </c>
      <c r="E1005" s="51">
        <f t="shared" si="15"/>
        <v>0</v>
      </c>
    </row>
    <row r="1006" spans="1:5">
      <c r="A1006" s="59">
        <v>2</v>
      </c>
      <c r="B1006" s="59">
        <v>44</v>
      </c>
      <c r="C1006" s="59">
        <v>730</v>
      </c>
      <c r="D1006" s="51">
        <v>859</v>
      </c>
      <c r="E1006" s="51">
        <f t="shared" si="15"/>
        <v>1</v>
      </c>
    </row>
    <row r="1007" spans="1:5">
      <c r="A1007" s="59">
        <v>2</v>
      </c>
      <c r="B1007" s="59">
        <v>64</v>
      </c>
      <c r="C1007" s="59">
        <v>540</v>
      </c>
      <c r="D1007" s="51">
        <v>855</v>
      </c>
      <c r="E1007" s="51">
        <f t="shared" si="15"/>
        <v>0</v>
      </c>
    </row>
    <row r="1008" spans="1:5">
      <c r="A1008" s="59">
        <v>2</v>
      </c>
      <c r="B1008" s="59">
        <v>43</v>
      </c>
      <c r="C1008" s="59">
        <v>420</v>
      </c>
      <c r="D1008" s="51">
        <v>854</v>
      </c>
      <c r="E1008" s="51">
        <f t="shared" si="15"/>
        <v>0</v>
      </c>
    </row>
    <row r="1009" spans="1:5">
      <c r="A1009" s="59">
        <v>2</v>
      </c>
      <c r="B1009" s="59">
        <v>13</v>
      </c>
      <c r="C1009" s="59">
        <v>230</v>
      </c>
      <c r="D1009" s="51">
        <v>847</v>
      </c>
      <c r="E1009" s="51">
        <f t="shared" si="15"/>
        <v>0</v>
      </c>
    </row>
    <row r="1010" spans="1:5">
      <c r="A1010" s="59">
        <v>2</v>
      </c>
      <c r="B1010" s="59">
        <v>64</v>
      </c>
      <c r="C1010" s="59">
        <v>430</v>
      </c>
      <c r="D1010" s="51">
        <v>844</v>
      </c>
      <c r="E1010" s="51">
        <f t="shared" si="15"/>
        <v>0</v>
      </c>
    </row>
    <row r="1011" spans="1:5">
      <c r="A1011" s="59">
        <v>2</v>
      </c>
      <c r="B1011" s="59">
        <v>81</v>
      </c>
      <c r="C1011" s="59">
        <v>720</v>
      </c>
      <c r="D1011" s="51">
        <v>844</v>
      </c>
      <c r="E1011" s="51">
        <f t="shared" si="15"/>
        <v>0</v>
      </c>
    </row>
    <row r="1012" spans="1:5">
      <c r="A1012" s="59">
        <v>2</v>
      </c>
      <c r="B1012" s="59">
        <v>42</v>
      </c>
      <c r="C1012" s="59">
        <v>640</v>
      </c>
      <c r="D1012" s="51">
        <v>833</v>
      </c>
      <c r="E1012" s="51">
        <f t="shared" si="15"/>
        <v>0</v>
      </c>
    </row>
    <row r="1013" spans="1:5">
      <c r="A1013" s="59">
        <v>2</v>
      </c>
      <c r="B1013" s="59">
        <v>81</v>
      </c>
      <c r="C1013" s="59">
        <v>530</v>
      </c>
      <c r="D1013" s="51">
        <v>820</v>
      </c>
      <c r="E1013" s="51">
        <f t="shared" si="15"/>
        <v>0</v>
      </c>
    </row>
    <row r="1014" spans="1:5">
      <c r="A1014" s="59">
        <v>2</v>
      </c>
      <c r="B1014" s="59">
        <v>43</v>
      </c>
      <c r="C1014" s="59">
        <v>430</v>
      </c>
      <c r="D1014" s="51">
        <v>805</v>
      </c>
      <c r="E1014" s="51">
        <f t="shared" si="15"/>
        <v>0</v>
      </c>
    </row>
    <row r="1015" spans="1:5">
      <c r="A1015" s="59">
        <v>2</v>
      </c>
      <c r="B1015" s="59">
        <v>44</v>
      </c>
      <c r="C1015" s="59">
        <v>720</v>
      </c>
      <c r="D1015" s="51">
        <v>792</v>
      </c>
      <c r="E1015" s="51">
        <f t="shared" si="15"/>
        <v>1</v>
      </c>
    </row>
    <row r="1016" spans="1:5">
      <c r="A1016" s="59">
        <v>2</v>
      </c>
      <c r="B1016" s="59">
        <v>42</v>
      </c>
      <c r="C1016" s="59">
        <v>150</v>
      </c>
      <c r="D1016" s="51">
        <v>786</v>
      </c>
      <c r="E1016" s="51">
        <f t="shared" si="15"/>
        <v>0</v>
      </c>
    </row>
    <row r="1017" spans="1:5">
      <c r="A1017" s="59">
        <v>2</v>
      </c>
      <c r="B1017" s="59">
        <v>33</v>
      </c>
      <c r="C1017" s="59">
        <v>410</v>
      </c>
      <c r="D1017" s="51">
        <v>783</v>
      </c>
      <c r="E1017" s="51">
        <f t="shared" si="15"/>
        <v>0</v>
      </c>
    </row>
    <row r="1018" spans="1:5">
      <c r="A1018" s="59">
        <v>2</v>
      </c>
      <c r="B1018" s="59">
        <v>64</v>
      </c>
      <c r="C1018" s="59">
        <v>950</v>
      </c>
      <c r="D1018" s="51">
        <v>781</v>
      </c>
      <c r="E1018" s="51">
        <f t="shared" si="15"/>
        <v>0</v>
      </c>
    </row>
    <row r="1019" spans="1:5">
      <c r="A1019" s="59">
        <v>2</v>
      </c>
      <c r="B1019" s="59">
        <v>41</v>
      </c>
      <c r="C1019" s="59">
        <v>530</v>
      </c>
      <c r="D1019" s="51">
        <v>767</v>
      </c>
      <c r="E1019" s="51">
        <f t="shared" si="15"/>
        <v>1</v>
      </c>
    </row>
    <row r="1020" spans="1:5">
      <c r="A1020" s="59">
        <v>2</v>
      </c>
      <c r="B1020" s="59">
        <v>16</v>
      </c>
      <c r="C1020" s="59">
        <v>210</v>
      </c>
      <c r="D1020" s="51">
        <v>749</v>
      </c>
      <c r="E1020" s="51">
        <f t="shared" si="15"/>
        <v>0</v>
      </c>
    </row>
    <row r="1021" spans="1:5">
      <c r="A1021" s="59">
        <v>2</v>
      </c>
      <c r="B1021" s="59">
        <v>63</v>
      </c>
      <c r="C1021" s="59">
        <v>630</v>
      </c>
      <c r="D1021" s="51">
        <v>749</v>
      </c>
      <c r="E1021" s="51">
        <f t="shared" si="15"/>
        <v>0</v>
      </c>
    </row>
    <row r="1022" spans="1:5">
      <c r="A1022" s="59">
        <v>2</v>
      </c>
      <c r="B1022" s="59">
        <v>16</v>
      </c>
      <c r="C1022" s="59">
        <v>410</v>
      </c>
      <c r="D1022" s="51">
        <v>725</v>
      </c>
      <c r="E1022" s="51">
        <f t="shared" si="15"/>
        <v>0</v>
      </c>
    </row>
    <row r="1023" spans="1:5">
      <c r="A1023" s="59">
        <v>2</v>
      </c>
      <c r="B1023" s="59">
        <v>42</v>
      </c>
      <c r="C1023" s="59">
        <v>160</v>
      </c>
      <c r="D1023" s="51">
        <v>716</v>
      </c>
      <c r="E1023" s="51">
        <f t="shared" si="15"/>
        <v>0</v>
      </c>
    </row>
    <row r="1024" spans="1:5">
      <c r="A1024" s="59">
        <v>2</v>
      </c>
      <c r="B1024" s="59">
        <v>33</v>
      </c>
      <c r="C1024" s="59">
        <v>510</v>
      </c>
      <c r="D1024" s="51">
        <v>675</v>
      </c>
      <c r="E1024" s="51">
        <f t="shared" si="15"/>
        <v>0</v>
      </c>
    </row>
    <row r="1025" spans="1:5">
      <c r="A1025" s="59">
        <v>2</v>
      </c>
      <c r="B1025" s="59">
        <v>44</v>
      </c>
      <c r="C1025" s="59">
        <v>990</v>
      </c>
      <c r="D1025" s="51">
        <v>674</v>
      </c>
      <c r="E1025" s="51">
        <f t="shared" si="15"/>
        <v>1</v>
      </c>
    </row>
    <row r="1026" spans="1:5">
      <c r="A1026" s="59">
        <v>2</v>
      </c>
      <c r="B1026" s="59">
        <v>43</v>
      </c>
      <c r="C1026" s="59">
        <v>950</v>
      </c>
      <c r="D1026" s="51">
        <v>671</v>
      </c>
      <c r="E1026" s="51">
        <f t="shared" ref="E1026:E1089" si="16">IF(OR(A1026=6,A1026=7,A1026=14,A1026=15,A1026=16,A1026=17,A1026=18,A1026=19,A1026=20,A1026=21,A1026=22,A1026=23,A1026=25,A1026=26,A1026=27,A1026=28,B1026=41,B1026=44,B1026=62),1,0)</f>
        <v>0</v>
      </c>
    </row>
    <row r="1027" spans="1:5">
      <c r="A1027" s="59">
        <v>2</v>
      </c>
      <c r="B1027" s="59">
        <v>14</v>
      </c>
      <c r="C1027" s="59">
        <v>520</v>
      </c>
      <c r="D1027" s="51">
        <v>668</v>
      </c>
      <c r="E1027" s="51">
        <f t="shared" si="16"/>
        <v>0</v>
      </c>
    </row>
    <row r="1028" spans="1:5">
      <c r="A1028" s="59">
        <v>2</v>
      </c>
      <c r="B1028" s="59">
        <v>64</v>
      </c>
      <c r="C1028" s="59">
        <v>940</v>
      </c>
      <c r="D1028" s="51">
        <v>660</v>
      </c>
      <c r="E1028" s="51">
        <f t="shared" si="16"/>
        <v>0</v>
      </c>
    </row>
    <row r="1029" spans="1:5">
      <c r="A1029" s="59">
        <v>2</v>
      </c>
      <c r="B1029" s="59">
        <v>14</v>
      </c>
      <c r="C1029" s="59">
        <v>410</v>
      </c>
      <c r="D1029" s="51">
        <v>659</v>
      </c>
      <c r="E1029" s="51">
        <f t="shared" si="16"/>
        <v>0</v>
      </c>
    </row>
    <row r="1030" spans="1:5">
      <c r="A1030" s="59">
        <v>2</v>
      </c>
      <c r="B1030" s="59">
        <v>16</v>
      </c>
      <c r="C1030" s="59">
        <v>110</v>
      </c>
      <c r="D1030" s="51">
        <v>647</v>
      </c>
      <c r="E1030" s="51">
        <f t="shared" si="16"/>
        <v>0</v>
      </c>
    </row>
    <row r="1031" spans="1:5">
      <c r="A1031" s="59">
        <v>2</v>
      </c>
      <c r="B1031" s="59">
        <v>43</v>
      </c>
      <c r="C1031" s="59">
        <v>640</v>
      </c>
      <c r="D1031" s="51">
        <v>632</v>
      </c>
      <c r="E1031" s="51">
        <f t="shared" si="16"/>
        <v>0</v>
      </c>
    </row>
    <row r="1032" spans="1:5">
      <c r="A1032" s="59">
        <v>2</v>
      </c>
      <c r="B1032" s="59">
        <v>64</v>
      </c>
      <c r="C1032" s="59">
        <v>930</v>
      </c>
      <c r="D1032" s="51">
        <v>631</v>
      </c>
      <c r="E1032" s="51">
        <f t="shared" si="16"/>
        <v>0</v>
      </c>
    </row>
    <row r="1033" spans="1:5">
      <c r="A1033" s="59">
        <v>2</v>
      </c>
      <c r="B1033" s="59">
        <v>14</v>
      </c>
      <c r="C1033" s="59">
        <v>130</v>
      </c>
      <c r="D1033" s="51">
        <v>627</v>
      </c>
      <c r="E1033" s="51">
        <f t="shared" si="16"/>
        <v>0</v>
      </c>
    </row>
    <row r="1034" spans="1:5">
      <c r="A1034" s="59">
        <v>2</v>
      </c>
      <c r="B1034" s="59">
        <v>64</v>
      </c>
      <c r="C1034" s="59">
        <v>320</v>
      </c>
      <c r="D1034" s="51">
        <v>619</v>
      </c>
      <c r="E1034" s="51">
        <f t="shared" si="16"/>
        <v>0</v>
      </c>
    </row>
    <row r="1035" spans="1:5">
      <c r="A1035" s="59">
        <v>2</v>
      </c>
      <c r="B1035" s="59">
        <v>22</v>
      </c>
      <c r="C1035" s="59">
        <v>320</v>
      </c>
      <c r="D1035" s="51">
        <v>613</v>
      </c>
      <c r="E1035" s="51">
        <f t="shared" si="16"/>
        <v>0</v>
      </c>
    </row>
    <row r="1036" spans="1:5">
      <c r="A1036" s="59">
        <v>2</v>
      </c>
      <c r="B1036" s="59">
        <v>71</v>
      </c>
      <c r="C1036" s="59">
        <v>440</v>
      </c>
      <c r="D1036" s="51">
        <v>608</v>
      </c>
      <c r="E1036" s="51">
        <f t="shared" si="16"/>
        <v>0</v>
      </c>
    </row>
    <row r="1037" spans="1:5">
      <c r="A1037" s="59">
        <v>2</v>
      </c>
      <c r="B1037" s="59">
        <v>14</v>
      </c>
      <c r="C1037" s="59">
        <v>240</v>
      </c>
      <c r="D1037" s="51">
        <v>595</v>
      </c>
      <c r="E1037" s="51">
        <f t="shared" si="16"/>
        <v>0</v>
      </c>
    </row>
    <row r="1038" spans="1:5">
      <c r="A1038" s="59">
        <v>2</v>
      </c>
      <c r="B1038" s="59">
        <v>81</v>
      </c>
      <c r="C1038" s="59">
        <v>520</v>
      </c>
      <c r="D1038" s="51">
        <v>585</v>
      </c>
      <c r="E1038" s="51">
        <f t="shared" si="16"/>
        <v>0</v>
      </c>
    </row>
    <row r="1039" spans="1:5">
      <c r="A1039" s="59">
        <v>2</v>
      </c>
      <c r="B1039" s="59">
        <v>41</v>
      </c>
      <c r="C1039" s="59">
        <v>620</v>
      </c>
      <c r="D1039" s="51">
        <v>582</v>
      </c>
      <c r="E1039" s="51">
        <f t="shared" si="16"/>
        <v>1</v>
      </c>
    </row>
    <row r="1040" spans="1:5">
      <c r="A1040" s="59">
        <v>2</v>
      </c>
      <c r="B1040" s="59">
        <v>16</v>
      </c>
      <c r="C1040" s="59">
        <v>160</v>
      </c>
      <c r="D1040" s="51">
        <v>573</v>
      </c>
      <c r="E1040" s="51">
        <f t="shared" si="16"/>
        <v>0</v>
      </c>
    </row>
    <row r="1041" spans="1:5">
      <c r="A1041" s="59">
        <v>2</v>
      </c>
      <c r="B1041" s="59">
        <v>22</v>
      </c>
      <c r="C1041" s="59">
        <v>310</v>
      </c>
      <c r="D1041" s="51">
        <v>568</v>
      </c>
      <c r="E1041" s="51">
        <f t="shared" si="16"/>
        <v>0</v>
      </c>
    </row>
    <row r="1042" spans="1:5">
      <c r="A1042" s="59">
        <v>2</v>
      </c>
      <c r="B1042" s="59">
        <v>14</v>
      </c>
      <c r="C1042" s="59">
        <v>120</v>
      </c>
      <c r="D1042" s="51">
        <v>564</v>
      </c>
      <c r="E1042" s="51">
        <f t="shared" si="16"/>
        <v>0</v>
      </c>
    </row>
    <row r="1043" spans="1:5">
      <c r="A1043" s="59">
        <v>2</v>
      </c>
      <c r="B1043" s="59">
        <v>11</v>
      </c>
      <c r="C1043" s="59">
        <v>610</v>
      </c>
      <c r="D1043" s="51">
        <v>563</v>
      </c>
      <c r="E1043" s="51">
        <f t="shared" si="16"/>
        <v>0</v>
      </c>
    </row>
    <row r="1044" spans="1:5">
      <c r="A1044" s="59">
        <v>2</v>
      </c>
      <c r="B1044" s="59">
        <v>62</v>
      </c>
      <c r="C1044" s="59">
        <v>710</v>
      </c>
      <c r="D1044" s="51">
        <v>559</v>
      </c>
      <c r="E1044" s="51">
        <f t="shared" si="16"/>
        <v>1</v>
      </c>
    </row>
    <row r="1045" spans="1:5">
      <c r="A1045" s="59">
        <v>2</v>
      </c>
      <c r="B1045" s="59">
        <v>81</v>
      </c>
      <c r="C1045" s="59">
        <v>110</v>
      </c>
      <c r="D1045" s="51">
        <v>556</v>
      </c>
      <c r="E1045" s="51">
        <f t="shared" si="16"/>
        <v>0</v>
      </c>
    </row>
    <row r="1046" spans="1:5">
      <c r="A1046" s="59">
        <v>2</v>
      </c>
      <c r="B1046" s="59">
        <v>71</v>
      </c>
      <c r="C1046" s="59">
        <v>990</v>
      </c>
      <c r="D1046" s="51">
        <v>554</v>
      </c>
      <c r="E1046" s="51">
        <f t="shared" si="16"/>
        <v>0</v>
      </c>
    </row>
    <row r="1047" spans="1:5">
      <c r="A1047" s="59">
        <v>2</v>
      </c>
      <c r="B1047" s="59">
        <v>13</v>
      </c>
      <c r="C1047" s="59">
        <v>130</v>
      </c>
      <c r="D1047" s="51">
        <v>539</v>
      </c>
      <c r="E1047" s="51">
        <f t="shared" si="16"/>
        <v>0</v>
      </c>
    </row>
    <row r="1048" spans="1:5">
      <c r="A1048" s="59">
        <v>2</v>
      </c>
      <c r="B1048" s="59">
        <v>32</v>
      </c>
      <c r="C1048" s="59">
        <v>620</v>
      </c>
      <c r="D1048" s="51">
        <v>539</v>
      </c>
      <c r="E1048" s="51">
        <f t="shared" si="16"/>
        <v>0</v>
      </c>
    </row>
    <row r="1049" spans="1:5">
      <c r="A1049" s="59">
        <v>2</v>
      </c>
      <c r="B1049" s="59">
        <v>32</v>
      </c>
      <c r="C1049" s="59">
        <v>430</v>
      </c>
      <c r="D1049" s="51">
        <v>525</v>
      </c>
      <c r="E1049" s="51">
        <f t="shared" si="16"/>
        <v>0</v>
      </c>
    </row>
    <row r="1050" spans="1:5">
      <c r="A1050" s="59">
        <v>2</v>
      </c>
      <c r="B1050" s="59">
        <v>16</v>
      </c>
      <c r="C1050" s="59">
        <v>230</v>
      </c>
      <c r="D1050" s="51">
        <v>513</v>
      </c>
      <c r="E1050" s="51">
        <f t="shared" si="16"/>
        <v>0</v>
      </c>
    </row>
    <row r="1051" spans="1:5">
      <c r="A1051" s="59">
        <v>2</v>
      </c>
      <c r="B1051" s="59">
        <v>24</v>
      </c>
      <c r="C1051" s="59">
        <v>610</v>
      </c>
      <c r="D1051" s="51">
        <v>512</v>
      </c>
      <c r="E1051" s="51">
        <f t="shared" si="16"/>
        <v>0</v>
      </c>
    </row>
    <row r="1052" spans="1:5">
      <c r="A1052" s="59">
        <v>2</v>
      </c>
      <c r="B1052" s="59">
        <v>62</v>
      </c>
      <c r="C1052" s="59">
        <v>550</v>
      </c>
      <c r="D1052" s="51">
        <v>508</v>
      </c>
      <c r="E1052" s="51">
        <f t="shared" si="16"/>
        <v>1</v>
      </c>
    </row>
    <row r="1053" spans="1:5">
      <c r="A1053" s="59">
        <v>2</v>
      </c>
      <c r="B1053" s="59">
        <v>41</v>
      </c>
      <c r="C1053" s="59">
        <v>720</v>
      </c>
      <c r="D1053" s="51">
        <v>500</v>
      </c>
      <c r="E1053" s="51">
        <f t="shared" si="16"/>
        <v>1</v>
      </c>
    </row>
    <row r="1054" spans="1:5">
      <c r="A1054" s="59">
        <v>2</v>
      </c>
      <c r="B1054" s="59">
        <v>44</v>
      </c>
      <c r="C1054" s="59">
        <v>970</v>
      </c>
      <c r="D1054" s="51">
        <v>494</v>
      </c>
      <c r="E1054" s="51">
        <f t="shared" si="16"/>
        <v>1</v>
      </c>
    </row>
    <row r="1055" spans="1:5">
      <c r="A1055" s="59">
        <v>2</v>
      </c>
      <c r="B1055" s="59">
        <v>62</v>
      </c>
      <c r="C1055" s="59">
        <v>440</v>
      </c>
      <c r="D1055" s="51">
        <v>481</v>
      </c>
      <c r="E1055" s="51">
        <f t="shared" si="16"/>
        <v>1</v>
      </c>
    </row>
    <row r="1056" spans="1:5">
      <c r="A1056" s="59">
        <v>2</v>
      </c>
      <c r="B1056" s="59">
        <v>15</v>
      </c>
      <c r="C1056" s="59">
        <v>140</v>
      </c>
      <c r="D1056" s="51">
        <v>480</v>
      </c>
      <c r="E1056" s="51">
        <f t="shared" si="16"/>
        <v>0</v>
      </c>
    </row>
    <row r="1057" spans="1:5">
      <c r="A1057" s="59">
        <v>2</v>
      </c>
      <c r="B1057" s="59">
        <v>64</v>
      </c>
      <c r="C1057" s="59">
        <v>860</v>
      </c>
      <c r="D1057" s="51">
        <v>476</v>
      </c>
      <c r="E1057" s="51">
        <f t="shared" si="16"/>
        <v>0</v>
      </c>
    </row>
    <row r="1058" spans="1:5">
      <c r="A1058" s="59">
        <v>2</v>
      </c>
      <c r="B1058" s="59">
        <v>71</v>
      </c>
      <c r="C1058" s="59">
        <v>540</v>
      </c>
      <c r="D1058" s="51">
        <v>469</v>
      </c>
      <c r="E1058" s="51">
        <f t="shared" si="16"/>
        <v>0</v>
      </c>
    </row>
    <row r="1059" spans="1:5">
      <c r="A1059" s="59">
        <v>2</v>
      </c>
      <c r="B1059" s="59">
        <v>64</v>
      </c>
      <c r="C1059" s="59">
        <v>990</v>
      </c>
      <c r="D1059" s="51">
        <v>468</v>
      </c>
      <c r="E1059" s="51">
        <f t="shared" si="16"/>
        <v>0</v>
      </c>
    </row>
    <row r="1060" spans="1:5">
      <c r="A1060" s="59">
        <v>2</v>
      </c>
      <c r="B1060" s="59">
        <v>13</v>
      </c>
      <c r="C1060" s="59">
        <v>330</v>
      </c>
      <c r="D1060" s="51">
        <v>467</v>
      </c>
      <c r="E1060" s="51">
        <f t="shared" si="16"/>
        <v>0</v>
      </c>
    </row>
    <row r="1061" spans="1:5">
      <c r="A1061" s="59">
        <v>2</v>
      </c>
      <c r="B1061" s="59">
        <v>43</v>
      </c>
      <c r="C1061" s="59">
        <v>860</v>
      </c>
      <c r="D1061" s="51">
        <v>465</v>
      </c>
      <c r="E1061" s="51">
        <f t="shared" si="16"/>
        <v>0</v>
      </c>
    </row>
    <row r="1062" spans="1:5">
      <c r="A1062" s="59">
        <v>2</v>
      </c>
      <c r="B1062" s="59">
        <v>62</v>
      </c>
      <c r="C1062" s="59">
        <v>750</v>
      </c>
      <c r="D1062" s="51">
        <v>463</v>
      </c>
      <c r="E1062" s="51">
        <f t="shared" si="16"/>
        <v>1</v>
      </c>
    </row>
    <row r="1063" spans="1:5">
      <c r="A1063" s="59">
        <v>2</v>
      </c>
      <c r="B1063" s="59">
        <v>14</v>
      </c>
      <c r="C1063" s="59">
        <v>420</v>
      </c>
      <c r="D1063" s="51">
        <v>462</v>
      </c>
      <c r="E1063" s="51">
        <f t="shared" si="16"/>
        <v>0</v>
      </c>
    </row>
    <row r="1064" spans="1:5">
      <c r="A1064" s="59">
        <v>2</v>
      </c>
      <c r="B1064" s="59">
        <v>64</v>
      </c>
      <c r="C1064" s="59">
        <v>330</v>
      </c>
      <c r="D1064" s="51">
        <v>461</v>
      </c>
      <c r="E1064" s="51">
        <f t="shared" si="16"/>
        <v>0</v>
      </c>
    </row>
    <row r="1065" spans="1:5">
      <c r="A1065" s="59">
        <v>2</v>
      </c>
      <c r="B1065" s="59">
        <v>22</v>
      </c>
      <c r="C1065" s="59">
        <v>240</v>
      </c>
      <c r="D1065" s="51">
        <v>453</v>
      </c>
      <c r="E1065" s="51">
        <f t="shared" si="16"/>
        <v>0</v>
      </c>
    </row>
    <row r="1066" spans="1:5">
      <c r="A1066" s="59">
        <v>2</v>
      </c>
      <c r="B1066" s="59">
        <v>43</v>
      </c>
      <c r="C1066" s="59">
        <v>240</v>
      </c>
      <c r="D1066" s="51">
        <v>452</v>
      </c>
      <c r="E1066" s="51">
        <f t="shared" si="16"/>
        <v>0</v>
      </c>
    </row>
    <row r="1067" spans="1:5">
      <c r="A1067" s="59">
        <v>2</v>
      </c>
      <c r="B1067" s="59">
        <v>71</v>
      </c>
      <c r="C1067" s="59">
        <v>410</v>
      </c>
      <c r="D1067" s="51">
        <v>444</v>
      </c>
      <c r="E1067" s="51">
        <f t="shared" si="16"/>
        <v>0</v>
      </c>
    </row>
    <row r="1068" spans="1:5">
      <c r="A1068" s="59">
        <v>2</v>
      </c>
      <c r="B1068" s="59">
        <v>14</v>
      </c>
      <c r="C1068" s="59">
        <v>930</v>
      </c>
      <c r="D1068" s="51">
        <v>437</v>
      </c>
      <c r="E1068" s="51">
        <f t="shared" si="16"/>
        <v>0</v>
      </c>
    </row>
    <row r="1069" spans="1:5">
      <c r="A1069" s="59">
        <v>2</v>
      </c>
      <c r="B1069" s="59">
        <v>15</v>
      </c>
      <c r="C1069" s="59">
        <v>160</v>
      </c>
      <c r="D1069" s="51">
        <v>437</v>
      </c>
      <c r="E1069" s="51">
        <f t="shared" si="16"/>
        <v>0</v>
      </c>
    </row>
    <row r="1070" spans="1:5">
      <c r="A1070" s="59">
        <v>2</v>
      </c>
      <c r="B1070" s="59">
        <v>42</v>
      </c>
      <c r="C1070" s="59">
        <v>630</v>
      </c>
      <c r="D1070" s="51">
        <v>437</v>
      </c>
      <c r="E1070" s="51">
        <f t="shared" si="16"/>
        <v>0</v>
      </c>
    </row>
    <row r="1071" spans="1:5">
      <c r="A1071" s="59">
        <v>2</v>
      </c>
      <c r="B1071" s="59">
        <v>43</v>
      </c>
      <c r="C1071" s="59">
        <v>310</v>
      </c>
      <c r="D1071" s="51">
        <v>429</v>
      </c>
      <c r="E1071" s="51">
        <f t="shared" si="16"/>
        <v>0</v>
      </c>
    </row>
    <row r="1072" spans="1:5">
      <c r="A1072" s="59">
        <v>2</v>
      </c>
      <c r="B1072" s="59">
        <v>64</v>
      </c>
      <c r="C1072" s="59">
        <v>220</v>
      </c>
      <c r="D1072" s="51">
        <v>425</v>
      </c>
      <c r="E1072" s="51">
        <f t="shared" si="16"/>
        <v>0</v>
      </c>
    </row>
    <row r="1073" spans="1:5">
      <c r="A1073" s="59">
        <v>2</v>
      </c>
      <c r="B1073" s="59">
        <v>44</v>
      </c>
      <c r="C1073" s="59">
        <v>160</v>
      </c>
      <c r="D1073" s="51">
        <v>424</v>
      </c>
      <c r="E1073" s="51">
        <f t="shared" si="16"/>
        <v>1</v>
      </c>
    </row>
    <row r="1074" spans="1:5">
      <c r="A1074" s="59">
        <v>2</v>
      </c>
      <c r="B1074" s="59">
        <v>64</v>
      </c>
      <c r="C1074" s="59">
        <v>240</v>
      </c>
      <c r="D1074" s="51">
        <v>420</v>
      </c>
      <c r="E1074" s="51">
        <f t="shared" si="16"/>
        <v>0</v>
      </c>
    </row>
    <row r="1075" spans="1:5">
      <c r="A1075" s="59">
        <v>2</v>
      </c>
      <c r="B1075" s="59">
        <v>16</v>
      </c>
      <c r="C1075" s="59">
        <v>420</v>
      </c>
      <c r="D1075" s="51">
        <v>413</v>
      </c>
      <c r="E1075" s="51">
        <f t="shared" si="16"/>
        <v>0</v>
      </c>
    </row>
    <row r="1076" spans="1:5">
      <c r="A1076" s="59">
        <v>2</v>
      </c>
      <c r="B1076" s="59">
        <v>13</v>
      </c>
      <c r="C1076" s="59">
        <v>410</v>
      </c>
      <c r="D1076" s="51">
        <v>408</v>
      </c>
      <c r="E1076" s="51">
        <f t="shared" si="16"/>
        <v>0</v>
      </c>
    </row>
    <row r="1077" spans="1:5">
      <c r="A1077" s="59">
        <v>2</v>
      </c>
      <c r="B1077" s="59">
        <v>16</v>
      </c>
      <c r="C1077" s="59">
        <v>320</v>
      </c>
      <c r="D1077" s="51">
        <v>393</v>
      </c>
      <c r="E1077" s="51">
        <f t="shared" si="16"/>
        <v>0</v>
      </c>
    </row>
    <row r="1078" spans="1:5">
      <c r="A1078" s="59">
        <v>2</v>
      </c>
      <c r="B1078" s="59">
        <v>22</v>
      </c>
      <c r="C1078" s="59">
        <v>160</v>
      </c>
      <c r="D1078" s="51">
        <v>379</v>
      </c>
      <c r="E1078" s="51">
        <f t="shared" si="16"/>
        <v>0</v>
      </c>
    </row>
    <row r="1079" spans="1:5">
      <c r="A1079" s="59">
        <v>2</v>
      </c>
      <c r="B1079" s="59">
        <v>44</v>
      </c>
      <c r="C1079" s="59">
        <v>892</v>
      </c>
      <c r="D1079" s="51">
        <v>376</v>
      </c>
      <c r="E1079" s="51">
        <f t="shared" si="16"/>
        <v>1</v>
      </c>
    </row>
    <row r="1080" spans="1:5">
      <c r="A1080" s="59">
        <v>2</v>
      </c>
      <c r="B1080" s="59">
        <v>64</v>
      </c>
      <c r="C1080" s="59">
        <v>970</v>
      </c>
      <c r="D1080" s="51">
        <v>374</v>
      </c>
      <c r="E1080" s="51">
        <f t="shared" si="16"/>
        <v>0</v>
      </c>
    </row>
    <row r="1081" spans="1:5">
      <c r="A1081" s="59">
        <v>2</v>
      </c>
      <c r="B1081" s="59">
        <v>33</v>
      </c>
      <c r="C1081" s="59">
        <v>430</v>
      </c>
      <c r="D1081" s="51">
        <v>373</v>
      </c>
      <c r="E1081" s="51">
        <f t="shared" si="16"/>
        <v>0</v>
      </c>
    </row>
    <row r="1082" spans="1:5">
      <c r="A1082" s="59">
        <v>2</v>
      </c>
      <c r="B1082" s="59">
        <v>42</v>
      </c>
      <c r="C1082" s="59">
        <v>940</v>
      </c>
      <c r="D1082" s="51">
        <v>370</v>
      </c>
      <c r="E1082" s="51">
        <f t="shared" si="16"/>
        <v>0</v>
      </c>
    </row>
    <row r="1083" spans="1:5">
      <c r="A1083" s="59">
        <v>2</v>
      </c>
      <c r="B1083" s="59">
        <v>43</v>
      </c>
      <c r="C1083" s="59">
        <v>895</v>
      </c>
      <c r="D1083" s="51">
        <v>364</v>
      </c>
      <c r="E1083" s="51">
        <f t="shared" si="16"/>
        <v>0</v>
      </c>
    </row>
    <row r="1084" spans="1:5">
      <c r="A1084" s="59">
        <v>2</v>
      </c>
      <c r="B1084" s="59">
        <v>43</v>
      </c>
      <c r="C1084" s="59">
        <v>550</v>
      </c>
      <c r="D1084" s="51">
        <v>361</v>
      </c>
      <c r="E1084" s="51">
        <f t="shared" si="16"/>
        <v>0</v>
      </c>
    </row>
    <row r="1085" spans="1:5">
      <c r="A1085" s="59">
        <v>2</v>
      </c>
      <c r="B1085" s="59">
        <v>32</v>
      </c>
      <c r="C1085" s="59">
        <v>530</v>
      </c>
      <c r="D1085" s="51">
        <v>355</v>
      </c>
      <c r="E1085" s="51">
        <f t="shared" si="16"/>
        <v>0</v>
      </c>
    </row>
    <row r="1086" spans="1:5">
      <c r="A1086" s="59">
        <v>2</v>
      </c>
      <c r="B1086" s="59">
        <v>15</v>
      </c>
      <c r="C1086" s="59">
        <v>110</v>
      </c>
      <c r="D1086" s="51">
        <v>342</v>
      </c>
      <c r="E1086" s="51">
        <f t="shared" si="16"/>
        <v>0</v>
      </c>
    </row>
    <row r="1087" spans="1:5">
      <c r="A1087" s="59">
        <v>2</v>
      </c>
      <c r="B1087" s="59">
        <v>43</v>
      </c>
      <c r="C1087" s="59">
        <v>630</v>
      </c>
      <c r="D1087" s="51">
        <v>340</v>
      </c>
      <c r="E1087" s="51">
        <f t="shared" si="16"/>
        <v>0</v>
      </c>
    </row>
    <row r="1088" spans="1:5">
      <c r="A1088" s="59">
        <v>2</v>
      </c>
      <c r="B1088" s="59">
        <v>62</v>
      </c>
      <c r="C1088" s="59">
        <v>630</v>
      </c>
      <c r="D1088" s="51">
        <v>335</v>
      </c>
      <c r="E1088" s="51">
        <f t="shared" si="16"/>
        <v>1</v>
      </c>
    </row>
    <row r="1089" spans="1:5">
      <c r="A1089" s="59">
        <v>2</v>
      </c>
      <c r="B1089" s="59">
        <v>41</v>
      </c>
      <c r="C1089" s="59">
        <v>520</v>
      </c>
      <c r="D1089" s="51">
        <v>331</v>
      </c>
      <c r="E1089" s="51">
        <f t="shared" si="16"/>
        <v>1</v>
      </c>
    </row>
    <row r="1090" spans="1:5">
      <c r="A1090" s="59">
        <v>2</v>
      </c>
      <c r="B1090" s="59">
        <v>44</v>
      </c>
      <c r="C1090" s="59">
        <v>640</v>
      </c>
      <c r="D1090" s="51">
        <v>329</v>
      </c>
      <c r="E1090" s="51">
        <f t="shared" ref="E1090:E1153" si="17">IF(OR(A1090=6,A1090=7,A1090=14,A1090=15,A1090=16,A1090=17,A1090=18,A1090=19,A1090=20,A1090=21,A1090=22,A1090=23,A1090=25,A1090=26,A1090=27,A1090=28,B1090=41,B1090=44,B1090=62),1,0)</f>
        <v>1</v>
      </c>
    </row>
    <row r="1091" spans="1:5">
      <c r="A1091" s="59">
        <v>2</v>
      </c>
      <c r="B1091" s="59">
        <v>63</v>
      </c>
      <c r="C1091" s="59">
        <v>930</v>
      </c>
      <c r="D1091" s="51">
        <v>327</v>
      </c>
      <c r="E1091" s="51">
        <f t="shared" si="17"/>
        <v>0</v>
      </c>
    </row>
    <row r="1092" spans="1:5">
      <c r="A1092" s="59">
        <v>2</v>
      </c>
      <c r="B1092" s="59">
        <v>42</v>
      </c>
      <c r="C1092" s="59">
        <v>210</v>
      </c>
      <c r="D1092" s="51">
        <v>322</v>
      </c>
      <c r="E1092" s="51">
        <f t="shared" si="17"/>
        <v>0</v>
      </c>
    </row>
    <row r="1093" spans="1:5">
      <c r="A1093" s="59">
        <v>2</v>
      </c>
      <c r="B1093" s="59">
        <v>43</v>
      </c>
      <c r="C1093" s="59">
        <v>320</v>
      </c>
      <c r="D1093" s="51">
        <v>316</v>
      </c>
      <c r="E1093" s="51">
        <f t="shared" si="17"/>
        <v>0</v>
      </c>
    </row>
    <row r="1094" spans="1:5">
      <c r="A1094" s="59">
        <v>2</v>
      </c>
      <c r="B1094" s="59">
        <v>64</v>
      </c>
      <c r="C1094" s="59">
        <v>710</v>
      </c>
      <c r="D1094" s="51">
        <v>310</v>
      </c>
      <c r="E1094" s="51">
        <f t="shared" si="17"/>
        <v>0</v>
      </c>
    </row>
    <row r="1095" spans="1:5">
      <c r="A1095" s="59">
        <v>2</v>
      </c>
      <c r="B1095" s="59">
        <v>43</v>
      </c>
      <c r="C1095" s="59">
        <v>330</v>
      </c>
      <c r="D1095" s="51">
        <v>309</v>
      </c>
      <c r="E1095" s="51">
        <f t="shared" si="17"/>
        <v>0</v>
      </c>
    </row>
    <row r="1096" spans="1:5">
      <c r="A1096" s="59">
        <v>2</v>
      </c>
      <c r="B1096" s="59">
        <v>43</v>
      </c>
      <c r="C1096" s="59">
        <v>990</v>
      </c>
      <c r="D1096" s="51">
        <v>307</v>
      </c>
      <c r="E1096" s="51">
        <f t="shared" si="17"/>
        <v>0</v>
      </c>
    </row>
    <row r="1097" spans="1:5">
      <c r="A1097" s="59">
        <v>2</v>
      </c>
      <c r="B1097" s="59">
        <v>13</v>
      </c>
      <c r="C1097" s="59">
        <v>420</v>
      </c>
      <c r="D1097" s="51">
        <v>304</v>
      </c>
      <c r="E1097" s="51">
        <f t="shared" si="17"/>
        <v>0</v>
      </c>
    </row>
    <row r="1098" spans="1:5">
      <c r="A1098" s="59">
        <v>2</v>
      </c>
      <c r="B1098" s="59">
        <v>42</v>
      </c>
      <c r="C1098" s="59">
        <v>410</v>
      </c>
      <c r="D1098" s="51">
        <v>302</v>
      </c>
      <c r="E1098" s="51">
        <f t="shared" si="17"/>
        <v>0</v>
      </c>
    </row>
    <row r="1099" spans="1:5">
      <c r="A1099" s="59">
        <v>2</v>
      </c>
      <c r="B1099" s="59">
        <v>13</v>
      </c>
      <c r="C1099" s="59">
        <v>120</v>
      </c>
      <c r="D1099" s="51">
        <v>298</v>
      </c>
      <c r="E1099" s="51">
        <f t="shared" si="17"/>
        <v>0</v>
      </c>
    </row>
    <row r="1100" spans="1:5">
      <c r="A1100" s="59">
        <v>2</v>
      </c>
      <c r="B1100" s="59">
        <v>41</v>
      </c>
      <c r="C1100" s="59">
        <v>730</v>
      </c>
      <c r="D1100" s="51">
        <v>297</v>
      </c>
      <c r="E1100" s="51">
        <f t="shared" si="17"/>
        <v>1</v>
      </c>
    </row>
    <row r="1101" spans="1:5">
      <c r="A1101" s="59">
        <v>2</v>
      </c>
      <c r="B1101" s="59">
        <v>44</v>
      </c>
      <c r="C1101" s="59">
        <v>940</v>
      </c>
      <c r="D1101" s="51">
        <v>291</v>
      </c>
      <c r="E1101" s="51">
        <f t="shared" si="17"/>
        <v>1</v>
      </c>
    </row>
    <row r="1102" spans="1:5">
      <c r="A1102" s="59">
        <v>2</v>
      </c>
      <c r="B1102" s="59">
        <v>63</v>
      </c>
      <c r="C1102" s="59">
        <v>540</v>
      </c>
      <c r="D1102" s="51">
        <v>289</v>
      </c>
      <c r="E1102" s="51">
        <f t="shared" si="17"/>
        <v>0</v>
      </c>
    </row>
    <row r="1103" spans="1:5">
      <c r="A1103" s="59">
        <v>2</v>
      </c>
      <c r="B1103" s="59">
        <v>41</v>
      </c>
      <c r="C1103" s="59">
        <v>930</v>
      </c>
      <c r="D1103" s="51">
        <v>282</v>
      </c>
      <c r="E1103" s="51">
        <f t="shared" si="17"/>
        <v>1</v>
      </c>
    </row>
    <row r="1104" spans="1:5">
      <c r="A1104" s="59">
        <v>2</v>
      </c>
      <c r="B1104" s="59">
        <v>22</v>
      </c>
      <c r="C1104" s="59">
        <v>330</v>
      </c>
      <c r="D1104" s="51">
        <v>278</v>
      </c>
      <c r="E1104" s="51">
        <f t="shared" si="17"/>
        <v>0</v>
      </c>
    </row>
    <row r="1105" spans="1:5">
      <c r="A1105" s="59">
        <v>2</v>
      </c>
      <c r="B1105" s="59">
        <v>51</v>
      </c>
      <c r="C1105" s="59">
        <v>910</v>
      </c>
      <c r="D1105" s="51">
        <v>277</v>
      </c>
      <c r="E1105" s="51">
        <f t="shared" si="17"/>
        <v>0</v>
      </c>
    </row>
    <row r="1106" spans="1:5">
      <c r="A1106" s="59">
        <v>2</v>
      </c>
      <c r="B1106" s="59">
        <v>44</v>
      </c>
      <c r="C1106" s="59">
        <v>840</v>
      </c>
      <c r="D1106" s="51">
        <v>270</v>
      </c>
      <c r="E1106" s="51">
        <f t="shared" si="17"/>
        <v>1</v>
      </c>
    </row>
    <row r="1107" spans="1:5">
      <c r="A1107" s="59">
        <v>2</v>
      </c>
      <c r="B1107" s="59">
        <v>16</v>
      </c>
      <c r="C1107" s="59">
        <v>310</v>
      </c>
      <c r="D1107" s="51">
        <v>268</v>
      </c>
      <c r="E1107" s="51">
        <f t="shared" si="17"/>
        <v>0</v>
      </c>
    </row>
    <row r="1108" spans="1:5">
      <c r="A1108" s="59">
        <v>2</v>
      </c>
      <c r="B1108" s="59">
        <v>13</v>
      </c>
      <c r="C1108" s="59">
        <v>240</v>
      </c>
      <c r="D1108" s="51">
        <v>266</v>
      </c>
      <c r="E1108" s="51">
        <f t="shared" si="17"/>
        <v>0</v>
      </c>
    </row>
    <row r="1109" spans="1:5">
      <c r="A1109" s="59">
        <v>2</v>
      </c>
      <c r="B1109" s="59">
        <v>12</v>
      </c>
      <c r="C1109" s="59">
        <v>610</v>
      </c>
      <c r="D1109" s="51">
        <v>265</v>
      </c>
      <c r="E1109" s="51">
        <f t="shared" si="17"/>
        <v>0</v>
      </c>
    </row>
    <row r="1110" spans="1:5">
      <c r="A1110" s="59">
        <v>2</v>
      </c>
      <c r="B1110" s="59">
        <v>42</v>
      </c>
      <c r="C1110" s="59">
        <v>930</v>
      </c>
      <c r="D1110" s="51">
        <v>265</v>
      </c>
      <c r="E1110" s="51">
        <f t="shared" si="17"/>
        <v>0</v>
      </c>
    </row>
    <row r="1111" spans="1:5">
      <c r="A1111" s="59">
        <v>2</v>
      </c>
      <c r="B1111" s="59">
        <v>81</v>
      </c>
      <c r="C1111" s="59">
        <v>160</v>
      </c>
      <c r="D1111" s="51">
        <v>255</v>
      </c>
      <c r="E1111" s="51">
        <f t="shared" si="17"/>
        <v>0</v>
      </c>
    </row>
    <row r="1112" spans="1:5">
      <c r="A1112" s="59">
        <v>2</v>
      </c>
      <c r="B1112" s="59">
        <v>71</v>
      </c>
      <c r="C1112" s="59">
        <v>970</v>
      </c>
      <c r="D1112" s="51">
        <v>253</v>
      </c>
      <c r="E1112" s="51">
        <f t="shared" si="17"/>
        <v>0</v>
      </c>
    </row>
    <row r="1113" spans="1:5">
      <c r="A1113" s="59">
        <v>2</v>
      </c>
      <c r="B1113" s="59">
        <v>71</v>
      </c>
      <c r="C1113" s="59">
        <v>930</v>
      </c>
      <c r="D1113" s="51">
        <v>248</v>
      </c>
      <c r="E1113" s="51">
        <f t="shared" si="17"/>
        <v>0</v>
      </c>
    </row>
    <row r="1114" spans="1:5">
      <c r="A1114" s="59">
        <v>2</v>
      </c>
      <c r="B1114" s="59">
        <v>44</v>
      </c>
      <c r="C1114" s="59">
        <v>630</v>
      </c>
      <c r="D1114" s="51">
        <v>246</v>
      </c>
      <c r="E1114" s="51">
        <f t="shared" si="17"/>
        <v>1</v>
      </c>
    </row>
    <row r="1115" spans="1:5">
      <c r="A1115" s="59">
        <v>2</v>
      </c>
      <c r="B1115" s="59">
        <v>43</v>
      </c>
      <c r="C1115" s="59">
        <v>220</v>
      </c>
      <c r="D1115" s="51">
        <v>245</v>
      </c>
      <c r="E1115" s="51">
        <f t="shared" si="17"/>
        <v>0</v>
      </c>
    </row>
    <row r="1116" spans="1:5">
      <c r="A1116" s="59">
        <v>2</v>
      </c>
      <c r="B1116" s="59">
        <v>64</v>
      </c>
      <c r="C1116" s="59">
        <v>130</v>
      </c>
      <c r="D1116" s="51">
        <v>244</v>
      </c>
      <c r="E1116" s="51">
        <f t="shared" si="17"/>
        <v>0</v>
      </c>
    </row>
    <row r="1117" spans="1:5">
      <c r="A1117" s="59">
        <v>2</v>
      </c>
      <c r="B1117" s="59">
        <v>32</v>
      </c>
      <c r="C1117" s="59">
        <v>895</v>
      </c>
      <c r="D1117" s="51">
        <v>243</v>
      </c>
      <c r="E1117" s="51">
        <f t="shared" si="17"/>
        <v>0</v>
      </c>
    </row>
    <row r="1118" spans="1:5">
      <c r="A1118" s="59">
        <v>2</v>
      </c>
      <c r="B1118" s="59">
        <v>42</v>
      </c>
      <c r="C1118" s="59">
        <v>970</v>
      </c>
      <c r="D1118" s="51">
        <v>243</v>
      </c>
      <c r="E1118" s="51">
        <f t="shared" si="17"/>
        <v>0</v>
      </c>
    </row>
    <row r="1119" spans="1:5">
      <c r="A1119" s="59">
        <v>2</v>
      </c>
      <c r="B1119" s="59">
        <v>44</v>
      </c>
      <c r="C1119" s="59">
        <v>110</v>
      </c>
      <c r="D1119" s="51">
        <v>243</v>
      </c>
      <c r="E1119" s="51">
        <f t="shared" si="17"/>
        <v>1</v>
      </c>
    </row>
    <row r="1120" spans="1:5">
      <c r="A1120" s="59">
        <v>2</v>
      </c>
      <c r="B1120" s="59">
        <v>43</v>
      </c>
      <c r="C1120" s="59">
        <v>540</v>
      </c>
      <c r="D1120" s="51">
        <v>239</v>
      </c>
      <c r="E1120" s="51">
        <f t="shared" si="17"/>
        <v>0</v>
      </c>
    </row>
    <row r="1121" spans="1:5">
      <c r="A1121" s="59">
        <v>2</v>
      </c>
      <c r="B1121" s="59">
        <v>15</v>
      </c>
      <c r="C1121" s="59">
        <v>210</v>
      </c>
      <c r="D1121" s="51">
        <v>233</v>
      </c>
      <c r="E1121" s="51">
        <f t="shared" si="17"/>
        <v>0</v>
      </c>
    </row>
    <row r="1122" spans="1:5">
      <c r="A1122" s="59">
        <v>2</v>
      </c>
      <c r="B1122" s="59">
        <v>32</v>
      </c>
      <c r="C1122" s="59">
        <v>920</v>
      </c>
      <c r="D1122" s="51">
        <v>231</v>
      </c>
      <c r="E1122" s="51">
        <f t="shared" si="17"/>
        <v>0</v>
      </c>
    </row>
    <row r="1123" spans="1:5">
      <c r="A1123" s="59">
        <v>2</v>
      </c>
      <c r="B1123" s="59">
        <v>14</v>
      </c>
      <c r="C1123" s="59">
        <v>430</v>
      </c>
      <c r="D1123" s="51">
        <v>229</v>
      </c>
      <c r="E1123" s="51">
        <f t="shared" si="17"/>
        <v>0</v>
      </c>
    </row>
    <row r="1124" spans="1:5">
      <c r="A1124" s="59">
        <v>2</v>
      </c>
      <c r="B1124" s="59">
        <v>33</v>
      </c>
      <c r="C1124" s="59">
        <v>150</v>
      </c>
      <c r="D1124" s="51">
        <v>225</v>
      </c>
      <c r="E1124" s="51">
        <f t="shared" si="17"/>
        <v>0</v>
      </c>
    </row>
    <row r="1125" spans="1:5">
      <c r="A1125" s="59">
        <v>2</v>
      </c>
      <c r="B1125" s="59">
        <v>32</v>
      </c>
      <c r="C1125" s="59">
        <v>520</v>
      </c>
      <c r="D1125" s="51">
        <v>220</v>
      </c>
      <c r="E1125" s="51">
        <f t="shared" si="17"/>
        <v>0</v>
      </c>
    </row>
    <row r="1126" spans="1:5">
      <c r="A1126" s="59">
        <v>2</v>
      </c>
      <c r="B1126" s="59">
        <v>44</v>
      </c>
      <c r="C1126" s="59">
        <v>950</v>
      </c>
      <c r="D1126" s="51">
        <v>214</v>
      </c>
      <c r="E1126" s="51">
        <f t="shared" si="17"/>
        <v>1</v>
      </c>
    </row>
    <row r="1127" spans="1:5">
      <c r="A1127" s="59">
        <v>2</v>
      </c>
      <c r="B1127" s="59">
        <v>63</v>
      </c>
      <c r="C1127" s="59">
        <v>990</v>
      </c>
      <c r="D1127" s="51">
        <v>212</v>
      </c>
      <c r="E1127" s="51">
        <f t="shared" si="17"/>
        <v>0</v>
      </c>
    </row>
    <row r="1128" spans="1:5">
      <c r="A1128" s="59">
        <v>2</v>
      </c>
      <c r="B1128" s="59">
        <v>44</v>
      </c>
      <c r="C1128" s="59">
        <v>540</v>
      </c>
      <c r="D1128" s="51">
        <v>210</v>
      </c>
      <c r="E1128" s="51">
        <f t="shared" si="17"/>
        <v>1</v>
      </c>
    </row>
    <row r="1129" spans="1:5">
      <c r="A1129" s="59">
        <v>2</v>
      </c>
      <c r="B1129" s="59">
        <v>64</v>
      </c>
      <c r="C1129" s="59">
        <v>140</v>
      </c>
      <c r="D1129" s="51">
        <v>206</v>
      </c>
      <c r="E1129" s="51">
        <f t="shared" si="17"/>
        <v>0</v>
      </c>
    </row>
    <row r="1130" spans="1:5">
      <c r="A1130" s="59">
        <v>2</v>
      </c>
      <c r="B1130" s="59">
        <v>15</v>
      </c>
      <c r="C1130" s="59">
        <v>530</v>
      </c>
      <c r="D1130" s="51">
        <v>203</v>
      </c>
      <c r="E1130" s="51">
        <f t="shared" si="17"/>
        <v>0</v>
      </c>
    </row>
    <row r="1131" spans="1:5">
      <c r="A1131" s="59">
        <v>2</v>
      </c>
      <c r="B1131" s="59">
        <v>14</v>
      </c>
      <c r="C1131" s="59">
        <v>220</v>
      </c>
      <c r="D1131" s="51">
        <v>200</v>
      </c>
      <c r="E1131" s="51">
        <f t="shared" si="17"/>
        <v>0</v>
      </c>
    </row>
    <row r="1132" spans="1:5">
      <c r="A1132" s="59">
        <v>2</v>
      </c>
      <c r="B1132" s="59">
        <v>63</v>
      </c>
      <c r="C1132" s="59">
        <v>970</v>
      </c>
      <c r="D1132" s="51">
        <v>200</v>
      </c>
      <c r="E1132" s="51">
        <f t="shared" si="17"/>
        <v>0</v>
      </c>
    </row>
    <row r="1133" spans="1:5">
      <c r="A1133" s="59">
        <v>2</v>
      </c>
      <c r="B1133" s="59">
        <v>33</v>
      </c>
      <c r="C1133" s="59">
        <v>210</v>
      </c>
      <c r="D1133" s="51">
        <v>198</v>
      </c>
      <c r="E1133" s="51">
        <f t="shared" si="17"/>
        <v>0</v>
      </c>
    </row>
    <row r="1134" spans="1:5">
      <c r="A1134" s="59">
        <v>2</v>
      </c>
      <c r="B1134" s="59">
        <v>41</v>
      </c>
      <c r="C1134" s="59">
        <v>110</v>
      </c>
      <c r="D1134" s="51">
        <v>197</v>
      </c>
      <c r="E1134" s="51">
        <f t="shared" si="17"/>
        <v>1</v>
      </c>
    </row>
    <row r="1135" spans="1:5">
      <c r="A1135" s="59">
        <v>2</v>
      </c>
      <c r="B1135" s="59">
        <v>42</v>
      </c>
      <c r="C1135" s="59">
        <v>230</v>
      </c>
      <c r="D1135" s="51">
        <v>195</v>
      </c>
      <c r="E1135" s="51">
        <f t="shared" si="17"/>
        <v>0</v>
      </c>
    </row>
    <row r="1136" spans="1:5">
      <c r="A1136" s="59">
        <v>2</v>
      </c>
      <c r="B1136" s="59">
        <v>64</v>
      </c>
      <c r="C1136" s="59">
        <v>831</v>
      </c>
      <c r="D1136" s="51">
        <v>195</v>
      </c>
      <c r="E1136" s="51">
        <f t="shared" si="17"/>
        <v>0</v>
      </c>
    </row>
    <row r="1137" spans="1:5">
      <c r="A1137" s="59">
        <v>2</v>
      </c>
      <c r="B1137" s="59">
        <v>43</v>
      </c>
      <c r="C1137" s="59">
        <v>440</v>
      </c>
      <c r="D1137" s="51">
        <v>194</v>
      </c>
      <c r="E1137" s="51">
        <f t="shared" si="17"/>
        <v>0</v>
      </c>
    </row>
    <row r="1138" spans="1:5">
      <c r="A1138" s="59">
        <v>2</v>
      </c>
      <c r="B1138" s="59">
        <v>14</v>
      </c>
      <c r="C1138" s="59">
        <v>950</v>
      </c>
      <c r="D1138" s="51">
        <v>192</v>
      </c>
      <c r="E1138" s="51">
        <f t="shared" si="17"/>
        <v>0</v>
      </c>
    </row>
    <row r="1139" spans="1:5">
      <c r="A1139" s="59">
        <v>2</v>
      </c>
      <c r="B1139" s="59">
        <v>63</v>
      </c>
      <c r="C1139" s="59">
        <v>210</v>
      </c>
      <c r="D1139" s="51">
        <v>191</v>
      </c>
      <c r="E1139" s="51">
        <f t="shared" si="17"/>
        <v>0</v>
      </c>
    </row>
    <row r="1140" spans="1:5">
      <c r="A1140" s="59">
        <v>2</v>
      </c>
      <c r="B1140" s="59">
        <v>44</v>
      </c>
      <c r="C1140" s="59">
        <v>150</v>
      </c>
      <c r="D1140" s="51">
        <v>189</v>
      </c>
      <c r="E1140" s="51">
        <f t="shared" si="17"/>
        <v>1</v>
      </c>
    </row>
    <row r="1141" spans="1:5">
      <c r="A1141" s="59">
        <v>2</v>
      </c>
      <c r="B1141" s="59">
        <v>32</v>
      </c>
      <c r="C1141" s="59">
        <v>970</v>
      </c>
      <c r="D1141" s="51">
        <v>186</v>
      </c>
      <c r="E1141" s="51">
        <f t="shared" si="17"/>
        <v>0</v>
      </c>
    </row>
    <row r="1142" spans="1:5">
      <c r="A1142" s="59">
        <v>2</v>
      </c>
      <c r="B1142" s="59">
        <v>13</v>
      </c>
      <c r="C1142" s="59">
        <v>930</v>
      </c>
      <c r="D1142" s="51">
        <v>185</v>
      </c>
      <c r="E1142" s="51">
        <f t="shared" si="17"/>
        <v>0</v>
      </c>
    </row>
    <row r="1143" spans="1:5">
      <c r="A1143" s="59">
        <v>2</v>
      </c>
      <c r="B1143" s="59">
        <v>43</v>
      </c>
      <c r="C1143" s="59">
        <v>840</v>
      </c>
      <c r="D1143" s="51">
        <v>185</v>
      </c>
      <c r="E1143" s="51">
        <f t="shared" si="17"/>
        <v>0</v>
      </c>
    </row>
    <row r="1144" spans="1:5">
      <c r="A1144" s="59">
        <v>2</v>
      </c>
      <c r="B1144" s="59">
        <v>23</v>
      </c>
      <c r="C1144" s="59">
        <v>230</v>
      </c>
      <c r="D1144" s="51">
        <v>184</v>
      </c>
      <c r="E1144" s="51">
        <f t="shared" si="17"/>
        <v>0</v>
      </c>
    </row>
    <row r="1145" spans="1:5">
      <c r="A1145" s="59">
        <v>2</v>
      </c>
      <c r="B1145" s="59">
        <v>24</v>
      </c>
      <c r="C1145" s="59">
        <v>230</v>
      </c>
      <c r="D1145" s="51">
        <v>184</v>
      </c>
      <c r="E1145" s="51">
        <f t="shared" si="17"/>
        <v>0</v>
      </c>
    </row>
    <row r="1146" spans="1:5">
      <c r="A1146" s="59">
        <v>2</v>
      </c>
      <c r="B1146" s="59">
        <v>64</v>
      </c>
      <c r="C1146" s="59">
        <v>750</v>
      </c>
      <c r="D1146" s="51">
        <v>184</v>
      </c>
      <c r="E1146" s="51">
        <f t="shared" si="17"/>
        <v>0</v>
      </c>
    </row>
    <row r="1147" spans="1:5">
      <c r="A1147" s="59">
        <v>2</v>
      </c>
      <c r="B1147" s="59">
        <v>62</v>
      </c>
      <c r="C1147" s="59">
        <v>930</v>
      </c>
      <c r="D1147" s="51">
        <v>183</v>
      </c>
      <c r="E1147" s="51">
        <f t="shared" si="17"/>
        <v>1</v>
      </c>
    </row>
    <row r="1148" spans="1:5">
      <c r="A1148" s="59">
        <v>2</v>
      </c>
      <c r="B1148" s="59">
        <v>33</v>
      </c>
      <c r="C1148" s="59">
        <v>620</v>
      </c>
      <c r="D1148" s="51">
        <v>182</v>
      </c>
      <c r="E1148" s="51">
        <f t="shared" si="17"/>
        <v>0</v>
      </c>
    </row>
    <row r="1149" spans="1:5">
      <c r="A1149" s="59">
        <v>2</v>
      </c>
      <c r="B1149" s="59">
        <v>16</v>
      </c>
      <c r="C1149" s="59">
        <v>330</v>
      </c>
      <c r="D1149" s="51">
        <v>180</v>
      </c>
      <c r="E1149" s="51">
        <f t="shared" si="17"/>
        <v>0</v>
      </c>
    </row>
    <row r="1150" spans="1:5">
      <c r="A1150" s="59">
        <v>2</v>
      </c>
      <c r="B1150" s="59">
        <v>33</v>
      </c>
      <c r="C1150" s="59">
        <v>110</v>
      </c>
      <c r="D1150" s="51">
        <v>179</v>
      </c>
      <c r="E1150" s="51">
        <f t="shared" si="17"/>
        <v>0</v>
      </c>
    </row>
    <row r="1151" spans="1:5">
      <c r="A1151" s="59">
        <v>2</v>
      </c>
      <c r="B1151" s="59">
        <v>63</v>
      </c>
      <c r="C1151" s="59">
        <v>410</v>
      </c>
      <c r="D1151" s="51">
        <v>176</v>
      </c>
      <c r="E1151" s="51">
        <f t="shared" si="17"/>
        <v>0</v>
      </c>
    </row>
    <row r="1152" spans="1:5">
      <c r="A1152" s="59">
        <v>2</v>
      </c>
      <c r="B1152" s="59">
        <v>71</v>
      </c>
      <c r="C1152" s="59">
        <v>831</v>
      </c>
      <c r="D1152" s="51">
        <v>175</v>
      </c>
      <c r="E1152" s="51">
        <f t="shared" si="17"/>
        <v>0</v>
      </c>
    </row>
    <row r="1153" spans="1:5">
      <c r="A1153" s="59">
        <v>2</v>
      </c>
      <c r="B1153" s="59">
        <v>41</v>
      </c>
      <c r="C1153" s="59">
        <v>160</v>
      </c>
      <c r="D1153" s="51">
        <v>174</v>
      </c>
      <c r="E1153" s="51">
        <f t="shared" si="17"/>
        <v>1</v>
      </c>
    </row>
    <row r="1154" spans="1:5">
      <c r="A1154" s="59">
        <v>2</v>
      </c>
      <c r="B1154" s="59">
        <v>51</v>
      </c>
      <c r="C1154" s="59">
        <v>510</v>
      </c>
      <c r="D1154" s="51">
        <v>173</v>
      </c>
      <c r="E1154" s="51">
        <f t="shared" ref="E1154:E1217" si="18">IF(OR(A1154=6,A1154=7,A1154=14,A1154=15,A1154=16,A1154=17,A1154=18,A1154=19,A1154=20,A1154=21,A1154=22,A1154=23,A1154=25,A1154=26,A1154=27,A1154=28,B1154=41,B1154=44,B1154=62),1,0)</f>
        <v>0</v>
      </c>
    </row>
    <row r="1155" spans="1:5">
      <c r="A1155" s="59">
        <v>2</v>
      </c>
      <c r="B1155" s="59">
        <v>11</v>
      </c>
      <c r="C1155" s="59">
        <v>510</v>
      </c>
      <c r="D1155" s="51">
        <v>171</v>
      </c>
      <c r="E1155" s="51">
        <f t="shared" si="18"/>
        <v>0</v>
      </c>
    </row>
    <row r="1156" spans="1:5">
      <c r="A1156" s="59">
        <v>2</v>
      </c>
      <c r="B1156" s="59">
        <v>43</v>
      </c>
      <c r="C1156" s="59">
        <v>850</v>
      </c>
      <c r="D1156" s="51">
        <v>171</v>
      </c>
      <c r="E1156" s="51">
        <f t="shared" si="18"/>
        <v>0</v>
      </c>
    </row>
    <row r="1157" spans="1:5">
      <c r="A1157" s="59">
        <v>2</v>
      </c>
      <c r="B1157" s="59">
        <v>22</v>
      </c>
      <c r="C1157" s="59">
        <v>530</v>
      </c>
      <c r="D1157" s="51">
        <v>169</v>
      </c>
      <c r="E1157" s="51">
        <f t="shared" si="18"/>
        <v>0</v>
      </c>
    </row>
    <row r="1158" spans="1:5">
      <c r="A1158" s="59">
        <v>2</v>
      </c>
      <c r="B1158" s="59">
        <v>44</v>
      </c>
      <c r="C1158" s="59">
        <v>550</v>
      </c>
      <c r="D1158" s="51">
        <v>168</v>
      </c>
      <c r="E1158" s="51">
        <f t="shared" si="18"/>
        <v>1</v>
      </c>
    </row>
    <row r="1159" spans="1:5">
      <c r="A1159" s="59">
        <v>2</v>
      </c>
      <c r="B1159" s="59">
        <v>71</v>
      </c>
      <c r="C1159" s="59">
        <v>210</v>
      </c>
      <c r="D1159" s="51">
        <v>168</v>
      </c>
      <c r="E1159" s="51">
        <f t="shared" si="18"/>
        <v>0</v>
      </c>
    </row>
    <row r="1160" spans="1:5">
      <c r="A1160" s="59">
        <v>2</v>
      </c>
      <c r="B1160" s="59">
        <v>31</v>
      </c>
      <c r="C1160" s="59">
        <v>610</v>
      </c>
      <c r="D1160" s="51">
        <v>167</v>
      </c>
      <c r="E1160" s="51">
        <f t="shared" si="18"/>
        <v>0</v>
      </c>
    </row>
    <row r="1161" spans="1:5">
      <c r="A1161" s="59">
        <v>2</v>
      </c>
      <c r="B1161" s="59">
        <v>23</v>
      </c>
      <c r="C1161" s="59">
        <v>610</v>
      </c>
      <c r="D1161" s="51">
        <v>166</v>
      </c>
      <c r="E1161" s="51">
        <f t="shared" si="18"/>
        <v>0</v>
      </c>
    </row>
    <row r="1162" spans="1:5">
      <c r="A1162" s="59">
        <v>2</v>
      </c>
      <c r="B1162" s="59">
        <v>41</v>
      </c>
      <c r="C1162" s="59">
        <v>150</v>
      </c>
      <c r="D1162" s="51">
        <v>165</v>
      </c>
      <c r="E1162" s="51">
        <f t="shared" si="18"/>
        <v>1</v>
      </c>
    </row>
    <row r="1163" spans="1:5">
      <c r="A1163" s="59">
        <v>2</v>
      </c>
      <c r="B1163" s="59">
        <v>31</v>
      </c>
      <c r="C1163" s="59">
        <v>620</v>
      </c>
      <c r="D1163" s="51">
        <v>156</v>
      </c>
      <c r="E1163" s="51">
        <f t="shared" si="18"/>
        <v>0</v>
      </c>
    </row>
    <row r="1164" spans="1:5">
      <c r="A1164" s="59">
        <v>2</v>
      </c>
      <c r="B1164" s="59">
        <v>62</v>
      </c>
      <c r="C1164" s="59">
        <v>540</v>
      </c>
      <c r="D1164" s="51">
        <v>156</v>
      </c>
      <c r="E1164" s="51">
        <f t="shared" si="18"/>
        <v>1</v>
      </c>
    </row>
    <row r="1165" spans="1:5">
      <c r="A1165" s="59">
        <v>2</v>
      </c>
      <c r="B1165" s="59">
        <v>63</v>
      </c>
      <c r="C1165" s="59">
        <v>710</v>
      </c>
      <c r="D1165" s="51">
        <v>156</v>
      </c>
      <c r="E1165" s="51">
        <f t="shared" si="18"/>
        <v>0</v>
      </c>
    </row>
    <row r="1166" spans="1:5">
      <c r="A1166" s="59">
        <v>2</v>
      </c>
      <c r="B1166" s="59">
        <v>63</v>
      </c>
      <c r="C1166" s="59">
        <v>831</v>
      </c>
      <c r="D1166" s="51">
        <v>156</v>
      </c>
      <c r="E1166" s="51">
        <f t="shared" si="18"/>
        <v>0</v>
      </c>
    </row>
    <row r="1167" spans="1:5">
      <c r="A1167" s="59">
        <v>2</v>
      </c>
      <c r="B1167" s="59">
        <v>15</v>
      </c>
      <c r="C1167" s="59">
        <v>230</v>
      </c>
      <c r="D1167" s="51">
        <v>155</v>
      </c>
      <c r="E1167" s="51">
        <f t="shared" si="18"/>
        <v>0</v>
      </c>
    </row>
    <row r="1168" spans="1:5">
      <c r="A1168" s="59">
        <v>2</v>
      </c>
      <c r="B1168" s="59">
        <v>44</v>
      </c>
      <c r="C1168" s="59">
        <v>960</v>
      </c>
      <c r="D1168" s="51">
        <v>155</v>
      </c>
      <c r="E1168" s="51">
        <f t="shared" si="18"/>
        <v>1</v>
      </c>
    </row>
    <row r="1169" spans="1:5">
      <c r="A1169" s="59">
        <v>2</v>
      </c>
      <c r="B1169" s="59">
        <v>81</v>
      </c>
      <c r="C1169" s="59">
        <v>640</v>
      </c>
      <c r="D1169" s="51">
        <v>155</v>
      </c>
      <c r="E1169" s="51">
        <f t="shared" si="18"/>
        <v>0</v>
      </c>
    </row>
    <row r="1170" spans="1:5">
      <c r="A1170" s="59">
        <v>2</v>
      </c>
      <c r="B1170" s="59">
        <v>13</v>
      </c>
      <c r="C1170" s="59">
        <v>430</v>
      </c>
      <c r="D1170" s="51">
        <v>154</v>
      </c>
      <c r="E1170" s="51">
        <f t="shared" si="18"/>
        <v>0</v>
      </c>
    </row>
    <row r="1171" spans="1:5">
      <c r="A1171" s="59">
        <v>2</v>
      </c>
      <c r="B1171" s="59">
        <v>16</v>
      </c>
      <c r="C1171" s="59">
        <v>140</v>
      </c>
      <c r="D1171" s="51">
        <v>153</v>
      </c>
      <c r="E1171" s="51">
        <f t="shared" si="18"/>
        <v>0</v>
      </c>
    </row>
    <row r="1172" spans="1:5">
      <c r="A1172" s="59">
        <v>2</v>
      </c>
      <c r="B1172" s="59">
        <v>63</v>
      </c>
      <c r="C1172" s="59">
        <v>750</v>
      </c>
      <c r="D1172" s="51">
        <v>153</v>
      </c>
      <c r="E1172" s="51">
        <f t="shared" si="18"/>
        <v>0</v>
      </c>
    </row>
    <row r="1173" spans="1:5">
      <c r="A1173" s="59">
        <v>2</v>
      </c>
      <c r="B1173" s="59">
        <v>42</v>
      </c>
      <c r="C1173" s="59">
        <v>430</v>
      </c>
      <c r="D1173" s="51">
        <v>152</v>
      </c>
      <c r="E1173" s="51">
        <f t="shared" si="18"/>
        <v>0</v>
      </c>
    </row>
    <row r="1174" spans="1:5">
      <c r="A1174" s="59">
        <v>2</v>
      </c>
      <c r="B1174" s="59">
        <v>13</v>
      </c>
      <c r="C1174" s="59">
        <v>220</v>
      </c>
      <c r="D1174" s="51">
        <v>151</v>
      </c>
      <c r="E1174" s="51">
        <f t="shared" si="18"/>
        <v>0</v>
      </c>
    </row>
    <row r="1175" spans="1:5">
      <c r="A1175" s="59">
        <v>2</v>
      </c>
      <c r="B1175" s="59">
        <v>16</v>
      </c>
      <c r="C1175" s="59">
        <v>530</v>
      </c>
      <c r="D1175" s="51">
        <v>151</v>
      </c>
      <c r="E1175" s="51">
        <f t="shared" si="18"/>
        <v>0</v>
      </c>
    </row>
    <row r="1176" spans="1:5">
      <c r="A1176" s="59">
        <v>2</v>
      </c>
      <c r="B1176" s="59">
        <v>43</v>
      </c>
      <c r="C1176" s="59">
        <v>960</v>
      </c>
      <c r="D1176" s="51">
        <v>151</v>
      </c>
      <c r="E1176" s="51">
        <f t="shared" si="18"/>
        <v>0</v>
      </c>
    </row>
    <row r="1177" spans="1:5">
      <c r="A1177" s="59">
        <v>2</v>
      </c>
      <c r="B1177" s="59">
        <v>63</v>
      </c>
      <c r="C1177" s="59">
        <v>230</v>
      </c>
      <c r="D1177" s="51">
        <v>147</v>
      </c>
      <c r="E1177" s="51">
        <f t="shared" si="18"/>
        <v>0</v>
      </c>
    </row>
    <row r="1178" spans="1:5">
      <c r="A1178" s="59">
        <v>2</v>
      </c>
      <c r="B1178" s="59">
        <v>13</v>
      </c>
      <c r="C1178" s="59">
        <v>140</v>
      </c>
      <c r="D1178" s="51">
        <v>146</v>
      </c>
      <c r="E1178" s="51">
        <f t="shared" si="18"/>
        <v>0</v>
      </c>
    </row>
    <row r="1179" spans="1:5">
      <c r="A1179" s="59">
        <v>2</v>
      </c>
      <c r="B1179" s="59">
        <v>23</v>
      </c>
      <c r="C1179" s="59">
        <v>910</v>
      </c>
      <c r="D1179" s="51">
        <v>142</v>
      </c>
      <c r="E1179" s="51">
        <f t="shared" si="18"/>
        <v>0</v>
      </c>
    </row>
    <row r="1180" spans="1:5">
      <c r="A1180" s="59">
        <v>2</v>
      </c>
      <c r="B1180" s="59">
        <v>13</v>
      </c>
      <c r="C1180" s="59">
        <v>950</v>
      </c>
      <c r="D1180" s="51">
        <v>141</v>
      </c>
      <c r="E1180" s="51">
        <f t="shared" si="18"/>
        <v>0</v>
      </c>
    </row>
    <row r="1181" spans="1:5">
      <c r="A1181" s="59">
        <v>2</v>
      </c>
      <c r="B1181" s="59">
        <v>64</v>
      </c>
      <c r="C1181" s="59">
        <v>840</v>
      </c>
      <c r="D1181" s="51">
        <v>140</v>
      </c>
      <c r="E1181" s="51">
        <f t="shared" si="18"/>
        <v>0</v>
      </c>
    </row>
    <row r="1182" spans="1:5">
      <c r="A1182" s="59">
        <v>2</v>
      </c>
      <c r="B1182" s="59">
        <v>42</v>
      </c>
      <c r="C1182" s="59">
        <v>420</v>
      </c>
      <c r="D1182" s="51">
        <v>136</v>
      </c>
      <c r="E1182" s="51">
        <f t="shared" si="18"/>
        <v>0</v>
      </c>
    </row>
    <row r="1183" spans="1:5">
      <c r="A1183" s="59">
        <v>2</v>
      </c>
      <c r="B1183" s="59">
        <v>22</v>
      </c>
      <c r="C1183" s="59">
        <v>950</v>
      </c>
      <c r="D1183" s="51">
        <v>134</v>
      </c>
      <c r="E1183" s="51">
        <f t="shared" si="18"/>
        <v>0</v>
      </c>
    </row>
    <row r="1184" spans="1:5">
      <c r="A1184" s="59">
        <v>2</v>
      </c>
      <c r="B1184" s="59">
        <v>33</v>
      </c>
      <c r="C1184" s="59">
        <v>530</v>
      </c>
      <c r="D1184" s="51">
        <v>134</v>
      </c>
      <c r="E1184" s="51">
        <f t="shared" si="18"/>
        <v>0</v>
      </c>
    </row>
    <row r="1185" spans="1:5">
      <c r="A1185" s="59">
        <v>2</v>
      </c>
      <c r="B1185" s="59">
        <v>16</v>
      </c>
      <c r="C1185" s="59">
        <v>240</v>
      </c>
      <c r="D1185" s="51">
        <v>133</v>
      </c>
      <c r="E1185" s="51">
        <f t="shared" si="18"/>
        <v>0</v>
      </c>
    </row>
    <row r="1186" spans="1:5">
      <c r="A1186" s="59">
        <v>2</v>
      </c>
      <c r="B1186" s="59">
        <v>16</v>
      </c>
      <c r="C1186" s="59">
        <v>940</v>
      </c>
      <c r="D1186" s="51">
        <v>129</v>
      </c>
      <c r="E1186" s="51">
        <f t="shared" si="18"/>
        <v>0</v>
      </c>
    </row>
    <row r="1187" spans="1:5">
      <c r="A1187" s="59">
        <v>2</v>
      </c>
      <c r="B1187" s="59">
        <v>22</v>
      </c>
      <c r="C1187" s="59">
        <v>920</v>
      </c>
      <c r="D1187" s="51">
        <v>129</v>
      </c>
      <c r="E1187" s="51">
        <f t="shared" si="18"/>
        <v>0</v>
      </c>
    </row>
    <row r="1188" spans="1:5">
      <c r="A1188" s="59">
        <v>2</v>
      </c>
      <c r="B1188" s="59">
        <v>64</v>
      </c>
      <c r="C1188" s="59">
        <v>740</v>
      </c>
      <c r="D1188" s="51">
        <v>129</v>
      </c>
      <c r="E1188" s="51">
        <f t="shared" si="18"/>
        <v>0</v>
      </c>
    </row>
    <row r="1189" spans="1:5">
      <c r="A1189" s="59">
        <v>2</v>
      </c>
      <c r="B1189" s="59">
        <v>15</v>
      </c>
      <c r="C1189" s="59">
        <v>330</v>
      </c>
      <c r="D1189" s="51">
        <v>128</v>
      </c>
      <c r="E1189" s="51">
        <f t="shared" si="18"/>
        <v>0</v>
      </c>
    </row>
    <row r="1190" spans="1:5">
      <c r="A1190" s="59">
        <v>2</v>
      </c>
      <c r="B1190" s="59">
        <v>15</v>
      </c>
      <c r="C1190" s="59">
        <v>310</v>
      </c>
      <c r="D1190" s="51">
        <v>127</v>
      </c>
      <c r="E1190" s="51">
        <f t="shared" si="18"/>
        <v>0</v>
      </c>
    </row>
    <row r="1191" spans="1:5">
      <c r="A1191" s="59">
        <v>2</v>
      </c>
      <c r="B1191" s="59">
        <v>22</v>
      </c>
      <c r="C1191" s="59">
        <v>620</v>
      </c>
      <c r="D1191" s="51">
        <v>126</v>
      </c>
      <c r="E1191" s="51">
        <f t="shared" si="18"/>
        <v>0</v>
      </c>
    </row>
    <row r="1192" spans="1:5">
      <c r="A1192" s="59">
        <v>2</v>
      </c>
      <c r="B1192" s="59">
        <v>23</v>
      </c>
      <c r="C1192" s="59">
        <v>210</v>
      </c>
      <c r="D1192" s="51">
        <v>125</v>
      </c>
      <c r="E1192" s="51">
        <f t="shared" si="18"/>
        <v>0</v>
      </c>
    </row>
    <row r="1193" spans="1:5">
      <c r="A1193" s="59">
        <v>2</v>
      </c>
      <c r="B1193" s="59">
        <v>44</v>
      </c>
      <c r="C1193" s="59">
        <v>861</v>
      </c>
      <c r="D1193" s="51">
        <v>125</v>
      </c>
      <c r="E1193" s="51">
        <f t="shared" si="18"/>
        <v>1</v>
      </c>
    </row>
    <row r="1194" spans="1:5">
      <c r="A1194" s="59">
        <v>2</v>
      </c>
      <c r="B1194" s="59">
        <v>62</v>
      </c>
      <c r="C1194" s="59">
        <v>210</v>
      </c>
      <c r="D1194" s="51">
        <v>125</v>
      </c>
      <c r="E1194" s="51">
        <f t="shared" si="18"/>
        <v>1</v>
      </c>
    </row>
    <row r="1195" spans="1:5">
      <c r="A1195" s="59">
        <v>2</v>
      </c>
      <c r="B1195" s="59">
        <v>81</v>
      </c>
      <c r="C1195" s="59">
        <v>150</v>
      </c>
      <c r="D1195" s="51">
        <v>125</v>
      </c>
      <c r="E1195" s="51">
        <f t="shared" si="18"/>
        <v>0</v>
      </c>
    </row>
    <row r="1196" spans="1:5">
      <c r="A1196" s="59">
        <v>2</v>
      </c>
      <c r="B1196" s="59">
        <v>43</v>
      </c>
      <c r="C1196" s="59">
        <v>750</v>
      </c>
      <c r="D1196" s="51">
        <v>123</v>
      </c>
      <c r="E1196" s="51">
        <f t="shared" si="18"/>
        <v>0</v>
      </c>
    </row>
    <row r="1197" spans="1:5">
      <c r="A1197" s="59">
        <v>2</v>
      </c>
      <c r="B1197" s="59">
        <v>51</v>
      </c>
      <c r="C1197" s="59">
        <v>920</v>
      </c>
      <c r="D1197" s="51">
        <v>123</v>
      </c>
      <c r="E1197" s="51">
        <f t="shared" si="18"/>
        <v>0</v>
      </c>
    </row>
    <row r="1198" spans="1:5">
      <c r="A1198" s="59">
        <v>2</v>
      </c>
      <c r="B1198" s="59">
        <v>71</v>
      </c>
      <c r="C1198" s="59">
        <v>960</v>
      </c>
      <c r="D1198" s="51">
        <v>123</v>
      </c>
      <c r="E1198" s="51">
        <f t="shared" si="18"/>
        <v>0</v>
      </c>
    </row>
    <row r="1199" spans="1:5">
      <c r="A1199" s="59">
        <v>2</v>
      </c>
      <c r="B1199" s="59">
        <v>23</v>
      </c>
      <c r="C1199" s="59">
        <v>150</v>
      </c>
      <c r="D1199" s="51">
        <v>119</v>
      </c>
      <c r="E1199" s="51">
        <f t="shared" si="18"/>
        <v>0</v>
      </c>
    </row>
    <row r="1200" spans="1:5">
      <c r="A1200" s="59">
        <v>2</v>
      </c>
      <c r="B1200" s="59">
        <v>43</v>
      </c>
      <c r="C1200" s="59">
        <v>130</v>
      </c>
      <c r="D1200" s="51">
        <v>118</v>
      </c>
      <c r="E1200" s="51">
        <f t="shared" si="18"/>
        <v>0</v>
      </c>
    </row>
    <row r="1201" spans="1:5">
      <c r="A1201" s="59">
        <v>2</v>
      </c>
      <c r="B1201" s="59">
        <v>71</v>
      </c>
      <c r="C1201" s="59">
        <v>950</v>
      </c>
      <c r="D1201" s="51">
        <v>118</v>
      </c>
      <c r="E1201" s="51">
        <f t="shared" si="18"/>
        <v>0</v>
      </c>
    </row>
    <row r="1202" spans="1:5">
      <c r="A1202" s="59">
        <v>2</v>
      </c>
      <c r="B1202" s="59">
        <v>16</v>
      </c>
      <c r="C1202" s="59">
        <v>920</v>
      </c>
      <c r="D1202" s="51">
        <v>116</v>
      </c>
      <c r="E1202" s="51">
        <f t="shared" si="18"/>
        <v>0</v>
      </c>
    </row>
    <row r="1203" spans="1:5">
      <c r="A1203" s="59">
        <v>2</v>
      </c>
      <c r="B1203" s="59">
        <v>62</v>
      </c>
      <c r="C1203" s="59">
        <v>970</v>
      </c>
      <c r="D1203" s="51">
        <v>113</v>
      </c>
      <c r="E1203" s="51">
        <f t="shared" si="18"/>
        <v>1</v>
      </c>
    </row>
    <row r="1204" spans="1:5">
      <c r="A1204" s="59">
        <v>2</v>
      </c>
      <c r="B1204" s="59">
        <v>14</v>
      </c>
      <c r="C1204" s="59">
        <v>940</v>
      </c>
      <c r="D1204" s="51">
        <v>111</v>
      </c>
      <c r="E1204" s="51">
        <f t="shared" si="18"/>
        <v>0</v>
      </c>
    </row>
    <row r="1205" spans="1:5">
      <c r="A1205" s="59">
        <v>2</v>
      </c>
      <c r="B1205" s="59">
        <v>63</v>
      </c>
      <c r="C1205" s="59">
        <v>430</v>
      </c>
      <c r="D1205" s="51">
        <v>111</v>
      </c>
      <c r="E1205" s="51">
        <f t="shared" si="18"/>
        <v>0</v>
      </c>
    </row>
    <row r="1206" spans="1:5">
      <c r="A1206" s="59">
        <v>2</v>
      </c>
      <c r="B1206" s="59">
        <v>11</v>
      </c>
      <c r="C1206" s="59">
        <v>150</v>
      </c>
      <c r="D1206" s="51">
        <v>109</v>
      </c>
      <c r="E1206" s="51">
        <f t="shared" si="18"/>
        <v>0</v>
      </c>
    </row>
    <row r="1207" spans="1:5">
      <c r="A1207" s="59">
        <v>2</v>
      </c>
      <c r="B1207" s="59">
        <v>16</v>
      </c>
      <c r="C1207" s="59">
        <v>430</v>
      </c>
      <c r="D1207" s="51">
        <v>108</v>
      </c>
      <c r="E1207" s="51">
        <f t="shared" si="18"/>
        <v>0</v>
      </c>
    </row>
    <row r="1208" spans="1:5">
      <c r="A1208" s="59">
        <v>2</v>
      </c>
      <c r="B1208" s="59">
        <v>32</v>
      </c>
      <c r="C1208" s="59">
        <v>110</v>
      </c>
      <c r="D1208" s="51">
        <v>107</v>
      </c>
      <c r="E1208" s="51">
        <f t="shared" si="18"/>
        <v>0</v>
      </c>
    </row>
    <row r="1209" spans="1:5">
      <c r="A1209" s="59">
        <v>2</v>
      </c>
      <c r="B1209" s="59">
        <v>13</v>
      </c>
      <c r="C1209" s="59">
        <v>630</v>
      </c>
      <c r="D1209" s="51">
        <v>105</v>
      </c>
      <c r="E1209" s="51">
        <f t="shared" si="18"/>
        <v>0</v>
      </c>
    </row>
    <row r="1210" spans="1:5">
      <c r="A1210" s="59">
        <v>2</v>
      </c>
      <c r="B1210" s="59">
        <v>16</v>
      </c>
      <c r="C1210" s="59">
        <v>220</v>
      </c>
      <c r="D1210" s="51">
        <v>105</v>
      </c>
      <c r="E1210" s="51">
        <f t="shared" si="18"/>
        <v>0</v>
      </c>
    </row>
    <row r="1211" spans="1:5">
      <c r="A1211" s="59">
        <v>2</v>
      </c>
      <c r="B1211" s="59">
        <v>32</v>
      </c>
      <c r="C1211" s="59">
        <v>150</v>
      </c>
      <c r="D1211" s="51">
        <v>105</v>
      </c>
      <c r="E1211" s="51">
        <f t="shared" si="18"/>
        <v>0</v>
      </c>
    </row>
    <row r="1212" spans="1:5">
      <c r="A1212" s="59">
        <v>2</v>
      </c>
      <c r="B1212" s="59">
        <v>71</v>
      </c>
      <c r="C1212" s="59">
        <v>430</v>
      </c>
      <c r="D1212" s="51">
        <v>105</v>
      </c>
      <c r="E1212" s="51">
        <f t="shared" si="18"/>
        <v>0</v>
      </c>
    </row>
    <row r="1213" spans="1:5">
      <c r="A1213" s="59">
        <v>2</v>
      </c>
      <c r="B1213" s="59">
        <v>12</v>
      </c>
      <c r="C1213" s="59">
        <v>150</v>
      </c>
      <c r="D1213" s="51">
        <v>104</v>
      </c>
      <c r="E1213" s="51">
        <f t="shared" si="18"/>
        <v>0</v>
      </c>
    </row>
    <row r="1214" spans="1:5">
      <c r="A1214" s="59">
        <v>2</v>
      </c>
      <c r="B1214" s="59">
        <v>43</v>
      </c>
      <c r="C1214" s="59">
        <v>892</v>
      </c>
      <c r="D1214" s="51">
        <v>103</v>
      </c>
      <c r="E1214" s="51">
        <f t="shared" si="18"/>
        <v>0</v>
      </c>
    </row>
    <row r="1215" spans="1:5">
      <c r="A1215" s="59">
        <v>2</v>
      </c>
      <c r="B1215" s="59">
        <v>62</v>
      </c>
      <c r="C1215" s="59">
        <v>310</v>
      </c>
      <c r="D1215" s="51">
        <v>103</v>
      </c>
      <c r="E1215" s="51">
        <f t="shared" si="18"/>
        <v>1</v>
      </c>
    </row>
    <row r="1216" spans="1:5">
      <c r="A1216" s="59">
        <v>2</v>
      </c>
      <c r="B1216" s="59">
        <v>63</v>
      </c>
      <c r="C1216" s="59">
        <v>940</v>
      </c>
      <c r="D1216" s="51">
        <v>103</v>
      </c>
      <c r="E1216" s="51">
        <f t="shared" si="18"/>
        <v>0</v>
      </c>
    </row>
    <row r="1217" spans="1:5">
      <c r="A1217" s="59">
        <v>2</v>
      </c>
      <c r="B1217" s="59">
        <v>23</v>
      </c>
      <c r="C1217" s="59">
        <v>320</v>
      </c>
      <c r="D1217" s="51">
        <v>101</v>
      </c>
      <c r="E1217" s="51">
        <f t="shared" si="18"/>
        <v>0</v>
      </c>
    </row>
    <row r="1218" spans="1:5">
      <c r="A1218" s="59">
        <v>2</v>
      </c>
      <c r="B1218" s="59">
        <v>81</v>
      </c>
      <c r="C1218" s="59">
        <v>950</v>
      </c>
      <c r="D1218" s="51">
        <v>101</v>
      </c>
      <c r="E1218" s="51">
        <f t="shared" ref="E1218:E1281" si="19">IF(OR(A1218=6,A1218=7,A1218=14,A1218=15,A1218=16,A1218=17,A1218=18,A1218=19,A1218=20,A1218=21,A1218=22,A1218=23,A1218=25,A1218=26,A1218=27,A1218=28,B1218=41,B1218=44,B1218=62),1,0)</f>
        <v>0</v>
      </c>
    </row>
    <row r="1219" spans="1:5">
      <c r="A1219" s="59">
        <v>2</v>
      </c>
      <c r="B1219" s="59">
        <v>71</v>
      </c>
      <c r="C1219" s="59">
        <v>420</v>
      </c>
      <c r="D1219" s="51">
        <v>100</v>
      </c>
      <c r="E1219" s="51">
        <f t="shared" si="19"/>
        <v>0</v>
      </c>
    </row>
    <row r="1220" spans="1:5">
      <c r="A1220" s="59">
        <v>2</v>
      </c>
      <c r="B1220" s="59">
        <v>16</v>
      </c>
      <c r="C1220" s="59">
        <v>620</v>
      </c>
      <c r="D1220" s="51">
        <v>98</v>
      </c>
      <c r="E1220" s="51">
        <f t="shared" si="19"/>
        <v>0</v>
      </c>
    </row>
    <row r="1221" spans="1:5">
      <c r="A1221" s="59">
        <v>2</v>
      </c>
      <c r="B1221" s="59">
        <v>15</v>
      </c>
      <c r="C1221" s="59">
        <v>320</v>
      </c>
      <c r="D1221" s="51">
        <v>97</v>
      </c>
      <c r="E1221" s="51">
        <f t="shared" si="19"/>
        <v>0</v>
      </c>
    </row>
    <row r="1222" spans="1:5">
      <c r="A1222" s="59">
        <v>2</v>
      </c>
      <c r="B1222" s="59">
        <v>62</v>
      </c>
      <c r="C1222" s="59">
        <v>950</v>
      </c>
      <c r="D1222" s="51">
        <v>94</v>
      </c>
      <c r="E1222" s="51">
        <f t="shared" si="19"/>
        <v>1</v>
      </c>
    </row>
    <row r="1223" spans="1:5">
      <c r="A1223" s="59">
        <v>2</v>
      </c>
      <c r="B1223" s="59">
        <v>71</v>
      </c>
      <c r="C1223" s="59">
        <v>750</v>
      </c>
      <c r="D1223" s="51">
        <v>94</v>
      </c>
      <c r="E1223" s="51">
        <f t="shared" si="19"/>
        <v>0</v>
      </c>
    </row>
    <row r="1224" spans="1:5">
      <c r="A1224" s="59">
        <v>2</v>
      </c>
      <c r="B1224" s="59">
        <v>15</v>
      </c>
      <c r="C1224" s="59">
        <v>930</v>
      </c>
      <c r="D1224" s="51">
        <v>93</v>
      </c>
      <c r="E1224" s="51">
        <f t="shared" si="19"/>
        <v>0</v>
      </c>
    </row>
    <row r="1225" spans="1:5">
      <c r="A1225" s="59">
        <v>2</v>
      </c>
      <c r="B1225" s="59">
        <v>33</v>
      </c>
      <c r="C1225" s="59">
        <v>920</v>
      </c>
      <c r="D1225" s="51">
        <v>93</v>
      </c>
      <c r="E1225" s="51">
        <f t="shared" si="19"/>
        <v>0</v>
      </c>
    </row>
    <row r="1226" spans="1:5">
      <c r="A1226" s="59">
        <v>2</v>
      </c>
      <c r="B1226" s="59">
        <v>33</v>
      </c>
      <c r="C1226" s="59">
        <v>230</v>
      </c>
      <c r="D1226" s="51">
        <v>92</v>
      </c>
      <c r="E1226" s="51">
        <f t="shared" si="19"/>
        <v>0</v>
      </c>
    </row>
    <row r="1227" spans="1:5">
      <c r="A1227" s="59">
        <v>2</v>
      </c>
      <c r="B1227" s="59">
        <v>42</v>
      </c>
      <c r="C1227" s="59">
        <v>950</v>
      </c>
      <c r="D1227" s="51">
        <v>91</v>
      </c>
      <c r="E1227" s="51">
        <f t="shared" si="19"/>
        <v>0</v>
      </c>
    </row>
    <row r="1228" spans="1:5">
      <c r="A1228" s="59">
        <v>2</v>
      </c>
      <c r="B1228" s="59">
        <v>13</v>
      </c>
      <c r="C1228" s="59">
        <v>940</v>
      </c>
      <c r="D1228" s="51">
        <v>87</v>
      </c>
      <c r="E1228" s="51">
        <f t="shared" si="19"/>
        <v>0</v>
      </c>
    </row>
    <row r="1229" spans="1:5">
      <c r="A1229" s="59">
        <v>2</v>
      </c>
      <c r="B1229" s="59">
        <v>22</v>
      </c>
      <c r="C1229" s="59">
        <v>220</v>
      </c>
      <c r="D1229" s="51">
        <v>85</v>
      </c>
      <c r="E1229" s="51">
        <f t="shared" si="19"/>
        <v>0</v>
      </c>
    </row>
    <row r="1230" spans="1:5">
      <c r="A1230" s="59">
        <v>2</v>
      </c>
      <c r="B1230" s="59">
        <v>24</v>
      </c>
      <c r="C1230" s="59">
        <v>910</v>
      </c>
      <c r="D1230" s="51">
        <v>83</v>
      </c>
      <c r="E1230" s="51">
        <f t="shared" si="19"/>
        <v>0</v>
      </c>
    </row>
    <row r="1231" spans="1:5">
      <c r="A1231" s="59">
        <v>2</v>
      </c>
      <c r="B1231" s="59">
        <v>71</v>
      </c>
      <c r="C1231" s="59">
        <v>310</v>
      </c>
      <c r="D1231" s="51">
        <v>83</v>
      </c>
      <c r="E1231" s="51">
        <f t="shared" si="19"/>
        <v>0</v>
      </c>
    </row>
    <row r="1232" spans="1:5">
      <c r="A1232" s="59">
        <v>2</v>
      </c>
      <c r="B1232" s="59">
        <v>71</v>
      </c>
      <c r="C1232" s="59">
        <v>710</v>
      </c>
      <c r="D1232" s="51">
        <v>83</v>
      </c>
      <c r="E1232" s="51">
        <f t="shared" si="19"/>
        <v>0</v>
      </c>
    </row>
    <row r="1233" spans="1:5">
      <c r="A1233" s="59">
        <v>2</v>
      </c>
      <c r="B1233" s="59">
        <v>42</v>
      </c>
      <c r="C1233" s="59">
        <v>990</v>
      </c>
      <c r="D1233" s="51">
        <v>82</v>
      </c>
      <c r="E1233" s="51">
        <f t="shared" si="19"/>
        <v>0</v>
      </c>
    </row>
    <row r="1234" spans="1:5">
      <c r="A1234" s="59">
        <v>2</v>
      </c>
      <c r="B1234" s="59">
        <v>22</v>
      </c>
      <c r="C1234" s="59">
        <v>140</v>
      </c>
      <c r="D1234" s="51">
        <v>81</v>
      </c>
      <c r="E1234" s="51">
        <f t="shared" si="19"/>
        <v>0</v>
      </c>
    </row>
    <row r="1235" spans="1:5">
      <c r="A1235" s="59">
        <v>2</v>
      </c>
      <c r="B1235" s="59">
        <v>32</v>
      </c>
      <c r="C1235" s="59">
        <v>160</v>
      </c>
      <c r="D1235" s="51">
        <v>81</v>
      </c>
      <c r="E1235" s="51">
        <f t="shared" si="19"/>
        <v>0</v>
      </c>
    </row>
    <row r="1236" spans="1:5">
      <c r="A1236" s="59">
        <v>2</v>
      </c>
      <c r="B1236" s="59">
        <v>42</v>
      </c>
      <c r="C1236" s="59">
        <v>540</v>
      </c>
      <c r="D1236" s="51">
        <v>81</v>
      </c>
      <c r="E1236" s="51">
        <f t="shared" si="19"/>
        <v>0</v>
      </c>
    </row>
    <row r="1237" spans="1:5">
      <c r="A1237" s="59">
        <v>2</v>
      </c>
      <c r="B1237" s="59">
        <v>81</v>
      </c>
      <c r="C1237" s="59">
        <v>831</v>
      </c>
      <c r="D1237" s="51">
        <v>81</v>
      </c>
      <c r="E1237" s="51">
        <f t="shared" si="19"/>
        <v>0</v>
      </c>
    </row>
    <row r="1238" spans="1:5">
      <c r="A1238" s="59">
        <v>2</v>
      </c>
      <c r="B1238" s="59">
        <v>63</v>
      </c>
      <c r="C1238" s="59">
        <v>310</v>
      </c>
      <c r="D1238" s="51">
        <v>78</v>
      </c>
      <c r="E1238" s="51">
        <f t="shared" si="19"/>
        <v>0</v>
      </c>
    </row>
    <row r="1239" spans="1:5">
      <c r="A1239" s="59">
        <v>2</v>
      </c>
      <c r="B1239" s="59">
        <v>42</v>
      </c>
      <c r="C1239" s="59">
        <v>220</v>
      </c>
      <c r="D1239" s="51">
        <v>77</v>
      </c>
      <c r="E1239" s="51">
        <f t="shared" si="19"/>
        <v>0</v>
      </c>
    </row>
    <row r="1240" spans="1:5">
      <c r="A1240" s="59">
        <v>2</v>
      </c>
      <c r="B1240" s="59">
        <v>42</v>
      </c>
      <c r="C1240" s="59">
        <v>320</v>
      </c>
      <c r="D1240" s="51">
        <v>77</v>
      </c>
      <c r="E1240" s="51">
        <f t="shared" si="19"/>
        <v>0</v>
      </c>
    </row>
    <row r="1241" spans="1:5">
      <c r="A1241" s="59">
        <v>2</v>
      </c>
      <c r="B1241" s="59">
        <v>44</v>
      </c>
      <c r="C1241" s="59">
        <v>430</v>
      </c>
      <c r="D1241" s="51">
        <v>77</v>
      </c>
      <c r="E1241" s="51">
        <f t="shared" si="19"/>
        <v>1</v>
      </c>
    </row>
    <row r="1242" spans="1:5">
      <c r="A1242" s="59">
        <v>2</v>
      </c>
      <c r="B1242" s="59">
        <v>31</v>
      </c>
      <c r="C1242" s="59">
        <v>895</v>
      </c>
      <c r="D1242" s="51">
        <v>76</v>
      </c>
      <c r="E1242" s="51">
        <f t="shared" si="19"/>
        <v>0</v>
      </c>
    </row>
    <row r="1243" spans="1:5">
      <c r="A1243" s="59">
        <v>2</v>
      </c>
      <c r="B1243" s="59">
        <v>33</v>
      </c>
      <c r="C1243" s="59">
        <v>160</v>
      </c>
      <c r="D1243" s="51">
        <v>76</v>
      </c>
      <c r="E1243" s="51">
        <f t="shared" si="19"/>
        <v>0</v>
      </c>
    </row>
    <row r="1244" spans="1:5">
      <c r="A1244" s="59">
        <v>2</v>
      </c>
      <c r="B1244" s="59">
        <v>63</v>
      </c>
      <c r="C1244" s="59">
        <v>420</v>
      </c>
      <c r="D1244" s="51">
        <v>75</v>
      </c>
      <c r="E1244" s="51">
        <f t="shared" si="19"/>
        <v>0</v>
      </c>
    </row>
    <row r="1245" spans="1:5">
      <c r="A1245" s="59">
        <v>2</v>
      </c>
      <c r="B1245" s="59">
        <v>42</v>
      </c>
      <c r="C1245" s="59">
        <v>550</v>
      </c>
      <c r="D1245" s="51">
        <v>73</v>
      </c>
      <c r="E1245" s="51">
        <f t="shared" si="19"/>
        <v>0</v>
      </c>
    </row>
    <row r="1246" spans="1:5">
      <c r="A1246" s="59">
        <v>2</v>
      </c>
      <c r="B1246" s="59">
        <v>44</v>
      </c>
      <c r="C1246" s="59">
        <v>410</v>
      </c>
      <c r="D1246" s="51">
        <v>73</v>
      </c>
      <c r="E1246" s="51">
        <f t="shared" si="19"/>
        <v>1</v>
      </c>
    </row>
    <row r="1247" spans="1:5">
      <c r="A1247" s="59">
        <v>2</v>
      </c>
      <c r="B1247" s="59">
        <v>63</v>
      </c>
      <c r="C1247" s="59">
        <v>740</v>
      </c>
      <c r="D1247" s="51">
        <v>72</v>
      </c>
      <c r="E1247" s="51">
        <f t="shared" si="19"/>
        <v>0</v>
      </c>
    </row>
    <row r="1248" spans="1:5">
      <c r="A1248" s="59">
        <v>2</v>
      </c>
      <c r="B1248" s="59">
        <v>64</v>
      </c>
      <c r="C1248" s="59">
        <v>870</v>
      </c>
      <c r="D1248" s="51">
        <v>72</v>
      </c>
      <c r="E1248" s="51">
        <f t="shared" si="19"/>
        <v>0</v>
      </c>
    </row>
    <row r="1249" spans="1:5">
      <c r="A1249" s="59">
        <v>2</v>
      </c>
      <c r="B1249" s="59">
        <v>32</v>
      </c>
      <c r="C1249" s="59">
        <v>210</v>
      </c>
      <c r="D1249" s="51">
        <v>71</v>
      </c>
      <c r="E1249" s="51">
        <f t="shared" si="19"/>
        <v>0</v>
      </c>
    </row>
    <row r="1250" spans="1:5">
      <c r="A1250" s="59">
        <v>2</v>
      </c>
      <c r="B1250" s="59">
        <v>62</v>
      </c>
      <c r="C1250" s="59">
        <v>410</v>
      </c>
      <c r="D1250" s="51">
        <v>71</v>
      </c>
      <c r="E1250" s="51">
        <f t="shared" si="19"/>
        <v>1</v>
      </c>
    </row>
    <row r="1251" spans="1:5">
      <c r="A1251" s="59">
        <v>2</v>
      </c>
      <c r="B1251" s="59">
        <v>64</v>
      </c>
      <c r="C1251" s="59">
        <v>960</v>
      </c>
      <c r="D1251" s="51">
        <v>71</v>
      </c>
      <c r="E1251" s="51">
        <f t="shared" si="19"/>
        <v>0</v>
      </c>
    </row>
    <row r="1252" spans="1:5">
      <c r="A1252" s="59">
        <v>2</v>
      </c>
      <c r="B1252" s="59">
        <v>81</v>
      </c>
      <c r="C1252" s="59">
        <v>630</v>
      </c>
      <c r="D1252" s="51">
        <v>71</v>
      </c>
      <c r="E1252" s="51">
        <f t="shared" si="19"/>
        <v>0</v>
      </c>
    </row>
    <row r="1253" spans="1:5">
      <c r="A1253" s="59">
        <v>2</v>
      </c>
      <c r="B1253" s="59">
        <v>32</v>
      </c>
      <c r="C1253" s="59">
        <v>720</v>
      </c>
      <c r="D1253" s="51">
        <v>68</v>
      </c>
      <c r="E1253" s="51">
        <f t="shared" si="19"/>
        <v>0</v>
      </c>
    </row>
    <row r="1254" spans="1:5">
      <c r="A1254" s="59">
        <v>2</v>
      </c>
      <c r="B1254" s="59">
        <v>62</v>
      </c>
      <c r="C1254" s="59">
        <v>230</v>
      </c>
      <c r="D1254" s="51">
        <v>66</v>
      </c>
      <c r="E1254" s="51">
        <f t="shared" si="19"/>
        <v>1</v>
      </c>
    </row>
    <row r="1255" spans="1:5">
      <c r="A1255" s="59">
        <v>2</v>
      </c>
      <c r="B1255" s="59">
        <v>63</v>
      </c>
      <c r="C1255" s="59">
        <v>950</v>
      </c>
      <c r="D1255" s="51">
        <v>66</v>
      </c>
      <c r="E1255" s="51">
        <f t="shared" si="19"/>
        <v>0</v>
      </c>
    </row>
    <row r="1256" spans="1:5">
      <c r="A1256" s="59">
        <v>2</v>
      </c>
      <c r="B1256" s="59">
        <v>42</v>
      </c>
      <c r="C1256" s="59">
        <v>440</v>
      </c>
      <c r="D1256" s="51">
        <v>65</v>
      </c>
      <c r="E1256" s="51">
        <f t="shared" si="19"/>
        <v>0</v>
      </c>
    </row>
    <row r="1257" spans="1:5">
      <c r="A1257" s="59">
        <v>2</v>
      </c>
      <c r="B1257" s="59">
        <v>71</v>
      </c>
      <c r="C1257" s="59">
        <v>230</v>
      </c>
      <c r="D1257" s="51">
        <v>65</v>
      </c>
      <c r="E1257" s="51">
        <f t="shared" si="19"/>
        <v>0</v>
      </c>
    </row>
    <row r="1258" spans="1:5">
      <c r="A1258" s="59">
        <v>2</v>
      </c>
      <c r="B1258" s="59">
        <v>12</v>
      </c>
      <c r="C1258" s="59">
        <v>520</v>
      </c>
      <c r="D1258" s="51">
        <v>64</v>
      </c>
      <c r="E1258" s="51">
        <f t="shared" si="19"/>
        <v>0</v>
      </c>
    </row>
    <row r="1259" spans="1:5">
      <c r="A1259" s="59">
        <v>2</v>
      </c>
      <c r="B1259" s="59">
        <v>22</v>
      </c>
      <c r="C1259" s="59">
        <v>890</v>
      </c>
      <c r="D1259" s="51">
        <v>64</v>
      </c>
      <c r="E1259" s="51">
        <f t="shared" si="19"/>
        <v>0</v>
      </c>
    </row>
    <row r="1260" spans="1:5">
      <c r="A1260" s="59">
        <v>2</v>
      </c>
      <c r="B1260" s="59">
        <v>42</v>
      </c>
      <c r="C1260" s="59">
        <v>310</v>
      </c>
      <c r="D1260" s="51">
        <v>64</v>
      </c>
      <c r="E1260" s="51">
        <f t="shared" si="19"/>
        <v>0</v>
      </c>
    </row>
    <row r="1261" spans="1:5">
      <c r="A1261" s="59">
        <v>2</v>
      </c>
      <c r="B1261" s="59">
        <v>81</v>
      </c>
      <c r="C1261" s="59">
        <v>440</v>
      </c>
      <c r="D1261" s="51">
        <v>63</v>
      </c>
      <c r="E1261" s="51">
        <f t="shared" si="19"/>
        <v>0</v>
      </c>
    </row>
    <row r="1262" spans="1:5">
      <c r="A1262" s="59">
        <v>2</v>
      </c>
      <c r="B1262" s="59">
        <v>15</v>
      </c>
      <c r="C1262" s="59">
        <v>240</v>
      </c>
      <c r="D1262" s="51">
        <v>61</v>
      </c>
      <c r="E1262" s="51">
        <f t="shared" si="19"/>
        <v>0</v>
      </c>
    </row>
    <row r="1263" spans="1:5">
      <c r="A1263" s="59">
        <v>2</v>
      </c>
      <c r="B1263" s="59">
        <v>42</v>
      </c>
      <c r="C1263" s="59">
        <v>330</v>
      </c>
      <c r="D1263" s="51">
        <v>61</v>
      </c>
      <c r="E1263" s="51">
        <f t="shared" si="19"/>
        <v>0</v>
      </c>
    </row>
    <row r="1264" spans="1:5">
      <c r="A1264" s="59">
        <v>2</v>
      </c>
      <c r="B1264" s="59">
        <v>44</v>
      </c>
      <c r="C1264" s="59">
        <v>220</v>
      </c>
      <c r="D1264" s="51">
        <v>60</v>
      </c>
      <c r="E1264" s="51">
        <f t="shared" si="19"/>
        <v>1</v>
      </c>
    </row>
    <row r="1265" spans="1:5">
      <c r="A1265" s="59">
        <v>2</v>
      </c>
      <c r="B1265" s="59">
        <v>61</v>
      </c>
      <c r="C1265" s="59">
        <v>510</v>
      </c>
      <c r="D1265" s="51">
        <v>60</v>
      </c>
      <c r="E1265" s="51">
        <f t="shared" si="19"/>
        <v>0</v>
      </c>
    </row>
    <row r="1266" spans="1:5">
      <c r="A1266" s="59">
        <v>2</v>
      </c>
      <c r="B1266" s="59">
        <v>64</v>
      </c>
      <c r="C1266" s="59">
        <v>893</v>
      </c>
      <c r="D1266" s="51">
        <v>60</v>
      </c>
      <c r="E1266" s="51">
        <f t="shared" si="19"/>
        <v>0</v>
      </c>
    </row>
    <row r="1267" spans="1:5">
      <c r="A1267" s="59">
        <v>2</v>
      </c>
      <c r="B1267" s="59">
        <v>42</v>
      </c>
      <c r="C1267" s="59">
        <v>240</v>
      </c>
      <c r="D1267" s="51">
        <v>58</v>
      </c>
      <c r="E1267" s="51">
        <f t="shared" si="19"/>
        <v>0</v>
      </c>
    </row>
    <row r="1268" spans="1:5">
      <c r="A1268" s="59">
        <v>2</v>
      </c>
      <c r="B1268" s="59">
        <v>64</v>
      </c>
      <c r="C1268" s="59">
        <v>120</v>
      </c>
      <c r="D1268" s="51">
        <v>58</v>
      </c>
      <c r="E1268" s="51">
        <f t="shared" si="19"/>
        <v>0</v>
      </c>
    </row>
    <row r="1269" spans="1:5">
      <c r="A1269" s="59">
        <v>2</v>
      </c>
      <c r="B1269" s="59">
        <v>61</v>
      </c>
      <c r="C1269" s="59">
        <v>910</v>
      </c>
      <c r="D1269" s="51">
        <v>56</v>
      </c>
      <c r="E1269" s="51">
        <f t="shared" si="19"/>
        <v>0</v>
      </c>
    </row>
    <row r="1270" spans="1:5">
      <c r="A1270" s="59">
        <v>2</v>
      </c>
      <c r="B1270" s="59">
        <v>62</v>
      </c>
      <c r="C1270" s="59">
        <v>940</v>
      </c>
      <c r="D1270" s="51">
        <v>56</v>
      </c>
      <c r="E1270" s="51">
        <f t="shared" si="19"/>
        <v>1</v>
      </c>
    </row>
    <row r="1271" spans="1:5">
      <c r="A1271" s="59">
        <v>2</v>
      </c>
      <c r="B1271" s="59">
        <v>81</v>
      </c>
      <c r="C1271" s="59">
        <v>230</v>
      </c>
      <c r="D1271" s="51">
        <v>56</v>
      </c>
      <c r="E1271" s="51">
        <f t="shared" si="19"/>
        <v>0</v>
      </c>
    </row>
    <row r="1272" spans="1:5">
      <c r="A1272" s="59">
        <v>2</v>
      </c>
      <c r="B1272" s="59">
        <v>32</v>
      </c>
      <c r="C1272" s="59">
        <v>896</v>
      </c>
      <c r="D1272" s="51">
        <v>55</v>
      </c>
      <c r="E1272" s="51">
        <f t="shared" si="19"/>
        <v>0</v>
      </c>
    </row>
    <row r="1273" spans="1:5">
      <c r="A1273" s="59">
        <v>2</v>
      </c>
      <c r="B1273" s="59">
        <v>42</v>
      </c>
      <c r="C1273" s="59">
        <v>960</v>
      </c>
      <c r="D1273" s="51">
        <v>55</v>
      </c>
      <c r="E1273" s="51">
        <f t="shared" si="19"/>
        <v>0</v>
      </c>
    </row>
    <row r="1274" spans="1:5">
      <c r="A1274" s="59">
        <v>2</v>
      </c>
      <c r="B1274" s="59">
        <v>13</v>
      </c>
      <c r="C1274" s="59">
        <v>640</v>
      </c>
      <c r="D1274" s="51">
        <v>54</v>
      </c>
      <c r="E1274" s="51">
        <f t="shared" si="19"/>
        <v>0</v>
      </c>
    </row>
    <row r="1275" spans="1:5">
      <c r="A1275" s="59">
        <v>2</v>
      </c>
      <c r="B1275" s="59">
        <v>62</v>
      </c>
      <c r="C1275" s="59">
        <v>420</v>
      </c>
      <c r="D1275" s="51">
        <v>53</v>
      </c>
      <c r="E1275" s="51">
        <f t="shared" si="19"/>
        <v>1</v>
      </c>
    </row>
    <row r="1276" spans="1:5">
      <c r="A1276" s="59">
        <v>2</v>
      </c>
      <c r="B1276" s="59">
        <v>81</v>
      </c>
      <c r="C1276" s="59">
        <v>930</v>
      </c>
      <c r="D1276" s="51">
        <v>53</v>
      </c>
      <c r="E1276" s="51">
        <f t="shared" si="19"/>
        <v>0</v>
      </c>
    </row>
    <row r="1277" spans="1:5">
      <c r="A1277" s="59">
        <v>2</v>
      </c>
      <c r="B1277" s="59">
        <v>11</v>
      </c>
      <c r="C1277" s="59">
        <v>520</v>
      </c>
      <c r="D1277" s="51">
        <v>52</v>
      </c>
      <c r="E1277" s="51">
        <f t="shared" si="19"/>
        <v>0</v>
      </c>
    </row>
    <row r="1278" spans="1:5">
      <c r="A1278" s="59">
        <v>2</v>
      </c>
      <c r="B1278" s="59">
        <v>11</v>
      </c>
      <c r="C1278" s="59">
        <v>910</v>
      </c>
      <c r="D1278" s="51">
        <v>52</v>
      </c>
      <c r="E1278" s="51">
        <f t="shared" si="19"/>
        <v>0</v>
      </c>
    </row>
    <row r="1279" spans="1:5">
      <c r="A1279" s="59">
        <v>2</v>
      </c>
      <c r="B1279" s="59">
        <v>33</v>
      </c>
      <c r="C1279" s="59">
        <v>310</v>
      </c>
      <c r="D1279" s="51">
        <v>52</v>
      </c>
      <c r="E1279" s="51">
        <f t="shared" si="19"/>
        <v>0</v>
      </c>
    </row>
    <row r="1280" spans="1:5">
      <c r="A1280" s="59">
        <v>2</v>
      </c>
      <c r="B1280" s="59">
        <v>43</v>
      </c>
      <c r="C1280" s="59">
        <v>710</v>
      </c>
      <c r="D1280" s="51">
        <v>52</v>
      </c>
      <c r="E1280" s="51">
        <f t="shared" si="19"/>
        <v>0</v>
      </c>
    </row>
    <row r="1281" spans="1:5">
      <c r="A1281" s="59">
        <v>2</v>
      </c>
      <c r="B1281" s="59">
        <v>62</v>
      </c>
      <c r="C1281" s="59">
        <v>850</v>
      </c>
      <c r="D1281" s="51">
        <v>52</v>
      </c>
      <c r="E1281" s="51">
        <f t="shared" si="19"/>
        <v>1</v>
      </c>
    </row>
    <row r="1282" spans="1:5">
      <c r="A1282" s="59">
        <v>2</v>
      </c>
      <c r="B1282" s="59">
        <v>71</v>
      </c>
      <c r="C1282" s="59">
        <v>940</v>
      </c>
      <c r="D1282" s="51">
        <v>52</v>
      </c>
      <c r="E1282" s="51">
        <f t="shared" ref="E1282:E1345" si="20">IF(OR(A1282=6,A1282=7,A1282=14,A1282=15,A1282=16,A1282=17,A1282=18,A1282=19,A1282=20,A1282=21,A1282=22,A1282=23,A1282=25,A1282=26,A1282=27,A1282=28,B1282=41,B1282=44,B1282=62),1,0)</f>
        <v>0</v>
      </c>
    </row>
    <row r="1283" spans="1:5">
      <c r="A1283" s="59">
        <v>2</v>
      </c>
      <c r="B1283" s="59">
        <v>16</v>
      </c>
      <c r="C1283" s="59">
        <v>520</v>
      </c>
      <c r="D1283" s="51">
        <v>51</v>
      </c>
      <c r="E1283" s="51">
        <f t="shared" si="20"/>
        <v>0</v>
      </c>
    </row>
    <row r="1284" spans="1:5">
      <c r="A1284" s="59">
        <v>2</v>
      </c>
      <c r="B1284" s="59">
        <v>44</v>
      </c>
      <c r="C1284" s="59">
        <v>210</v>
      </c>
      <c r="D1284" s="51">
        <v>50</v>
      </c>
      <c r="E1284" s="51">
        <f t="shared" si="20"/>
        <v>1</v>
      </c>
    </row>
    <row r="1285" spans="1:5">
      <c r="A1285" s="59">
        <v>2</v>
      </c>
      <c r="B1285" s="59">
        <v>15</v>
      </c>
      <c r="C1285" s="59">
        <v>920</v>
      </c>
      <c r="D1285" s="51">
        <v>49</v>
      </c>
      <c r="E1285" s="51">
        <f t="shared" si="20"/>
        <v>0</v>
      </c>
    </row>
    <row r="1286" spans="1:5">
      <c r="A1286" s="59">
        <v>2</v>
      </c>
      <c r="B1286" s="59">
        <v>81</v>
      </c>
      <c r="C1286" s="59">
        <v>310</v>
      </c>
      <c r="D1286" s="51">
        <v>48</v>
      </c>
      <c r="E1286" s="51">
        <f t="shared" si="20"/>
        <v>0</v>
      </c>
    </row>
    <row r="1287" spans="1:5">
      <c r="A1287" s="59">
        <v>2</v>
      </c>
      <c r="B1287" s="59">
        <v>43</v>
      </c>
      <c r="C1287" s="59">
        <v>120</v>
      </c>
      <c r="D1287" s="51">
        <v>47</v>
      </c>
      <c r="E1287" s="51">
        <f t="shared" si="20"/>
        <v>0</v>
      </c>
    </row>
    <row r="1288" spans="1:5">
      <c r="A1288" s="59">
        <v>2</v>
      </c>
      <c r="B1288" s="59">
        <v>71</v>
      </c>
      <c r="C1288" s="59">
        <v>740</v>
      </c>
      <c r="D1288" s="51">
        <v>47</v>
      </c>
      <c r="E1288" s="51">
        <f t="shared" si="20"/>
        <v>0</v>
      </c>
    </row>
    <row r="1289" spans="1:5">
      <c r="A1289" s="59">
        <v>2</v>
      </c>
      <c r="B1289" s="59">
        <v>13</v>
      </c>
      <c r="C1289" s="59">
        <v>540</v>
      </c>
      <c r="D1289" s="51">
        <v>46</v>
      </c>
      <c r="E1289" s="51">
        <f t="shared" si="20"/>
        <v>0</v>
      </c>
    </row>
    <row r="1290" spans="1:5">
      <c r="A1290" s="59">
        <v>2</v>
      </c>
      <c r="B1290" s="59">
        <v>71</v>
      </c>
      <c r="C1290" s="59">
        <v>240</v>
      </c>
      <c r="D1290" s="51">
        <v>46</v>
      </c>
      <c r="E1290" s="51">
        <f t="shared" si="20"/>
        <v>0</v>
      </c>
    </row>
    <row r="1291" spans="1:5">
      <c r="A1291" s="59">
        <v>2</v>
      </c>
      <c r="B1291" s="59">
        <v>12</v>
      </c>
      <c r="C1291" s="59">
        <v>910</v>
      </c>
      <c r="D1291" s="51">
        <v>45</v>
      </c>
      <c r="E1291" s="51">
        <f t="shared" si="20"/>
        <v>0</v>
      </c>
    </row>
    <row r="1292" spans="1:5">
      <c r="A1292" s="59">
        <v>2</v>
      </c>
      <c r="B1292" s="59">
        <v>32</v>
      </c>
      <c r="C1292" s="59">
        <v>930</v>
      </c>
      <c r="D1292" s="51">
        <v>45</v>
      </c>
      <c r="E1292" s="51">
        <f t="shared" si="20"/>
        <v>0</v>
      </c>
    </row>
    <row r="1293" spans="1:5">
      <c r="A1293" s="59">
        <v>2</v>
      </c>
      <c r="B1293" s="59">
        <v>43</v>
      </c>
      <c r="C1293" s="59">
        <v>140</v>
      </c>
      <c r="D1293" s="51">
        <v>45</v>
      </c>
      <c r="E1293" s="51">
        <f t="shared" si="20"/>
        <v>0</v>
      </c>
    </row>
    <row r="1294" spans="1:5">
      <c r="A1294" s="59">
        <v>2</v>
      </c>
      <c r="B1294" s="59">
        <v>15</v>
      </c>
      <c r="C1294" s="59">
        <v>620</v>
      </c>
      <c r="D1294" s="51">
        <v>44</v>
      </c>
      <c r="E1294" s="51">
        <f t="shared" si="20"/>
        <v>0</v>
      </c>
    </row>
    <row r="1295" spans="1:5">
      <c r="A1295" s="59">
        <v>2</v>
      </c>
      <c r="B1295" s="59">
        <v>22</v>
      </c>
      <c r="C1295" s="59">
        <v>520</v>
      </c>
      <c r="D1295" s="51">
        <v>43</v>
      </c>
      <c r="E1295" s="51">
        <f t="shared" si="20"/>
        <v>0</v>
      </c>
    </row>
    <row r="1296" spans="1:5">
      <c r="A1296" s="59">
        <v>2</v>
      </c>
      <c r="B1296" s="59">
        <v>32</v>
      </c>
      <c r="C1296" s="59">
        <v>730</v>
      </c>
      <c r="D1296" s="51">
        <v>43</v>
      </c>
      <c r="E1296" s="51">
        <f t="shared" si="20"/>
        <v>0</v>
      </c>
    </row>
    <row r="1297" spans="1:5">
      <c r="A1297" s="59">
        <v>2</v>
      </c>
      <c r="B1297" s="59">
        <v>62</v>
      </c>
      <c r="C1297" s="59">
        <v>330</v>
      </c>
      <c r="D1297" s="51">
        <v>43</v>
      </c>
      <c r="E1297" s="51">
        <f t="shared" si="20"/>
        <v>1</v>
      </c>
    </row>
    <row r="1298" spans="1:5">
      <c r="A1298" s="59">
        <v>2</v>
      </c>
      <c r="B1298" s="59">
        <v>62</v>
      </c>
      <c r="C1298" s="59">
        <v>740</v>
      </c>
      <c r="D1298" s="51">
        <v>43</v>
      </c>
      <c r="E1298" s="51">
        <f t="shared" si="20"/>
        <v>1</v>
      </c>
    </row>
    <row r="1299" spans="1:5">
      <c r="A1299" s="59">
        <v>2</v>
      </c>
      <c r="B1299" s="59">
        <v>71</v>
      </c>
      <c r="C1299" s="59">
        <v>220</v>
      </c>
      <c r="D1299" s="51">
        <v>43</v>
      </c>
      <c r="E1299" s="51">
        <f t="shared" si="20"/>
        <v>0</v>
      </c>
    </row>
    <row r="1300" spans="1:5">
      <c r="A1300" s="59">
        <v>2</v>
      </c>
      <c r="B1300" s="59">
        <v>32</v>
      </c>
      <c r="C1300" s="59">
        <v>230</v>
      </c>
      <c r="D1300" s="51">
        <v>41</v>
      </c>
      <c r="E1300" s="51">
        <f t="shared" si="20"/>
        <v>0</v>
      </c>
    </row>
    <row r="1301" spans="1:5">
      <c r="A1301" s="59">
        <v>2</v>
      </c>
      <c r="B1301" s="59">
        <v>63</v>
      </c>
      <c r="C1301" s="59">
        <v>320</v>
      </c>
      <c r="D1301" s="51">
        <v>41</v>
      </c>
      <c r="E1301" s="51">
        <f t="shared" si="20"/>
        <v>0</v>
      </c>
    </row>
    <row r="1302" spans="1:5">
      <c r="A1302" s="59">
        <v>2</v>
      </c>
      <c r="B1302" s="59">
        <v>16</v>
      </c>
      <c r="C1302" s="59">
        <v>130</v>
      </c>
      <c r="D1302" s="51">
        <v>40</v>
      </c>
      <c r="E1302" s="51">
        <f t="shared" si="20"/>
        <v>0</v>
      </c>
    </row>
    <row r="1303" spans="1:5">
      <c r="A1303" s="59">
        <v>2</v>
      </c>
      <c r="B1303" s="59">
        <v>62</v>
      </c>
      <c r="C1303" s="59">
        <v>320</v>
      </c>
      <c r="D1303" s="51">
        <v>40</v>
      </c>
      <c r="E1303" s="51">
        <f t="shared" si="20"/>
        <v>1</v>
      </c>
    </row>
    <row r="1304" spans="1:5">
      <c r="A1304" s="59">
        <v>2</v>
      </c>
      <c r="B1304" s="59">
        <v>62</v>
      </c>
      <c r="C1304" s="59">
        <v>831</v>
      </c>
      <c r="D1304" s="51">
        <v>40</v>
      </c>
      <c r="E1304" s="51">
        <f t="shared" si="20"/>
        <v>1</v>
      </c>
    </row>
    <row r="1305" spans="1:5">
      <c r="A1305" s="59">
        <v>2</v>
      </c>
      <c r="B1305" s="59">
        <v>16</v>
      </c>
      <c r="C1305" s="59">
        <v>120</v>
      </c>
      <c r="D1305" s="51">
        <v>39</v>
      </c>
      <c r="E1305" s="51">
        <f t="shared" si="20"/>
        <v>0</v>
      </c>
    </row>
    <row r="1306" spans="1:5">
      <c r="A1306" s="59">
        <v>2</v>
      </c>
      <c r="B1306" s="59">
        <v>33</v>
      </c>
      <c r="C1306" s="59">
        <v>240</v>
      </c>
      <c r="D1306" s="51">
        <v>39</v>
      </c>
      <c r="E1306" s="51">
        <f t="shared" si="20"/>
        <v>0</v>
      </c>
    </row>
    <row r="1307" spans="1:5">
      <c r="A1307" s="59">
        <v>2</v>
      </c>
      <c r="B1307" s="59">
        <v>41</v>
      </c>
      <c r="C1307" s="59">
        <v>550</v>
      </c>
      <c r="D1307" s="51">
        <v>39</v>
      </c>
      <c r="E1307" s="51">
        <f t="shared" si="20"/>
        <v>1</v>
      </c>
    </row>
    <row r="1308" spans="1:5">
      <c r="A1308" s="59">
        <v>2</v>
      </c>
      <c r="B1308" s="59">
        <v>14</v>
      </c>
      <c r="C1308" s="59">
        <v>540</v>
      </c>
      <c r="D1308" s="51">
        <v>38</v>
      </c>
      <c r="E1308" s="51">
        <f t="shared" si="20"/>
        <v>0</v>
      </c>
    </row>
    <row r="1309" spans="1:5">
      <c r="A1309" s="59">
        <v>2</v>
      </c>
      <c r="B1309" s="59">
        <v>51</v>
      </c>
      <c r="C1309" s="59">
        <v>530</v>
      </c>
      <c r="D1309" s="51">
        <v>38</v>
      </c>
      <c r="E1309" s="51">
        <f t="shared" si="20"/>
        <v>0</v>
      </c>
    </row>
    <row r="1310" spans="1:5">
      <c r="A1310" s="59">
        <v>2</v>
      </c>
      <c r="B1310" s="59">
        <v>12</v>
      </c>
      <c r="C1310" s="59">
        <v>510</v>
      </c>
      <c r="D1310" s="51">
        <v>37</v>
      </c>
      <c r="E1310" s="51">
        <f t="shared" si="20"/>
        <v>0</v>
      </c>
    </row>
    <row r="1311" spans="1:5">
      <c r="A1311" s="59">
        <v>2</v>
      </c>
      <c r="B1311" s="59">
        <v>15</v>
      </c>
      <c r="C1311" s="59">
        <v>410</v>
      </c>
      <c r="D1311" s="51">
        <v>37</v>
      </c>
      <c r="E1311" s="51">
        <f t="shared" si="20"/>
        <v>0</v>
      </c>
    </row>
    <row r="1312" spans="1:5">
      <c r="A1312" s="59">
        <v>2</v>
      </c>
      <c r="B1312" s="59">
        <v>23</v>
      </c>
      <c r="C1312" s="59">
        <v>510</v>
      </c>
      <c r="D1312" s="51">
        <v>36</v>
      </c>
      <c r="E1312" s="51">
        <f t="shared" si="20"/>
        <v>0</v>
      </c>
    </row>
    <row r="1313" spans="1:5">
      <c r="A1313" s="59">
        <v>2</v>
      </c>
      <c r="B1313" s="59">
        <v>13</v>
      </c>
      <c r="C1313" s="59">
        <v>550</v>
      </c>
      <c r="D1313" s="51">
        <v>35</v>
      </c>
      <c r="E1313" s="51">
        <f t="shared" si="20"/>
        <v>0</v>
      </c>
    </row>
    <row r="1314" spans="1:5">
      <c r="A1314" s="59">
        <v>2</v>
      </c>
      <c r="B1314" s="59">
        <v>15</v>
      </c>
      <c r="C1314" s="59">
        <v>130</v>
      </c>
      <c r="D1314" s="51">
        <v>35</v>
      </c>
      <c r="E1314" s="51">
        <f t="shared" si="20"/>
        <v>0</v>
      </c>
    </row>
    <row r="1315" spans="1:5">
      <c r="A1315" s="59">
        <v>2</v>
      </c>
      <c r="B1315" s="59">
        <v>23</v>
      </c>
      <c r="C1315" s="59">
        <v>240</v>
      </c>
      <c r="D1315" s="51">
        <v>35</v>
      </c>
      <c r="E1315" s="51">
        <f t="shared" si="20"/>
        <v>0</v>
      </c>
    </row>
    <row r="1316" spans="1:5">
      <c r="A1316" s="59">
        <v>2</v>
      </c>
      <c r="B1316" s="59">
        <v>31</v>
      </c>
      <c r="C1316" s="59">
        <v>530</v>
      </c>
      <c r="D1316" s="51">
        <v>35</v>
      </c>
      <c r="E1316" s="51">
        <f t="shared" si="20"/>
        <v>0</v>
      </c>
    </row>
    <row r="1317" spans="1:5">
      <c r="A1317" s="59">
        <v>2</v>
      </c>
      <c r="B1317" s="59">
        <v>41</v>
      </c>
      <c r="C1317" s="59">
        <v>210</v>
      </c>
      <c r="D1317" s="51">
        <v>35</v>
      </c>
      <c r="E1317" s="51">
        <f t="shared" si="20"/>
        <v>1</v>
      </c>
    </row>
    <row r="1318" spans="1:5">
      <c r="A1318" s="59">
        <v>2</v>
      </c>
      <c r="B1318" s="59">
        <v>51</v>
      </c>
      <c r="C1318" s="59">
        <v>150</v>
      </c>
      <c r="D1318" s="51">
        <v>35</v>
      </c>
      <c r="E1318" s="51">
        <f t="shared" si="20"/>
        <v>0</v>
      </c>
    </row>
    <row r="1319" spans="1:5">
      <c r="A1319" s="59">
        <v>2</v>
      </c>
      <c r="B1319" s="59">
        <v>81</v>
      </c>
      <c r="C1319" s="59">
        <v>710</v>
      </c>
      <c r="D1319" s="51">
        <v>35</v>
      </c>
      <c r="E1319" s="51">
        <f t="shared" si="20"/>
        <v>0</v>
      </c>
    </row>
    <row r="1320" spans="1:5">
      <c r="A1320" s="59">
        <v>2</v>
      </c>
      <c r="B1320" s="59">
        <v>11</v>
      </c>
      <c r="C1320" s="59">
        <v>110</v>
      </c>
      <c r="D1320" s="51">
        <v>34</v>
      </c>
      <c r="E1320" s="51">
        <f t="shared" si="20"/>
        <v>0</v>
      </c>
    </row>
    <row r="1321" spans="1:5">
      <c r="A1321" s="59">
        <v>2</v>
      </c>
      <c r="B1321" s="59">
        <v>41</v>
      </c>
      <c r="C1321" s="59">
        <v>710</v>
      </c>
      <c r="D1321" s="51">
        <v>34</v>
      </c>
      <c r="E1321" s="51">
        <f t="shared" si="20"/>
        <v>1</v>
      </c>
    </row>
    <row r="1322" spans="1:5">
      <c r="A1322" s="59">
        <v>2</v>
      </c>
      <c r="B1322" s="59">
        <v>81</v>
      </c>
      <c r="C1322" s="59">
        <v>210</v>
      </c>
      <c r="D1322" s="51">
        <v>34</v>
      </c>
      <c r="E1322" s="51">
        <f t="shared" si="20"/>
        <v>0</v>
      </c>
    </row>
    <row r="1323" spans="1:5">
      <c r="A1323" s="59">
        <v>2</v>
      </c>
      <c r="B1323" s="59">
        <v>43</v>
      </c>
      <c r="C1323" s="59">
        <v>899</v>
      </c>
      <c r="D1323" s="51">
        <v>33</v>
      </c>
      <c r="E1323" s="51">
        <f t="shared" si="20"/>
        <v>0</v>
      </c>
    </row>
    <row r="1324" spans="1:5">
      <c r="A1324" s="59">
        <v>2</v>
      </c>
      <c r="B1324" s="59">
        <v>44</v>
      </c>
      <c r="C1324" s="59">
        <v>310</v>
      </c>
      <c r="D1324" s="51">
        <v>33</v>
      </c>
      <c r="E1324" s="51">
        <f t="shared" si="20"/>
        <v>1</v>
      </c>
    </row>
    <row r="1325" spans="1:5">
      <c r="A1325" s="59">
        <v>2</v>
      </c>
      <c r="B1325" s="59">
        <v>63</v>
      </c>
      <c r="C1325" s="59">
        <v>220</v>
      </c>
      <c r="D1325" s="51">
        <v>32</v>
      </c>
      <c r="E1325" s="51">
        <f t="shared" si="20"/>
        <v>0</v>
      </c>
    </row>
    <row r="1326" spans="1:5">
      <c r="A1326" s="59">
        <v>2</v>
      </c>
      <c r="B1326" s="59">
        <v>31</v>
      </c>
      <c r="C1326" s="59">
        <v>970</v>
      </c>
      <c r="D1326" s="51">
        <v>31</v>
      </c>
      <c r="E1326" s="51">
        <f t="shared" si="20"/>
        <v>0</v>
      </c>
    </row>
    <row r="1327" spans="1:5">
      <c r="A1327" s="59">
        <v>2</v>
      </c>
      <c r="B1327" s="59">
        <v>64</v>
      </c>
      <c r="C1327" s="59">
        <v>899</v>
      </c>
      <c r="D1327" s="51">
        <v>31</v>
      </c>
      <c r="E1327" s="51">
        <f t="shared" si="20"/>
        <v>0</v>
      </c>
    </row>
    <row r="1328" spans="1:5">
      <c r="A1328" s="59">
        <v>2</v>
      </c>
      <c r="B1328" s="59">
        <v>81</v>
      </c>
      <c r="C1328" s="59">
        <v>550</v>
      </c>
      <c r="D1328" s="51">
        <v>31</v>
      </c>
      <c r="E1328" s="51">
        <f t="shared" si="20"/>
        <v>0</v>
      </c>
    </row>
    <row r="1329" spans="1:5">
      <c r="A1329" s="59">
        <v>2</v>
      </c>
      <c r="B1329" s="59">
        <v>41</v>
      </c>
      <c r="C1329" s="59">
        <v>640</v>
      </c>
      <c r="D1329" s="51">
        <v>30</v>
      </c>
      <c r="E1329" s="51">
        <f t="shared" si="20"/>
        <v>1</v>
      </c>
    </row>
    <row r="1330" spans="1:5">
      <c r="A1330" s="59">
        <v>2</v>
      </c>
      <c r="B1330" s="59">
        <v>81</v>
      </c>
      <c r="C1330" s="59">
        <v>860</v>
      </c>
      <c r="D1330" s="51">
        <v>30</v>
      </c>
      <c r="E1330" s="51">
        <f t="shared" si="20"/>
        <v>0</v>
      </c>
    </row>
    <row r="1331" spans="1:5">
      <c r="A1331" s="59">
        <v>2</v>
      </c>
      <c r="B1331" s="59">
        <v>12</v>
      </c>
      <c r="C1331" s="59">
        <v>110</v>
      </c>
      <c r="D1331" s="51">
        <v>29</v>
      </c>
      <c r="E1331" s="51">
        <f t="shared" si="20"/>
        <v>0</v>
      </c>
    </row>
    <row r="1332" spans="1:5">
      <c r="A1332" s="59">
        <v>2</v>
      </c>
      <c r="B1332" s="59">
        <v>22</v>
      </c>
      <c r="C1332" s="59">
        <v>130</v>
      </c>
      <c r="D1332" s="51">
        <v>29</v>
      </c>
      <c r="E1332" s="51">
        <f t="shared" si="20"/>
        <v>0</v>
      </c>
    </row>
    <row r="1333" spans="1:5">
      <c r="A1333" s="59">
        <v>2</v>
      </c>
      <c r="B1333" s="59">
        <v>44</v>
      </c>
      <c r="C1333" s="59">
        <v>420</v>
      </c>
      <c r="D1333" s="51">
        <v>29</v>
      </c>
      <c r="E1333" s="51">
        <f t="shared" si="20"/>
        <v>1</v>
      </c>
    </row>
    <row r="1334" spans="1:5">
      <c r="A1334" s="59">
        <v>2</v>
      </c>
      <c r="B1334" s="59">
        <v>51</v>
      </c>
      <c r="C1334" s="59">
        <v>420</v>
      </c>
      <c r="D1334" s="51">
        <v>29</v>
      </c>
      <c r="E1334" s="51">
        <f t="shared" si="20"/>
        <v>0</v>
      </c>
    </row>
    <row r="1335" spans="1:5">
      <c r="A1335" s="59">
        <v>2</v>
      </c>
      <c r="B1335" s="59">
        <v>64</v>
      </c>
      <c r="C1335" s="59">
        <v>850</v>
      </c>
      <c r="D1335" s="51">
        <v>29</v>
      </c>
      <c r="E1335" s="51">
        <f t="shared" si="20"/>
        <v>0</v>
      </c>
    </row>
    <row r="1336" spans="1:5">
      <c r="A1336" s="59">
        <v>2</v>
      </c>
      <c r="B1336" s="59">
        <v>14</v>
      </c>
      <c r="C1336" s="59">
        <v>630</v>
      </c>
      <c r="D1336" s="51">
        <v>28</v>
      </c>
      <c r="E1336" s="51">
        <f t="shared" si="20"/>
        <v>0</v>
      </c>
    </row>
    <row r="1337" spans="1:5">
      <c r="A1337" s="59">
        <v>2</v>
      </c>
      <c r="B1337" s="59">
        <v>16</v>
      </c>
      <c r="C1337" s="59">
        <v>950</v>
      </c>
      <c r="D1337" s="51">
        <v>28</v>
      </c>
      <c r="E1337" s="51">
        <f t="shared" si="20"/>
        <v>0</v>
      </c>
    </row>
    <row r="1338" spans="1:5">
      <c r="A1338" s="59">
        <v>2</v>
      </c>
      <c r="B1338" s="59">
        <v>32</v>
      </c>
      <c r="C1338" s="59">
        <v>640</v>
      </c>
      <c r="D1338" s="51">
        <v>28</v>
      </c>
      <c r="E1338" s="51">
        <f t="shared" si="20"/>
        <v>0</v>
      </c>
    </row>
    <row r="1339" spans="1:5">
      <c r="A1339" s="59">
        <v>2</v>
      </c>
      <c r="B1339" s="59">
        <v>33</v>
      </c>
      <c r="C1339" s="59">
        <v>330</v>
      </c>
      <c r="D1339" s="51">
        <v>28</v>
      </c>
      <c r="E1339" s="51">
        <f t="shared" si="20"/>
        <v>0</v>
      </c>
    </row>
    <row r="1340" spans="1:5">
      <c r="A1340" s="59">
        <v>2</v>
      </c>
      <c r="B1340" s="59">
        <v>81</v>
      </c>
      <c r="C1340" s="59">
        <v>320</v>
      </c>
      <c r="D1340" s="51">
        <v>28</v>
      </c>
      <c r="E1340" s="51">
        <f t="shared" si="20"/>
        <v>0</v>
      </c>
    </row>
    <row r="1341" spans="1:5">
      <c r="A1341" s="59">
        <v>2</v>
      </c>
      <c r="B1341" s="59">
        <v>15</v>
      </c>
      <c r="C1341" s="59">
        <v>120</v>
      </c>
      <c r="D1341" s="51">
        <v>27</v>
      </c>
      <c r="E1341" s="51">
        <f t="shared" si="20"/>
        <v>0</v>
      </c>
    </row>
    <row r="1342" spans="1:5">
      <c r="A1342" s="59">
        <v>2</v>
      </c>
      <c r="B1342" s="59">
        <v>23</v>
      </c>
      <c r="C1342" s="59">
        <v>310</v>
      </c>
      <c r="D1342" s="51">
        <v>27</v>
      </c>
      <c r="E1342" s="51">
        <f t="shared" si="20"/>
        <v>0</v>
      </c>
    </row>
    <row r="1343" spans="1:5">
      <c r="A1343" s="59">
        <v>2</v>
      </c>
      <c r="B1343" s="59">
        <v>31</v>
      </c>
      <c r="C1343" s="59">
        <v>910</v>
      </c>
      <c r="D1343" s="51">
        <v>27</v>
      </c>
      <c r="E1343" s="51">
        <f t="shared" si="20"/>
        <v>0</v>
      </c>
    </row>
    <row r="1344" spans="1:5">
      <c r="A1344" s="59">
        <v>2</v>
      </c>
      <c r="B1344" s="59">
        <v>41</v>
      </c>
      <c r="C1344" s="59">
        <v>750</v>
      </c>
      <c r="D1344" s="51">
        <v>27</v>
      </c>
      <c r="E1344" s="51">
        <f t="shared" si="20"/>
        <v>1</v>
      </c>
    </row>
    <row r="1345" spans="1:5">
      <c r="A1345" s="59">
        <v>2</v>
      </c>
      <c r="B1345" s="59">
        <v>41</v>
      </c>
      <c r="C1345" s="59">
        <v>950</v>
      </c>
      <c r="D1345" s="51">
        <v>27</v>
      </c>
      <c r="E1345" s="51">
        <f t="shared" si="20"/>
        <v>1</v>
      </c>
    </row>
    <row r="1346" spans="1:5">
      <c r="A1346" s="59">
        <v>2</v>
      </c>
      <c r="B1346" s="59">
        <v>41</v>
      </c>
      <c r="C1346" s="59">
        <v>960</v>
      </c>
      <c r="D1346" s="51">
        <v>27</v>
      </c>
      <c r="E1346" s="51">
        <f t="shared" ref="E1346:E1409" si="21">IF(OR(A1346=6,A1346=7,A1346=14,A1346=15,A1346=16,A1346=17,A1346=18,A1346=19,A1346=20,A1346=21,A1346=22,A1346=23,A1346=25,A1346=26,A1346=27,A1346=28,B1346=41,B1346=44,B1346=62),1,0)</f>
        <v>1</v>
      </c>
    </row>
    <row r="1347" spans="1:5">
      <c r="A1347" s="59">
        <v>2</v>
      </c>
      <c r="B1347" s="59">
        <v>62</v>
      </c>
      <c r="C1347" s="59">
        <v>960</v>
      </c>
      <c r="D1347" s="51">
        <v>27</v>
      </c>
      <c r="E1347" s="51">
        <f t="shared" si="21"/>
        <v>1</v>
      </c>
    </row>
    <row r="1348" spans="1:5">
      <c r="A1348" s="59">
        <v>2</v>
      </c>
      <c r="B1348" s="59">
        <v>64</v>
      </c>
      <c r="C1348" s="59">
        <v>891</v>
      </c>
      <c r="D1348" s="51">
        <v>27</v>
      </c>
      <c r="E1348" s="51">
        <f t="shared" si="21"/>
        <v>0</v>
      </c>
    </row>
    <row r="1349" spans="1:5">
      <c r="A1349" s="59">
        <v>2</v>
      </c>
      <c r="B1349" s="59">
        <v>15</v>
      </c>
      <c r="C1349" s="59">
        <v>420</v>
      </c>
      <c r="D1349" s="51">
        <v>26</v>
      </c>
      <c r="E1349" s="51">
        <f t="shared" si="21"/>
        <v>0</v>
      </c>
    </row>
    <row r="1350" spans="1:5">
      <c r="A1350" s="59">
        <v>2</v>
      </c>
      <c r="B1350" s="59">
        <v>33</v>
      </c>
      <c r="C1350" s="59">
        <v>520</v>
      </c>
      <c r="D1350" s="51">
        <v>26</v>
      </c>
      <c r="E1350" s="51">
        <f t="shared" si="21"/>
        <v>0</v>
      </c>
    </row>
    <row r="1351" spans="1:5">
      <c r="A1351" s="59">
        <v>2</v>
      </c>
      <c r="B1351" s="59">
        <v>62</v>
      </c>
      <c r="C1351" s="59">
        <v>430</v>
      </c>
      <c r="D1351" s="51">
        <v>26</v>
      </c>
      <c r="E1351" s="51">
        <f t="shared" si="21"/>
        <v>1</v>
      </c>
    </row>
    <row r="1352" spans="1:5">
      <c r="A1352" s="59">
        <v>2</v>
      </c>
      <c r="B1352" s="59">
        <v>63</v>
      </c>
      <c r="C1352" s="59">
        <v>960</v>
      </c>
      <c r="D1352" s="51">
        <v>26</v>
      </c>
      <c r="E1352" s="51">
        <f t="shared" si="21"/>
        <v>0</v>
      </c>
    </row>
    <row r="1353" spans="1:5">
      <c r="A1353" s="59">
        <v>2</v>
      </c>
      <c r="B1353" s="59">
        <v>81</v>
      </c>
      <c r="C1353" s="59">
        <v>410</v>
      </c>
      <c r="D1353" s="51">
        <v>26</v>
      </c>
      <c r="E1353" s="51">
        <f t="shared" si="21"/>
        <v>0</v>
      </c>
    </row>
    <row r="1354" spans="1:5">
      <c r="A1354" s="59">
        <v>2</v>
      </c>
      <c r="B1354" s="59">
        <v>22</v>
      </c>
      <c r="C1354" s="59">
        <v>120</v>
      </c>
      <c r="D1354" s="51">
        <v>25</v>
      </c>
      <c r="E1354" s="51">
        <f t="shared" si="21"/>
        <v>0</v>
      </c>
    </row>
    <row r="1355" spans="1:5">
      <c r="A1355" s="59">
        <v>2</v>
      </c>
      <c r="B1355" s="59">
        <v>44</v>
      </c>
      <c r="C1355" s="59">
        <v>750</v>
      </c>
      <c r="D1355" s="51">
        <v>25</v>
      </c>
      <c r="E1355" s="51">
        <f t="shared" si="21"/>
        <v>1</v>
      </c>
    </row>
    <row r="1356" spans="1:5">
      <c r="A1356" s="59">
        <v>2</v>
      </c>
      <c r="B1356" s="59">
        <v>13</v>
      </c>
      <c r="C1356" s="59">
        <v>990</v>
      </c>
      <c r="D1356" s="51">
        <v>24</v>
      </c>
      <c r="E1356" s="51">
        <f t="shared" si="21"/>
        <v>0</v>
      </c>
    </row>
    <row r="1357" spans="1:5">
      <c r="A1357" s="59">
        <v>2</v>
      </c>
      <c r="B1357" s="59">
        <v>24</v>
      </c>
      <c r="C1357" s="59">
        <v>510</v>
      </c>
      <c r="D1357" s="51">
        <v>24</v>
      </c>
      <c r="E1357" s="51">
        <f t="shared" si="21"/>
        <v>0</v>
      </c>
    </row>
    <row r="1358" spans="1:5">
      <c r="A1358" s="59">
        <v>2</v>
      </c>
      <c r="B1358" s="59">
        <v>31</v>
      </c>
      <c r="C1358" s="59">
        <v>420</v>
      </c>
      <c r="D1358" s="51">
        <v>24</v>
      </c>
      <c r="E1358" s="51">
        <f t="shared" si="21"/>
        <v>0</v>
      </c>
    </row>
    <row r="1359" spans="1:5">
      <c r="A1359" s="59">
        <v>2</v>
      </c>
      <c r="B1359" s="59">
        <v>62</v>
      </c>
      <c r="C1359" s="59">
        <v>220</v>
      </c>
      <c r="D1359" s="51">
        <v>24</v>
      </c>
      <c r="E1359" s="51">
        <f t="shared" si="21"/>
        <v>1</v>
      </c>
    </row>
    <row r="1360" spans="1:5">
      <c r="A1360" s="59">
        <v>2</v>
      </c>
      <c r="B1360" s="59">
        <v>14</v>
      </c>
      <c r="C1360" s="59">
        <v>550</v>
      </c>
      <c r="D1360" s="51">
        <v>23</v>
      </c>
      <c r="E1360" s="51">
        <f t="shared" si="21"/>
        <v>0</v>
      </c>
    </row>
    <row r="1361" spans="1:5">
      <c r="A1361" s="59">
        <v>2</v>
      </c>
      <c r="B1361" s="59">
        <v>21</v>
      </c>
      <c r="C1361" s="59">
        <v>210</v>
      </c>
      <c r="D1361" s="51">
        <v>23</v>
      </c>
      <c r="E1361" s="51">
        <f t="shared" si="21"/>
        <v>0</v>
      </c>
    </row>
    <row r="1362" spans="1:5">
      <c r="A1362" s="59">
        <v>2</v>
      </c>
      <c r="B1362" s="59">
        <v>31</v>
      </c>
      <c r="C1362" s="59">
        <v>410</v>
      </c>
      <c r="D1362" s="51">
        <v>23</v>
      </c>
      <c r="E1362" s="51">
        <f t="shared" si="21"/>
        <v>0</v>
      </c>
    </row>
    <row r="1363" spans="1:5">
      <c r="A1363" s="59">
        <v>2</v>
      </c>
      <c r="B1363" s="59">
        <v>23</v>
      </c>
      <c r="C1363" s="59">
        <v>110</v>
      </c>
      <c r="D1363" s="51">
        <v>22</v>
      </c>
      <c r="E1363" s="51">
        <f t="shared" si="21"/>
        <v>0</v>
      </c>
    </row>
    <row r="1364" spans="1:5">
      <c r="A1364" s="59">
        <v>2</v>
      </c>
      <c r="B1364" s="59">
        <v>41</v>
      </c>
      <c r="C1364" s="59">
        <v>990</v>
      </c>
      <c r="D1364" s="51">
        <v>22</v>
      </c>
      <c r="E1364" s="51">
        <f t="shared" si="21"/>
        <v>1</v>
      </c>
    </row>
    <row r="1365" spans="1:5">
      <c r="A1365" s="59">
        <v>2</v>
      </c>
      <c r="B1365" s="59">
        <v>44</v>
      </c>
      <c r="C1365" s="59">
        <v>899</v>
      </c>
      <c r="D1365" s="51">
        <v>22</v>
      </c>
      <c r="E1365" s="51">
        <f t="shared" si="21"/>
        <v>1</v>
      </c>
    </row>
    <row r="1366" spans="1:5">
      <c r="A1366" s="59">
        <v>2</v>
      </c>
      <c r="B1366" s="59">
        <v>81</v>
      </c>
      <c r="C1366" s="59">
        <v>330</v>
      </c>
      <c r="D1366" s="51">
        <v>22</v>
      </c>
      <c r="E1366" s="51">
        <f t="shared" si="21"/>
        <v>0</v>
      </c>
    </row>
    <row r="1367" spans="1:5">
      <c r="A1367" s="59">
        <v>2</v>
      </c>
      <c r="B1367" s="59">
        <v>81</v>
      </c>
      <c r="C1367" s="59">
        <v>750</v>
      </c>
      <c r="D1367" s="51">
        <v>22</v>
      </c>
      <c r="E1367" s="51">
        <f t="shared" si="21"/>
        <v>0</v>
      </c>
    </row>
    <row r="1368" spans="1:5">
      <c r="A1368" s="59">
        <v>2</v>
      </c>
      <c r="B1368" s="59">
        <v>63</v>
      </c>
      <c r="C1368" s="59">
        <v>330</v>
      </c>
      <c r="D1368" s="51">
        <v>21</v>
      </c>
      <c r="E1368" s="51">
        <f t="shared" si="21"/>
        <v>0</v>
      </c>
    </row>
    <row r="1369" spans="1:5">
      <c r="A1369" s="59">
        <v>2</v>
      </c>
      <c r="B1369" s="59">
        <v>81</v>
      </c>
      <c r="C1369" s="59">
        <v>240</v>
      </c>
      <c r="D1369" s="51">
        <v>21</v>
      </c>
      <c r="E1369" s="51">
        <f t="shared" si="21"/>
        <v>0</v>
      </c>
    </row>
    <row r="1370" spans="1:5">
      <c r="A1370" s="59">
        <v>2</v>
      </c>
      <c r="B1370" s="59">
        <v>14</v>
      </c>
      <c r="C1370" s="59">
        <v>720</v>
      </c>
      <c r="D1370" s="51">
        <v>20</v>
      </c>
      <c r="E1370" s="51">
        <f t="shared" si="21"/>
        <v>0</v>
      </c>
    </row>
    <row r="1371" spans="1:5">
      <c r="A1371" s="59">
        <v>2</v>
      </c>
      <c r="B1371" s="59">
        <v>31</v>
      </c>
      <c r="C1371" s="59">
        <v>510</v>
      </c>
      <c r="D1371" s="51">
        <v>20</v>
      </c>
      <c r="E1371" s="51">
        <f t="shared" si="21"/>
        <v>0</v>
      </c>
    </row>
    <row r="1372" spans="1:5">
      <c r="A1372" s="59">
        <v>2</v>
      </c>
      <c r="B1372" s="59">
        <v>63</v>
      </c>
      <c r="C1372" s="59">
        <v>240</v>
      </c>
      <c r="D1372" s="51">
        <v>20</v>
      </c>
      <c r="E1372" s="51">
        <f t="shared" si="21"/>
        <v>0</v>
      </c>
    </row>
    <row r="1373" spans="1:5">
      <c r="A1373" s="59">
        <v>2</v>
      </c>
      <c r="B1373" s="59">
        <v>13</v>
      </c>
      <c r="C1373" s="59">
        <v>730</v>
      </c>
      <c r="D1373" s="51">
        <v>19</v>
      </c>
      <c r="E1373" s="51">
        <f t="shared" si="21"/>
        <v>0</v>
      </c>
    </row>
    <row r="1374" spans="1:5">
      <c r="A1374" s="59">
        <v>2</v>
      </c>
      <c r="B1374" s="59">
        <v>33</v>
      </c>
      <c r="C1374" s="59">
        <v>720</v>
      </c>
      <c r="D1374" s="51">
        <v>19</v>
      </c>
      <c r="E1374" s="51">
        <f t="shared" si="21"/>
        <v>0</v>
      </c>
    </row>
    <row r="1375" spans="1:5">
      <c r="A1375" s="59">
        <v>2</v>
      </c>
      <c r="B1375" s="59">
        <v>43</v>
      </c>
      <c r="C1375" s="59">
        <v>893</v>
      </c>
      <c r="D1375" s="51">
        <v>19</v>
      </c>
      <c r="E1375" s="51">
        <f t="shared" si="21"/>
        <v>0</v>
      </c>
    </row>
    <row r="1376" spans="1:5">
      <c r="A1376" s="59">
        <v>2</v>
      </c>
      <c r="B1376" s="59">
        <v>44</v>
      </c>
      <c r="C1376" s="59">
        <v>240</v>
      </c>
      <c r="D1376" s="51">
        <v>19</v>
      </c>
      <c r="E1376" s="51">
        <f t="shared" si="21"/>
        <v>1</v>
      </c>
    </row>
    <row r="1377" spans="1:5">
      <c r="A1377" s="59">
        <v>2</v>
      </c>
      <c r="B1377" s="59">
        <v>61</v>
      </c>
      <c r="C1377" s="59">
        <v>920</v>
      </c>
      <c r="D1377" s="51">
        <v>19</v>
      </c>
      <c r="E1377" s="51">
        <f t="shared" si="21"/>
        <v>0</v>
      </c>
    </row>
    <row r="1378" spans="1:5">
      <c r="A1378" s="59">
        <v>2</v>
      </c>
      <c r="B1378" s="59">
        <v>71</v>
      </c>
      <c r="C1378" s="59">
        <v>320</v>
      </c>
      <c r="D1378" s="51">
        <v>19</v>
      </c>
      <c r="E1378" s="51">
        <f t="shared" si="21"/>
        <v>0</v>
      </c>
    </row>
    <row r="1379" spans="1:5">
      <c r="A1379" s="59">
        <v>2</v>
      </c>
      <c r="B1379" s="59">
        <v>14</v>
      </c>
      <c r="C1379" s="59">
        <v>710</v>
      </c>
      <c r="D1379" s="51">
        <v>18</v>
      </c>
      <c r="E1379" s="51">
        <f t="shared" si="21"/>
        <v>0</v>
      </c>
    </row>
    <row r="1380" spans="1:5">
      <c r="A1380" s="59">
        <v>2</v>
      </c>
      <c r="B1380" s="59">
        <v>14</v>
      </c>
      <c r="C1380" s="59">
        <v>730</v>
      </c>
      <c r="D1380" s="51">
        <v>18</v>
      </c>
      <c r="E1380" s="51">
        <f t="shared" si="21"/>
        <v>0</v>
      </c>
    </row>
    <row r="1381" spans="1:5">
      <c r="A1381" s="59">
        <v>2</v>
      </c>
      <c r="B1381" s="59">
        <v>16</v>
      </c>
      <c r="C1381" s="59">
        <v>540</v>
      </c>
      <c r="D1381" s="51">
        <v>18</v>
      </c>
      <c r="E1381" s="51">
        <f t="shared" si="21"/>
        <v>0</v>
      </c>
    </row>
    <row r="1382" spans="1:5">
      <c r="A1382" s="59">
        <v>2</v>
      </c>
      <c r="B1382" s="59">
        <v>22</v>
      </c>
      <c r="C1382" s="59">
        <v>420</v>
      </c>
      <c r="D1382" s="51">
        <v>18</v>
      </c>
      <c r="E1382" s="51">
        <f t="shared" si="21"/>
        <v>0</v>
      </c>
    </row>
    <row r="1383" spans="1:5">
      <c r="A1383" s="59">
        <v>2</v>
      </c>
      <c r="B1383" s="59">
        <v>24</v>
      </c>
      <c r="C1383" s="59">
        <v>210</v>
      </c>
      <c r="D1383" s="51">
        <v>18</v>
      </c>
      <c r="E1383" s="51">
        <f t="shared" si="21"/>
        <v>0</v>
      </c>
    </row>
    <row r="1384" spans="1:5">
      <c r="A1384" s="59">
        <v>2</v>
      </c>
      <c r="B1384" s="59">
        <v>32</v>
      </c>
      <c r="C1384" s="59">
        <v>750</v>
      </c>
      <c r="D1384" s="51">
        <v>18</v>
      </c>
      <c r="E1384" s="51">
        <f t="shared" si="21"/>
        <v>0</v>
      </c>
    </row>
    <row r="1385" spans="1:5">
      <c r="A1385" s="59">
        <v>2</v>
      </c>
      <c r="B1385" s="59">
        <v>43</v>
      </c>
      <c r="C1385" s="59">
        <v>740</v>
      </c>
      <c r="D1385" s="51">
        <v>18</v>
      </c>
      <c r="E1385" s="51">
        <f t="shared" si="21"/>
        <v>0</v>
      </c>
    </row>
    <row r="1386" spans="1:5">
      <c r="A1386" s="59">
        <v>2</v>
      </c>
      <c r="B1386" s="59">
        <v>44</v>
      </c>
      <c r="C1386" s="59">
        <v>230</v>
      </c>
      <c r="D1386" s="51">
        <v>18</v>
      </c>
      <c r="E1386" s="51">
        <f t="shared" si="21"/>
        <v>1</v>
      </c>
    </row>
    <row r="1387" spans="1:5">
      <c r="A1387" s="59">
        <v>2</v>
      </c>
      <c r="B1387" s="59">
        <v>51</v>
      </c>
      <c r="C1387" s="59">
        <v>620</v>
      </c>
      <c r="D1387" s="51">
        <v>18</v>
      </c>
      <c r="E1387" s="51">
        <f t="shared" si="21"/>
        <v>0</v>
      </c>
    </row>
    <row r="1388" spans="1:5">
      <c r="A1388" s="59">
        <v>2</v>
      </c>
      <c r="B1388" s="59">
        <v>11</v>
      </c>
      <c r="C1388" s="59">
        <v>160</v>
      </c>
      <c r="D1388" s="51">
        <v>17</v>
      </c>
      <c r="E1388" s="51">
        <f t="shared" si="21"/>
        <v>0</v>
      </c>
    </row>
    <row r="1389" spans="1:5">
      <c r="A1389" s="59">
        <v>2</v>
      </c>
      <c r="B1389" s="59">
        <v>14</v>
      </c>
      <c r="C1389" s="59">
        <v>990</v>
      </c>
      <c r="D1389" s="51">
        <v>17</v>
      </c>
      <c r="E1389" s="51">
        <f t="shared" si="21"/>
        <v>0</v>
      </c>
    </row>
    <row r="1390" spans="1:5">
      <c r="A1390" s="59">
        <v>2</v>
      </c>
      <c r="B1390" s="59">
        <v>22</v>
      </c>
      <c r="C1390" s="59">
        <v>930</v>
      </c>
      <c r="D1390" s="51">
        <v>17</v>
      </c>
      <c r="E1390" s="51">
        <f t="shared" si="21"/>
        <v>0</v>
      </c>
    </row>
    <row r="1391" spans="1:5">
      <c r="A1391" s="59">
        <v>2</v>
      </c>
      <c r="B1391" s="59">
        <v>32</v>
      </c>
      <c r="C1391" s="59">
        <v>320</v>
      </c>
      <c r="D1391" s="51">
        <v>17</v>
      </c>
      <c r="E1391" s="51">
        <f t="shared" si="21"/>
        <v>0</v>
      </c>
    </row>
    <row r="1392" spans="1:5">
      <c r="A1392" s="59">
        <v>2</v>
      </c>
      <c r="B1392" s="59">
        <v>41</v>
      </c>
      <c r="C1392" s="59">
        <v>893</v>
      </c>
      <c r="D1392" s="51">
        <v>17</v>
      </c>
      <c r="E1392" s="51">
        <f t="shared" si="21"/>
        <v>1</v>
      </c>
    </row>
    <row r="1393" spans="1:5">
      <c r="A1393" s="59">
        <v>2</v>
      </c>
      <c r="B1393" s="59">
        <v>62</v>
      </c>
      <c r="C1393" s="59">
        <v>240</v>
      </c>
      <c r="D1393" s="51">
        <v>17</v>
      </c>
      <c r="E1393" s="51">
        <f t="shared" si="21"/>
        <v>1</v>
      </c>
    </row>
    <row r="1394" spans="1:5">
      <c r="A1394" s="59">
        <v>2</v>
      </c>
      <c r="B1394" s="59">
        <v>63</v>
      </c>
      <c r="C1394" s="59">
        <v>830</v>
      </c>
      <c r="D1394" s="51">
        <v>17</v>
      </c>
      <c r="E1394" s="51">
        <f t="shared" si="21"/>
        <v>0</v>
      </c>
    </row>
    <row r="1395" spans="1:5">
      <c r="A1395" s="59">
        <v>2</v>
      </c>
      <c r="B1395" s="59">
        <v>71</v>
      </c>
      <c r="C1395" s="59">
        <v>330</v>
      </c>
      <c r="D1395" s="51">
        <v>17</v>
      </c>
      <c r="E1395" s="51">
        <f t="shared" si="21"/>
        <v>0</v>
      </c>
    </row>
    <row r="1396" spans="1:5">
      <c r="A1396" s="59">
        <v>2</v>
      </c>
      <c r="B1396" s="59">
        <v>81</v>
      </c>
      <c r="C1396" s="59">
        <v>540</v>
      </c>
      <c r="D1396" s="51">
        <v>17</v>
      </c>
      <c r="E1396" s="51">
        <f t="shared" si="21"/>
        <v>0</v>
      </c>
    </row>
    <row r="1397" spans="1:5">
      <c r="A1397" s="59">
        <v>2</v>
      </c>
      <c r="B1397" s="59">
        <v>21</v>
      </c>
      <c r="C1397" s="59">
        <v>240</v>
      </c>
      <c r="D1397" s="51">
        <v>16</v>
      </c>
      <c r="E1397" s="51">
        <f t="shared" si="21"/>
        <v>0</v>
      </c>
    </row>
    <row r="1398" spans="1:5">
      <c r="A1398" s="59">
        <v>2</v>
      </c>
      <c r="B1398" s="59">
        <v>32</v>
      </c>
      <c r="C1398" s="59">
        <v>330</v>
      </c>
      <c r="D1398" s="51">
        <v>16</v>
      </c>
      <c r="E1398" s="51">
        <f t="shared" si="21"/>
        <v>0</v>
      </c>
    </row>
    <row r="1399" spans="1:5">
      <c r="A1399" s="59">
        <v>2</v>
      </c>
      <c r="B1399" s="59">
        <v>32</v>
      </c>
      <c r="C1399" s="59">
        <v>960</v>
      </c>
      <c r="D1399" s="51">
        <v>16</v>
      </c>
      <c r="E1399" s="51">
        <f t="shared" si="21"/>
        <v>0</v>
      </c>
    </row>
    <row r="1400" spans="1:5">
      <c r="A1400" s="59">
        <v>2</v>
      </c>
      <c r="B1400" s="59">
        <v>33</v>
      </c>
      <c r="C1400" s="59">
        <v>930</v>
      </c>
      <c r="D1400" s="51">
        <v>16</v>
      </c>
      <c r="E1400" s="51">
        <f t="shared" si="21"/>
        <v>0</v>
      </c>
    </row>
    <row r="1401" spans="1:5">
      <c r="A1401" s="59">
        <v>2</v>
      </c>
      <c r="B1401" s="59">
        <v>41</v>
      </c>
      <c r="C1401" s="59">
        <v>410</v>
      </c>
      <c r="D1401" s="51">
        <v>16</v>
      </c>
      <c r="E1401" s="51">
        <f t="shared" si="21"/>
        <v>1</v>
      </c>
    </row>
    <row r="1402" spans="1:5">
      <c r="A1402" s="59">
        <v>2</v>
      </c>
      <c r="B1402" s="59">
        <v>43</v>
      </c>
      <c r="C1402" s="59">
        <v>891</v>
      </c>
      <c r="D1402" s="51">
        <v>16</v>
      </c>
      <c r="E1402" s="51">
        <f t="shared" si="21"/>
        <v>0</v>
      </c>
    </row>
    <row r="1403" spans="1:5">
      <c r="A1403" s="59">
        <v>2</v>
      </c>
      <c r="B1403" s="59">
        <v>44</v>
      </c>
      <c r="C1403" s="59">
        <v>330</v>
      </c>
      <c r="D1403" s="51">
        <v>16</v>
      </c>
      <c r="E1403" s="51">
        <f t="shared" si="21"/>
        <v>1</v>
      </c>
    </row>
    <row r="1404" spans="1:5">
      <c r="A1404" s="59">
        <v>2</v>
      </c>
      <c r="B1404" s="59">
        <v>12</v>
      </c>
      <c r="C1404" s="59">
        <v>160</v>
      </c>
      <c r="D1404" s="51">
        <v>15</v>
      </c>
      <c r="E1404" s="51">
        <f t="shared" si="21"/>
        <v>0</v>
      </c>
    </row>
    <row r="1405" spans="1:5">
      <c r="A1405" s="59">
        <v>2</v>
      </c>
      <c r="B1405" s="59">
        <v>13</v>
      </c>
      <c r="C1405" s="59">
        <v>960</v>
      </c>
      <c r="D1405" s="51">
        <v>15</v>
      </c>
      <c r="E1405" s="51">
        <f t="shared" si="21"/>
        <v>0</v>
      </c>
    </row>
    <row r="1406" spans="1:5">
      <c r="A1406" s="59">
        <v>2</v>
      </c>
      <c r="B1406" s="59">
        <v>14</v>
      </c>
      <c r="C1406" s="59">
        <v>750</v>
      </c>
      <c r="D1406" s="51">
        <v>15</v>
      </c>
      <c r="E1406" s="51">
        <f t="shared" si="21"/>
        <v>0</v>
      </c>
    </row>
    <row r="1407" spans="1:5">
      <c r="A1407" s="59">
        <v>2</v>
      </c>
      <c r="B1407" s="59">
        <v>21</v>
      </c>
      <c r="C1407" s="59">
        <v>150</v>
      </c>
      <c r="D1407" s="51">
        <v>15</v>
      </c>
      <c r="E1407" s="51">
        <f t="shared" si="21"/>
        <v>0</v>
      </c>
    </row>
    <row r="1408" spans="1:5">
      <c r="A1408" s="59">
        <v>2</v>
      </c>
      <c r="B1408" s="59">
        <v>23</v>
      </c>
      <c r="C1408" s="59">
        <v>160</v>
      </c>
      <c r="D1408" s="51">
        <v>15</v>
      </c>
      <c r="E1408" s="51">
        <f t="shared" si="21"/>
        <v>0</v>
      </c>
    </row>
    <row r="1409" spans="1:5">
      <c r="A1409" s="59">
        <v>2</v>
      </c>
      <c r="B1409" s="59">
        <v>33</v>
      </c>
      <c r="C1409" s="59">
        <v>320</v>
      </c>
      <c r="D1409" s="51">
        <v>15</v>
      </c>
      <c r="E1409" s="51">
        <f t="shared" si="21"/>
        <v>0</v>
      </c>
    </row>
    <row r="1410" spans="1:5">
      <c r="A1410" s="59">
        <v>2</v>
      </c>
      <c r="B1410" s="59">
        <v>33</v>
      </c>
      <c r="C1410" s="59">
        <v>896</v>
      </c>
      <c r="D1410" s="51">
        <v>15</v>
      </c>
      <c r="E1410" s="51">
        <f t="shared" ref="E1410:E1473" si="22">IF(OR(A1410=6,A1410=7,A1410=14,A1410=15,A1410=16,A1410=17,A1410=18,A1410=19,A1410=20,A1410=21,A1410=22,A1410=23,A1410=25,A1410=26,A1410=27,A1410=28,B1410=41,B1410=44,B1410=62),1,0)</f>
        <v>0</v>
      </c>
    </row>
    <row r="1411" spans="1:5">
      <c r="A1411" s="59">
        <v>2</v>
      </c>
      <c r="B1411" s="59">
        <v>61</v>
      </c>
      <c r="C1411" s="59">
        <v>620</v>
      </c>
      <c r="D1411" s="51">
        <v>15</v>
      </c>
      <c r="E1411" s="51">
        <f t="shared" si="22"/>
        <v>0</v>
      </c>
    </row>
    <row r="1412" spans="1:5">
      <c r="A1412" s="59">
        <v>2</v>
      </c>
      <c r="B1412" s="59">
        <v>64</v>
      </c>
      <c r="C1412" s="59">
        <v>830</v>
      </c>
      <c r="D1412" s="51">
        <v>15</v>
      </c>
      <c r="E1412" s="51">
        <f t="shared" si="22"/>
        <v>0</v>
      </c>
    </row>
    <row r="1413" spans="1:5">
      <c r="A1413" s="59">
        <v>2</v>
      </c>
      <c r="B1413" s="59">
        <v>23</v>
      </c>
      <c r="C1413" s="59">
        <v>330</v>
      </c>
      <c r="D1413" s="51">
        <v>14</v>
      </c>
      <c r="E1413" s="51">
        <f t="shared" si="22"/>
        <v>0</v>
      </c>
    </row>
    <row r="1414" spans="1:5">
      <c r="A1414" s="59">
        <v>2</v>
      </c>
      <c r="B1414" s="59">
        <v>33</v>
      </c>
      <c r="C1414" s="59">
        <v>140</v>
      </c>
      <c r="D1414" s="51">
        <v>14</v>
      </c>
      <c r="E1414" s="51">
        <f t="shared" si="22"/>
        <v>0</v>
      </c>
    </row>
    <row r="1415" spans="1:5">
      <c r="A1415" s="59">
        <v>2</v>
      </c>
      <c r="B1415" s="59">
        <v>41</v>
      </c>
      <c r="C1415" s="59">
        <v>310</v>
      </c>
      <c r="D1415" s="51">
        <v>14</v>
      </c>
      <c r="E1415" s="51">
        <f t="shared" si="22"/>
        <v>1</v>
      </c>
    </row>
    <row r="1416" spans="1:5">
      <c r="A1416" s="59">
        <v>2</v>
      </c>
      <c r="B1416" s="59">
        <v>23</v>
      </c>
      <c r="C1416" s="59">
        <v>530</v>
      </c>
      <c r="D1416" s="51">
        <v>13</v>
      </c>
      <c r="E1416" s="51">
        <f t="shared" si="22"/>
        <v>0</v>
      </c>
    </row>
    <row r="1417" spans="1:5">
      <c r="A1417" s="59">
        <v>2</v>
      </c>
      <c r="B1417" s="59">
        <v>33</v>
      </c>
      <c r="C1417" s="59">
        <v>630</v>
      </c>
      <c r="D1417" s="51">
        <v>13</v>
      </c>
      <c r="E1417" s="51">
        <f t="shared" si="22"/>
        <v>0</v>
      </c>
    </row>
    <row r="1418" spans="1:5">
      <c r="A1418" s="59">
        <v>2</v>
      </c>
      <c r="B1418" s="59">
        <v>44</v>
      </c>
      <c r="C1418" s="59">
        <v>320</v>
      </c>
      <c r="D1418" s="51">
        <v>13</v>
      </c>
      <c r="E1418" s="51">
        <f t="shared" si="22"/>
        <v>1</v>
      </c>
    </row>
    <row r="1419" spans="1:5">
      <c r="A1419" s="59">
        <v>2</v>
      </c>
      <c r="B1419" s="59">
        <v>81</v>
      </c>
      <c r="C1419" s="59">
        <v>420</v>
      </c>
      <c r="D1419" s="51">
        <v>13</v>
      </c>
      <c r="E1419" s="51">
        <f t="shared" si="22"/>
        <v>0</v>
      </c>
    </row>
    <row r="1420" spans="1:5">
      <c r="A1420" s="59">
        <v>2</v>
      </c>
      <c r="B1420" s="59">
        <v>32</v>
      </c>
      <c r="C1420" s="59">
        <v>310</v>
      </c>
      <c r="D1420" s="51">
        <v>12</v>
      </c>
      <c r="E1420" s="51">
        <f t="shared" si="22"/>
        <v>0</v>
      </c>
    </row>
    <row r="1421" spans="1:5">
      <c r="A1421" s="59">
        <v>2</v>
      </c>
      <c r="B1421" s="59">
        <v>32</v>
      </c>
      <c r="C1421" s="59">
        <v>550</v>
      </c>
      <c r="D1421" s="51">
        <v>12</v>
      </c>
      <c r="E1421" s="51">
        <f t="shared" si="22"/>
        <v>0</v>
      </c>
    </row>
    <row r="1422" spans="1:5">
      <c r="A1422" s="59">
        <v>2</v>
      </c>
      <c r="B1422" s="59">
        <v>41</v>
      </c>
      <c r="C1422" s="59">
        <v>230</v>
      </c>
      <c r="D1422" s="51">
        <v>12</v>
      </c>
      <c r="E1422" s="51">
        <f t="shared" si="22"/>
        <v>1</v>
      </c>
    </row>
    <row r="1423" spans="1:5">
      <c r="A1423" s="59">
        <v>2</v>
      </c>
      <c r="B1423" s="59">
        <v>63</v>
      </c>
      <c r="C1423" s="59">
        <v>899</v>
      </c>
      <c r="D1423" s="51">
        <v>12</v>
      </c>
      <c r="E1423" s="51">
        <f t="shared" si="22"/>
        <v>0</v>
      </c>
    </row>
    <row r="1424" spans="1:5">
      <c r="A1424" s="59">
        <v>2</v>
      </c>
      <c r="B1424" s="59">
        <v>24</v>
      </c>
      <c r="C1424" s="59">
        <v>240</v>
      </c>
      <c r="D1424" s="51">
        <v>11</v>
      </c>
      <c r="E1424" s="51">
        <f t="shared" si="22"/>
        <v>0</v>
      </c>
    </row>
    <row r="1425" spans="1:5">
      <c r="A1425" s="59">
        <v>2</v>
      </c>
      <c r="B1425" s="59">
        <v>41</v>
      </c>
      <c r="C1425" s="59">
        <v>630</v>
      </c>
      <c r="D1425" s="51">
        <v>11</v>
      </c>
      <c r="E1425" s="51">
        <f t="shared" si="22"/>
        <v>1</v>
      </c>
    </row>
    <row r="1426" spans="1:5">
      <c r="A1426" s="59">
        <v>2</v>
      </c>
      <c r="B1426" s="59">
        <v>41</v>
      </c>
      <c r="C1426" s="59">
        <v>850</v>
      </c>
      <c r="D1426" s="51">
        <v>11</v>
      </c>
      <c r="E1426" s="51">
        <f t="shared" si="22"/>
        <v>1</v>
      </c>
    </row>
    <row r="1427" spans="1:5">
      <c r="A1427" s="59">
        <v>2</v>
      </c>
      <c r="B1427" s="59">
        <v>44</v>
      </c>
      <c r="C1427" s="59">
        <v>710</v>
      </c>
      <c r="D1427" s="51">
        <v>11</v>
      </c>
      <c r="E1427" s="51">
        <f t="shared" si="22"/>
        <v>1</v>
      </c>
    </row>
    <row r="1428" spans="1:5">
      <c r="A1428" s="59">
        <v>2</v>
      </c>
      <c r="B1428" s="59">
        <v>71</v>
      </c>
      <c r="C1428" s="59">
        <v>840</v>
      </c>
      <c r="D1428" s="51">
        <v>11</v>
      </c>
      <c r="E1428" s="51">
        <f t="shared" si="22"/>
        <v>0</v>
      </c>
    </row>
    <row r="1429" spans="1:5">
      <c r="A1429" s="59">
        <v>2</v>
      </c>
      <c r="B1429" s="59">
        <v>81</v>
      </c>
      <c r="C1429" s="59">
        <v>220</v>
      </c>
      <c r="D1429" s="51">
        <v>11</v>
      </c>
      <c r="E1429" s="51">
        <f t="shared" si="22"/>
        <v>0</v>
      </c>
    </row>
    <row r="1430" spans="1:5">
      <c r="A1430" s="59">
        <v>2</v>
      </c>
      <c r="B1430" s="59">
        <v>11</v>
      </c>
      <c r="C1430" s="59">
        <v>720</v>
      </c>
      <c r="D1430" s="51">
        <v>10</v>
      </c>
      <c r="E1430" s="51">
        <f t="shared" si="22"/>
        <v>0</v>
      </c>
    </row>
    <row r="1431" spans="1:5">
      <c r="A1431" s="59">
        <v>2</v>
      </c>
      <c r="B1431" s="59">
        <v>13</v>
      </c>
      <c r="C1431" s="59">
        <v>720</v>
      </c>
      <c r="D1431" s="51">
        <v>10</v>
      </c>
      <c r="E1431" s="51">
        <f t="shared" si="22"/>
        <v>0</v>
      </c>
    </row>
    <row r="1432" spans="1:5">
      <c r="A1432" s="59">
        <v>2</v>
      </c>
      <c r="B1432" s="59">
        <v>22</v>
      </c>
      <c r="C1432" s="59">
        <v>410</v>
      </c>
      <c r="D1432" s="51">
        <v>10</v>
      </c>
      <c r="E1432" s="51">
        <f t="shared" si="22"/>
        <v>0</v>
      </c>
    </row>
    <row r="1433" spans="1:5">
      <c r="A1433" s="59">
        <v>2</v>
      </c>
      <c r="B1433" s="59">
        <v>22</v>
      </c>
      <c r="C1433" s="59">
        <v>840</v>
      </c>
      <c r="D1433" s="51">
        <v>10</v>
      </c>
      <c r="E1433" s="51">
        <f t="shared" si="22"/>
        <v>0</v>
      </c>
    </row>
    <row r="1434" spans="1:5">
      <c r="A1434" s="59">
        <v>2</v>
      </c>
      <c r="B1434" s="59">
        <v>23</v>
      </c>
      <c r="C1434" s="59">
        <v>620</v>
      </c>
      <c r="D1434" s="51">
        <v>10</v>
      </c>
      <c r="E1434" s="51">
        <f t="shared" si="22"/>
        <v>0</v>
      </c>
    </row>
    <row r="1435" spans="1:5">
      <c r="A1435" s="59">
        <v>2</v>
      </c>
      <c r="B1435" s="59">
        <v>31</v>
      </c>
      <c r="C1435" s="59">
        <v>430</v>
      </c>
      <c r="D1435" s="51">
        <v>10</v>
      </c>
      <c r="E1435" s="51">
        <f t="shared" si="22"/>
        <v>0</v>
      </c>
    </row>
    <row r="1436" spans="1:5">
      <c r="A1436" s="59">
        <v>2</v>
      </c>
      <c r="B1436" s="59">
        <v>31</v>
      </c>
      <c r="C1436" s="59">
        <v>920</v>
      </c>
      <c r="D1436" s="51">
        <v>10</v>
      </c>
      <c r="E1436" s="51">
        <f t="shared" si="22"/>
        <v>0</v>
      </c>
    </row>
    <row r="1437" spans="1:5">
      <c r="A1437" s="59">
        <v>2</v>
      </c>
      <c r="B1437" s="59">
        <v>33</v>
      </c>
      <c r="C1437" s="59">
        <v>730</v>
      </c>
      <c r="D1437" s="51">
        <v>10</v>
      </c>
      <c r="E1437" s="51">
        <f t="shared" si="22"/>
        <v>0</v>
      </c>
    </row>
    <row r="1438" spans="1:5">
      <c r="A1438" s="59">
        <v>2</v>
      </c>
      <c r="B1438" s="59">
        <v>41</v>
      </c>
      <c r="C1438" s="59">
        <v>540</v>
      </c>
      <c r="D1438" s="51">
        <v>10</v>
      </c>
      <c r="E1438" s="51">
        <f t="shared" si="22"/>
        <v>1</v>
      </c>
    </row>
    <row r="1439" spans="1:5">
      <c r="A1439" s="59">
        <v>2</v>
      </c>
      <c r="B1439" s="59">
        <v>41</v>
      </c>
      <c r="C1439" s="59">
        <v>940</v>
      </c>
      <c r="D1439" s="51">
        <v>10</v>
      </c>
      <c r="E1439" s="51">
        <f t="shared" si="22"/>
        <v>1</v>
      </c>
    </row>
    <row r="1440" spans="1:5">
      <c r="A1440" s="59">
        <v>2</v>
      </c>
      <c r="B1440" s="59">
        <v>42</v>
      </c>
      <c r="C1440" s="59">
        <v>130</v>
      </c>
      <c r="D1440" s="51">
        <v>10</v>
      </c>
      <c r="E1440" s="51">
        <f t="shared" si="22"/>
        <v>0</v>
      </c>
    </row>
    <row r="1441" spans="1:5">
      <c r="A1441" s="59">
        <v>2</v>
      </c>
      <c r="B1441" s="59">
        <v>42</v>
      </c>
      <c r="C1441" s="59">
        <v>730</v>
      </c>
      <c r="D1441" s="51">
        <v>10</v>
      </c>
      <c r="E1441" s="51">
        <f t="shared" si="22"/>
        <v>0</v>
      </c>
    </row>
    <row r="1442" spans="1:5">
      <c r="A1442" s="59">
        <v>2</v>
      </c>
      <c r="B1442" s="59">
        <v>42</v>
      </c>
      <c r="C1442" s="59">
        <v>831</v>
      </c>
      <c r="D1442" s="51">
        <v>10</v>
      </c>
      <c r="E1442" s="51">
        <f t="shared" si="22"/>
        <v>0</v>
      </c>
    </row>
    <row r="1443" spans="1:5">
      <c r="A1443" s="59">
        <v>2</v>
      </c>
      <c r="B1443" s="59">
        <v>43</v>
      </c>
      <c r="C1443" s="59">
        <v>862</v>
      </c>
      <c r="D1443" s="51">
        <v>10</v>
      </c>
      <c r="E1443" s="51">
        <f t="shared" si="22"/>
        <v>0</v>
      </c>
    </row>
    <row r="1444" spans="1:5">
      <c r="A1444" s="59">
        <v>2</v>
      </c>
      <c r="B1444" s="59">
        <v>71</v>
      </c>
      <c r="C1444" s="59">
        <v>830</v>
      </c>
      <c r="D1444" s="51">
        <v>10</v>
      </c>
      <c r="E1444" s="51">
        <f t="shared" si="22"/>
        <v>0</v>
      </c>
    </row>
    <row r="1445" spans="1:5">
      <c r="A1445" s="59">
        <v>2</v>
      </c>
      <c r="B1445" s="59">
        <v>15</v>
      </c>
      <c r="C1445" s="59">
        <v>950</v>
      </c>
      <c r="D1445" s="51">
        <v>9</v>
      </c>
      <c r="E1445" s="51">
        <f t="shared" si="22"/>
        <v>0</v>
      </c>
    </row>
    <row r="1446" spans="1:5">
      <c r="A1446" s="59">
        <v>2</v>
      </c>
      <c r="B1446" s="59">
        <v>16</v>
      </c>
      <c r="C1446" s="59">
        <v>550</v>
      </c>
      <c r="D1446" s="51">
        <v>9</v>
      </c>
      <c r="E1446" s="51">
        <f t="shared" si="22"/>
        <v>0</v>
      </c>
    </row>
    <row r="1447" spans="1:5">
      <c r="A1447" s="59">
        <v>2</v>
      </c>
      <c r="B1447" s="59">
        <v>22</v>
      </c>
      <c r="C1447" s="59">
        <v>430</v>
      </c>
      <c r="D1447" s="51">
        <v>9</v>
      </c>
      <c r="E1447" s="51">
        <f t="shared" si="22"/>
        <v>0</v>
      </c>
    </row>
    <row r="1448" spans="1:5">
      <c r="A1448" s="59">
        <v>2</v>
      </c>
      <c r="B1448" s="59">
        <v>23</v>
      </c>
      <c r="C1448" s="59">
        <v>520</v>
      </c>
      <c r="D1448" s="51">
        <v>9</v>
      </c>
      <c r="E1448" s="51">
        <f t="shared" si="22"/>
        <v>0</v>
      </c>
    </row>
    <row r="1449" spans="1:5">
      <c r="A1449" s="59">
        <v>2</v>
      </c>
      <c r="B1449" s="59">
        <v>33</v>
      </c>
      <c r="C1449" s="59">
        <v>970</v>
      </c>
      <c r="D1449" s="51">
        <v>9</v>
      </c>
      <c r="E1449" s="51">
        <f t="shared" si="22"/>
        <v>0</v>
      </c>
    </row>
    <row r="1450" spans="1:5">
      <c r="A1450" s="59">
        <v>2</v>
      </c>
      <c r="B1450" s="59">
        <v>81</v>
      </c>
      <c r="C1450" s="59">
        <v>870</v>
      </c>
      <c r="D1450" s="51">
        <v>9</v>
      </c>
      <c r="E1450" s="51">
        <f t="shared" si="22"/>
        <v>0</v>
      </c>
    </row>
    <row r="1451" spans="1:5">
      <c r="A1451" s="59">
        <v>2</v>
      </c>
      <c r="B1451" s="59">
        <v>11</v>
      </c>
      <c r="C1451" s="59">
        <v>530</v>
      </c>
      <c r="D1451" s="51">
        <v>8</v>
      </c>
      <c r="E1451" s="51">
        <f t="shared" si="22"/>
        <v>0</v>
      </c>
    </row>
    <row r="1452" spans="1:5">
      <c r="A1452" s="59">
        <v>2</v>
      </c>
      <c r="B1452" s="59">
        <v>13</v>
      </c>
      <c r="C1452" s="59">
        <v>970</v>
      </c>
      <c r="D1452" s="51">
        <v>8</v>
      </c>
      <c r="E1452" s="51">
        <f t="shared" si="22"/>
        <v>0</v>
      </c>
    </row>
    <row r="1453" spans="1:5">
      <c r="A1453" s="59">
        <v>2</v>
      </c>
      <c r="B1453" s="59">
        <v>16</v>
      </c>
      <c r="C1453" s="59">
        <v>890</v>
      </c>
      <c r="D1453" s="51">
        <v>8</v>
      </c>
      <c r="E1453" s="51">
        <f t="shared" si="22"/>
        <v>0</v>
      </c>
    </row>
    <row r="1454" spans="1:5">
      <c r="A1454" s="59">
        <v>2</v>
      </c>
      <c r="B1454" s="59">
        <v>16</v>
      </c>
      <c r="C1454" s="59">
        <v>960</v>
      </c>
      <c r="D1454" s="51">
        <v>8</v>
      </c>
      <c r="E1454" s="51">
        <f t="shared" si="22"/>
        <v>0</v>
      </c>
    </row>
    <row r="1455" spans="1:5">
      <c r="A1455" s="59">
        <v>2</v>
      </c>
      <c r="B1455" s="59">
        <v>22</v>
      </c>
      <c r="C1455" s="59">
        <v>990</v>
      </c>
      <c r="D1455" s="51">
        <v>8</v>
      </c>
      <c r="E1455" s="51">
        <f t="shared" si="22"/>
        <v>0</v>
      </c>
    </row>
    <row r="1456" spans="1:5">
      <c r="A1456" s="59">
        <v>2</v>
      </c>
      <c r="B1456" s="59">
        <v>32</v>
      </c>
      <c r="C1456" s="59">
        <v>950</v>
      </c>
      <c r="D1456" s="51">
        <v>8</v>
      </c>
      <c r="E1456" s="51">
        <f t="shared" si="22"/>
        <v>0</v>
      </c>
    </row>
    <row r="1457" spans="1:5">
      <c r="A1457" s="59">
        <v>2</v>
      </c>
      <c r="B1457" s="59">
        <v>41</v>
      </c>
      <c r="C1457" s="59">
        <v>970</v>
      </c>
      <c r="D1457" s="51">
        <v>8</v>
      </c>
      <c r="E1457" s="51">
        <f t="shared" si="22"/>
        <v>1</v>
      </c>
    </row>
    <row r="1458" spans="1:5">
      <c r="A1458" s="59">
        <v>2</v>
      </c>
      <c r="B1458" s="59">
        <v>43</v>
      </c>
      <c r="C1458" s="59">
        <v>890</v>
      </c>
      <c r="D1458" s="51">
        <v>8</v>
      </c>
      <c r="E1458" s="51">
        <f t="shared" si="22"/>
        <v>0</v>
      </c>
    </row>
    <row r="1459" spans="1:5">
      <c r="A1459" s="59">
        <v>2</v>
      </c>
      <c r="B1459" s="59">
        <v>81</v>
      </c>
      <c r="C1459" s="59">
        <v>960</v>
      </c>
      <c r="D1459" s="51">
        <v>8</v>
      </c>
      <c r="E1459" s="51">
        <f t="shared" si="22"/>
        <v>0</v>
      </c>
    </row>
    <row r="1460" spans="1:5">
      <c r="A1460" s="59">
        <v>2</v>
      </c>
      <c r="B1460" s="59">
        <v>11</v>
      </c>
      <c r="C1460" s="59">
        <v>620</v>
      </c>
      <c r="D1460" s="51">
        <v>7</v>
      </c>
      <c r="E1460" s="51">
        <f t="shared" si="22"/>
        <v>0</v>
      </c>
    </row>
    <row r="1461" spans="1:5">
      <c r="A1461" s="59">
        <v>2</v>
      </c>
      <c r="B1461" s="59">
        <v>12</v>
      </c>
      <c r="C1461" s="59">
        <v>140</v>
      </c>
      <c r="D1461" s="51">
        <v>7</v>
      </c>
      <c r="E1461" s="51">
        <f t="shared" si="22"/>
        <v>0</v>
      </c>
    </row>
    <row r="1462" spans="1:5">
      <c r="A1462" s="59">
        <v>2</v>
      </c>
      <c r="B1462" s="59">
        <v>15</v>
      </c>
      <c r="C1462" s="59">
        <v>520</v>
      </c>
      <c r="D1462" s="51">
        <v>7</v>
      </c>
      <c r="E1462" s="51">
        <f t="shared" si="22"/>
        <v>0</v>
      </c>
    </row>
    <row r="1463" spans="1:5">
      <c r="A1463" s="59">
        <v>2</v>
      </c>
      <c r="B1463" s="59">
        <v>15</v>
      </c>
      <c r="C1463" s="59">
        <v>990</v>
      </c>
      <c r="D1463" s="51">
        <v>7</v>
      </c>
      <c r="E1463" s="51">
        <f t="shared" si="22"/>
        <v>0</v>
      </c>
    </row>
    <row r="1464" spans="1:5">
      <c r="A1464" s="59">
        <v>2</v>
      </c>
      <c r="B1464" s="59">
        <v>21</v>
      </c>
      <c r="C1464" s="59">
        <v>330</v>
      </c>
      <c r="D1464" s="51">
        <v>7</v>
      </c>
      <c r="E1464" s="51">
        <f t="shared" si="22"/>
        <v>0</v>
      </c>
    </row>
    <row r="1465" spans="1:5">
      <c r="A1465" s="59">
        <v>2</v>
      </c>
      <c r="B1465" s="59">
        <v>24</v>
      </c>
      <c r="C1465" s="59">
        <v>530</v>
      </c>
      <c r="D1465" s="51">
        <v>7</v>
      </c>
      <c r="E1465" s="51">
        <f t="shared" si="22"/>
        <v>0</v>
      </c>
    </row>
    <row r="1466" spans="1:5">
      <c r="A1466" s="59">
        <v>2</v>
      </c>
      <c r="B1466" s="59">
        <v>32</v>
      </c>
      <c r="C1466" s="59">
        <v>630</v>
      </c>
      <c r="D1466" s="51">
        <v>7</v>
      </c>
      <c r="E1466" s="51">
        <f t="shared" si="22"/>
        <v>0</v>
      </c>
    </row>
    <row r="1467" spans="1:5">
      <c r="A1467" s="59">
        <v>2</v>
      </c>
      <c r="B1467" s="59">
        <v>33</v>
      </c>
      <c r="C1467" s="59">
        <v>990</v>
      </c>
      <c r="D1467" s="51">
        <v>7</v>
      </c>
      <c r="E1467" s="51">
        <f t="shared" si="22"/>
        <v>0</v>
      </c>
    </row>
    <row r="1468" spans="1:5">
      <c r="A1468" s="59">
        <v>2</v>
      </c>
      <c r="B1468" s="59">
        <v>41</v>
      </c>
      <c r="C1468" s="59">
        <v>240</v>
      </c>
      <c r="D1468" s="51">
        <v>7</v>
      </c>
      <c r="E1468" s="51">
        <f t="shared" si="22"/>
        <v>1</v>
      </c>
    </row>
    <row r="1469" spans="1:5">
      <c r="A1469" s="59">
        <v>2</v>
      </c>
      <c r="B1469" s="59">
        <v>41</v>
      </c>
      <c r="C1469" s="59">
        <v>740</v>
      </c>
      <c r="D1469" s="51">
        <v>7</v>
      </c>
      <c r="E1469" s="51">
        <f t="shared" si="22"/>
        <v>1</v>
      </c>
    </row>
    <row r="1470" spans="1:5">
      <c r="A1470" s="59">
        <v>2</v>
      </c>
      <c r="B1470" s="59">
        <v>61</v>
      </c>
      <c r="C1470" s="59">
        <v>110</v>
      </c>
      <c r="D1470" s="51">
        <v>7</v>
      </c>
      <c r="E1470" s="51">
        <f t="shared" si="22"/>
        <v>0</v>
      </c>
    </row>
    <row r="1471" spans="1:5">
      <c r="A1471" s="59">
        <v>2</v>
      </c>
      <c r="B1471" s="59">
        <v>61</v>
      </c>
      <c r="C1471" s="59">
        <v>520</v>
      </c>
      <c r="D1471" s="51">
        <v>7</v>
      </c>
      <c r="E1471" s="51">
        <f t="shared" si="22"/>
        <v>0</v>
      </c>
    </row>
    <row r="1472" spans="1:5">
      <c r="A1472" s="59">
        <v>2</v>
      </c>
      <c r="B1472" s="59">
        <v>63</v>
      </c>
      <c r="C1472" s="59">
        <v>860</v>
      </c>
      <c r="D1472" s="51">
        <v>7</v>
      </c>
      <c r="E1472" s="51">
        <f t="shared" si="22"/>
        <v>0</v>
      </c>
    </row>
    <row r="1473" spans="1:5">
      <c r="A1473" s="59">
        <v>2</v>
      </c>
      <c r="B1473" s="59">
        <v>64</v>
      </c>
      <c r="C1473" s="59">
        <v>895</v>
      </c>
      <c r="D1473" s="51">
        <v>7</v>
      </c>
      <c r="E1473" s="51">
        <f t="shared" si="22"/>
        <v>0</v>
      </c>
    </row>
    <row r="1474" spans="1:5">
      <c r="A1474" s="59">
        <v>2</v>
      </c>
      <c r="B1474" s="59">
        <v>71</v>
      </c>
      <c r="C1474" s="59">
        <v>881</v>
      </c>
      <c r="D1474" s="51">
        <v>7</v>
      </c>
      <c r="E1474" s="51">
        <f t="shared" ref="E1474:E1537" si="23">IF(OR(A1474=6,A1474=7,A1474=14,A1474=15,A1474=16,A1474=17,A1474=18,A1474=19,A1474=20,A1474=21,A1474=22,A1474=23,A1474=25,A1474=26,A1474=27,A1474=28,B1474=41,B1474=44,B1474=62),1,0)</f>
        <v>0</v>
      </c>
    </row>
    <row r="1475" spans="1:5">
      <c r="A1475" s="59">
        <v>2</v>
      </c>
      <c r="B1475" s="59">
        <v>81</v>
      </c>
      <c r="C1475" s="59">
        <v>430</v>
      </c>
      <c r="D1475" s="51">
        <v>7</v>
      </c>
      <c r="E1475" s="51">
        <f t="shared" si="23"/>
        <v>0</v>
      </c>
    </row>
    <row r="1476" spans="1:5">
      <c r="A1476" s="59">
        <v>2</v>
      </c>
      <c r="B1476" s="59">
        <v>14</v>
      </c>
      <c r="C1476" s="59">
        <v>640</v>
      </c>
      <c r="D1476" s="51">
        <v>6</v>
      </c>
      <c r="E1476" s="51">
        <f t="shared" si="23"/>
        <v>0</v>
      </c>
    </row>
    <row r="1477" spans="1:5">
      <c r="A1477" s="59">
        <v>2</v>
      </c>
      <c r="B1477" s="59">
        <v>14</v>
      </c>
      <c r="C1477" s="59">
        <v>960</v>
      </c>
      <c r="D1477" s="51">
        <v>6</v>
      </c>
      <c r="E1477" s="51">
        <f t="shared" si="23"/>
        <v>0</v>
      </c>
    </row>
    <row r="1478" spans="1:5">
      <c r="A1478" s="59">
        <v>2</v>
      </c>
      <c r="B1478" s="59">
        <v>14</v>
      </c>
      <c r="C1478" s="59">
        <v>970</v>
      </c>
      <c r="D1478" s="51">
        <v>6</v>
      </c>
      <c r="E1478" s="51">
        <f t="shared" si="23"/>
        <v>0</v>
      </c>
    </row>
    <row r="1479" spans="1:5">
      <c r="A1479" s="59">
        <v>2</v>
      </c>
      <c r="B1479" s="59">
        <v>16</v>
      </c>
      <c r="C1479" s="59">
        <v>990</v>
      </c>
      <c r="D1479" s="51">
        <v>6</v>
      </c>
      <c r="E1479" s="51">
        <f t="shared" si="23"/>
        <v>0</v>
      </c>
    </row>
    <row r="1480" spans="1:5">
      <c r="A1480" s="59">
        <v>2</v>
      </c>
      <c r="B1480" s="59">
        <v>21</v>
      </c>
      <c r="C1480" s="59">
        <v>230</v>
      </c>
      <c r="D1480" s="51">
        <v>6</v>
      </c>
      <c r="E1480" s="51">
        <f t="shared" si="23"/>
        <v>0</v>
      </c>
    </row>
    <row r="1481" spans="1:5">
      <c r="A1481" s="59">
        <v>2</v>
      </c>
      <c r="B1481" s="59">
        <v>22</v>
      </c>
      <c r="C1481" s="59">
        <v>630</v>
      </c>
      <c r="D1481" s="51">
        <v>6</v>
      </c>
      <c r="E1481" s="51">
        <f t="shared" si="23"/>
        <v>0</v>
      </c>
    </row>
    <row r="1482" spans="1:5">
      <c r="A1482" s="59">
        <v>2</v>
      </c>
      <c r="B1482" s="59">
        <v>22</v>
      </c>
      <c r="C1482" s="59">
        <v>940</v>
      </c>
      <c r="D1482" s="51">
        <v>6</v>
      </c>
      <c r="E1482" s="51">
        <f t="shared" si="23"/>
        <v>0</v>
      </c>
    </row>
    <row r="1483" spans="1:5">
      <c r="A1483" s="59">
        <v>2</v>
      </c>
      <c r="B1483" s="59">
        <v>23</v>
      </c>
      <c r="C1483" s="59">
        <v>410</v>
      </c>
      <c r="D1483" s="51">
        <v>6</v>
      </c>
      <c r="E1483" s="51">
        <f t="shared" si="23"/>
        <v>0</v>
      </c>
    </row>
    <row r="1484" spans="1:5">
      <c r="A1484" s="59">
        <v>2</v>
      </c>
      <c r="B1484" s="59">
        <v>33</v>
      </c>
      <c r="C1484" s="59">
        <v>640</v>
      </c>
      <c r="D1484" s="51">
        <v>6</v>
      </c>
      <c r="E1484" s="51">
        <f t="shared" si="23"/>
        <v>0</v>
      </c>
    </row>
    <row r="1485" spans="1:5">
      <c r="A1485" s="59">
        <v>2</v>
      </c>
      <c r="B1485" s="59">
        <v>41</v>
      </c>
      <c r="C1485" s="59">
        <v>430</v>
      </c>
      <c r="D1485" s="51">
        <v>6</v>
      </c>
      <c r="E1485" s="51">
        <f t="shared" si="23"/>
        <v>1</v>
      </c>
    </row>
    <row r="1486" spans="1:5">
      <c r="A1486" s="59">
        <v>2</v>
      </c>
      <c r="B1486" s="59">
        <v>43</v>
      </c>
      <c r="C1486" s="59">
        <v>820</v>
      </c>
      <c r="D1486" s="51">
        <v>6</v>
      </c>
      <c r="E1486" s="51">
        <f t="shared" si="23"/>
        <v>0</v>
      </c>
    </row>
    <row r="1487" spans="1:5">
      <c r="A1487" s="59">
        <v>2</v>
      </c>
      <c r="B1487" s="59">
        <v>51</v>
      </c>
      <c r="C1487" s="59">
        <v>520</v>
      </c>
      <c r="D1487" s="51">
        <v>6</v>
      </c>
      <c r="E1487" s="51">
        <f t="shared" si="23"/>
        <v>0</v>
      </c>
    </row>
    <row r="1488" spans="1:5">
      <c r="A1488" s="59">
        <v>2</v>
      </c>
      <c r="B1488" s="59">
        <v>61</v>
      </c>
      <c r="C1488" s="59">
        <v>720</v>
      </c>
      <c r="D1488" s="51">
        <v>6</v>
      </c>
      <c r="E1488" s="51">
        <f t="shared" si="23"/>
        <v>0</v>
      </c>
    </row>
    <row r="1489" spans="1:5">
      <c r="A1489" s="59">
        <v>2</v>
      </c>
      <c r="B1489" s="59">
        <v>62</v>
      </c>
      <c r="C1489" s="59">
        <v>861</v>
      </c>
      <c r="D1489" s="51">
        <v>6</v>
      </c>
      <c r="E1489" s="51">
        <f t="shared" si="23"/>
        <v>1</v>
      </c>
    </row>
    <row r="1490" spans="1:5">
      <c r="A1490" s="59">
        <v>2</v>
      </c>
      <c r="B1490" s="59">
        <v>71</v>
      </c>
      <c r="C1490" s="59">
        <v>893</v>
      </c>
      <c r="D1490" s="51">
        <v>6</v>
      </c>
      <c r="E1490" s="51">
        <f t="shared" si="23"/>
        <v>0</v>
      </c>
    </row>
    <row r="1491" spans="1:5">
      <c r="A1491" s="59">
        <v>2</v>
      </c>
      <c r="B1491" s="59">
        <v>81</v>
      </c>
      <c r="C1491" s="59">
        <v>840</v>
      </c>
      <c r="D1491" s="51">
        <v>6</v>
      </c>
      <c r="E1491" s="51">
        <f t="shared" si="23"/>
        <v>0</v>
      </c>
    </row>
    <row r="1492" spans="1:5">
      <c r="A1492" s="59">
        <v>2</v>
      </c>
      <c r="B1492" s="59">
        <v>11</v>
      </c>
      <c r="C1492" s="59">
        <v>920</v>
      </c>
      <c r="D1492" s="51">
        <v>5</v>
      </c>
      <c r="E1492" s="51">
        <f t="shared" si="23"/>
        <v>0</v>
      </c>
    </row>
    <row r="1493" spans="1:5">
      <c r="A1493" s="59">
        <v>2</v>
      </c>
      <c r="B1493" s="59">
        <v>11</v>
      </c>
      <c r="C1493" s="59">
        <v>950</v>
      </c>
      <c r="D1493" s="51">
        <v>5</v>
      </c>
      <c r="E1493" s="51">
        <f t="shared" si="23"/>
        <v>0</v>
      </c>
    </row>
    <row r="1494" spans="1:5">
      <c r="A1494" s="59">
        <v>2</v>
      </c>
      <c r="B1494" s="59">
        <v>12</v>
      </c>
      <c r="C1494" s="59">
        <v>210</v>
      </c>
      <c r="D1494" s="51">
        <v>5</v>
      </c>
      <c r="E1494" s="51">
        <f t="shared" si="23"/>
        <v>0</v>
      </c>
    </row>
    <row r="1495" spans="1:5">
      <c r="A1495" s="59">
        <v>2</v>
      </c>
      <c r="B1495" s="59">
        <v>12</v>
      </c>
      <c r="C1495" s="59">
        <v>410</v>
      </c>
      <c r="D1495" s="51">
        <v>5</v>
      </c>
      <c r="E1495" s="51">
        <f t="shared" si="23"/>
        <v>0</v>
      </c>
    </row>
    <row r="1496" spans="1:5">
      <c r="A1496" s="59">
        <v>2</v>
      </c>
      <c r="B1496" s="59">
        <v>12</v>
      </c>
      <c r="C1496" s="59">
        <v>530</v>
      </c>
      <c r="D1496" s="51">
        <v>5</v>
      </c>
      <c r="E1496" s="51">
        <f t="shared" si="23"/>
        <v>0</v>
      </c>
    </row>
    <row r="1497" spans="1:5">
      <c r="A1497" s="59">
        <v>2</v>
      </c>
      <c r="B1497" s="59">
        <v>12</v>
      </c>
      <c r="C1497" s="59">
        <v>620</v>
      </c>
      <c r="D1497" s="51">
        <v>5</v>
      </c>
      <c r="E1497" s="51">
        <f t="shared" si="23"/>
        <v>0</v>
      </c>
    </row>
    <row r="1498" spans="1:5">
      <c r="A1498" s="59">
        <v>2</v>
      </c>
      <c r="B1498" s="59">
        <v>15</v>
      </c>
      <c r="C1498" s="59">
        <v>220</v>
      </c>
      <c r="D1498" s="51">
        <v>5</v>
      </c>
      <c r="E1498" s="51">
        <f t="shared" si="23"/>
        <v>0</v>
      </c>
    </row>
    <row r="1499" spans="1:5">
      <c r="A1499" s="59">
        <v>2</v>
      </c>
      <c r="B1499" s="59">
        <v>15</v>
      </c>
      <c r="C1499" s="59">
        <v>430</v>
      </c>
      <c r="D1499" s="51">
        <v>5</v>
      </c>
      <c r="E1499" s="51">
        <f t="shared" si="23"/>
        <v>0</v>
      </c>
    </row>
    <row r="1500" spans="1:5">
      <c r="A1500" s="59">
        <v>2</v>
      </c>
      <c r="B1500" s="59">
        <v>15</v>
      </c>
      <c r="C1500" s="59">
        <v>550</v>
      </c>
      <c r="D1500" s="51">
        <v>5</v>
      </c>
      <c r="E1500" s="51">
        <f t="shared" si="23"/>
        <v>0</v>
      </c>
    </row>
    <row r="1501" spans="1:5">
      <c r="A1501" s="59">
        <v>2</v>
      </c>
      <c r="B1501" s="59">
        <v>16</v>
      </c>
      <c r="C1501" s="59">
        <v>630</v>
      </c>
      <c r="D1501" s="51">
        <v>5</v>
      </c>
      <c r="E1501" s="51">
        <f t="shared" si="23"/>
        <v>0</v>
      </c>
    </row>
    <row r="1502" spans="1:5">
      <c r="A1502" s="59">
        <v>2</v>
      </c>
      <c r="B1502" s="59">
        <v>21</v>
      </c>
      <c r="C1502" s="59">
        <v>420</v>
      </c>
      <c r="D1502" s="51">
        <v>5</v>
      </c>
      <c r="E1502" s="51">
        <f t="shared" si="23"/>
        <v>0</v>
      </c>
    </row>
    <row r="1503" spans="1:5">
      <c r="A1503" s="59">
        <v>2</v>
      </c>
      <c r="B1503" s="59">
        <v>22</v>
      </c>
      <c r="C1503" s="59">
        <v>550</v>
      </c>
      <c r="D1503" s="51">
        <v>5</v>
      </c>
      <c r="E1503" s="51">
        <f t="shared" si="23"/>
        <v>0</v>
      </c>
    </row>
    <row r="1504" spans="1:5">
      <c r="A1504" s="59">
        <v>2</v>
      </c>
      <c r="B1504" s="59">
        <v>22</v>
      </c>
      <c r="C1504" s="59">
        <v>960</v>
      </c>
      <c r="D1504" s="51">
        <v>5</v>
      </c>
      <c r="E1504" s="51">
        <f t="shared" si="23"/>
        <v>0</v>
      </c>
    </row>
    <row r="1505" spans="1:5">
      <c r="A1505" s="59">
        <v>2</v>
      </c>
      <c r="B1505" s="59">
        <v>24</v>
      </c>
      <c r="C1505" s="59">
        <v>920</v>
      </c>
      <c r="D1505" s="51">
        <v>5</v>
      </c>
      <c r="E1505" s="51">
        <f t="shared" si="23"/>
        <v>0</v>
      </c>
    </row>
    <row r="1506" spans="1:5">
      <c r="A1506" s="59">
        <v>2</v>
      </c>
      <c r="B1506" s="59">
        <v>31</v>
      </c>
      <c r="C1506" s="59">
        <v>110</v>
      </c>
      <c r="D1506" s="51">
        <v>5</v>
      </c>
      <c r="E1506" s="51">
        <f t="shared" si="23"/>
        <v>0</v>
      </c>
    </row>
    <row r="1507" spans="1:5">
      <c r="A1507" s="59">
        <v>2</v>
      </c>
      <c r="B1507" s="59">
        <v>32</v>
      </c>
      <c r="C1507" s="59">
        <v>240</v>
      </c>
      <c r="D1507" s="51">
        <v>5</v>
      </c>
      <c r="E1507" s="51">
        <f t="shared" si="23"/>
        <v>0</v>
      </c>
    </row>
    <row r="1508" spans="1:5">
      <c r="A1508" s="59">
        <v>2</v>
      </c>
      <c r="B1508" s="59">
        <v>32</v>
      </c>
      <c r="C1508" s="59">
        <v>540</v>
      </c>
      <c r="D1508" s="51">
        <v>5</v>
      </c>
      <c r="E1508" s="51">
        <f t="shared" si="23"/>
        <v>0</v>
      </c>
    </row>
    <row r="1509" spans="1:5">
      <c r="A1509" s="59">
        <v>2</v>
      </c>
      <c r="B1509" s="59">
        <v>33</v>
      </c>
      <c r="C1509" s="59">
        <v>540</v>
      </c>
      <c r="D1509" s="51">
        <v>5</v>
      </c>
      <c r="E1509" s="51">
        <f t="shared" si="23"/>
        <v>0</v>
      </c>
    </row>
    <row r="1510" spans="1:5">
      <c r="A1510" s="59">
        <v>2</v>
      </c>
      <c r="B1510" s="59">
        <v>41</v>
      </c>
      <c r="C1510" s="59">
        <v>330</v>
      </c>
      <c r="D1510" s="51">
        <v>5</v>
      </c>
      <c r="E1510" s="51">
        <f t="shared" si="23"/>
        <v>1</v>
      </c>
    </row>
    <row r="1511" spans="1:5">
      <c r="A1511" s="59">
        <v>2</v>
      </c>
      <c r="B1511" s="59">
        <v>41</v>
      </c>
      <c r="C1511" s="59">
        <v>420</v>
      </c>
      <c r="D1511" s="51">
        <v>5</v>
      </c>
      <c r="E1511" s="51">
        <f t="shared" si="23"/>
        <v>1</v>
      </c>
    </row>
    <row r="1512" spans="1:5">
      <c r="A1512" s="59">
        <v>2</v>
      </c>
      <c r="B1512" s="59">
        <v>42</v>
      </c>
      <c r="C1512" s="59">
        <v>720</v>
      </c>
      <c r="D1512" s="51">
        <v>5</v>
      </c>
      <c r="E1512" s="51">
        <f t="shared" si="23"/>
        <v>0</v>
      </c>
    </row>
    <row r="1513" spans="1:5">
      <c r="A1513" s="59">
        <v>2</v>
      </c>
      <c r="B1513" s="59">
        <v>44</v>
      </c>
      <c r="C1513" s="59">
        <v>740</v>
      </c>
      <c r="D1513" s="51">
        <v>5</v>
      </c>
      <c r="E1513" s="51">
        <f t="shared" si="23"/>
        <v>1</v>
      </c>
    </row>
    <row r="1514" spans="1:5">
      <c r="A1514" s="59">
        <v>2</v>
      </c>
      <c r="B1514" s="59">
        <v>44</v>
      </c>
      <c r="C1514" s="59">
        <v>881</v>
      </c>
      <c r="D1514" s="51">
        <v>5</v>
      </c>
      <c r="E1514" s="51">
        <f t="shared" si="23"/>
        <v>1</v>
      </c>
    </row>
    <row r="1515" spans="1:5">
      <c r="A1515" s="59">
        <v>2</v>
      </c>
      <c r="B1515" s="59">
        <v>44</v>
      </c>
      <c r="C1515" s="59">
        <v>893</v>
      </c>
      <c r="D1515" s="51">
        <v>5</v>
      </c>
      <c r="E1515" s="51">
        <f t="shared" si="23"/>
        <v>1</v>
      </c>
    </row>
    <row r="1516" spans="1:5">
      <c r="A1516" s="59">
        <v>2</v>
      </c>
      <c r="B1516" s="59">
        <v>61</v>
      </c>
      <c r="C1516" s="59">
        <v>160</v>
      </c>
      <c r="D1516" s="51">
        <v>5</v>
      </c>
      <c r="E1516" s="51">
        <f t="shared" si="23"/>
        <v>0</v>
      </c>
    </row>
    <row r="1517" spans="1:5">
      <c r="A1517" s="59">
        <v>2</v>
      </c>
      <c r="B1517" s="59">
        <v>62</v>
      </c>
      <c r="C1517" s="59">
        <v>899</v>
      </c>
      <c r="D1517" s="51">
        <v>5</v>
      </c>
      <c r="E1517" s="51">
        <f t="shared" si="23"/>
        <v>1</v>
      </c>
    </row>
    <row r="1518" spans="1:5">
      <c r="A1518" s="59">
        <v>2</v>
      </c>
      <c r="B1518" s="59">
        <v>81</v>
      </c>
      <c r="C1518" s="59">
        <v>940</v>
      </c>
      <c r="D1518" s="51">
        <v>5</v>
      </c>
      <c r="E1518" s="51">
        <f t="shared" si="23"/>
        <v>0</v>
      </c>
    </row>
    <row r="1519" spans="1:5">
      <c r="A1519" s="59">
        <v>2</v>
      </c>
      <c r="B1519" s="59">
        <v>11</v>
      </c>
      <c r="C1519" s="59">
        <v>930</v>
      </c>
      <c r="D1519" s="51">
        <v>4</v>
      </c>
      <c r="E1519" s="51">
        <f t="shared" si="23"/>
        <v>0</v>
      </c>
    </row>
    <row r="1520" spans="1:5">
      <c r="A1520" s="59">
        <v>2</v>
      </c>
      <c r="B1520" s="59">
        <v>23</v>
      </c>
      <c r="C1520" s="59">
        <v>120</v>
      </c>
      <c r="D1520" s="51">
        <v>4</v>
      </c>
      <c r="E1520" s="51">
        <f t="shared" si="23"/>
        <v>0</v>
      </c>
    </row>
    <row r="1521" spans="1:5">
      <c r="A1521" s="59">
        <v>2</v>
      </c>
      <c r="B1521" s="59">
        <v>23</v>
      </c>
      <c r="C1521" s="59">
        <v>420</v>
      </c>
      <c r="D1521" s="51">
        <v>4</v>
      </c>
      <c r="E1521" s="51">
        <f t="shared" si="23"/>
        <v>0</v>
      </c>
    </row>
    <row r="1522" spans="1:5">
      <c r="A1522" s="59">
        <v>2</v>
      </c>
      <c r="B1522" s="59">
        <v>23</v>
      </c>
      <c r="C1522" s="59">
        <v>920</v>
      </c>
      <c r="D1522" s="51">
        <v>4</v>
      </c>
      <c r="E1522" s="51">
        <f t="shared" si="23"/>
        <v>0</v>
      </c>
    </row>
    <row r="1523" spans="1:5">
      <c r="A1523" s="59">
        <v>2</v>
      </c>
      <c r="B1523" s="59">
        <v>24</v>
      </c>
      <c r="C1523" s="59">
        <v>110</v>
      </c>
      <c r="D1523" s="51">
        <v>4</v>
      </c>
      <c r="E1523" s="51">
        <f t="shared" si="23"/>
        <v>0</v>
      </c>
    </row>
    <row r="1524" spans="1:5">
      <c r="A1524" s="59">
        <v>2</v>
      </c>
      <c r="B1524" s="59">
        <v>33</v>
      </c>
      <c r="C1524" s="59">
        <v>120</v>
      </c>
      <c r="D1524" s="51">
        <v>4</v>
      </c>
      <c r="E1524" s="51">
        <f t="shared" si="23"/>
        <v>0</v>
      </c>
    </row>
    <row r="1525" spans="1:5">
      <c r="A1525" s="59">
        <v>2</v>
      </c>
      <c r="B1525" s="59">
        <v>33</v>
      </c>
      <c r="C1525" s="59">
        <v>130</v>
      </c>
      <c r="D1525" s="51">
        <v>4</v>
      </c>
      <c r="E1525" s="51">
        <f t="shared" si="23"/>
        <v>0</v>
      </c>
    </row>
    <row r="1526" spans="1:5">
      <c r="A1526" s="59">
        <v>2</v>
      </c>
      <c r="B1526" s="59">
        <v>33</v>
      </c>
      <c r="C1526" s="59">
        <v>220</v>
      </c>
      <c r="D1526" s="51">
        <v>4</v>
      </c>
      <c r="E1526" s="51">
        <f t="shared" si="23"/>
        <v>0</v>
      </c>
    </row>
    <row r="1527" spans="1:5">
      <c r="A1527" s="59">
        <v>2</v>
      </c>
      <c r="B1527" s="59">
        <v>33</v>
      </c>
      <c r="C1527" s="59">
        <v>960</v>
      </c>
      <c r="D1527" s="51">
        <v>4</v>
      </c>
      <c r="E1527" s="51">
        <f t="shared" si="23"/>
        <v>0</v>
      </c>
    </row>
    <row r="1528" spans="1:5">
      <c r="A1528" s="59">
        <v>2</v>
      </c>
      <c r="B1528" s="59">
        <v>42</v>
      </c>
      <c r="C1528" s="59">
        <v>710</v>
      </c>
      <c r="D1528" s="51">
        <v>4</v>
      </c>
      <c r="E1528" s="51">
        <f t="shared" si="23"/>
        <v>0</v>
      </c>
    </row>
    <row r="1529" spans="1:5">
      <c r="A1529" s="59">
        <v>2</v>
      </c>
      <c r="B1529" s="59">
        <v>44</v>
      </c>
      <c r="C1529" s="59">
        <v>140</v>
      </c>
      <c r="D1529" s="51">
        <v>4</v>
      </c>
      <c r="E1529" s="51">
        <f t="shared" si="23"/>
        <v>1</v>
      </c>
    </row>
    <row r="1530" spans="1:5">
      <c r="A1530" s="59">
        <v>2</v>
      </c>
      <c r="B1530" s="59">
        <v>51</v>
      </c>
      <c r="C1530" s="59">
        <v>160</v>
      </c>
      <c r="D1530" s="51">
        <v>4</v>
      </c>
      <c r="E1530" s="51">
        <f t="shared" si="23"/>
        <v>0</v>
      </c>
    </row>
    <row r="1531" spans="1:5">
      <c r="A1531" s="59">
        <v>2</v>
      </c>
      <c r="B1531" s="59">
        <v>51</v>
      </c>
      <c r="C1531" s="59">
        <v>720</v>
      </c>
      <c r="D1531" s="51">
        <v>4</v>
      </c>
      <c r="E1531" s="51">
        <f t="shared" si="23"/>
        <v>0</v>
      </c>
    </row>
    <row r="1532" spans="1:5">
      <c r="A1532" s="59">
        <v>2</v>
      </c>
      <c r="B1532" s="59">
        <v>61</v>
      </c>
      <c r="C1532" s="59">
        <v>150</v>
      </c>
      <c r="D1532" s="51">
        <v>4</v>
      </c>
      <c r="E1532" s="51">
        <f t="shared" si="23"/>
        <v>0</v>
      </c>
    </row>
    <row r="1533" spans="1:5">
      <c r="A1533" s="59">
        <v>2</v>
      </c>
      <c r="B1533" s="59">
        <v>61</v>
      </c>
      <c r="C1533" s="59">
        <v>730</v>
      </c>
      <c r="D1533" s="51">
        <v>4</v>
      </c>
      <c r="E1533" s="51">
        <f t="shared" si="23"/>
        <v>0</v>
      </c>
    </row>
    <row r="1534" spans="1:5">
      <c r="A1534" s="59">
        <v>2</v>
      </c>
      <c r="B1534" s="59">
        <v>62</v>
      </c>
      <c r="C1534" s="59">
        <v>820</v>
      </c>
      <c r="D1534" s="51">
        <v>4</v>
      </c>
      <c r="E1534" s="51">
        <f t="shared" si="23"/>
        <v>1</v>
      </c>
    </row>
    <row r="1535" spans="1:5">
      <c r="A1535" s="59">
        <v>2</v>
      </c>
      <c r="B1535" s="59">
        <v>63</v>
      </c>
      <c r="C1535" s="59">
        <v>850</v>
      </c>
      <c r="D1535" s="51">
        <v>4</v>
      </c>
      <c r="E1535" s="51">
        <f t="shared" si="23"/>
        <v>0</v>
      </c>
    </row>
    <row r="1536" spans="1:5">
      <c r="A1536" s="59">
        <v>2</v>
      </c>
      <c r="B1536" s="59">
        <v>64</v>
      </c>
      <c r="C1536" s="59">
        <v>892</v>
      </c>
      <c r="D1536" s="51">
        <v>4</v>
      </c>
      <c r="E1536" s="51">
        <f t="shared" si="23"/>
        <v>0</v>
      </c>
    </row>
    <row r="1537" spans="1:5">
      <c r="A1537" s="59">
        <v>2</v>
      </c>
      <c r="B1537" s="59">
        <v>13</v>
      </c>
      <c r="C1537" s="59">
        <v>710</v>
      </c>
      <c r="D1537" s="51">
        <v>3</v>
      </c>
      <c r="E1537" s="51">
        <f t="shared" si="23"/>
        <v>0</v>
      </c>
    </row>
    <row r="1538" spans="1:5">
      <c r="A1538" s="59">
        <v>2</v>
      </c>
      <c r="B1538" s="59">
        <v>13</v>
      </c>
      <c r="C1538" s="59">
        <v>750</v>
      </c>
      <c r="D1538" s="51">
        <v>3</v>
      </c>
      <c r="E1538" s="51">
        <f t="shared" ref="E1538:E1601" si="24">IF(OR(A1538=6,A1538=7,A1538=14,A1538=15,A1538=16,A1538=17,A1538=18,A1538=19,A1538=20,A1538=21,A1538=22,A1538=23,A1538=25,A1538=26,A1538=27,A1538=28,B1538=41,B1538=44,B1538=62),1,0)</f>
        <v>0</v>
      </c>
    </row>
    <row r="1539" spans="1:5">
      <c r="A1539" s="59">
        <v>2</v>
      </c>
      <c r="B1539" s="59">
        <v>15</v>
      </c>
      <c r="C1539" s="59">
        <v>970</v>
      </c>
      <c r="D1539" s="51">
        <v>3</v>
      </c>
      <c r="E1539" s="51">
        <f t="shared" si="24"/>
        <v>0</v>
      </c>
    </row>
    <row r="1540" spans="1:5">
      <c r="A1540" s="59">
        <v>2</v>
      </c>
      <c r="B1540" s="59">
        <v>16</v>
      </c>
      <c r="C1540" s="59">
        <v>930</v>
      </c>
      <c r="D1540" s="51">
        <v>3</v>
      </c>
      <c r="E1540" s="51">
        <f t="shared" si="24"/>
        <v>0</v>
      </c>
    </row>
    <row r="1541" spans="1:5">
      <c r="A1541" s="59">
        <v>2</v>
      </c>
      <c r="B1541" s="59">
        <v>21</v>
      </c>
      <c r="C1541" s="59">
        <v>110</v>
      </c>
      <c r="D1541" s="51">
        <v>3</v>
      </c>
      <c r="E1541" s="51">
        <f t="shared" si="24"/>
        <v>0</v>
      </c>
    </row>
    <row r="1542" spans="1:5">
      <c r="A1542" s="59">
        <v>2</v>
      </c>
      <c r="B1542" s="59">
        <v>22</v>
      </c>
      <c r="C1542" s="59">
        <v>540</v>
      </c>
      <c r="D1542" s="51">
        <v>3</v>
      </c>
      <c r="E1542" s="51">
        <f t="shared" si="24"/>
        <v>0</v>
      </c>
    </row>
    <row r="1543" spans="1:5">
      <c r="A1543" s="59">
        <v>2</v>
      </c>
      <c r="B1543" s="59">
        <v>23</v>
      </c>
      <c r="C1543" s="59">
        <v>140</v>
      </c>
      <c r="D1543" s="51">
        <v>3</v>
      </c>
      <c r="E1543" s="51">
        <f t="shared" si="24"/>
        <v>0</v>
      </c>
    </row>
    <row r="1544" spans="1:5">
      <c r="A1544" s="59">
        <v>2</v>
      </c>
      <c r="B1544" s="59">
        <v>24</v>
      </c>
      <c r="C1544" s="59">
        <v>620</v>
      </c>
      <c r="D1544" s="51">
        <v>3</v>
      </c>
      <c r="E1544" s="51">
        <f t="shared" si="24"/>
        <v>0</v>
      </c>
    </row>
    <row r="1545" spans="1:5">
      <c r="A1545" s="59">
        <v>2</v>
      </c>
      <c r="B1545" s="59">
        <v>24</v>
      </c>
      <c r="C1545" s="59">
        <v>730</v>
      </c>
      <c r="D1545" s="51">
        <v>3</v>
      </c>
      <c r="E1545" s="51">
        <f t="shared" si="24"/>
        <v>0</v>
      </c>
    </row>
    <row r="1546" spans="1:5">
      <c r="A1546" s="59">
        <v>2</v>
      </c>
      <c r="B1546" s="59">
        <v>32</v>
      </c>
      <c r="C1546" s="59">
        <v>710</v>
      </c>
      <c r="D1546" s="51">
        <v>3</v>
      </c>
      <c r="E1546" s="51">
        <f t="shared" si="24"/>
        <v>0</v>
      </c>
    </row>
    <row r="1547" spans="1:5">
      <c r="A1547" s="59">
        <v>2</v>
      </c>
      <c r="B1547" s="59">
        <v>32</v>
      </c>
      <c r="C1547" s="59">
        <v>990</v>
      </c>
      <c r="D1547" s="51">
        <v>3</v>
      </c>
      <c r="E1547" s="51">
        <f t="shared" si="24"/>
        <v>0</v>
      </c>
    </row>
    <row r="1548" spans="1:5">
      <c r="A1548" s="59">
        <v>2</v>
      </c>
      <c r="B1548" s="59">
        <v>33</v>
      </c>
      <c r="C1548" s="59">
        <v>550</v>
      </c>
      <c r="D1548" s="51">
        <v>3</v>
      </c>
      <c r="E1548" s="51">
        <f t="shared" si="24"/>
        <v>0</v>
      </c>
    </row>
    <row r="1549" spans="1:5">
      <c r="A1549" s="59">
        <v>2</v>
      </c>
      <c r="B1549" s="59">
        <v>33</v>
      </c>
      <c r="C1549" s="59">
        <v>831</v>
      </c>
      <c r="D1549" s="51">
        <v>3</v>
      </c>
      <c r="E1549" s="51">
        <f t="shared" si="24"/>
        <v>0</v>
      </c>
    </row>
    <row r="1550" spans="1:5">
      <c r="A1550" s="59">
        <v>2</v>
      </c>
      <c r="B1550" s="59">
        <v>42</v>
      </c>
      <c r="C1550" s="59">
        <v>750</v>
      </c>
      <c r="D1550" s="51">
        <v>3</v>
      </c>
      <c r="E1550" s="51">
        <f t="shared" si="24"/>
        <v>0</v>
      </c>
    </row>
    <row r="1551" spans="1:5">
      <c r="A1551" s="59">
        <v>2</v>
      </c>
      <c r="B1551" s="59">
        <v>43</v>
      </c>
      <c r="C1551" s="59">
        <v>830</v>
      </c>
      <c r="D1551" s="51">
        <v>3</v>
      </c>
      <c r="E1551" s="51">
        <f t="shared" si="24"/>
        <v>0</v>
      </c>
    </row>
    <row r="1552" spans="1:5">
      <c r="A1552" s="59">
        <v>2</v>
      </c>
      <c r="B1552" s="59">
        <v>44</v>
      </c>
      <c r="C1552" s="59">
        <v>850</v>
      </c>
      <c r="D1552" s="51">
        <v>3</v>
      </c>
      <c r="E1552" s="51">
        <f t="shared" si="24"/>
        <v>1</v>
      </c>
    </row>
    <row r="1553" spans="1:5">
      <c r="A1553" s="59">
        <v>2</v>
      </c>
      <c r="B1553" s="59">
        <v>44</v>
      </c>
      <c r="C1553" s="59">
        <v>890</v>
      </c>
      <c r="D1553" s="51">
        <v>3</v>
      </c>
      <c r="E1553" s="51">
        <f t="shared" si="24"/>
        <v>1</v>
      </c>
    </row>
    <row r="1554" spans="1:5">
      <c r="A1554" s="59">
        <v>2</v>
      </c>
      <c r="B1554" s="59">
        <v>51</v>
      </c>
      <c r="C1554" s="59">
        <v>990</v>
      </c>
      <c r="D1554" s="51">
        <v>3</v>
      </c>
      <c r="E1554" s="51">
        <f t="shared" si="24"/>
        <v>0</v>
      </c>
    </row>
    <row r="1555" spans="1:5">
      <c r="A1555" s="59">
        <v>2</v>
      </c>
      <c r="B1555" s="59">
        <v>61</v>
      </c>
      <c r="C1555" s="59">
        <v>420</v>
      </c>
      <c r="D1555" s="51">
        <v>3</v>
      </c>
      <c r="E1555" s="51">
        <f t="shared" si="24"/>
        <v>0</v>
      </c>
    </row>
    <row r="1556" spans="1:5">
      <c r="A1556" s="59">
        <v>2</v>
      </c>
      <c r="B1556" s="59">
        <v>61</v>
      </c>
      <c r="C1556" s="59">
        <v>440</v>
      </c>
      <c r="D1556" s="51">
        <v>3</v>
      </c>
      <c r="E1556" s="51">
        <f t="shared" si="24"/>
        <v>0</v>
      </c>
    </row>
    <row r="1557" spans="1:5">
      <c r="A1557" s="59">
        <v>2</v>
      </c>
      <c r="B1557" s="59">
        <v>61</v>
      </c>
      <c r="C1557" s="59">
        <v>640</v>
      </c>
      <c r="D1557" s="51">
        <v>3</v>
      </c>
      <c r="E1557" s="51">
        <f t="shared" si="24"/>
        <v>0</v>
      </c>
    </row>
    <row r="1558" spans="1:5">
      <c r="A1558" s="59">
        <v>2</v>
      </c>
      <c r="B1558" s="59">
        <v>62</v>
      </c>
      <c r="C1558" s="59">
        <v>120</v>
      </c>
      <c r="D1558" s="51">
        <v>3</v>
      </c>
      <c r="E1558" s="51">
        <f t="shared" si="24"/>
        <v>1</v>
      </c>
    </row>
    <row r="1559" spans="1:5">
      <c r="A1559" s="59">
        <v>2</v>
      </c>
      <c r="B1559" s="59">
        <v>62</v>
      </c>
      <c r="C1559" s="59">
        <v>130</v>
      </c>
      <c r="D1559" s="51">
        <v>3</v>
      </c>
      <c r="E1559" s="51">
        <f t="shared" si="24"/>
        <v>1</v>
      </c>
    </row>
    <row r="1560" spans="1:5">
      <c r="A1560" s="59">
        <v>2</v>
      </c>
      <c r="B1560" s="59">
        <v>63</v>
      </c>
      <c r="C1560" s="59">
        <v>120</v>
      </c>
      <c r="D1560" s="51">
        <v>3</v>
      </c>
      <c r="E1560" s="51">
        <f t="shared" si="24"/>
        <v>0</v>
      </c>
    </row>
    <row r="1561" spans="1:5">
      <c r="A1561" s="59">
        <v>2</v>
      </c>
      <c r="B1561" s="59">
        <v>63</v>
      </c>
      <c r="C1561" s="59">
        <v>130</v>
      </c>
      <c r="D1561" s="51">
        <v>3</v>
      </c>
      <c r="E1561" s="51">
        <f t="shared" si="24"/>
        <v>0</v>
      </c>
    </row>
    <row r="1562" spans="1:5">
      <c r="A1562" s="59">
        <v>2</v>
      </c>
      <c r="B1562" s="59">
        <v>63</v>
      </c>
      <c r="C1562" s="59">
        <v>861</v>
      </c>
      <c r="D1562" s="51">
        <v>3</v>
      </c>
      <c r="E1562" s="51">
        <f t="shared" si="24"/>
        <v>0</v>
      </c>
    </row>
    <row r="1563" spans="1:5">
      <c r="A1563" s="59">
        <v>2</v>
      </c>
      <c r="B1563" s="59">
        <v>64</v>
      </c>
      <c r="C1563" s="59">
        <v>810</v>
      </c>
      <c r="D1563" s="51">
        <v>3</v>
      </c>
      <c r="E1563" s="51">
        <f t="shared" si="24"/>
        <v>0</v>
      </c>
    </row>
    <row r="1564" spans="1:5">
      <c r="A1564" s="59">
        <v>2</v>
      </c>
      <c r="B1564" s="59">
        <v>81</v>
      </c>
      <c r="C1564" s="59">
        <v>740</v>
      </c>
      <c r="D1564" s="51">
        <v>3</v>
      </c>
      <c r="E1564" s="51">
        <f t="shared" si="24"/>
        <v>0</v>
      </c>
    </row>
    <row r="1565" spans="1:5">
      <c r="A1565" s="59">
        <v>2</v>
      </c>
      <c r="B1565" s="59">
        <v>11</v>
      </c>
      <c r="C1565" s="59">
        <v>210</v>
      </c>
      <c r="D1565" s="51">
        <v>2</v>
      </c>
      <c r="E1565" s="51">
        <f t="shared" si="24"/>
        <v>0</v>
      </c>
    </row>
    <row r="1566" spans="1:5">
      <c r="A1566" s="59">
        <v>2</v>
      </c>
      <c r="B1566" s="59">
        <v>11</v>
      </c>
      <c r="C1566" s="59">
        <v>410</v>
      </c>
      <c r="D1566" s="51">
        <v>2</v>
      </c>
      <c r="E1566" s="51">
        <f t="shared" si="24"/>
        <v>0</v>
      </c>
    </row>
    <row r="1567" spans="1:5">
      <c r="A1567" s="59">
        <v>2</v>
      </c>
      <c r="B1567" s="59">
        <v>11</v>
      </c>
      <c r="C1567" s="59">
        <v>640</v>
      </c>
      <c r="D1567" s="51">
        <v>2</v>
      </c>
      <c r="E1567" s="51">
        <f t="shared" si="24"/>
        <v>0</v>
      </c>
    </row>
    <row r="1568" spans="1:5">
      <c r="A1568" s="59">
        <v>2</v>
      </c>
      <c r="B1568" s="59">
        <v>12</v>
      </c>
      <c r="C1568" s="59">
        <v>420</v>
      </c>
      <c r="D1568" s="51">
        <v>2</v>
      </c>
      <c r="E1568" s="51">
        <f t="shared" si="24"/>
        <v>0</v>
      </c>
    </row>
    <row r="1569" spans="1:5">
      <c r="A1569" s="59">
        <v>2</v>
      </c>
      <c r="B1569" s="59">
        <v>12</v>
      </c>
      <c r="C1569" s="59">
        <v>540</v>
      </c>
      <c r="D1569" s="51">
        <v>2</v>
      </c>
      <c r="E1569" s="51">
        <f t="shared" si="24"/>
        <v>0</v>
      </c>
    </row>
    <row r="1570" spans="1:5">
      <c r="A1570" s="59">
        <v>2</v>
      </c>
      <c r="B1570" s="59">
        <v>13</v>
      </c>
      <c r="C1570" s="59">
        <v>440</v>
      </c>
      <c r="D1570" s="51">
        <v>2</v>
      </c>
      <c r="E1570" s="51">
        <f t="shared" si="24"/>
        <v>0</v>
      </c>
    </row>
    <row r="1571" spans="1:5">
      <c r="A1571" s="59">
        <v>2</v>
      </c>
      <c r="B1571" s="59">
        <v>13</v>
      </c>
      <c r="C1571" s="59">
        <v>890</v>
      </c>
      <c r="D1571" s="51">
        <v>2</v>
      </c>
      <c r="E1571" s="51">
        <f t="shared" si="24"/>
        <v>0</v>
      </c>
    </row>
    <row r="1572" spans="1:5">
      <c r="A1572" s="59">
        <v>2</v>
      </c>
      <c r="B1572" s="59">
        <v>14</v>
      </c>
      <c r="C1572" s="59">
        <v>890</v>
      </c>
      <c r="D1572" s="51">
        <v>2</v>
      </c>
      <c r="E1572" s="51">
        <f t="shared" si="24"/>
        <v>0</v>
      </c>
    </row>
    <row r="1573" spans="1:5">
      <c r="A1573" s="59">
        <v>2</v>
      </c>
      <c r="B1573" s="59">
        <v>15</v>
      </c>
      <c r="C1573" s="59">
        <v>730</v>
      </c>
      <c r="D1573" s="51">
        <v>2</v>
      </c>
      <c r="E1573" s="51">
        <f t="shared" si="24"/>
        <v>0</v>
      </c>
    </row>
    <row r="1574" spans="1:5">
      <c r="A1574" s="59">
        <v>2</v>
      </c>
      <c r="B1574" s="59">
        <v>16</v>
      </c>
      <c r="C1574" s="59">
        <v>640</v>
      </c>
      <c r="D1574" s="51">
        <v>2</v>
      </c>
      <c r="E1574" s="51">
        <f t="shared" si="24"/>
        <v>0</v>
      </c>
    </row>
    <row r="1575" spans="1:5">
      <c r="A1575" s="59">
        <v>2</v>
      </c>
      <c r="B1575" s="59">
        <v>21</v>
      </c>
      <c r="C1575" s="59">
        <v>140</v>
      </c>
      <c r="D1575" s="51">
        <v>2</v>
      </c>
      <c r="E1575" s="51">
        <f t="shared" si="24"/>
        <v>0</v>
      </c>
    </row>
    <row r="1576" spans="1:5">
      <c r="A1576" s="59">
        <v>2</v>
      </c>
      <c r="B1576" s="59">
        <v>21</v>
      </c>
      <c r="C1576" s="59">
        <v>160</v>
      </c>
      <c r="D1576" s="51">
        <v>2</v>
      </c>
      <c r="E1576" s="51">
        <f t="shared" si="24"/>
        <v>0</v>
      </c>
    </row>
    <row r="1577" spans="1:5">
      <c r="A1577" s="59">
        <v>2</v>
      </c>
      <c r="B1577" s="59">
        <v>21</v>
      </c>
      <c r="C1577" s="59">
        <v>320</v>
      </c>
      <c r="D1577" s="51">
        <v>2</v>
      </c>
      <c r="E1577" s="51">
        <f t="shared" si="24"/>
        <v>0</v>
      </c>
    </row>
    <row r="1578" spans="1:5">
      <c r="A1578" s="59">
        <v>2</v>
      </c>
      <c r="B1578" s="59">
        <v>21</v>
      </c>
      <c r="C1578" s="59">
        <v>510</v>
      </c>
      <c r="D1578" s="51">
        <v>2</v>
      </c>
      <c r="E1578" s="51">
        <f t="shared" si="24"/>
        <v>0</v>
      </c>
    </row>
    <row r="1579" spans="1:5">
      <c r="A1579" s="59">
        <v>2</v>
      </c>
      <c r="B1579" s="59">
        <v>21</v>
      </c>
      <c r="C1579" s="59">
        <v>910</v>
      </c>
      <c r="D1579" s="51">
        <v>2</v>
      </c>
      <c r="E1579" s="51">
        <f t="shared" si="24"/>
        <v>0</v>
      </c>
    </row>
    <row r="1580" spans="1:5">
      <c r="A1580" s="59">
        <v>2</v>
      </c>
      <c r="B1580" s="59">
        <v>23</v>
      </c>
      <c r="C1580" s="59">
        <v>220</v>
      </c>
      <c r="D1580" s="51">
        <v>2</v>
      </c>
      <c r="E1580" s="51">
        <f t="shared" si="24"/>
        <v>0</v>
      </c>
    </row>
    <row r="1581" spans="1:5">
      <c r="A1581" s="59">
        <v>2</v>
      </c>
      <c r="B1581" s="59">
        <v>32</v>
      </c>
      <c r="C1581" s="59">
        <v>220</v>
      </c>
      <c r="D1581" s="51">
        <v>2</v>
      </c>
      <c r="E1581" s="51">
        <f t="shared" si="24"/>
        <v>0</v>
      </c>
    </row>
    <row r="1582" spans="1:5">
      <c r="A1582" s="59">
        <v>2</v>
      </c>
      <c r="B1582" s="59">
        <v>41</v>
      </c>
      <c r="C1582" s="59">
        <v>320</v>
      </c>
      <c r="D1582" s="51">
        <v>2</v>
      </c>
      <c r="E1582" s="51">
        <f t="shared" si="24"/>
        <v>1</v>
      </c>
    </row>
    <row r="1583" spans="1:5">
      <c r="A1583" s="59">
        <v>2</v>
      </c>
      <c r="B1583" s="59">
        <v>42</v>
      </c>
      <c r="C1583" s="59">
        <v>120</v>
      </c>
      <c r="D1583" s="51">
        <v>2</v>
      </c>
      <c r="E1583" s="51">
        <f t="shared" si="24"/>
        <v>0</v>
      </c>
    </row>
    <row r="1584" spans="1:5">
      <c r="A1584" s="59">
        <v>2</v>
      </c>
      <c r="B1584" s="59">
        <v>42</v>
      </c>
      <c r="C1584" s="59">
        <v>740</v>
      </c>
      <c r="D1584" s="51">
        <v>2</v>
      </c>
      <c r="E1584" s="51">
        <f t="shared" si="24"/>
        <v>0</v>
      </c>
    </row>
    <row r="1585" spans="1:5">
      <c r="A1585" s="59">
        <v>2</v>
      </c>
      <c r="B1585" s="59">
        <v>43</v>
      </c>
      <c r="C1585" s="59">
        <v>831</v>
      </c>
      <c r="D1585" s="51">
        <v>2</v>
      </c>
      <c r="E1585" s="51">
        <f t="shared" si="24"/>
        <v>0</v>
      </c>
    </row>
    <row r="1586" spans="1:5">
      <c r="A1586" s="59">
        <v>2</v>
      </c>
      <c r="B1586" s="59">
        <v>51</v>
      </c>
      <c r="C1586" s="59">
        <v>110</v>
      </c>
      <c r="D1586" s="51">
        <v>2</v>
      </c>
      <c r="E1586" s="51">
        <f t="shared" si="24"/>
        <v>0</v>
      </c>
    </row>
    <row r="1587" spans="1:5">
      <c r="A1587" s="59">
        <v>2</v>
      </c>
      <c r="B1587" s="59">
        <v>51</v>
      </c>
      <c r="C1587" s="59">
        <v>540</v>
      </c>
      <c r="D1587" s="51">
        <v>2</v>
      </c>
      <c r="E1587" s="51">
        <f t="shared" si="24"/>
        <v>0</v>
      </c>
    </row>
    <row r="1588" spans="1:5">
      <c r="A1588" s="59">
        <v>2</v>
      </c>
      <c r="B1588" s="59">
        <v>61</v>
      </c>
      <c r="C1588" s="59">
        <v>530</v>
      </c>
      <c r="D1588" s="51">
        <v>2</v>
      </c>
      <c r="E1588" s="51">
        <f t="shared" si="24"/>
        <v>0</v>
      </c>
    </row>
    <row r="1589" spans="1:5">
      <c r="A1589" s="59">
        <v>2</v>
      </c>
      <c r="B1589" s="59">
        <v>71</v>
      </c>
      <c r="C1589" s="59">
        <v>120</v>
      </c>
      <c r="D1589" s="51">
        <v>2</v>
      </c>
      <c r="E1589" s="51">
        <f t="shared" si="24"/>
        <v>0</v>
      </c>
    </row>
    <row r="1590" spans="1:5">
      <c r="A1590" s="59">
        <v>2</v>
      </c>
      <c r="B1590" s="59">
        <v>71</v>
      </c>
      <c r="C1590" s="59">
        <v>140</v>
      </c>
      <c r="D1590" s="51">
        <v>2</v>
      </c>
      <c r="E1590" s="51">
        <f t="shared" si="24"/>
        <v>0</v>
      </c>
    </row>
    <row r="1591" spans="1:5">
      <c r="A1591" s="59">
        <v>2</v>
      </c>
      <c r="B1591" s="59">
        <v>71</v>
      </c>
      <c r="C1591" s="59">
        <v>850</v>
      </c>
      <c r="D1591" s="51">
        <v>2</v>
      </c>
      <c r="E1591" s="51">
        <f t="shared" si="24"/>
        <v>0</v>
      </c>
    </row>
    <row r="1592" spans="1:5">
      <c r="A1592" s="59">
        <v>2</v>
      </c>
      <c r="B1592" s="59">
        <v>81</v>
      </c>
      <c r="C1592" s="59">
        <v>970</v>
      </c>
      <c r="D1592" s="51">
        <v>2</v>
      </c>
      <c r="E1592" s="51">
        <f t="shared" si="24"/>
        <v>0</v>
      </c>
    </row>
    <row r="1593" spans="1:5">
      <c r="A1593" s="59">
        <v>2</v>
      </c>
      <c r="B1593" s="59">
        <v>11</v>
      </c>
      <c r="C1593" s="59">
        <v>310</v>
      </c>
      <c r="D1593" s="51">
        <v>1</v>
      </c>
      <c r="E1593" s="51">
        <f t="shared" si="24"/>
        <v>0</v>
      </c>
    </row>
    <row r="1594" spans="1:5">
      <c r="A1594" s="59">
        <v>2</v>
      </c>
      <c r="B1594" s="59">
        <v>11</v>
      </c>
      <c r="C1594" s="59">
        <v>320</v>
      </c>
      <c r="D1594" s="51">
        <v>1</v>
      </c>
      <c r="E1594" s="51">
        <f t="shared" si="24"/>
        <v>0</v>
      </c>
    </row>
    <row r="1595" spans="1:5">
      <c r="A1595" s="59">
        <v>2</v>
      </c>
      <c r="B1595" s="59">
        <v>11</v>
      </c>
      <c r="C1595" s="59">
        <v>710</v>
      </c>
      <c r="D1595" s="51">
        <v>1</v>
      </c>
      <c r="E1595" s="51">
        <f t="shared" si="24"/>
        <v>0</v>
      </c>
    </row>
    <row r="1596" spans="1:5">
      <c r="A1596" s="59">
        <v>2</v>
      </c>
      <c r="B1596" s="59">
        <v>11</v>
      </c>
      <c r="C1596" s="59">
        <v>730</v>
      </c>
      <c r="D1596" s="51">
        <v>1</v>
      </c>
      <c r="E1596" s="51">
        <f t="shared" si="24"/>
        <v>0</v>
      </c>
    </row>
    <row r="1597" spans="1:5">
      <c r="A1597" s="59">
        <v>2</v>
      </c>
      <c r="B1597" s="59">
        <v>12</v>
      </c>
      <c r="C1597" s="59">
        <v>310</v>
      </c>
      <c r="D1597" s="51">
        <v>1</v>
      </c>
      <c r="E1597" s="51">
        <f t="shared" si="24"/>
        <v>0</v>
      </c>
    </row>
    <row r="1598" spans="1:5">
      <c r="A1598" s="59">
        <v>2</v>
      </c>
      <c r="B1598" s="59">
        <v>12</v>
      </c>
      <c r="C1598" s="59">
        <v>430</v>
      </c>
      <c r="D1598" s="51">
        <v>1</v>
      </c>
      <c r="E1598" s="51">
        <f t="shared" si="24"/>
        <v>0</v>
      </c>
    </row>
    <row r="1599" spans="1:5">
      <c r="A1599" s="59">
        <v>2</v>
      </c>
      <c r="B1599" s="59">
        <v>12</v>
      </c>
      <c r="C1599" s="59">
        <v>730</v>
      </c>
      <c r="D1599" s="51">
        <v>1</v>
      </c>
      <c r="E1599" s="51">
        <f t="shared" si="24"/>
        <v>0</v>
      </c>
    </row>
    <row r="1600" spans="1:5">
      <c r="A1600" s="59">
        <v>2</v>
      </c>
      <c r="B1600" s="59">
        <v>14</v>
      </c>
      <c r="C1600" s="59">
        <v>740</v>
      </c>
      <c r="D1600" s="51">
        <v>1</v>
      </c>
      <c r="E1600" s="51">
        <f t="shared" si="24"/>
        <v>0</v>
      </c>
    </row>
    <row r="1601" spans="1:5">
      <c r="A1601" s="59">
        <v>2</v>
      </c>
      <c r="B1601" s="59">
        <v>15</v>
      </c>
      <c r="C1601" s="59">
        <v>540</v>
      </c>
      <c r="D1601" s="51">
        <v>1</v>
      </c>
      <c r="E1601" s="51">
        <f t="shared" si="24"/>
        <v>0</v>
      </c>
    </row>
    <row r="1602" spans="1:5">
      <c r="A1602" s="59">
        <v>2</v>
      </c>
      <c r="B1602" s="59">
        <v>15</v>
      </c>
      <c r="C1602" s="59">
        <v>630</v>
      </c>
      <c r="D1602" s="51">
        <v>1</v>
      </c>
      <c r="E1602" s="51">
        <f t="shared" ref="E1602:E1665" si="25">IF(OR(A1602=6,A1602=7,A1602=14,A1602=15,A1602=16,A1602=17,A1602=18,A1602=19,A1602=20,A1602=21,A1602=22,A1602=23,A1602=25,A1602=26,A1602=27,A1602=28,B1602=41,B1602=44,B1602=62),1,0)</f>
        <v>0</v>
      </c>
    </row>
    <row r="1603" spans="1:5">
      <c r="A1603" s="59">
        <v>2</v>
      </c>
      <c r="B1603" s="59">
        <v>15</v>
      </c>
      <c r="C1603" s="59">
        <v>640</v>
      </c>
      <c r="D1603" s="51">
        <v>1</v>
      </c>
      <c r="E1603" s="51">
        <f t="shared" si="25"/>
        <v>0</v>
      </c>
    </row>
    <row r="1604" spans="1:5">
      <c r="A1604" s="59">
        <v>2</v>
      </c>
      <c r="B1604" s="59">
        <v>15</v>
      </c>
      <c r="C1604" s="59">
        <v>940</v>
      </c>
      <c r="D1604" s="51">
        <v>1</v>
      </c>
      <c r="E1604" s="51">
        <f t="shared" si="25"/>
        <v>0</v>
      </c>
    </row>
    <row r="1605" spans="1:5">
      <c r="A1605" s="59">
        <v>2</v>
      </c>
      <c r="B1605" s="59">
        <v>16</v>
      </c>
      <c r="C1605" s="59">
        <v>710</v>
      </c>
      <c r="D1605" s="51">
        <v>1</v>
      </c>
      <c r="E1605" s="51">
        <f t="shared" si="25"/>
        <v>0</v>
      </c>
    </row>
    <row r="1606" spans="1:5">
      <c r="A1606" s="59">
        <v>2</v>
      </c>
      <c r="B1606" s="59">
        <v>16</v>
      </c>
      <c r="C1606" s="59">
        <v>840</v>
      </c>
      <c r="D1606" s="51">
        <v>1</v>
      </c>
      <c r="E1606" s="51">
        <f t="shared" si="25"/>
        <v>0</v>
      </c>
    </row>
    <row r="1607" spans="1:5">
      <c r="A1607" s="59">
        <v>2</v>
      </c>
      <c r="B1607" s="59">
        <v>16</v>
      </c>
      <c r="C1607" s="59">
        <v>970</v>
      </c>
      <c r="D1607" s="51">
        <v>1</v>
      </c>
      <c r="E1607" s="51">
        <f t="shared" si="25"/>
        <v>0</v>
      </c>
    </row>
    <row r="1608" spans="1:5">
      <c r="A1608" s="59">
        <v>2</v>
      </c>
      <c r="B1608" s="59">
        <v>21</v>
      </c>
      <c r="C1608" s="59">
        <v>130</v>
      </c>
      <c r="D1608" s="51">
        <v>1</v>
      </c>
      <c r="E1608" s="51">
        <f t="shared" si="25"/>
        <v>0</v>
      </c>
    </row>
    <row r="1609" spans="1:5">
      <c r="A1609" s="59">
        <v>2</v>
      </c>
      <c r="B1609" s="59">
        <v>21</v>
      </c>
      <c r="C1609" s="59">
        <v>410</v>
      </c>
      <c r="D1609" s="51">
        <v>1</v>
      </c>
      <c r="E1609" s="51">
        <f t="shared" si="25"/>
        <v>0</v>
      </c>
    </row>
    <row r="1610" spans="1:5">
      <c r="A1610" s="59">
        <v>2</v>
      </c>
      <c r="B1610" s="59">
        <v>21</v>
      </c>
      <c r="C1610" s="59">
        <v>930</v>
      </c>
      <c r="D1610" s="51">
        <v>1</v>
      </c>
      <c r="E1610" s="51">
        <f t="shared" si="25"/>
        <v>0</v>
      </c>
    </row>
    <row r="1611" spans="1:5">
      <c r="A1611" s="59">
        <v>2</v>
      </c>
      <c r="B1611" s="59">
        <v>22</v>
      </c>
      <c r="C1611" s="59">
        <v>720</v>
      </c>
      <c r="D1611" s="51">
        <v>1</v>
      </c>
      <c r="E1611" s="51">
        <f t="shared" si="25"/>
        <v>0</v>
      </c>
    </row>
    <row r="1612" spans="1:5">
      <c r="A1612" s="59">
        <v>2</v>
      </c>
      <c r="B1612" s="59">
        <v>22</v>
      </c>
      <c r="C1612" s="59">
        <v>730</v>
      </c>
      <c r="D1612" s="51">
        <v>1</v>
      </c>
      <c r="E1612" s="51">
        <f t="shared" si="25"/>
        <v>0</v>
      </c>
    </row>
    <row r="1613" spans="1:5">
      <c r="A1613" s="59">
        <v>2</v>
      </c>
      <c r="B1613" s="59">
        <v>24</v>
      </c>
      <c r="C1613" s="59">
        <v>160</v>
      </c>
      <c r="D1613" s="51">
        <v>1</v>
      </c>
      <c r="E1613" s="51">
        <f t="shared" si="25"/>
        <v>0</v>
      </c>
    </row>
    <row r="1614" spans="1:5">
      <c r="A1614" s="59">
        <v>2</v>
      </c>
      <c r="B1614" s="59">
        <v>24</v>
      </c>
      <c r="C1614" s="59">
        <v>320</v>
      </c>
      <c r="D1614" s="51">
        <v>1</v>
      </c>
      <c r="E1614" s="51">
        <f t="shared" si="25"/>
        <v>0</v>
      </c>
    </row>
    <row r="1615" spans="1:5">
      <c r="A1615" s="59">
        <v>2</v>
      </c>
      <c r="B1615" s="59">
        <v>24</v>
      </c>
      <c r="C1615" s="59">
        <v>540</v>
      </c>
      <c r="D1615" s="51">
        <v>1</v>
      </c>
      <c r="E1615" s="51">
        <f t="shared" si="25"/>
        <v>0</v>
      </c>
    </row>
    <row r="1616" spans="1:5">
      <c r="A1616" s="59">
        <v>2</v>
      </c>
      <c r="B1616" s="59">
        <v>24</v>
      </c>
      <c r="C1616" s="59">
        <v>630</v>
      </c>
      <c r="D1616" s="51">
        <v>1</v>
      </c>
      <c r="E1616" s="51">
        <f t="shared" si="25"/>
        <v>0</v>
      </c>
    </row>
    <row r="1617" spans="1:5">
      <c r="A1617" s="59">
        <v>2</v>
      </c>
      <c r="B1617" s="59">
        <v>31</v>
      </c>
      <c r="C1617" s="59">
        <v>310</v>
      </c>
      <c r="D1617" s="51">
        <v>1</v>
      </c>
      <c r="E1617" s="51">
        <f t="shared" si="25"/>
        <v>0</v>
      </c>
    </row>
    <row r="1618" spans="1:5">
      <c r="A1618" s="59">
        <v>2</v>
      </c>
      <c r="B1618" s="59">
        <v>31</v>
      </c>
      <c r="C1618" s="59">
        <v>330</v>
      </c>
      <c r="D1618" s="51">
        <v>1</v>
      </c>
      <c r="E1618" s="51">
        <f t="shared" si="25"/>
        <v>0</v>
      </c>
    </row>
    <row r="1619" spans="1:5">
      <c r="A1619" s="59">
        <v>2</v>
      </c>
      <c r="B1619" s="59">
        <v>32</v>
      </c>
      <c r="C1619" s="59">
        <v>940</v>
      </c>
      <c r="D1619" s="51">
        <v>1</v>
      </c>
      <c r="E1619" s="51">
        <f t="shared" si="25"/>
        <v>0</v>
      </c>
    </row>
    <row r="1620" spans="1:5">
      <c r="A1620" s="59">
        <v>2</v>
      </c>
      <c r="B1620" s="59">
        <v>33</v>
      </c>
      <c r="C1620" s="59">
        <v>950</v>
      </c>
      <c r="D1620" s="51">
        <v>1</v>
      </c>
      <c r="E1620" s="51">
        <f t="shared" si="25"/>
        <v>0</v>
      </c>
    </row>
    <row r="1621" spans="1:5">
      <c r="A1621" s="59">
        <v>2</v>
      </c>
      <c r="B1621" s="59">
        <v>41</v>
      </c>
      <c r="C1621" s="59">
        <v>140</v>
      </c>
      <c r="D1621" s="51">
        <v>1</v>
      </c>
      <c r="E1621" s="51">
        <f t="shared" si="25"/>
        <v>1</v>
      </c>
    </row>
    <row r="1622" spans="1:5">
      <c r="A1622" s="59">
        <v>2</v>
      </c>
      <c r="B1622" s="59">
        <v>41</v>
      </c>
      <c r="C1622" s="59">
        <v>440</v>
      </c>
      <c r="D1622" s="51">
        <v>1</v>
      </c>
      <c r="E1622" s="51">
        <f t="shared" si="25"/>
        <v>1</v>
      </c>
    </row>
    <row r="1623" spans="1:5">
      <c r="A1623" s="59">
        <v>2</v>
      </c>
      <c r="B1623" s="59">
        <v>41</v>
      </c>
      <c r="C1623" s="59">
        <v>840</v>
      </c>
      <c r="D1623" s="51">
        <v>1</v>
      </c>
      <c r="E1623" s="51">
        <f t="shared" si="25"/>
        <v>1</v>
      </c>
    </row>
    <row r="1624" spans="1:5">
      <c r="A1624" s="59">
        <v>2</v>
      </c>
      <c r="B1624" s="59">
        <v>42</v>
      </c>
      <c r="C1624" s="59">
        <v>140</v>
      </c>
      <c r="D1624" s="51">
        <v>1</v>
      </c>
      <c r="E1624" s="51">
        <f t="shared" si="25"/>
        <v>0</v>
      </c>
    </row>
    <row r="1625" spans="1:5">
      <c r="A1625" s="59">
        <v>2</v>
      </c>
      <c r="B1625" s="59">
        <v>44</v>
      </c>
      <c r="C1625" s="59">
        <v>120</v>
      </c>
      <c r="D1625" s="51">
        <v>1</v>
      </c>
      <c r="E1625" s="51">
        <f t="shared" si="25"/>
        <v>1</v>
      </c>
    </row>
    <row r="1626" spans="1:5">
      <c r="A1626" s="59">
        <v>2</v>
      </c>
      <c r="B1626" s="59">
        <v>44</v>
      </c>
      <c r="C1626" s="59">
        <v>860</v>
      </c>
      <c r="D1626" s="51">
        <v>1</v>
      </c>
      <c r="E1626" s="51">
        <f t="shared" si="25"/>
        <v>1</v>
      </c>
    </row>
    <row r="1627" spans="1:5">
      <c r="A1627" s="59">
        <v>2</v>
      </c>
      <c r="B1627" s="59">
        <v>51</v>
      </c>
      <c r="C1627" s="59">
        <v>310</v>
      </c>
      <c r="D1627" s="51">
        <v>1</v>
      </c>
      <c r="E1627" s="51">
        <f t="shared" si="25"/>
        <v>0</v>
      </c>
    </row>
    <row r="1628" spans="1:5">
      <c r="A1628" s="59">
        <v>2</v>
      </c>
      <c r="B1628" s="59">
        <v>51</v>
      </c>
      <c r="C1628" s="59">
        <v>320</v>
      </c>
      <c r="D1628" s="51">
        <v>1</v>
      </c>
      <c r="E1628" s="51">
        <f t="shared" si="25"/>
        <v>0</v>
      </c>
    </row>
    <row r="1629" spans="1:5">
      <c r="A1629" s="59">
        <v>2</v>
      </c>
      <c r="B1629" s="59">
        <v>51</v>
      </c>
      <c r="C1629" s="59">
        <v>330</v>
      </c>
      <c r="D1629" s="51">
        <v>1</v>
      </c>
      <c r="E1629" s="51">
        <f t="shared" si="25"/>
        <v>0</v>
      </c>
    </row>
    <row r="1630" spans="1:5">
      <c r="A1630" s="59">
        <v>2</v>
      </c>
      <c r="B1630" s="59">
        <v>51</v>
      </c>
      <c r="C1630" s="59">
        <v>640</v>
      </c>
      <c r="D1630" s="51">
        <v>1</v>
      </c>
      <c r="E1630" s="51">
        <f t="shared" si="25"/>
        <v>0</v>
      </c>
    </row>
    <row r="1631" spans="1:5">
      <c r="A1631" s="59">
        <v>2</v>
      </c>
      <c r="B1631" s="59">
        <v>51</v>
      </c>
      <c r="C1631" s="59">
        <v>730</v>
      </c>
      <c r="D1631" s="51">
        <v>1</v>
      </c>
      <c r="E1631" s="51">
        <f t="shared" si="25"/>
        <v>0</v>
      </c>
    </row>
    <row r="1632" spans="1:5">
      <c r="A1632" s="59">
        <v>2</v>
      </c>
      <c r="B1632" s="59">
        <v>51</v>
      </c>
      <c r="C1632" s="59">
        <v>930</v>
      </c>
      <c r="D1632" s="51">
        <v>1</v>
      </c>
      <c r="E1632" s="51">
        <f t="shared" si="25"/>
        <v>0</v>
      </c>
    </row>
    <row r="1633" spans="1:5">
      <c r="A1633" s="59">
        <v>2</v>
      </c>
      <c r="B1633" s="59">
        <v>61</v>
      </c>
      <c r="C1633" s="59">
        <v>740</v>
      </c>
      <c r="D1633" s="51">
        <v>1</v>
      </c>
      <c r="E1633" s="51">
        <f t="shared" si="25"/>
        <v>0</v>
      </c>
    </row>
    <row r="1634" spans="1:5">
      <c r="A1634" s="59">
        <v>2</v>
      </c>
      <c r="B1634" s="59">
        <v>62</v>
      </c>
      <c r="C1634" s="59">
        <v>840</v>
      </c>
      <c r="D1634" s="51">
        <v>1</v>
      </c>
      <c r="E1634" s="51">
        <f t="shared" si="25"/>
        <v>1</v>
      </c>
    </row>
    <row r="1635" spans="1:5">
      <c r="A1635" s="59">
        <v>2</v>
      </c>
      <c r="B1635" s="59">
        <v>62</v>
      </c>
      <c r="C1635" s="59">
        <v>860</v>
      </c>
      <c r="D1635" s="51">
        <v>1</v>
      </c>
      <c r="E1635" s="51">
        <f t="shared" si="25"/>
        <v>1</v>
      </c>
    </row>
    <row r="1636" spans="1:5">
      <c r="A1636" s="59">
        <v>2</v>
      </c>
      <c r="B1636" s="59">
        <v>62</v>
      </c>
      <c r="C1636" s="59">
        <v>892</v>
      </c>
      <c r="D1636" s="51">
        <v>1</v>
      </c>
      <c r="E1636" s="51">
        <f t="shared" si="25"/>
        <v>1</v>
      </c>
    </row>
    <row r="1637" spans="1:5">
      <c r="A1637" s="59">
        <v>2</v>
      </c>
      <c r="B1637" s="59">
        <v>62</v>
      </c>
      <c r="C1637" s="59">
        <v>893</v>
      </c>
      <c r="D1637" s="51">
        <v>1</v>
      </c>
      <c r="E1637" s="51">
        <f t="shared" si="25"/>
        <v>1</v>
      </c>
    </row>
    <row r="1638" spans="1:5">
      <c r="A1638" s="59">
        <v>2</v>
      </c>
      <c r="B1638" s="59">
        <v>63</v>
      </c>
      <c r="C1638" s="59">
        <v>140</v>
      </c>
      <c r="D1638" s="51">
        <v>1</v>
      </c>
      <c r="E1638" s="51">
        <f t="shared" si="25"/>
        <v>0</v>
      </c>
    </row>
    <row r="1639" spans="1:5">
      <c r="A1639" s="59">
        <v>2</v>
      </c>
      <c r="B1639" s="59">
        <v>63</v>
      </c>
      <c r="C1639" s="59">
        <v>820</v>
      </c>
      <c r="D1639" s="51">
        <v>1</v>
      </c>
      <c r="E1639" s="51">
        <f t="shared" si="25"/>
        <v>0</v>
      </c>
    </row>
    <row r="1640" spans="1:5">
      <c r="A1640" s="59">
        <v>3</v>
      </c>
      <c r="B1640" s="59">
        <v>64</v>
      </c>
      <c r="C1640" s="59">
        <v>520</v>
      </c>
      <c r="D1640" s="51">
        <v>67216</v>
      </c>
      <c r="E1640" s="51">
        <f t="shared" si="25"/>
        <v>0</v>
      </c>
    </row>
    <row r="1641" spans="1:5">
      <c r="A1641" s="59">
        <v>3</v>
      </c>
      <c r="B1641" s="59">
        <v>43</v>
      </c>
      <c r="C1641" s="59">
        <v>520</v>
      </c>
      <c r="D1641" s="51">
        <v>46559</v>
      </c>
      <c r="E1641" s="51">
        <f t="shared" si="25"/>
        <v>0</v>
      </c>
    </row>
    <row r="1642" spans="1:5">
      <c r="A1642" s="59">
        <v>3</v>
      </c>
      <c r="B1642" s="59">
        <v>71</v>
      </c>
      <c r="C1642" s="59">
        <v>520</v>
      </c>
      <c r="D1642" s="51">
        <v>32867</v>
      </c>
      <c r="E1642" s="51">
        <f t="shared" si="25"/>
        <v>0</v>
      </c>
    </row>
    <row r="1643" spans="1:5">
      <c r="A1643" s="59">
        <v>3</v>
      </c>
      <c r="B1643" s="59">
        <v>63</v>
      </c>
      <c r="C1643" s="59">
        <v>520</v>
      </c>
      <c r="D1643" s="51">
        <v>18332</v>
      </c>
      <c r="E1643" s="51">
        <f t="shared" si="25"/>
        <v>0</v>
      </c>
    </row>
    <row r="1644" spans="1:5">
      <c r="A1644" s="59">
        <v>3</v>
      </c>
      <c r="B1644" s="59">
        <v>62</v>
      </c>
      <c r="C1644" s="59">
        <v>520</v>
      </c>
      <c r="D1644" s="51">
        <v>16381</v>
      </c>
      <c r="E1644" s="51">
        <f t="shared" si="25"/>
        <v>1</v>
      </c>
    </row>
    <row r="1645" spans="1:5">
      <c r="A1645" s="59">
        <v>3</v>
      </c>
      <c r="B1645" s="59">
        <v>44</v>
      </c>
      <c r="C1645" s="59">
        <v>520</v>
      </c>
      <c r="D1645" s="51">
        <v>9830</v>
      </c>
      <c r="E1645" s="51">
        <f t="shared" si="25"/>
        <v>1</v>
      </c>
    </row>
    <row r="1646" spans="1:5">
      <c r="A1646" s="59">
        <v>3</v>
      </c>
      <c r="B1646" s="59">
        <v>64</v>
      </c>
      <c r="C1646" s="59">
        <v>510</v>
      </c>
      <c r="D1646" s="51">
        <v>9431</v>
      </c>
      <c r="E1646" s="51">
        <f t="shared" si="25"/>
        <v>0</v>
      </c>
    </row>
    <row r="1647" spans="1:5">
      <c r="A1647" s="59">
        <v>3</v>
      </c>
      <c r="B1647" s="59">
        <v>43</v>
      </c>
      <c r="C1647" s="59">
        <v>510</v>
      </c>
      <c r="D1647" s="51">
        <v>5803</v>
      </c>
      <c r="E1647" s="51">
        <f t="shared" si="25"/>
        <v>0</v>
      </c>
    </row>
    <row r="1648" spans="1:5">
      <c r="A1648" s="59">
        <v>3</v>
      </c>
      <c r="B1648" s="59">
        <v>71</v>
      </c>
      <c r="C1648" s="59">
        <v>510</v>
      </c>
      <c r="D1648" s="51">
        <v>3495</v>
      </c>
      <c r="E1648" s="51">
        <f t="shared" si="25"/>
        <v>0</v>
      </c>
    </row>
    <row r="1649" spans="1:5">
      <c r="A1649" s="59">
        <v>3</v>
      </c>
      <c r="B1649" s="59">
        <v>41</v>
      </c>
      <c r="C1649" s="59">
        <v>520</v>
      </c>
      <c r="D1649" s="51">
        <v>3144</v>
      </c>
      <c r="E1649" s="51">
        <f t="shared" si="25"/>
        <v>1</v>
      </c>
    </row>
    <row r="1650" spans="1:5">
      <c r="A1650" s="59">
        <v>3</v>
      </c>
      <c r="B1650" s="59">
        <v>63</v>
      </c>
      <c r="C1650" s="59">
        <v>510</v>
      </c>
      <c r="D1650" s="51">
        <v>3081</v>
      </c>
      <c r="E1650" s="51">
        <f t="shared" si="25"/>
        <v>0</v>
      </c>
    </row>
    <row r="1651" spans="1:5">
      <c r="A1651" s="59">
        <v>3</v>
      </c>
      <c r="B1651" s="59">
        <v>71</v>
      </c>
      <c r="C1651" s="59">
        <v>610</v>
      </c>
      <c r="D1651" s="51">
        <v>3006</v>
      </c>
      <c r="E1651" s="51">
        <f t="shared" si="25"/>
        <v>0</v>
      </c>
    </row>
    <row r="1652" spans="1:5">
      <c r="A1652" s="59">
        <v>3</v>
      </c>
      <c r="B1652" s="59">
        <v>42</v>
      </c>
      <c r="C1652" s="59">
        <v>520</v>
      </c>
      <c r="D1652" s="51">
        <v>2791</v>
      </c>
      <c r="E1652" s="51">
        <f t="shared" si="25"/>
        <v>0</v>
      </c>
    </row>
    <row r="1653" spans="1:5">
      <c r="A1653" s="59">
        <v>3</v>
      </c>
      <c r="B1653" s="59">
        <v>14</v>
      </c>
      <c r="C1653" s="59">
        <v>150</v>
      </c>
      <c r="D1653" s="51">
        <v>2744</v>
      </c>
      <c r="E1653" s="51">
        <f t="shared" si="25"/>
        <v>0</v>
      </c>
    </row>
    <row r="1654" spans="1:5">
      <c r="A1654" s="59">
        <v>3</v>
      </c>
      <c r="B1654" s="59">
        <v>14</v>
      </c>
      <c r="C1654" s="59">
        <v>520</v>
      </c>
      <c r="D1654" s="51">
        <v>2499</v>
      </c>
      <c r="E1654" s="51">
        <f t="shared" si="25"/>
        <v>0</v>
      </c>
    </row>
    <row r="1655" spans="1:5">
      <c r="A1655" s="59">
        <v>3</v>
      </c>
      <c r="B1655" s="59">
        <v>13</v>
      </c>
      <c r="C1655" s="59">
        <v>520</v>
      </c>
      <c r="D1655" s="51">
        <v>2435</v>
      </c>
      <c r="E1655" s="51">
        <f t="shared" si="25"/>
        <v>0</v>
      </c>
    </row>
    <row r="1656" spans="1:5">
      <c r="A1656" s="59">
        <v>3</v>
      </c>
      <c r="B1656" s="59">
        <v>64</v>
      </c>
      <c r="C1656" s="59">
        <v>530</v>
      </c>
      <c r="D1656" s="51">
        <v>2429</v>
      </c>
      <c r="E1656" s="51">
        <f t="shared" si="25"/>
        <v>0</v>
      </c>
    </row>
    <row r="1657" spans="1:5">
      <c r="A1657" s="59">
        <v>3</v>
      </c>
      <c r="B1657" s="59">
        <v>43</v>
      </c>
      <c r="C1657" s="59">
        <v>530</v>
      </c>
      <c r="D1657" s="51">
        <v>2356</v>
      </c>
      <c r="E1657" s="51">
        <f t="shared" si="25"/>
        <v>0</v>
      </c>
    </row>
    <row r="1658" spans="1:5">
      <c r="A1658" s="59">
        <v>3</v>
      </c>
      <c r="B1658" s="59">
        <v>64</v>
      </c>
      <c r="C1658" s="59">
        <v>910</v>
      </c>
      <c r="D1658" s="51">
        <v>2161</v>
      </c>
      <c r="E1658" s="51">
        <f t="shared" si="25"/>
        <v>0</v>
      </c>
    </row>
    <row r="1659" spans="1:5">
      <c r="A1659" s="59">
        <v>3</v>
      </c>
      <c r="B1659" s="59">
        <v>62</v>
      </c>
      <c r="C1659" s="59">
        <v>510</v>
      </c>
      <c r="D1659" s="51">
        <v>2151</v>
      </c>
      <c r="E1659" s="51">
        <f t="shared" si="25"/>
        <v>1</v>
      </c>
    </row>
    <row r="1660" spans="1:5">
      <c r="A1660" s="59">
        <v>3</v>
      </c>
      <c r="B1660" s="59">
        <v>43</v>
      </c>
      <c r="C1660" s="59">
        <v>910</v>
      </c>
      <c r="D1660" s="51">
        <v>2097</v>
      </c>
      <c r="E1660" s="51">
        <f t="shared" si="25"/>
        <v>0</v>
      </c>
    </row>
    <row r="1661" spans="1:5">
      <c r="A1661" s="59">
        <v>3</v>
      </c>
      <c r="B1661" s="59">
        <v>81</v>
      </c>
      <c r="C1661" s="59">
        <v>520</v>
      </c>
      <c r="D1661" s="51">
        <v>1885</v>
      </c>
      <c r="E1661" s="51">
        <f t="shared" si="25"/>
        <v>0</v>
      </c>
    </row>
    <row r="1662" spans="1:5">
      <c r="A1662" s="59">
        <v>3</v>
      </c>
      <c r="B1662" s="59">
        <v>13</v>
      </c>
      <c r="C1662" s="59">
        <v>150</v>
      </c>
      <c r="D1662" s="51">
        <v>1766</v>
      </c>
      <c r="E1662" s="51">
        <f t="shared" si="25"/>
        <v>0</v>
      </c>
    </row>
    <row r="1663" spans="1:5">
      <c r="A1663" s="59">
        <v>3</v>
      </c>
      <c r="B1663" s="59">
        <v>64</v>
      </c>
      <c r="C1663" s="59">
        <v>610</v>
      </c>
      <c r="D1663" s="51">
        <v>1758</v>
      </c>
      <c r="E1663" s="51">
        <f t="shared" si="25"/>
        <v>0</v>
      </c>
    </row>
    <row r="1664" spans="1:5">
      <c r="A1664" s="59">
        <v>3</v>
      </c>
      <c r="B1664" s="59">
        <v>44</v>
      </c>
      <c r="C1664" s="59">
        <v>510</v>
      </c>
      <c r="D1664" s="51">
        <v>1058</v>
      </c>
      <c r="E1664" s="51">
        <f t="shared" si="25"/>
        <v>1</v>
      </c>
    </row>
    <row r="1665" spans="1:5">
      <c r="A1665" s="59">
        <v>3</v>
      </c>
      <c r="B1665" s="59">
        <v>64</v>
      </c>
      <c r="C1665" s="59">
        <v>110</v>
      </c>
      <c r="D1665" s="51">
        <v>1042</v>
      </c>
      <c r="E1665" s="51">
        <f t="shared" si="25"/>
        <v>0</v>
      </c>
    </row>
    <row r="1666" spans="1:5">
      <c r="A1666" s="59">
        <v>3</v>
      </c>
      <c r="B1666" s="59">
        <v>71</v>
      </c>
      <c r="C1666" s="59">
        <v>910</v>
      </c>
      <c r="D1666" s="51">
        <v>1025</v>
      </c>
      <c r="E1666" s="51">
        <f t="shared" ref="E1666:E1729" si="26">IF(OR(A1666=6,A1666=7,A1666=14,A1666=15,A1666=16,A1666=17,A1666=18,A1666=19,A1666=20,A1666=21,A1666=22,A1666=23,A1666=25,A1666=26,A1666=27,A1666=28,B1666=41,B1666=44,B1666=62),1,0)</f>
        <v>0</v>
      </c>
    </row>
    <row r="1667" spans="1:5">
      <c r="A1667" s="59">
        <v>3</v>
      </c>
      <c r="B1667" s="59">
        <v>44</v>
      </c>
      <c r="C1667" s="59">
        <v>910</v>
      </c>
      <c r="D1667" s="51">
        <v>743</v>
      </c>
      <c r="E1667" s="51">
        <f t="shared" si="26"/>
        <v>1</v>
      </c>
    </row>
    <row r="1668" spans="1:5">
      <c r="A1668" s="59">
        <v>3</v>
      </c>
      <c r="B1668" s="59">
        <v>71</v>
      </c>
      <c r="C1668" s="59">
        <v>530</v>
      </c>
      <c r="D1668" s="51">
        <v>712</v>
      </c>
      <c r="E1668" s="51">
        <f t="shared" si="26"/>
        <v>0</v>
      </c>
    </row>
    <row r="1669" spans="1:5">
      <c r="A1669" s="59">
        <v>3</v>
      </c>
      <c r="B1669" s="59">
        <v>43</v>
      </c>
      <c r="C1669" s="59">
        <v>110</v>
      </c>
      <c r="D1669" s="51">
        <v>687</v>
      </c>
      <c r="E1669" s="51">
        <f t="shared" si="26"/>
        <v>0</v>
      </c>
    </row>
    <row r="1670" spans="1:5">
      <c r="A1670" s="59">
        <v>3</v>
      </c>
      <c r="B1670" s="59">
        <v>14</v>
      </c>
      <c r="C1670" s="59">
        <v>910</v>
      </c>
      <c r="D1670" s="51">
        <v>662</v>
      </c>
      <c r="E1670" s="51">
        <f t="shared" si="26"/>
        <v>0</v>
      </c>
    </row>
    <row r="1671" spans="1:5">
      <c r="A1671" s="59">
        <v>3</v>
      </c>
      <c r="B1671" s="59">
        <v>42</v>
      </c>
      <c r="C1671" s="59">
        <v>510</v>
      </c>
      <c r="D1671" s="51">
        <v>637</v>
      </c>
      <c r="E1671" s="51">
        <f t="shared" si="26"/>
        <v>0</v>
      </c>
    </row>
    <row r="1672" spans="1:5">
      <c r="A1672" s="59">
        <v>3</v>
      </c>
      <c r="B1672" s="59">
        <v>63</v>
      </c>
      <c r="C1672" s="59">
        <v>610</v>
      </c>
      <c r="D1672" s="51">
        <v>592</v>
      </c>
      <c r="E1672" s="51">
        <f t="shared" si="26"/>
        <v>0</v>
      </c>
    </row>
    <row r="1673" spans="1:5">
      <c r="A1673" s="59">
        <v>3</v>
      </c>
      <c r="B1673" s="59">
        <v>63</v>
      </c>
      <c r="C1673" s="59">
        <v>910</v>
      </c>
      <c r="D1673" s="51">
        <v>590</v>
      </c>
      <c r="E1673" s="51">
        <f t="shared" si="26"/>
        <v>0</v>
      </c>
    </row>
    <row r="1674" spans="1:5">
      <c r="A1674" s="59">
        <v>3</v>
      </c>
      <c r="B1674" s="59">
        <v>63</v>
      </c>
      <c r="C1674" s="59">
        <v>530</v>
      </c>
      <c r="D1674" s="51">
        <v>588</v>
      </c>
      <c r="E1674" s="51">
        <f t="shared" si="26"/>
        <v>0</v>
      </c>
    </row>
    <row r="1675" spans="1:5">
      <c r="A1675" s="59">
        <v>3</v>
      </c>
      <c r="B1675" s="59">
        <v>13</v>
      </c>
      <c r="C1675" s="59">
        <v>510</v>
      </c>
      <c r="D1675" s="51">
        <v>586</v>
      </c>
      <c r="E1675" s="51">
        <f t="shared" si="26"/>
        <v>0</v>
      </c>
    </row>
    <row r="1676" spans="1:5">
      <c r="A1676" s="59">
        <v>3</v>
      </c>
      <c r="B1676" s="59">
        <v>62</v>
      </c>
      <c r="C1676" s="59">
        <v>530</v>
      </c>
      <c r="D1676" s="51">
        <v>584</v>
      </c>
      <c r="E1676" s="51">
        <f t="shared" si="26"/>
        <v>1</v>
      </c>
    </row>
    <row r="1677" spans="1:5">
      <c r="A1677" s="59">
        <v>3</v>
      </c>
      <c r="B1677" s="59">
        <v>32</v>
      </c>
      <c r="C1677" s="59">
        <v>520</v>
      </c>
      <c r="D1677" s="51">
        <v>578</v>
      </c>
      <c r="E1677" s="51">
        <f t="shared" si="26"/>
        <v>0</v>
      </c>
    </row>
    <row r="1678" spans="1:5">
      <c r="A1678" s="59">
        <v>3</v>
      </c>
      <c r="B1678" s="59">
        <v>14</v>
      </c>
      <c r="C1678" s="59">
        <v>510</v>
      </c>
      <c r="D1678" s="51">
        <v>569</v>
      </c>
      <c r="E1678" s="51">
        <f t="shared" si="26"/>
        <v>0</v>
      </c>
    </row>
    <row r="1679" spans="1:5">
      <c r="A1679" s="59">
        <v>3</v>
      </c>
      <c r="B1679" s="59">
        <v>43</v>
      </c>
      <c r="C1679" s="59">
        <v>610</v>
      </c>
      <c r="D1679" s="51">
        <v>527</v>
      </c>
      <c r="E1679" s="51">
        <f t="shared" si="26"/>
        <v>0</v>
      </c>
    </row>
    <row r="1680" spans="1:5">
      <c r="A1680" s="59">
        <v>3</v>
      </c>
      <c r="B1680" s="59">
        <v>62</v>
      </c>
      <c r="C1680" s="59">
        <v>910</v>
      </c>
      <c r="D1680" s="51">
        <v>510</v>
      </c>
      <c r="E1680" s="51">
        <f t="shared" si="26"/>
        <v>1</v>
      </c>
    </row>
    <row r="1681" spans="1:5">
      <c r="A1681" s="59">
        <v>3</v>
      </c>
      <c r="B1681" s="59">
        <v>64</v>
      </c>
      <c r="C1681" s="59">
        <v>150</v>
      </c>
      <c r="D1681" s="51">
        <v>491</v>
      </c>
      <c r="E1681" s="51">
        <f t="shared" si="26"/>
        <v>0</v>
      </c>
    </row>
    <row r="1682" spans="1:5">
      <c r="A1682" s="59">
        <v>3</v>
      </c>
      <c r="B1682" s="59">
        <v>62</v>
      </c>
      <c r="C1682" s="59">
        <v>610</v>
      </c>
      <c r="D1682" s="51">
        <v>488</v>
      </c>
      <c r="E1682" s="51">
        <f t="shared" si="26"/>
        <v>1</v>
      </c>
    </row>
    <row r="1683" spans="1:5">
      <c r="A1683" s="59">
        <v>3</v>
      </c>
      <c r="B1683" s="59">
        <v>64</v>
      </c>
      <c r="C1683" s="59">
        <v>160</v>
      </c>
      <c r="D1683" s="51">
        <v>461</v>
      </c>
      <c r="E1683" s="51">
        <f t="shared" si="26"/>
        <v>0</v>
      </c>
    </row>
    <row r="1684" spans="1:5">
      <c r="A1684" s="59">
        <v>3</v>
      </c>
      <c r="B1684" s="59">
        <v>43</v>
      </c>
      <c r="C1684" s="59">
        <v>150</v>
      </c>
      <c r="D1684" s="51">
        <v>453</v>
      </c>
      <c r="E1684" s="51">
        <f t="shared" si="26"/>
        <v>0</v>
      </c>
    </row>
    <row r="1685" spans="1:5">
      <c r="A1685" s="59">
        <v>3</v>
      </c>
      <c r="B1685" s="59">
        <v>64</v>
      </c>
      <c r="C1685" s="59">
        <v>550</v>
      </c>
      <c r="D1685" s="51">
        <v>425</v>
      </c>
      <c r="E1685" s="51">
        <f t="shared" si="26"/>
        <v>0</v>
      </c>
    </row>
    <row r="1686" spans="1:5">
      <c r="A1686" s="59">
        <v>3</v>
      </c>
      <c r="B1686" s="59">
        <v>14</v>
      </c>
      <c r="C1686" s="59">
        <v>110</v>
      </c>
      <c r="D1686" s="51">
        <v>418</v>
      </c>
      <c r="E1686" s="51">
        <f t="shared" si="26"/>
        <v>0</v>
      </c>
    </row>
    <row r="1687" spans="1:5">
      <c r="A1687" s="59">
        <v>3</v>
      </c>
      <c r="B1687" s="59">
        <v>44</v>
      </c>
      <c r="C1687" s="59">
        <v>530</v>
      </c>
      <c r="D1687" s="51">
        <v>414</v>
      </c>
      <c r="E1687" s="51">
        <f t="shared" si="26"/>
        <v>1</v>
      </c>
    </row>
    <row r="1688" spans="1:5">
      <c r="A1688" s="59">
        <v>3</v>
      </c>
      <c r="B1688" s="59">
        <v>43</v>
      </c>
      <c r="C1688" s="59">
        <v>160</v>
      </c>
      <c r="D1688" s="51">
        <v>410</v>
      </c>
      <c r="E1688" s="51">
        <f t="shared" si="26"/>
        <v>0</v>
      </c>
    </row>
    <row r="1689" spans="1:5">
      <c r="A1689" s="59">
        <v>3</v>
      </c>
      <c r="B1689" s="59">
        <v>71</v>
      </c>
      <c r="C1689" s="59">
        <v>620</v>
      </c>
      <c r="D1689" s="51">
        <v>390</v>
      </c>
      <c r="E1689" s="51">
        <f t="shared" si="26"/>
        <v>0</v>
      </c>
    </row>
    <row r="1690" spans="1:5">
      <c r="A1690" s="59">
        <v>3</v>
      </c>
      <c r="B1690" s="59">
        <v>81</v>
      </c>
      <c r="C1690" s="59">
        <v>510</v>
      </c>
      <c r="D1690" s="51">
        <v>371</v>
      </c>
      <c r="E1690" s="51">
        <f t="shared" si="26"/>
        <v>0</v>
      </c>
    </row>
    <row r="1691" spans="1:5">
      <c r="A1691" s="59">
        <v>3</v>
      </c>
      <c r="B1691" s="59">
        <v>13</v>
      </c>
      <c r="C1691" s="59">
        <v>910</v>
      </c>
      <c r="D1691" s="51">
        <v>351</v>
      </c>
      <c r="E1691" s="51">
        <f t="shared" si="26"/>
        <v>0</v>
      </c>
    </row>
    <row r="1692" spans="1:5">
      <c r="A1692" s="59">
        <v>3</v>
      </c>
      <c r="B1692" s="59">
        <v>32</v>
      </c>
      <c r="C1692" s="59">
        <v>420</v>
      </c>
      <c r="D1692" s="51">
        <v>344</v>
      </c>
      <c r="E1692" s="51">
        <f t="shared" si="26"/>
        <v>0</v>
      </c>
    </row>
    <row r="1693" spans="1:5">
      <c r="A1693" s="59">
        <v>3</v>
      </c>
      <c r="B1693" s="59">
        <v>71</v>
      </c>
      <c r="C1693" s="59">
        <v>920</v>
      </c>
      <c r="D1693" s="51">
        <v>342</v>
      </c>
      <c r="E1693" s="51">
        <f t="shared" si="26"/>
        <v>0</v>
      </c>
    </row>
    <row r="1694" spans="1:5">
      <c r="A1694" s="59">
        <v>3</v>
      </c>
      <c r="B1694" s="59">
        <v>71</v>
      </c>
      <c r="C1694" s="59">
        <v>550</v>
      </c>
      <c r="D1694" s="51">
        <v>335</v>
      </c>
      <c r="E1694" s="51">
        <f t="shared" si="26"/>
        <v>0</v>
      </c>
    </row>
    <row r="1695" spans="1:5">
      <c r="A1695" s="59">
        <v>3</v>
      </c>
      <c r="B1695" s="59">
        <v>71</v>
      </c>
      <c r="C1695" s="59">
        <v>110</v>
      </c>
      <c r="D1695" s="51">
        <v>333</v>
      </c>
      <c r="E1695" s="51">
        <f t="shared" si="26"/>
        <v>0</v>
      </c>
    </row>
    <row r="1696" spans="1:5">
      <c r="A1696" s="59">
        <v>3</v>
      </c>
      <c r="B1696" s="59">
        <v>41</v>
      </c>
      <c r="C1696" s="59">
        <v>510</v>
      </c>
      <c r="D1696" s="51">
        <v>309</v>
      </c>
      <c r="E1696" s="51">
        <f t="shared" si="26"/>
        <v>1</v>
      </c>
    </row>
    <row r="1697" spans="1:5">
      <c r="A1697" s="59">
        <v>3</v>
      </c>
      <c r="B1697" s="59">
        <v>42</v>
      </c>
      <c r="C1697" s="59">
        <v>610</v>
      </c>
      <c r="D1697" s="51">
        <v>297</v>
      </c>
      <c r="E1697" s="51">
        <f t="shared" si="26"/>
        <v>0</v>
      </c>
    </row>
    <row r="1698" spans="1:5">
      <c r="A1698" s="59">
        <v>3</v>
      </c>
      <c r="B1698" s="59">
        <v>14</v>
      </c>
      <c r="C1698" s="59">
        <v>160</v>
      </c>
      <c r="D1698" s="51">
        <v>278</v>
      </c>
      <c r="E1698" s="51">
        <f t="shared" si="26"/>
        <v>0</v>
      </c>
    </row>
    <row r="1699" spans="1:5">
      <c r="A1699" s="59">
        <v>3</v>
      </c>
      <c r="B1699" s="59">
        <v>44</v>
      </c>
      <c r="C1699" s="59">
        <v>610</v>
      </c>
      <c r="D1699" s="51">
        <v>269</v>
      </c>
      <c r="E1699" s="51">
        <f t="shared" si="26"/>
        <v>1</v>
      </c>
    </row>
    <row r="1700" spans="1:5">
      <c r="A1700" s="59">
        <v>3</v>
      </c>
      <c r="B1700" s="59">
        <v>64</v>
      </c>
      <c r="C1700" s="59">
        <v>540</v>
      </c>
      <c r="D1700" s="51">
        <v>242</v>
      </c>
      <c r="E1700" s="51">
        <f t="shared" si="26"/>
        <v>0</v>
      </c>
    </row>
    <row r="1701" spans="1:5">
      <c r="A1701" s="59">
        <v>3</v>
      </c>
      <c r="B1701" s="59">
        <v>13</v>
      </c>
      <c r="C1701" s="59">
        <v>110</v>
      </c>
      <c r="D1701" s="51">
        <v>241</v>
      </c>
      <c r="E1701" s="51">
        <f t="shared" si="26"/>
        <v>0</v>
      </c>
    </row>
    <row r="1702" spans="1:5">
      <c r="A1702" s="59">
        <v>3</v>
      </c>
      <c r="B1702" s="59">
        <v>62</v>
      </c>
      <c r="C1702" s="59">
        <v>920</v>
      </c>
      <c r="D1702" s="51">
        <v>240</v>
      </c>
      <c r="E1702" s="51">
        <f t="shared" si="26"/>
        <v>1</v>
      </c>
    </row>
    <row r="1703" spans="1:5">
      <c r="A1703" s="59">
        <v>3</v>
      </c>
      <c r="B1703" s="59">
        <v>64</v>
      </c>
      <c r="C1703" s="59">
        <v>720</v>
      </c>
      <c r="D1703" s="51">
        <v>231</v>
      </c>
      <c r="E1703" s="51">
        <f t="shared" si="26"/>
        <v>0</v>
      </c>
    </row>
    <row r="1704" spans="1:5">
      <c r="A1704" s="59">
        <v>3</v>
      </c>
      <c r="B1704" s="59">
        <v>64</v>
      </c>
      <c r="C1704" s="59">
        <v>920</v>
      </c>
      <c r="D1704" s="51">
        <v>220</v>
      </c>
      <c r="E1704" s="51">
        <f t="shared" si="26"/>
        <v>0</v>
      </c>
    </row>
    <row r="1705" spans="1:5">
      <c r="A1705" s="59">
        <v>3</v>
      </c>
      <c r="B1705" s="59">
        <v>13</v>
      </c>
      <c r="C1705" s="59">
        <v>530</v>
      </c>
      <c r="D1705" s="51">
        <v>197</v>
      </c>
      <c r="E1705" s="51">
        <f t="shared" si="26"/>
        <v>0</v>
      </c>
    </row>
    <row r="1706" spans="1:5">
      <c r="A1706" s="59">
        <v>3</v>
      </c>
      <c r="B1706" s="59">
        <v>33</v>
      </c>
      <c r="C1706" s="59">
        <v>520</v>
      </c>
      <c r="D1706" s="51">
        <v>188</v>
      </c>
      <c r="E1706" s="51">
        <f t="shared" si="26"/>
        <v>0</v>
      </c>
    </row>
    <row r="1707" spans="1:5">
      <c r="A1707" s="59">
        <v>3</v>
      </c>
      <c r="B1707" s="59">
        <v>64</v>
      </c>
      <c r="C1707" s="59">
        <v>440</v>
      </c>
      <c r="D1707" s="51">
        <v>175</v>
      </c>
      <c r="E1707" s="51">
        <f t="shared" si="26"/>
        <v>0</v>
      </c>
    </row>
    <row r="1708" spans="1:5">
      <c r="A1708" s="59">
        <v>3</v>
      </c>
      <c r="B1708" s="59">
        <v>41</v>
      </c>
      <c r="C1708" s="59">
        <v>530</v>
      </c>
      <c r="D1708" s="51">
        <v>174</v>
      </c>
      <c r="E1708" s="51">
        <f t="shared" si="26"/>
        <v>1</v>
      </c>
    </row>
    <row r="1709" spans="1:5">
      <c r="A1709" s="59">
        <v>3</v>
      </c>
      <c r="B1709" s="59">
        <v>42</v>
      </c>
      <c r="C1709" s="59">
        <v>530</v>
      </c>
      <c r="D1709" s="51">
        <v>174</v>
      </c>
      <c r="E1709" s="51">
        <f t="shared" si="26"/>
        <v>0</v>
      </c>
    </row>
    <row r="1710" spans="1:5">
      <c r="A1710" s="59">
        <v>3</v>
      </c>
      <c r="B1710" s="59">
        <v>14</v>
      </c>
      <c r="C1710" s="59">
        <v>530</v>
      </c>
      <c r="D1710" s="51">
        <v>160</v>
      </c>
      <c r="E1710" s="51">
        <f t="shared" si="26"/>
        <v>0</v>
      </c>
    </row>
    <row r="1711" spans="1:5">
      <c r="A1711" s="59">
        <v>3</v>
      </c>
      <c r="B1711" s="59">
        <v>62</v>
      </c>
      <c r="C1711" s="59">
        <v>720</v>
      </c>
      <c r="D1711" s="51">
        <v>157</v>
      </c>
      <c r="E1711" s="51">
        <f t="shared" si="26"/>
        <v>1</v>
      </c>
    </row>
    <row r="1712" spans="1:5">
      <c r="A1712" s="59">
        <v>3</v>
      </c>
      <c r="B1712" s="59">
        <v>63</v>
      </c>
      <c r="C1712" s="59">
        <v>110</v>
      </c>
      <c r="D1712" s="51">
        <v>156</v>
      </c>
      <c r="E1712" s="51">
        <f t="shared" si="26"/>
        <v>0</v>
      </c>
    </row>
    <row r="1713" spans="1:5">
      <c r="A1713" s="59">
        <v>3</v>
      </c>
      <c r="B1713" s="59">
        <v>43</v>
      </c>
      <c r="C1713" s="59">
        <v>920</v>
      </c>
      <c r="D1713" s="51">
        <v>153</v>
      </c>
      <c r="E1713" s="51">
        <f t="shared" si="26"/>
        <v>0</v>
      </c>
    </row>
    <row r="1714" spans="1:5">
      <c r="A1714" s="59">
        <v>3</v>
      </c>
      <c r="B1714" s="59">
        <v>13</v>
      </c>
      <c r="C1714" s="59">
        <v>160</v>
      </c>
      <c r="D1714" s="51">
        <v>151</v>
      </c>
      <c r="E1714" s="51">
        <f t="shared" si="26"/>
        <v>0</v>
      </c>
    </row>
    <row r="1715" spans="1:5">
      <c r="A1715" s="59">
        <v>3</v>
      </c>
      <c r="B1715" s="59">
        <v>64</v>
      </c>
      <c r="C1715" s="59">
        <v>620</v>
      </c>
      <c r="D1715" s="51">
        <v>150</v>
      </c>
      <c r="E1715" s="51">
        <f t="shared" si="26"/>
        <v>0</v>
      </c>
    </row>
    <row r="1716" spans="1:5">
      <c r="A1716" s="59">
        <v>3</v>
      </c>
      <c r="B1716" s="59">
        <v>71</v>
      </c>
      <c r="C1716" s="59">
        <v>540</v>
      </c>
      <c r="D1716" s="51">
        <v>147</v>
      </c>
      <c r="E1716" s="51">
        <f t="shared" si="26"/>
        <v>0</v>
      </c>
    </row>
    <row r="1717" spans="1:5">
      <c r="A1717" s="59">
        <v>3</v>
      </c>
      <c r="B1717" s="59">
        <v>22</v>
      </c>
      <c r="C1717" s="59">
        <v>520</v>
      </c>
      <c r="D1717" s="51">
        <v>144</v>
      </c>
      <c r="E1717" s="51">
        <f t="shared" si="26"/>
        <v>0</v>
      </c>
    </row>
    <row r="1718" spans="1:5">
      <c r="A1718" s="59">
        <v>3</v>
      </c>
      <c r="B1718" s="59">
        <v>43</v>
      </c>
      <c r="C1718" s="59">
        <v>720</v>
      </c>
      <c r="D1718" s="51">
        <v>143</v>
      </c>
      <c r="E1718" s="51">
        <f t="shared" si="26"/>
        <v>0</v>
      </c>
    </row>
    <row r="1719" spans="1:5">
      <c r="A1719" s="59">
        <v>3</v>
      </c>
      <c r="B1719" s="59">
        <v>16</v>
      </c>
      <c r="C1719" s="59">
        <v>520</v>
      </c>
      <c r="D1719" s="51">
        <v>139</v>
      </c>
      <c r="E1719" s="51">
        <f t="shared" si="26"/>
        <v>0</v>
      </c>
    </row>
    <row r="1720" spans="1:5">
      <c r="A1720" s="59">
        <v>3</v>
      </c>
      <c r="B1720" s="59">
        <v>43</v>
      </c>
      <c r="C1720" s="59">
        <v>895</v>
      </c>
      <c r="D1720" s="51">
        <v>138</v>
      </c>
      <c r="E1720" s="51">
        <f t="shared" si="26"/>
        <v>0</v>
      </c>
    </row>
    <row r="1721" spans="1:5">
      <c r="A1721" s="59">
        <v>3</v>
      </c>
      <c r="B1721" s="59">
        <v>43</v>
      </c>
      <c r="C1721" s="59">
        <v>940</v>
      </c>
      <c r="D1721" s="51">
        <v>137</v>
      </c>
      <c r="E1721" s="51">
        <f t="shared" si="26"/>
        <v>0</v>
      </c>
    </row>
    <row r="1722" spans="1:5">
      <c r="A1722" s="59">
        <v>3</v>
      </c>
      <c r="B1722" s="59">
        <v>44</v>
      </c>
      <c r="C1722" s="59">
        <v>540</v>
      </c>
      <c r="D1722" s="51">
        <v>133</v>
      </c>
      <c r="E1722" s="51">
        <f t="shared" si="26"/>
        <v>1</v>
      </c>
    </row>
    <row r="1723" spans="1:5">
      <c r="A1723" s="59">
        <v>3</v>
      </c>
      <c r="B1723" s="59">
        <v>43</v>
      </c>
      <c r="C1723" s="59">
        <v>540</v>
      </c>
      <c r="D1723" s="51">
        <v>131</v>
      </c>
      <c r="E1723" s="51">
        <f t="shared" si="26"/>
        <v>0</v>
      </c>
    </row>
    <row r="1724" spans="1:5">
      <c r="A1724" s="59">
        <v>3</v>
      </c>
      <c r="B1724" s="59">
        <v>62</v>
      </c>
      <c r="C1724" s="59">
        <v>730</v>
      </c>
      <c r="D1724" s="51">
        <v>129</v>
      </c>
      <c r="E1724" s="51">
        <f t="shared" si="26"/>
        <v>1</v>
      </c>
    </row>
    <row r="1725" spans="1:5">
      <c r="A1725" s="59">
        <v>3</v>
      </c>
      <c r="B1725" s="59">
        <v>63</v>
      </c>
      <c r="C1725" s="59">
        <v>550</v>
      </c>
      <c r="D1725" s="51">
        <v>127</v>
      </c>
      <c r="E1725" s="51">
        <f t="shared" si="26"/>
        <v>0</v>
      </c>
    </row>
    <row r="1726" spans="1:5">
      <c r="A1726" s="59">
        <v>3</v>
      </c>
      <c r="B1726" s="59">
        <v>16</v>
      </c>
      <c r="C1726" s="59">
        <v>150</v>
      </c>
      <c r="D1726" s="51">
        <v>121</v>
      </c>
      <c r="E1726" s="51">
        <f t="shared" si="26"/>
        <v>0</v>
      </c>
    </row>
    <row r="1727" spans="1:5">
      <c r="A1727" s="59">
        <v>3</v>
      </c>
      <c r="B1727" s="59">
        <v>64</v>
      </c>
      <c r="C1727" s="59">
        <v>730</v>
      </c>
      <c r="D1727" s="51">
        <v>121</v>
      </c>
      <c r="E1727" s="51">
        <f t="shared" si="26"/>
        <v>0</v>
      </c>
    </row>
    <row r="1728" spans="1:5">
      <c r="A1728" s="59">
        <v>3</v>
      </c>
      <c r="B1728" s="59">
        <v>41</v>
      </c>
      <c r="C1728" s="59">
        <v>910</v>
      </c>
      <c r="D1728" s="51">
        <v>116</v>
      </c>
      <c r="E1728" s="51">
        <f t="shared" si="26"/>
        <v>1</v>
      </c>
    </row>
    <row r="1729" spans="1:5">
      <c r="A1729" s="59">
        <v>3</v>
      </c>
      <c r="B1729" s="59">
        <v>63</v>
      </c>
      <c r="C1729" s="59">
        <v>920</v>
      </c>
      <c r="D1729" s="51">
        <v>108</v>
      </c>
      <c r="E1729" s="51">
        <f t="shared" si="26"/>
        <v>0</v>
      </c>
    </row>
    <row r="1730" spans="1:5">
      <c r="A1730" s="59">
        <v>3</v>
      </c>
      <c r="B1730" s="59">
        <v>63</v>
      </c>
      <c r="C1730" s="59">
        <v>440</v>
      </c>
      <c r="D1730" s="51">
        <v>106</v>
      </c>
      <c r="E1730" s="51">
        <f t="shared" ref="E1730:E1793" si="27">IF(OR(A1730=6,A1730=7,A1730=14,A1730=15,A1730=16,A1730=17,A1730=18,A1730=19,A1730=20,A1730=21,A1730=22,A1730=23,A1730=25,A1730=26,A1730=27,A1730=28,B1730=41,B1730=44,B1730=62),1,0)</f>
        <v>0</v>
      </c>
    </row>
    <row r="1731" spans="1:5">
      <c r="A1731" s="59">
        <v>3</v>
      </c>
      <c r="B1731" s="59">
        <v>71</v>
      </c>
      <c r="C1731" s="59">
        <v>160</v>
      </c>
      <c r="D1731" s="51">
        <v>103</v>
      </c>
      <c r="E1731" s="51">
        <f t="shared" si="27"/>
        <v>0</v>
      </c>
    </row>
    <row r="1732" spans="1:5">
      <c r="A1732" s="59">
        <v>3</v>
      </c>
      <c r="B1732" s="59">
        <v>42</v>
      </c>
      <c r="C1732" s="59">
        <v>910</v>
      </c>
      <c r="D1732" s="51">
        <v>102</v>
      </c>
      <c r="E1732" s="51">
        <f t="shared" si="27"/>
        <v>0</v>
      </c>
    </row>
    <row r="1733" spans="1:5">
      <c r="A1733" s="59">
        <v>3</v>
      </c>
      <c r="B1733" s="59">
        <v>71</v>
      </c>
      <c r="C1733" s="59">
        <v>640</v>
      </c>
      <c r="D1733" s="51">
        <v>102</v>
      </c>
      <c r="E1733" s="51">
        <f t="shared" si="27"/>
        <v>0</v>
      </c>
    </row>
    <row r="1734" spans="1:5">
      <c r="A1734" s="59">
        <v>3</v>
      </c>
      <c r="B1734" s="59">
        <v>43</v>
      </c>
      <c r="C1734" s="59">
        <v>210</v>
      </c>
      <c r="D1734" s="51">
        <v>100</v>
      </c>
      <c r="E1734" s="51">
        <f t="shared" si="27"/>
        <v>0</v>
      </c>
    </row>
    <row r="1735" spans="1:5">
      <c r="A1735" s="59">
        <v>3</v>
      </c>
      <c r="B1735" s="59">
        <v>62</v>
      </c>
      <c r="C1735" s="59">
        <v>550</v>
      </c>
      <c r="D1735" s="51">
        <v>96</v>
      </c>
      <c r="E1735" s="51">
        <f t="shared" si="27"/>
        <v>1</v>
      </c>
    </row>
    <row r="1736" spans="1:5">
      <c r="A1736" s="59">
        <v>3</v>
      </c>
      <c r="B1736" s="59">
        <v>64</v>
      </c>
      <c r="C1736" s="59">
        <v>861</v>
      </c>
      <c r="D1736" s="51">
        <v>96</v>
      </c>
      <c r="E1736" s="51">
        <f t="shared" si="27"/>
        <v>0</v>
      </c>
    </row>
    <row r="1737" spans="1:5">
      <c r="A1737" s="59">
        <v>3</v>
      </c>
      <c r="B1737" s="59">
        <v>64</v>
      </c>
      <c r="C1737" s="59">
        <v>410</v>
      </c>
      <c r="D1737" s="51">
        <v>95</v>
      </c>
      <c r="E1737" s="51">
        <f t="shared" si="27"/>
        <v>0</v>
      </c>
    </row>
    <row r="1738" spans="1:5">
      <c r="A1738" s="59">
        <v>3</v>
      </c>
      <c r="B1738" s="59">
        <v>51</v>
      </c>
      <c r="C1738" s="59">
        <v>520</v>
      </c>
      <c r="D1738" s="51">
        <v>94</v>
      </c>
      <c r="E1738" s="51">
        <f t="shared" si="27"/>
        <v>0</v>
      </c>
    </row>
    <row r="1739" spans="1:5">
      <c r="A1739" s="59">
        <v>3</v>
      </c>
      <c r="B1739" s="59">
        <v>62</v>
      </c>
      <c r="C1739" s="59">
        <v>110</v>
      </c>
      <c r="D1739" s="51">
        <v>94</v>
      </c>
      <c r="E1739" s="51">
        <f t="shared" si="27"/>
        <v>1</v>
      </c>
    </row>
    <row r="1740" spans="1:5">
      <c r="A1740" s="59">
        <v>3</v>
      </c>
      <c r="B1740" s="59">
        <v>32</v>
      </c>
      <c r="C1740" s="59">
        <v>910</v>
      </c>
      <c r="D1740" s="51">
        <v>90</v>
      </c>
      <c r="E1740" s="51">
        <f t="shared" si="27"/>
        <v>0</v>
      </c>
    </row>
    <row r="1741" spans="1:5">
      <c r="A1741" s="59">
        <v>3</v>
      </c>
      <c r="B1741" s="59">
        <v>63</v>
      </c>
      <c r="C1741" s="59">
        <v>720</v>
      </c>
      <c r="D1741" s="51">
        <v>88</v>
      </c>
      <c r="E1741" s="51">
        <f t="shared" si="27"/>
        <v>0</v>
      </c>
    </row>
    <row r="1742" spans="1:5">
      <c r="A1742" s="59">
        <v>3</v>
      </c>
      <c r="B1742" s="59">
        <v>14</v>
      </c>
      <c r="C1742" s="59">
        <v>140</v>
      </c>
      <c r="D1742" s="51">
        <v>84</v>
      </c>
      <c r="E1742" s="51">
        <f t="shared" si="27"/>
        <v>0</v>
      </c>
    </row>
    <row r="1743" spans="1:5">
      <c r="A1743" s="59">
        <v>3</v>
      </c>
      <c r="B1743" s="59">
        <v>63</v>
      </c>
      <c r="C1743" s="59">
        <v>540</v>
      </c>
      <c r="D1743" s="51">
        <v>84</v>
      </c>
      <c r="E1743" s="51">
        <f t="shared" si="27"/>
        <v>0</v>
      </c>
    </row>
    <row r="1744" spans="1:5">
      <c r="A1744" s="59">
        <v>3</v>
      </c>
      <c r="B1744" s="59">
        <v>43</v>
      </c>
      <c r="C1744" s="59">
        <v>930</v>
      </c>
      <c r="D1744" s="51">
        <v>82</v>
      </c>
      <c r="E1744" s="51">
        <f t="shared" si="27"/>
        <v>0</v>
      </c>
    </row>
    <row r="1745" spans="1:5">
      <c r="A1745" s="59">
        <v>3</v>
      </c>
      <c r="B1745" s="59">
        <v>81</v>
      </c>
      <c r="C1745" s="59">
        <v>610</v>
      </c>
      <c r="D1745" s="51">
        <v>82</v>
      </c>
      <c r="E1745" s="51">
        <f t="shared" si="27"/>
        <v>0</v>
      </c>
    </row>
    <row r="1746" spans="1:5">
      <c r="A1746" s="59">
        <v>3</v>
      </c>
      <c r="B1746" s="59">
        <v>81</v>
      </c>
      <c r="C1746" s="59">
        <v>530</v>
      </c>
      <c r="D1746" s="51">
        <v>79</v>
      </c>
      <c r="E1746" s="51">
        <f t="shared" si="27"/>
        <v>0</v>
      </c>
    </row>
    <row r="1747" spans="1:5">
      <c r="A1747" s="59">
        <v>3</v>
      </c>
      <c r="B1747" s="59">
        <v>32</v>
      </c>
      <c r="C1747" s="59">
        <v>510</v>
      </c>
      <c r="D1747" s="51">
        <v>78</v>
      </c>
      <c r="E1747" s="51">
        <f t="shared" si="27"/>
        <v>0</v>
      </c>
    </row>
    <row r="1748" spans="1:5">
      <c r="A1748" s="59">
        <v>3</v>
      </c>
      <c r="B1748" s="59">
        <v>81</v>
      </c>
      <c r="C1748" s="59">
        <v>910</v>
      </c>
      <c r="D1748" s="51">
        <v>78</v>
      </c>
      <c r="E1748" s="51">
        <f t="shared" si="27"/>
        <v>0</v>
      </c>
    </row>
    <row r="1749" spans="1:5">
      <c r="A1749" s="59">
        <v>3</v>
      </c>
      <c r="B1749" s="59">
        <v>43</v>
      </c>
      <c r="C1749" s="59">
        <v>230</v>
      </c>
      <c r="D1749" s="51">
        <v>77</v>
      </c>
      <c r="E1749" s="51">
        <f t="shared" si="27"/>
        <v>0</v>
      </c>
    </row>
    <row r="1750" spans="1:5">
      <c r="A1750" s="59">
        <v>3</v>
      </c>
      <c r="B1750" s="59">
        <v>43</v>
      </c>
      <c r="C1750" s="59">
        <v>730</v>
      </c>
      <c r="D1750" s="51">
        <v>75</v>
      </c>
      <c r="E1750" s="51">
        <f t="shared" si="27"/>
        <v>0</v>
      </c>
    </row>
    <row r="1751" spans="1:5">
      <c r="A1751" s="59">
        <v>3</v>
      </c>
      <c r="B1751" s="59">
        <v>43</v>
      </c>
      <c r="C1751" s="59">
        <v>410</v>
      </c>
      <c r="D1751" s="51">
        <v>73</v>
      </c>
      <c r="E1751" s="51">
        <f t="shared" si="27"/>
        <v>0</v>
      </c>
    </row>
    <row r="1752" spans="1:5">
      <c r="A1752" s="59">
        <v>3</v>
      </c>
      <c r="B1752" s="59">
        <v>44</v>
      </c>
      <c r="C1752" s="59">
        <v>620</v>
      </c>
      <c r="D1752" s="51">
        <v>73</v>
      </c>
      <c r="E1752" s="51">
        <f t="shared" si="27"/>
        <v>1</v>
      </c>
    </row>
    <row r="1753" spans="1:5">
      <c r="A1753" s="59">
        <v>3</v>
      </c>
      <c r="B1753" s="59">
        <v>13</v>
      </c>
      <c r="C1753" s="59">
        <v>320</v>
      </c>
      <c r="D1753" s="51">
        <v>72</v>
      </c>
      <c r="E1753" s="51">
        <f t="shared" si="27"/>
        <v>0</v>
      </c>
    </row>
    <row r="1754" spans="1:5">
      <c r="A1754" s="59">
        <v>3</v>
      </c>
      <c r="B1754" s="59">
        <v>15</v>
      </c>
      <c r="C1754" s="59">
        <v>520</v>
      </c>
      <c r="D1754" s="51">
        <v>72</v>
      </c>
      <c r="E1754" s="51">
        <f t="shared" si="27"/>
        <v>0</v>
      </c>
    </row>
    <row r="1755" spans="1:5">
      <c r="A1755" s="59">
        <v>3</v>
      </c>
      <c r="B1755" s="59">
        <v>32</v>
      </c>
      <c r="C1755" s="59">
        <v>530</v>
      </c>
      <c r="D1755" s="51">
        <v>71</v>
      </c>
      <c r="E1755" s="51">
        <f t="shared" si="27"/>
        <v>0</v>
      </c>
    </row>
    <row r="1756" spans="1:5">
      <c r="A1756" s="59">
        <v>3</v>
      </c>
      <c r="B1756" s="59">
        <v>43</v>
      </c>
      <c r="C1756" s="59">
        <v>420</v>
      </c>
      <c r="D1756" s="51">
        <v>71</v>
      </c>
      <c r="E1756" s="51">
        <f t="shared" si="27"/>
        <v>0</v>
      </c>
    </row>
    <row r="1757" spans="1:5">
      <c r="A1757" s="59">
        <v>3</v>
      </c>
      <c r="B1757" s="59">
        <v>14</v>
      </c>
      <c r="C1757" s="59">
        <v>610</v>
      </c>
      <c r="D1757" s="51">
        <v>70</v>
      </c>
      <c r="E1757" s="51">
        <f t="shared" si="27"/>
        <v>0</v>
      </c>
    </row>
    <row r="1758" spans="1:5">
      <c r="A1758" s="59">
        <v>3</v>
      </c>
      <c r="B1758" s="59">
        <v>43</v>
      </c>
      <c r="C1758" s="59">
        <v>550</v>
      </c>
      <c r="D1758" s="51">
        <v>69</v>
      </c>
      <c r="E1758" s="51">
        <f t="shared" si="27"/>
        <v>0</v>
      </c>
    </row>
    <row r="1759" spans="1:5">
      <c r="A1759" s="59">
        <v>3</v>
      </c>
      <c r="B1759" s="59">
        <v>32</v>
      </c>
      <c r="C1759" s="59">
        <v>410</v>
      </c>
      <c r="D1759" s="51">
        <v>67</v>
      </c>
      <c r="E1759" s="51">
        <f t="shared" si="27"/>
        <v>0</v>
      </c>
    </row>
    <row r="1760" spans="1:5">
      <c r="A1760" s="59">
        <v>3</v>
      </c>
      <c r="B1760" s="59">
        <v>13</v>
      </c>
      <c r="C1760" s="59">
        <v>610</v>
      </c>
      <c r="D1760" s="51">
        <v>66</v>
      </c>
      <c r="E1760" s="51">
        <f t="shared" si="27"/>
        <v>0</v>
      </c>
    </row>
    <row r="1761" spans="1:5">
      <c r="A1761" s="59">
        <v>3</v>
      </c>
      <c r="B1761" s="59">
        <v>43</v>
      </c>
      <c r="C1761" s="59">
        <v>240</v>
      </c>
      <c r="D1761" s="51">
        <v>66</v>
      </c>
      <c r="E1761" s="51">
        <f t="shared" si="27"/>
        <v>0</v>
      </c>
    </row>
    <row r="1762" spans="1:5">
      <c r="A1762" s="59">
        <v>3</v>
      </c>
      <c r="B1762" s="59">
        <v>43</v>
      </c>
      <c r="C1762" s="59">
        <v>620</v>
      </c>
      <c r="D1762" s="51">
        <v>64</v>
      </c>
      <c r="E1762" s="51">
        <f t="shared" si="27"/>
        <v>0</v>
      </c>
    </row>
    <row r="1763" spans="1:5">
      <c r="A1763" s="59">
        <v>3</v>
      </c>
      <c r="B1763" s="59">
        <v>64</v>
      </c>
      <c r="C1763" s="59">
        <v>210</v>
      </c>
      <c r="D1763" s="51">
        <v>62</v>
      </c>
      <c r="E1763" s="51">
        <f t="shared" si="27"/>
        <v>0</v>
      </c>
    </row>
    <row r="1764" spans="1:5">
      <c r="A1764" s="59">
        <v>3</v>
      </c>
      <c r="B1764" s="59">
        <v>43</v>
      </c>
      <c r="C1764" s="59">
        <v>861</v>
      </c>
      <c r="D1764" s="51">
        <v>61</v>
      </c>
      <c r="E1764" s="51">
        <f t="shared" si="27"/>
        <v>0</v>
      </c>
    </row>
    <row r="1765" spans="1:5">
      <c r="A1765" s="59">
        <v>3</v>
      </c>
      <c r="B1765" s="59">
        <v>63</v>
      </c>
      <c r="C1765" s="59">
        <v>620</v>
      </c>
      <c r="D1765" s="51">
        <v>59</v>
      </c>
      <c r="E1765" s="51">
        <f t="shared" si="27"/>
        <v>0</v>
      </c>
    </row>
    <row r="1766" spans="1:5">
      <c r="A1766" s="59">
        <v>3</v>
      </c>
      <c r="B1766" s="59">
        <v>41</v>
      </c>
      <c r="C1766" s="59">
        <v>150</v>
      </c>
      <c r="D1766" s="51">
        <v>57</v>
      </c>
      <c r="E1766" s="51">
        <f t="shared" si="27"/>
        <v>1</v>
      </c>
    </row>
    <row r="1767" spans="1:5">
      <c r="A1767" s="59">
        <v>3</v>
      </c>
      <c r="B1767" s="59">
        <v>44</v>
      </c>
      <c r="C1767" s="59">
        <v>930</v>
      </c>
      <c r="D1767" s="51">
        <v>57</v>
      </c>
      <c r="E1767" s="51">
        <f t="shared" si="27"/>
        <v>1</v>
      </c>
    </row>
    <row r="1768" spans="1:5">
      <c r="A1768" s="59">
        <v>3</v>
      </c>
      <c r="B1768" s="59">
        <v>63</v>
      </c>
      <c r="C1768" s="59">
        <v>160</v>
      </c>
      <c r="D1768" s="51">
        <v>57</v>
      </c>
      <c r="E1768" s="51">
        <f t="shared" si="27"/>
        <v>0</v>
      </c>
    </row>
    <row r="1769" spans="1:5">
      <c r="A1769" s="59">
        <v>3</v>
      </c>
      <c r="B1769" s="59">
        <v>14</v>
      </c>
      <c r="C1769" s="59">
        <v>210</v>
      </c>
      <c r="D1769" s="51">
        <v>56</v>
      </c>
      <c r="E1769" s="51">
        <f t="shared" si="27"/>
        <v>0</v>
      </c>
    </row>
    <row r="1770" spans="1:5">
      <c r="A1770" s="59">
        <v>3</v>
      </c>
      <c r="B1770" s="59">
        <v>63</v>
      </c>
      <c r="C1770" s="59">
        <v>150</v>
      </c>
      <c r="D1770" s="51">
        <v>55</v>
      </c>
      <c r="E1770" s="51">
        <f t="shared" si="27"/>
        <v>0</v>
      </c>
    </row>
    <row r="1771" spans="1:5">
      <c r="A1771" s="59">
        <v>3</v>
      </c>
      <c r="B1771" s="59">
        <v>62</v>
      </c>
      <c r="C1771" s="59">
        <v>620</v>
      </c>
      <c r="D1771" s="51">
        <v>53</v>
      </c>
      <c r="E1771" s="51">
        <f t="shared" si="27"/>
        <v>1</v>
      </c>
    </row>
    <row r="1772" spans="1:5">
      <c r="A1772" s="59">
        <v>3</v>
      </c>
      <c r="B1772" s="59">
        <v>15</v>
      </c>
      <c r="C1772" s="59">
        <v>150</v>
      </c>
      <c r="D1772" s="51">
        <v>52</v>
      </c>
      <c r="E1772" s="51">
        <f t="shared" si="27"/>
        <v>0</v>
      </c>
    </row>
    <row r="1773" spans="1:5">
      <c r="A1773" s="59">
        <v>3</v>
      </c>
      <c r="B1773" s="59">
        <v>71</v>
      </c>
      <c r="C1773" s="59">
        <v>440</v>
      </c>
      <c r="D1773" s="51">
        <v>49</v>
      </c>
      <c r="E1773" s="51">
        <f t="shared" si="27"/>
        <v>0</v>
      </c>
    </row>
    <row r="1774" spans="1:5">
      <c r="A1774" s="59">
        <v>3</v>
      </c>
      <c r="B1774" s="59">
        <v>14</v>
      </c>
      <c r="C1774" s="59">
        <v>320</v>
      </c>
      <c r="D1774" s="51">
        <v>48</v>
      </c>
      <c r="E1774" s="51">
        <f t="shared" si="27"/>
        <v>0</v>
      </c>
    </row>
    <row r="1775" spans="1:5">
      <c r="A1775" s="59">
        <v>3</v>
      </c>
      <c r="B1775" s="59">
        <v>33</v>
      </c>
      <c r="C1775" s="59">
        <v>420</v>
      </c>
      <c r="D1775" s="51">
        <v>48</v>
      </c>
      <c r="E1775" s="51">
        <f t="shared" si="27"/>
        <v>0</v>
      </c>
    </row>
    <row r="1776" spans="1:5">
      <c r="A1776" s="59">
        <v>3</v>
      </c>
      <c r="B1776" s="59">
        <v>63</v>
      </c>
      <c r="C1776" s="59">
        <v>730</v>
      </c>
      <c r="D1776" s="51">
        <v>48</v>
      </c>
      <c r="E1776" s="51">
        <f t="shared" si="27"/>
        <v>0</v>
      </c>
    </row>
    <row r="1777" spans="1:5">
      <c r="A1777" s="59">
        <v>3</v>
      </c>
      <c r="B1777" s="59">
        <v>14</v>
      </c>
      <c r="C1777" s="59">
        <v>310</v>
      </c>
      <c r="D1777" s="51">
        <v>47</v>
      </c>
      <c r="E1777" s="51">
        <f t="shared" si="27"/>
        <v>0</v>
      </c>
    </row>
    <row r="1778" spans="1:5">
      <c r="A1778" s="59">
        <v>3</v>
      </c>
      <c r="B1778" s="59">
        <v>22</v>
      </c>
      <c r="C1778" s="59">
        <v>150</v>
      </c>
      <c r="D1778" s="51">
        <v>46</v>
      </c>
      <c r="E1778" s="51">
        <f t="shared" si="27"/>
        <v>0</v>
      </c>
    </row>
    <row r="1779" spans="1:5">
      <c r="A1779" s="59">
        <v>3</v>
      </c>
      <c r="B1779" s="59">
        <v>41</v>
      </c>
      <c r="C1779" s="59">
        <v>610</v>
      </c>
      <c r="D1779" s="51">
        <v>44</v>
      </c>
      <c r="E1779" s="51">
        <f t="shared" si="27"/>
        <v>1</v>
      </c>
    </row>
    <row r="1780" spans="1:5">
      <c r="A1780" s="59">
        <v>3</v>
      </c>
      <c r="B1780" s="59">
        <v>63</v>
      </c>
      <c r="C1780" s="59">
        <v>930</v>
      </c>
      <c r="D1780" s="51">
        <v>44</v>
      </c>
      <c r="E1780" s="51">
        <f t="shared" si="27"/>
        <v>0</v>
      </c>
    </row>
    <row r="1781" spans="1:5">
      <c r="A1781" s="59">
        <v>3</v>
      </c>
      <c r="B1781" s="59">
        <v>15</v>
      </c>
      <c r="C1781" s="59">
        <v>910</v>
      </c>
      <c r="D1781" s="51">
        <v>42</v>
      </c>
      <c r="E1781" s="51">
        <f t="shared" si="27"/>
        <v>0</v>
      </c>
    </row>
    <row r="1782" spans="1:5">
      <c r="A1782" s="59">
        <v>3</v>
      </c>
      <c r="B1782" s="59">
        <v>44</v>
      </c>
      <c r="C1782" s="59">
        <v>550</v>
      </c>
      <c r="D1782" s="51">
        <v>42</v>
      </c>
      <c r="E1782" s="51">
        <f t="shared" si="27"/>
        <v>1</v>
      </c>
    </row>
    <row r="1783" spans="1:5">
      <c r="A1783" s="59">
        <v>3</v>
      </c>
      <c r="B1783" s="59">
        <v>16</v>
      </c>
      <c r="C1783" s="59">
        <v>910</v>
      </c>
      <c r="D1783" s="51">
        <v>41</v>
      </c>
      <c r="E1783" s="51">
        <f t="shared" si="27"/>
        <v>0</v>
      </c>
    </row>
    <row r="1784" spans="1:5">
      <c r="A1784" s="59">
        <v>3</v>
      </c>
      <c r="B1784" s="59">
        <v>41</v>
      </c>
      <c r="C1784" s="59">
        <v>920</v>
      </c>
      <c r="D1784" s="51">
        <v>40</v>
      </c>
      <c r="E1784" s="51">
        <f t="shared" si="27"/>
        <v>1</v>
      </c>
    </row>
    <row r="1785" spans="1:5">
      <c r="A1785" s="59">
        <v>3</v>
      </c>
      <c r="B1785" s="59">
        <v>44</v>
      </c>
      <c r="C1785" s="59">
        <v>920</v>
      </c>
      <c r="D1785" s="51">
        <v>40</v>
      </c>
      <c r="E1785" s="51">
        <f t="shared" si="27"/>
        <v>1</v>
      </c>
    </row>
    <row r="1786" spans="1:5">
      <c r="A1786" s="59">
        <v>3</v>
      </c>
      <c r="B1786" s="59">
        <v>16</v>
      </c>
      <c r="C1786" s="59">
        <v>110</v>
      </c>
      <c r="D1786" s="51">
        <v>39</v>
      </c>
      <c r="E1786" s="51">
        <f t="shared" si="27"/>
        <v>0</v>
      </c>
    </row>
    <row r="1787" spans="1:5">
      <c r="A1787" s="59">
        <v>3</v>
      </c>
      <c r="B1787" s="59">
        <v>64</v>
      </c>
      <c r="C1787" s="59">
        <v>640</v>
      </c>
      <c r="D1787" s="51">
        <v>39</v>
      </c>
      <c r="E1787" s="51">
        <f t="shared" si="27"/>
        <v>0</v>
      </c>
    </row>
    <row r="1788" spans="1:5">
      <c r="A1788" s="59">
        <v>3</v>
      </c>
      <c r="B1788" s="59">
        <v>64</v>
      </c>
      <c r="C1788" s="59">
        <v>420</v>
      </c>
      <c r="D1788" s="51">
        <v>38</v>
      </c>
      <c r="E1788" s="51">
        <f t="shared" si="27"/>
        <v>0</v>
      </c>
    </row>
    <row r="1789" spans="1:5">
      <c r="A1789" s="59">
        <v>3</v>
      </c>
      <c r="B1789" s="59">
        <v>14</v>
      </c>
      <c r="C1789" s="59">
        <v>330</v>
      </c>
      <c r="D1789" s="51">
        <v>37</v>
      </c>
      <c r="E1789" s="51">
        <f t="shared" si="27"/>
        <v>0</v>
      </c>
    </row>
    <row r="1790" spans="1:5">
      <c r="A1790" s="59">
        <v>3</v>
      </c>
      <c r="B1790" s="59">
        <v>16</v>
      </c>
      <c r="C1790" s="59">
        <v>510</v>
      </c>
      <c r="D1790" s="51">
        <v>37</v>
      </c>
      <c r="E1790" s="51">
        <f t="shared" si="27"/>
        <v>0</v>
      </c>
    </row>
    <row r="1791" spans="1:5">
      <c r="A1791" s="59">
        <v>3</v>
      </c>
      <c r="B1791" s="59">
        <v>41</v>
      </c>
      <c r="C1791" s="59">
        <v>720</v>
      </c>
      <c r="D1791" s="51">
        <v>37</v>
      </c>
      <c r="E1791" s="51">
        <f t="shared" si="27"/>
        <v>1</v>
      </c>
    </row>
    <row r="1792" spans="1:5">
      <c r="A1792" s="59">
        <v>3</v>
      </c>
      <c r="B1792" s="59">
        <v>42</v>
      </c>
      <c r="C1792" s="59">
        <v>620</v>
      </c>
      <c r="D1792" s="51">
        <v>37</v>
      </c>
      <c r="E1792" s="51">
        <f t="shared" si="27"/>
        <v>0</v>
      </c>
    </row>
    <row r="1793" spans="1:5">
      <c r="A1793" s="59">
        <v>3</v>
      </c>
      <c r="B1793" s="59">
        <v>43</v>
      </c>
      <c r="C1793" s="59">
        <v>750</v>
      </c>
      <c r="D1793" s="51">
        <v>37</v>
      </c>
      <c r="E1793" s="51">
        <f t="shared" si="27"/>
        <v>0</v>
      </c>
    </row>
    <row r="1794" spans="1:5">
      <c r="A1794" s="59">
        <v>3</v>
      </c>
      <c r="B1794" s="59">
        <v>62</v>
      </c>
      <c r="C1794" s="59">
        <v>440</v>
      </c>
      <c r="D1794" s="51">
        <v>37</v>
      </c>
      <c r="E1794" s="51">
        <f t="shared" ref="E1794:E1857" si="28">IF(OR(A1794=6,A1794=7,A1794=14,A1794=15,A1794=16,A1794=17,A1794=18,A1794=19,A1794=20,A1794=21,A1794=22,A1794=23,A1794=25,A1794=26,A1794=27,A1794=28,B1794=41,B1794=44,B1794=62),1,0)</f>
        <v>1</v>
      </c>
    </row>
    <row r="1795" spans="1:5">
      <c r="A1795" s="59">
        <v>3</v>
      </c>
      <c r="B1795" s="59">
        <v>62</v>
      </c>
      <c r="C1795" s="59">
        <v>540</v>
      </c>
      <c r="D1795" s="51">
        <v>37</v>
      </c>
      <c r="E1795" s="51">
        <f t="shared" si="28"/>
        <v>1</v>
      </c>
    </row>
    <row r="1796" spans="1:5">
      <c r="A1796" s="59">
        <v>3</v>
      </c>
      <c r="B1796" s="59">
        <v>14</v>
      </c>
      <c r="C1796" s="59">
        <v>130</v>
      </c>
      <c r="D1796" s="51">
        <v>36</v>
      </c>
      <c r="E1796" s="51">
        <f t="shared" si="28"/>
        <v>0</v>
      </c>
    </row>
    <row r="1797" spans="1:5">
      <c r="A1797" s="59">
        <v>3</v>
      </c>
      <c r="B1797" s="59">
        <v>43</v>
      </c>
      <c r="C1797" s="59">
        <v>310</v>
      </c>
      <c r="D1797" s="51">
        <v>34</v>
      </c>
      <c r="E1797" s="51">
        <f t="shared" si="28"/>
        <v>0</v>
      </c>
    </row>
    <row r="1798" spans="1:5">
      <c r="A1798" s="59">
        <v>3</v>
      </c>
      <c r="B1798" s="59">
        <v>14</v>
      </c>
      <c r="C1798" s="59">
        <v>230</v>
      </c>
      <c r="D1798" s="51">
        <v>33</v>
      </c>
      <c r="E1798" s="51">
        <f t="shared" si="28"/>
        <v>0</v>
      </c>
    </row>
    <row r="1799" spans="1:5">
      <c r="A1799" s="59">
        <v>3</v>
      </c>
      <c r="B1799" s="59">
        <v>44</v>
      </c>
      <c r="C1799" s="59">
        <v>720</v>
      </c>
      <c r="D1799" s="51">
        <v>32</v>
      </c>
      <c r="E1799" s="51">
        <f t="shared" si="28"/>
        <v>1</v>
      </c>
    </row>
    <row r="1800" spans="1:5">
      <c r="A1800" s="59">
        <v>3</v>
      </c>
      <c r="B1800" s="59">
        <v>71</v>
      </c>
      <c r="C1800" s="59">
        <v>150</v>
      </c>
      <c r="D1800" s="51">
        <v>32</v>
      </c>
      <c r="E1800" s="51">
        <f t="shared" si="28"/>
        <v>0</v>
      </c>
    </row>
    <row r="1801" spans="1:5">
      <c r="A1801" s="59">
        <v>3</v>
      </c>
      <c r="B1801" s="59">
        <v>81</v>
      </c>
      <c r="C1801" s="59">
        <v>150</v>
      </c>
      <c r="D1801" s="51">
        <v>31</v>
      </c>
      <c r="E1801" s="51">
        <f t="shared" si="28"/>
        <v>0</v>
      </c>
    </row>
    <row r="1802" spans="1:5">
      <c r="A1802" s="59">
        <v>3</v>
      </c>
      <c r="B1802" s="59">
        <v>41</v>
      </c>
      <c r="C1802" s="59">
        <v>160</v>
      </c>
      <c r="D1802" s="51">
        <v>30</v>
      </c>
      <c r="E1802" s="51">
        <f t="shared" si="28"/>
        <v>1</v>
      </c>
    </row>
    <row r="1803" spans="1:5">
      <c r="A1803" s="59">
        <v>3</v>
      </c>
      <c r="B1803" s="59">
        <v>43</v>
      </c>
      <c r="C1803" s="59">
        <v>950</v>
      </c>
      <c r="D1803" s="51">
        <v>30</v>
      </c>
      <c r="E1803" s="51">
        <f t="shared" si="28"/>
        <v>0</v>
      </c>
    </row>
    <row r="1804" spans="1:5">
      <c r="A1804" s="59">
        <v>3</v>
      </c>
      <c r="B1804" s="59">
        <v>62</v>
      </c>
      <c r="C1804" s="59">
        <v>160</v>
      </c>
      <c r="D1804" s="51">
        <v>30</v>
      </c>
      <c r="E1804" s="51">
        <f t="shared" si="28"/>
        <v>1</v>
      </c>
    </row>
    <row r="1805" spans="1:5">
      <c r="A1805" s="59">
        <v>3</v>
      </c>
      <c r="B1805" s="59">
        <v>62</v>
      </c>
      <c r="C1805" s="59">
        <v>150</v>
      </c>
      <c r="D1805" s="51">
        <v>29</v>
      </c>
      <c r="E1805" s="51">
        <f t="shared" si="28"/>
        <v>1</v>
      </c>
    </row>
    <row r="1806" spans="1:5">
      <c r="A1806" s="59">
        <v>3</v>
      </c>
      <c r="B1806" s="59">
        <v>71</v>
      </c>
      <c r="C1806" s="59">
        <v>720</v>
      </c>
      <c r="D1806" s="51">
        <v>29</v>
      </c>
      <c r="E1806" s="51">
        <f t="shared" si="28"/>
        <v>0</v>
      </c>
    </row>
    <row r="1807" spans="1:5">
      <c r="A1807" s="59">
        <v>3</v>
      </c>
      <c r="B1807" s="59">
        <v>33</v>
      </c>
      <c r="C1807" s="59">
        <v>410</v>
      </c>
      <c r="D1807" s="51">
        <v>27</v>
      </c>
      <c r="E1807" s="51">
        <f t="shared" si="28"/>
        <v>0</v>
      </c>
    </row>
    <row r="1808" spans="1:5">
      <c r="A1808" s="59">
        <v>3</v>
      </c>
      <c r="B1808" s="59">
        <v>64</v>
      </c>
      <c r="C1808" s="59">
        <v>740</v>
      </c>
      <c r="D1808" s="51">
        <v>27</v>
      </c>
      <c r="E1808" s="51">
        <f t="shared" si="28"/>
        <v>0</v>
      </c>
    </row>
    <row r="1809" spans="1:5">
      <c r="A1809" s="59">
        <v>3</v>
      </c>
      <c r="B1809" s="59">
        <v>42</v>
      </c>
      <c r="C1809" s="59">
        <v>920</v>
      </c>
      <c r="D1809" s="51">
        <v>26</v>
      </c>
      <c r="E1809" s="51">
        <f t="shared" si="28"/>
        <v>0</v>
      </c>
    </row>
    <row r="1810" spans="1:5">
      <c r="A1810" s="59">
        <v>3</v>
      </c>
      <c r="B1810" s="59">
        <v>64</v>
      </c>
      <c r="C1810" s="59">
        <v>230</v>
      </c>
      <c r="D1810" s="51">
        <v>26</v>
      </c>
      <c r="E1810" s="51">
        <f t="shared" si="28"/>
        <v>0</v>
      </c>
    </row>
    <row r="1811" spans="1:5">
      <c r="A1811" s="59">
        <v>3</v>
      </c>
      <c r="B1811" s="59">
        <v>64</v>
      </c>
      <c r="C1811" s="59">
        <v>430</v>
      </c>
      <c r="D1811" s="51">
        <v>26</v>
      </c>
      <c r="E1811" s="51">
        <f t="shared" si="28"/>
        <v>0</v>
      </c>
    </row>
    <row r="1812" spans="1:5">
      <c r="A1812" s="59">
        <v>3</v>
      </c>
      <c r="B1812" s="59">
        <v>15</v>
      </c>
      <c r="C1812" s="59">
        <v>140</v>
      </c>
      <c r="D1812" s="51">
        <v>25</v>
      </c>
      <c r="E1812" s="51">
        <f t="shared" si="28"/>
        <v>0</v>
      </c>
    </row>
    <row r="1813" spans="1:5">
      <c r="A1813" s="59">
        <v>3</v>
      </c>
      <c r="B1813" s="59">
        <v>22</v>
      </c>
      <c r="C1813" s="59">
        <v>230</v>
      </c>
      <c r="D1813" s="51">
        <v>25</v>
      </c>
      <c r="E1813" s="51">
        <f t="shared" si="28"/>
        <v>0</v>
      </c>
    </row>
    <row r="1814" spans="1:5">
      <c r="A1814" s="59">
        <v>3</v>
      </c>
      <c r="B1814" s="59">
        <v>32</v>
      </c>
      <c r="C1814" s="59">
        <v>610</v>
      </c>
      <c r="D1814" s="51">
        <v>25</v>
      </c>
      <c r="E1814" s="51">
        <f t="shared" si="28"/>
        <v>0</v>
      </c>
    </row>
    <row r="1815" spans="1:5">
      <c r="A1815" s="59">
        <v>3</v>
      </c>
      <c r="B1815" s="59">
        <v>43</v>
      </c>
      <c r="C1815" s="59">
        <v>430</v>
      </c>
      <c r="D1815" s="51">
        <v>25</v>
      </c>
      <c r="E1815" s="51">
        <f t="shared" si="28"/>
        <v>0</v>
      </c>
    </row>
    <row r="1816" spans="1:5">
      <c r="A1816" s="59">
        <v>3</v>
      </c>
      <c r="B1816" s="59">
        <v>43</v>
      </c>
      <c r="C1816" s="59">
        <v>970</v>
      </c>
      <c r="D1816" s="51">
        <v>25</v>
      </c>
      <c r="E1816" s="51">
        <f t="shared" si="28"/>
        <v>0</v>
      </c>
    </row>
    <row r="1817" spans="1:5">
      <c r="A1817" s="59">
        <v>3</v>
      </c>
      <c r="B1817" s="59">
        <v>33</v>
      </c>
      <c r="C1817" s="59">
        <v>430</v>
      </c>
      <c r="D1817" s="51">
        <v>24</v>
      </c>
      <c r="E1817" s="51">
        <f t="shared" si="28"/>
        <v>0</v>
      </c>
    </row>
    <row r="1818" spans="1:5">
      <c r="A1818" s="59">
        <v>3</v>
      </c>
      <c r="B1818" s="59">
        <v>43</v>
      </c>
      <c r="C1818" s="59">
        <v>330</v>
      </c>
      <c r="D1818" s="51">
        <v>24</v>
      </c>
      <c r="E1818" s="51">
        <f t="shared" si="28"/>
        <v>0</v>
      </c>
    </row>
    <row r="1819" spans="1:5">
      <c r="A1819" s="59">
        <v>3</v>
      </c>
      <c r="B1819" s="59">
        <v>71</v>
      </c>
      <c r="C1819" s="59">
        <v>410</v>
      </c>
      <c r="D1819" s="51">
        <v>24</v>
      </c>
      <c r="E1819" s="51">
        <f t="shared" si="28"/>
        <v>0</v>
      </c>
    </row>
    <row r="1820" spans="1:5">
      <c r="A1820" s="59">
        <v>3</v>
      </c>
      <c r="B1820" s="59">
        <v>71</v>
      </c>
      <c r="C1820" s="59">
        <v>730</v>
      </c>
      <c r="D1820" s="51">
        <v>24</v>
      </c>
      <c r="E1820" s="51">
        <f t="shared" si="28"/>
        <v>0</v>
      </c>
    </row>
    <row r="1821" spans="1:5">
      <c r="A1821" s="59">
        <v>3</v>
      </c>
      <c r="B1821" s="59">
        <v>13</v>
      </c>
      <c r="C1821" s="59">
        <v>130</v>
      </c>
      <c r="D1821" s="51">
        <v>23</v>
      </c>
      <c r="E1821" s="51">
        <f t="shared" si="28"/>
        <v>0</v>
      </c>
    </row>
    <row r="1822" spans="1:5">
      <c r="A1822" s="59">
        <v>3</v>
      </c>
      <c r="B1822" s="59">
        <v>13</v>
      </c>
      <c r="C1822" s="59">
        <v>210</v>
      </c>
      <c r="D1822" s="51">
        <v>23</v>
      </c>
      <c r="E1822" s="51">
        <f t="shared" si="28"/>
        <v>0</v>
      </c>
    </row>
    <row r="1823" spans="1:5">
      <c r="A1823" s="59">
        <v>3</v>
      </c>
      <c r="B1823" s="59">
        <v>13</v>
      </c>
      <c r="C1823" s="59">
        <v>230</v>
      </c>
      <c r="D1823" s="51">
        <v>23</v>
      </c>
      <c r="E1823" s="51">
        <f t="shared" si="28"/>
        <v>0</v>
      </c>
    </row>
    <row r="1824" spans="1:5">
      <c r="A1824" s="59">
        <v>3</v>
      </c>
      <c r="B1824" s="59">
        <v>42</v>
      </c>
      <c r="C1824" s="59">
        <v>540</v>
      </c>
      <c r="D1824" s="51">
        <v>22</v>
      </c>
      <c r="E1824" s="51">
        <f t="shared" si="28"/>
        <v>0</v>
      </c>
    </row>
    <row r="1825" spans="1:5">
      <c r="A1825" s="59">
        <v>3</v>
      </c>
      <c r="B1825" s="59">
        <v>71</v>
      </c>
      <c r="C1825" s="59">
        <v>630</v>
      </c>
      <c r="D1825" s="51">
        <v>22</v>
      </c>
      <c r="E1825" s="51">
        <f t="shared" si="28"/>
        <v>0</v>
      </c>
    </row>
    <row r="1826" spans="1:5">
      <c r="A1826" s="59">
        <v>3</v>
      </c>
      <c r="B1826" s="59">
        <v>81</v>
      </c>
      <c r="C1826" s="59">
        <v>920</v>
      </c>
      <c r="D1826" s="51">
        <v>22</v>
      </c>
      <c r="E1826" s="51">
        <f t="shared" si="28"/>
        <v>0</v>
      </c>
    </row>
    <row r="1827" spans="1:5">
      <c r="A1827" s="59">
        <v>3</v>
      </c>
      <c r="B1827" s="59">
        <v>33</v>
      </c>
      <c r="C1827" s="59">
        <v>510</v>
      </c>
      <c r="D1827" s="51">
        <v>21</v>
      </c>
      <c r="E1827" s="51">
        <f t="shared" si="28"/>
        <v>0</v>
      </c>
    </row>
    <row r="1828" spans="1:5">
      <c r="A1828" s="59">
        <v>3</v>
      </c>
      <c r="B1828" s="59">
        <v>33</v>
      </c>
      <c r="C1828" s="59">
        <v>530</v>
      </c>
      <c r="D1828" s="51">
        <v>21</v>
      </c>
      <c r="E1828" s="51">
        <f t="shared" si="28"/>
        <v>0</v>
      </c>
    </row>
    <row r="1829" spans="1:5">
      <c r="A1829" s="59">
        <v>3</v>
      </c>
      <c r="B1829" s="59">
        <v>41</v>
      </c>
      <c r="C1829" s="59">
        <v>730</v>
      </c>
      <c r="D1829" s="51">
        <v>21</v>
      </c>
      <c r="E1829" s="51">
        <f t="shared" si="28"/>
        <v>1</v>
      </c>
    </row>
    <row r="1830" spans="1:5">
      <c r="A1830" s="59">
        <v>3</v>
      </c>
      <c r="B1830" s="59">
        <v>64</v>
      </c>
      <c r="C1830" s="59">
        <v>220</v>
      </c>
      <c r="D1830" s="51">
        <v>20</v>
      </c>
      <c r="E1830" s="51">
        <f t="shared" si="28"/>
        <v>0</v>
      </c>
    </row>
    <row r="1831" spans="1:5">
      <c r="A1831" s="59">
        <v>3</v>
      </c>
      <c r="B1831" s="59">
        <v>71</v>
      </c>
      <c r="C1831" s="59">
        <v>210</v>
      </c>
      <c r="D1831" s="51">
        <v>20</v>
      </c>
      <c r="E1831" s="51">
        <f t="shared" si="28"/>
        <v>0</v>
      </c>
    </row>
    <row r="1832" spans="1:5">
      <c r="A1832" s="59">
        <v>3</v>
      </c>
      <c r="B1832" s="59">
        <v>42</v>
      </c>
      <c r="C1832" s="59">
        <v>110</v>
      </c>
      <c r="D1832" s="51">
        <v>19</v>
      </c>
      <c r="E1832" s="51">
        <f t="shared" si="28"/>
        <v>0</v>
      </c>
    </row>
    <row r="1833" spans="1:5">
      <c r="A1833" s="59">
        <v>3</v>
      </c>
      <c r="B1833" s="59">
        <v>42</v>
      </c>
      <c r="C1833" s="59">
        <v>550</v>
      </c>
      <c r="D1833" s="51">
        <v>19</v>
      </c>
      <c r="E1833" s="51">
        <f t="shared" si="28"/>
        <v>0</v>
      </c>
    </row>
    <row r="1834" spans="1:5">
      <c r="A1834" s="59">
        <v>3</v>
      </c>
      <c r="B1834" s="59">
        <v>43</v>
      </c>
      <c r="C1834" s="59">
        <v>140</v>
      </c>
      <c r="D1834" s="51">
        <v>19</v>
      </c>
      <c r="E1834" s="51">
        <f t="shared" si="28"/>
        <v>0</v>
      </c>
    </row>
    <row r="1835" spans="1:5">
      <c r="A1835" s="59">
        <v>3</v>
      </c>
      <c r="B1835" s="59">
        <v>43</v>
      </c>
      <c r="C1835" s="59">
        <v>440</v>
      </c>
      <c r="D1835" s="51">
        <v>19</v>
      </c>
      <c r="E1835" s="51">
        <f t="shared" si="28"/>
        <v>0</v>
      </c>
    </row>
    <row r="1836" spans="1:5">
      <c r="A1836" s="59">
        <v>3</v>
      </c>
      <c r="B1836" s="59">
        <v>64</v>
      </c>
      <c r="C1836" s="59">
        <v>310</v>
      </c>
      <c r="D1836" s="51">
        <v>19</v>
      </c>
      <c r="E1836" s="51">
        <f t="shared" si="28"/>
        <v>0</v>
      </c>
    </row>
    <row r="1837" spans="1:5">
      <c r="A1837" s="59">
        <v>3</v>
      </c>
      <c r="B1837" s="59">
        <v>13</v>
      </c>
      <c r="C1837" s="59">
        <v>310</v>
      </c>
      <c r="D1837" s="51">
        <v>18</v>
      </c>
      <c r="E1837" s="51">
        <f t="shared" si="28"/>
        <v>0</v>
      </c>
    </row>
    <row r="1838" spans="1:5">
      <c r="A1838" s="59">
        <v>3</v>
      </c>
      <c r="B1838" s="59">
        <v>44</v>
      </c>
      <c r="C1838" s="59">
        <v>110</v>
      </c>
      <c r="D1838" s="51">
        <v>18</v>
      </c>
      <c r="E1838" s="51">
        <f t="shared" si="28"/>
        <v>1</v>
      </c>
    </row>
    <row r="1839" spans="1:5">
      <c r="A1839" s="59">
        <v>3</v>
      </c>
      <c r="B1839" s="59">
        <v>64</v>
      </c>
      <c r="C1839" s="59">
        <v>750</v>
      </c>
      <c r="D1839" s="51">
        <v>18</v>
      </c>
      <c r="E1839" s="51">
        <f t="shared" si="28"/>
        <v>0</v>
      </c>
    </row>
    <row r="1840" spans="1:5">
      <c r="A1840" s="59">
        <v>3</v>
      </c>
      <c r="B1840" s="59">
        <v>81</v>
      </c>
      <c r="C1840" s="59">
        <v>720</v>
      </c>
      <c r="D1840" s="51">
        <v>18</v>
      </c>
      <c r="E1840" s="51">
        <f t="shared" si="28"/>
        <v>0</v>
      </c>
    </row>
    <row r="1841" spans="1:5">
      <c r="A1841" s="59">
        <v>3</v>
      </c>
      <c r="B1841" s="59">
        <v>12</v>
      </c>
      <c r="C1841" s="59">
        <v>520</v>
      </c>
      <c r="D1841" s="51">
        <v>17</v>
      </c>
      <c r="E1841" s="51">
        <f t="shared" si="28"/>
        <v>0</v>
      </c>
    </row>
    <row r="1842" spans="1:5">
      <c r="A1842" s="59">
        <v>3</v>
      </c>
      <c r="B1842" s="59">
        <v>13</v>
      </c>
      <c r="C1842" s="59">
        <v>920</v>
      </c>
      <c r="D1842" s="51">
        <v>17</v>
      </c>
      <c r="E1842" s="51">
        <f t="shared" si="28"/>
        <v>0</v>
      </c>
    </row>
    <row r="1843" spans="1:5">
      <c r="A1843" s="59">
        <v>3</v>
      </c>
      <c r="B1843" s="59">
        <v>16</v>
      </c>
      <c r="C1843" s="59">
        <v>160</v>
      </c>
      <c r="D1843" s="51">
        <v>17</v>
      </c>
      <c r="E1843" s="51">
        <f t="shared" si="28"/>
        <v>0</v>
      </c>
    </row>
    <row r="1844" spans="1:5">
      <c r="A1844" s="59">
        <v>3</v>
      </c>
      <c r="B1844" s="59">
        <v>16</v>
      </c>
      <c r="C1844" s="59">
        <v>530</v>
      </c>
      <c r="D1844" s="51">
        <v>17</v>
      </c>
      <c r="E1844" s="51">
        <f t="shared" si="28"/>
        <v>0</v>
      </c>
    </row>
    <row r="1845" spans="1:5">
      <c r="A1845" s="59">
        <v>3</v>
      </c>
      <c r="B1845" s="59">
        <v>32</v>
      </c>
      <c r="C1845" s="59">
        <v>430</v>
      </c>
      <c r="D1845" s="51">
        <v>17</v>
      </c>
      <c r="E1845" s="51">
        <f t="shared" si="28"/>
        <v>0</v>
      </c>
    </row>
    <row r="1846" spans="1:5">
      <c r="A1846" s="59">
        <v>3</v>
      </c>
      <c r="B1846" s="59">
        <v>42</v>
      </c>
      <c r="C1846" s="59">
        <v>150</v>
      </c>
      <c r="D1846" s="51">
        <v>16</v>
      </c>
      <c r="E1846" s="51">
        <f t="shared" si="28"/>
        <v>0</v>
      </c>
    </row>
    <row r="1847" spans="1:5">
      <c r="A1847" s="59">
        <v>3</v>
      </c>
      <c r="B1847" s="59">
        <v>43</v>
      </c>
      <c r="C1847" s="59">
        <v>990</v>
      </c>
      <c r="D1847" s="51">
        <v>16</v>
      </c>
      <c r="E1847" s="51">
        <f t="shared" si="28"/>
        <v>0</v>
      </c>
    </row>
    <row r="1848" spans="1:5">
      <c r="A1848" s="59">
        <v>3</v>
      </c>
      <c r="B1848" s="59">
        <v>64</v>
      </c>
      <c r="C1848" s="59">
        <v>970</v>
      </c>
      <c r="D1848" s="51">
        <v>16</v>
      </c>
      <c r="E1848" s="51">
        <f t="shared" si="28"/>
        <v>0</v>
      </c>
    </row>
    <row r="1849" spans="1:5">
      <c r="A1849" s="59">
        <v>3</v>
      </c>
      <c r="B1849" s="59">
        <v>13</v>
      </c>
      <c r="C1849" s="59">
        <v>540</v>
      </c>
      <c r="D1849" s="51">
        <v>15</v>
      </c>
      <c r="E1849" s="51">
        <f t="shared" si="28"/>
        <v>0</v>
      </c>
    </row>
    <row r="1850" spans="1:5">
      <c r="A1850" s="59">
        <v>3</v>
      </c>
      <c r="B1850" s="59">
        <v>16</v>
      </c>
      <c r="C1850" s="59">
        <v>210</v>
      </c>
      <c r="D1850" s="51">
        <v>15</v>
      </c>
      <c r="E1850" s="51">
        <f t="shared" si="28"/>
        <v>0</v>
      </c>
    </row>
    <row r="1851" spans="1:5">
      <c r="A1851" s="59">
        <v>3</v>
      </c>
      <c r="B1851" s="59">
        <v>22</v>
      </c>
      <c r="C1851" s="59">
        <v>510</v>
      </c>
      <c r="D1851" s="51">
        <v>15</v>
      </c>
      <c r="E1851" s="51">
        <f t="shared" si="28"/>
        <v>0</v>
      </c>
    </row>
    <row r="1852" spans="1:5">
      <c r="A1852" s="59">
        <v>3</v>
      </c>
      <c r="B1852" s="59">
        <v>44</v>
      </c>
      <c r="C1852" s="59">
        <v>160</v>
      </c>
      <c r="D1852" s="51">
        <v>15</v>
      </c>
      <c r="E1852" s="51">
        <f t="shared" si="28"/>
        <v>1</v>
      </c>
    </row>
    <row r="1853" spans="1:5">
      <c r="A1853" s="59">
        <v>3</v>
      </c>
      <c r="B1853" s="59">
        <v>44</v>
      </c>
      <c r="C1853" s="59">
        <v>940</v>
      </c>
      <c r="D1853" s="51">
        <v>15</v>
      </c>
      <c r="E1853" s="51">
        <f t="shared" si="28"/>
        <v>1</v>
      </c>
    </row>
    <row r="1854" spans="1:5">
      <c r="A1854" s="59">
        <v>3</v>
      </c>
      <c r="B1854" s="59">
        <v>62</v>
      </c>
      <c r="C1854" s="59">
        <v>750</v>
      </c>
      <c r="D1854" s="51">
        <v>15</v>
      </c>
      <c r="E1854" s="51">
        <f t="shared" si="28"/>
        <v>1</v>
      </c>
    </row>
    <row r="1855" spans="1:5">
      <c r="A1855" s="59">
        <v>3</v>
      </c>
      <c r="B1855" s="59">
        <v>81</v>
      </c>
      <c r="C1855" s="59">
        <v>110</v>
      </c>
      <c r="D1855" s="51">
        <v>15</v>
      </c>
      <c r="E1855" s="51">
        <f t="shared" si="28"/>
        <v>0</v>
      </c>
    </row>
    <row r="1856" spans="1:5">
      <c r="A1856" s="59">
        <v>3</v>
      </c>
      <c r="B1856" s="59">
        <v>14</v>
      </c>
      <c r="C1856" s="59">
        <v>920</v>
      </c>
      <c r="D1856" s="51">
        <v>14</v>
      </c>
      <c r="E1856" s="51">
        <f t="shared" si="28"/>
        <v>0</v>
      </c>
    </row>
    <row r="1857" spans="1:5">
      <c r="A1857" s="59">
        <v>3</v>
      </c>
      <c r="B1857" s="59">
        <v>16</v>
      </c>
      <c r="C1857" s="59">
        <v>320</v>
      </c>
      <c r="D1857" s="51">
        <v>14</v>
      </c>
      <c r="E1857" s="51">
        <f t="shared" si="28"/>
        <v>0</v>
      </c>
    </row>
    <row r="1858" spans="1:5">
      <c r="A1858" s="59">
        <v>3</v>
      </c>
      <c r="B1858" s="59">
        <v>22</v>
      </c>
      <c r="C1858" s="59">
        <v>910</v>
      </c>
      <c r="D1858" s="51">
        <v>14</v>
      </c>
      <c r="E1858" s="51">
        <f t="shared" ref="E1858:E1921" si="29">IF(OR(A1858=6,A1858=7,A1858=14,A1858=15,A1858=16,A1858=17,A1858=18,A1858=19,A1858=20,A1858=21,A1858=22,A1858=23,A1858=25,A1858=26,A1858=27,A1858=28,B1858=41,B1858=44,B1858=62),1,0)</f>
        <v>0</v>
      </c>
    </row>
    <row r="1859" spans="1:5">
      <c r="A1859" s="59">
        <v>3</v>
      </c>
      <c r="B1859" s="59">
        <v>43</v>
      </c>
      <c r="C1859" s="59">
        <v>220</v>
      </c>
      <c r="D1859" s="51">
        <v>14</v>
      </c>
      <c r="E1859" s="51">
        <f t="shared" si="29"/>
        <v>0</v>
      </c>
    </row>
    <row r="1860" spans="1:5">
      <c r="A1860" s="59">
        <v>3</v>
      </c>
      <c r="B1860" s="59">
        <v>81</v>
      </c>
      <c r="C1860" s="59">
        <v>730</v>
      </c>
      <c r="D1860" s="51">
        <v>14</v>
      </c>
      <c r="E1860" s="51">
        <f t="shared" si="29"/>
        <v>0</v>
      </c>
    </row>
    <row r="1861" spans="1:5">
      <c r="A1861" s="59">
        <v>3</v>
      </c>
      <c r="B1861" s="59">
        <v>11</v>
      </c>
      <c r="C1861" s="59">
        <v>520</v>
      </c>
      <c r="D1861" s="51">
        <v>13</v>
      </c>
      <c r="E1861" s="51">
        <f t="shared" si="29"/>
        <v>0</v>
      </c>
    </row>
    <row r="1862" spans="1:5">
      <c r="A1862" s="59">
        <v>3</v>
      </c>
      <c r="B1862" s="59">
        <v>33</v>
      </c>
      <c r="C1862" s="59">
        <v>910</v>
      </c>
      <c r="D1862" s="51">
        <v>13</v>
      </c>
      <c r="E1862" s="51">
        <f t="shared" si="29"/>
        <v>0</v>
      </c>
    </row>
    <row r="1863" spans="1:5">
      <c r="A1863" s="59">
        <v>3</v>
      </c>
      <c r="B1863" s="59">
        <v>61</v>
      </c>
      <c r="C1863" s="59">
        <v>520</v>
      </c>
      <c r="D1863" s="51">
        <v>13</v>
      </c>
      <c r="E1863" s="51">
        <f t="shared" si="29"/>
        <v>0</v>
      </c>
    </row>
    <row r="1864" spans="1:5">
      <c r="A1864" s="59">
        <v>3</v>
      </c>
      <c r="B1864" s="59">
        <v>64</v>
      </c>
      <c r="C1864" s="59">
        <v>930</v>
      </c>
      <c r="D1864" s="51">
        <v>13</v>
      </c>
      <c r="E1864" s="51">
        <f t="shared" si="29"/>
        <v>0</v>
      </c>
    </row>
    <row r="1865" spans="1:5">
      <c r="A1865" s="59">
        <v>3</v>
      </c>
      <c r="B1865" s="59">
        <v>64</v>
      </c>
      <c r="C1865" s="59">
        <v>990</v>
      </c>
      <c r="D1865" s="51">
        <v>13</v>
      </c>
      <c r="E1865" s="51">
        <f t="shared" si="29"/>
        <v>0</v>
      </c>
    </row>
    <row r="1866" spans="1:5">
      <c r="A1866" s="59">
        <v>3</v>
      </c>
      <c r="B1866" s="59">
        <v>13</v>
      </c>
      <c r="C1866" s="59">
        <v>120</v>
      </c>
      <c r="D1866" s="51">
        <v>12</v>
      </c>
      <c r="E1866" s="51">
        <f t="shared" si="29"/>
        <v>0</v>
      </c>
    </row>
    <row r="1867" spans="1:5">
      <c r="A1867" s="59">
        <v>3</v>
      </c>
      <c r="B1867" s="59">
        <v>15</v>
      </c>
      <c r="C1867" s="59">
        <v>510</v>
      </c>
      <c r="D1867" s="51">
        <v>12</v>
      </c>
      <c r="E1867" s="51">
        <f t="shared" si="29"/>
        <v>0</v>
      </c>
    </row>
    <row r="1868" spans="1:5">
      <c r="A1868" s="59">
        <v>3</v>
      </c>
      <c r="B1868" s="59">
        <v>22</v>
      </c>
      <c r="C1868" s="59">
        <v>210</v>
      </c>
      <c r="D1868" s="51">
        <v>12</v>
      </c>
      <c r="E1868" s="51">
        <f t="shared" si="29"/>
        <v>0</v>
      </c>
    </row>
    <row r="1869" spans="1:5">
      <c r="A1869" s="59">
        <v>3</v>
      </c>
      <c r="B1869" s="59">
        <v>42</v>
      </c>
      <c r="C1869" s="59">
        <v>720</v>
      </c>
      <c r="D1869" s="51">
        <v>12</v>
      </c>
      <c r="E1869" s="51">
        <f t="shared" si="29"/>
        <v>0</v>
      </c>
    </row>
    <row r="1870" spans="1:5">
      <c r="A1870" s="59">
        <v>3</v>
      </c>
      <c r="B1870" s="59">
        <v>43</v>
      </c>
      <c r="C1870" s="59">
        <v>130</v>
      </c>
      <c r="D1870" s="51">
        <v>12</v>
      </c>
      <c r="E1870" s="51">
        <f t="shared" si="29"/>
        <v>0</v>
      </c>
    </row>
    <row r="1871" spans="1:5">
      <c r="A1871" s="59">
        <v>3</v>
      </c>
      <c r="B1871" s="59">
        <v>62</v>
      </c>
      <c r="C1871" s="59">
        <v>210</v>
      </c>
      <c r="D1871" s="51">
        <v>12</v>
      </c>
      <c r="E1871" s="51">
        <f t="shared" si="29"/>
        <v>1</v>
      </c>
    </row>
    <row r="1872" spans="1:5">
      <c r="A1872" s="59">
        <v>3</v>
      </c>
      <c r="B1872" s="59">
        <v>63</v>
      </c>
      <c r="C1872" s="59">
        <v>640</v>
      </c>
      <c r="D1872" s="51">
        <v>12</v>
      </c>
      <c r="E1872" s="51">
        <f t="shared" si="29"/>
        <v>0</v>
      </c>
    </row>
    <row r="1873" spans="1:5">
      <c r="A1873" s="59">
        <v>3</v>
      </c>
      <c r="B1873" s="59">
        <v>64</v>
      </c>
      <c r="C1873" s="59">
        <v>330</v>
      </c>
      <c r="D1873" s="51">
        <v>12</v>
      </c>
      <c r="E1873" s="51">
        <f t="shared" si="29"/>
        <v>0</v>
      </c>
    </row>
    <row r="1874" spans="1:5">
      <c r="A1874" s="59">
        <v>3</v>
      </c>
      <c r="B1874" s="59">
        <v>64</v>
      </c>
      <c r="C1874" s="59">
        <v>630</v>
      </c>
      <c r="D1874" s="51">
        <v>12</v>
      </c>
      <c r="E1874" s="51">
        <f t="shared" si="29"/>
        <v>0</v>
      </c>
    </row>
    <row r="1875" spans="1:5">
      <c r="A1875" s="59">
        <v>3</v>
      </c>
      <c r="B1875" s="59">
        <v>81</v>
      </c>
      <c r="C1875" s="59">
        <v>620</v>
      </c>
      <c r="D1875" s="51">
        <v>12</v>
      </c>
      <c r="E1875" s="51">
        <f t="shared" si="29"/>
        <v>0</v>
      </c>
    </row>
    <row r="1876" spans="1:5">
      <c r="A1876" s="59">
        <v>3</v>
      </c>
      <c r="B1876" s="59">
        <v>14</v>
      </c>
      <c r="C1876" s="59">
        <v>120</v>
      </c>
      <c r="D1876" s="51">
        <v>11</v>
      </c>
      <c r="E1876" s="51">
        <f t="shared" si="29"/>
        <v>0</v>
      </c>
    </row>
    <row r="1877" spans="1:5">
      <c r="A1877" s="59">
        <v>3</v>
      </c>
      <c r="B1877" s="59">
        <v>14</v>
      </c>
      <c r="C1877" s="59">
        <v>420</v>
      </c>
      <c r="D1877" s="51">
        <v>11</v>
      </c>
      <c r="E1877" s="51">
        <f t="shared" si="29"/>
        <v>0</v>
      </c>
    </row>
    <row r="1878" spans="1:5">
      <c r="A1878" s="59">
        <v>3</v>
      </c>
      <c r="B1878" s="59">
        <v>41</v>
      </c>
      <c r="C1878" s="59">
        <v>110</v>
      </c>
      <c r="D1878" s="51">
        <v>11</v>
      </c>
      <c r="E1878" s="51">
        <f t="shared" si="29"/>
        <v>1</v>
      </c>
    </row>
    <row r="1879" spans="1:5">
      <c r="A1879" s="59">
        <v>3</v>
      </c>
      <c r="B1879" s="59">
        <v>43</v>
      </c>
      <c r="C1879" s="59">
        <v>320</v>
      </c>
      <c r="D1879" s="51">
        <v>11</v>
      </c>
      <c r="E1879" s="51">
        <f t="shared" si="29"/>
        <v>0</v>
      </c>
    </row>
    <row r="1880" spans="1:5">
      <c r="A1880" s="59">
        <v>3</v>
      </c>
      <c r="B1880" s="59">
        <v>63</v>
      </c>
      <c r="C1880" s="59">
        <v>750</v>
      </c>
      <c r="D1880" s="51">
        <v>11</v>
      </c>
      <c r="E1880" s="51">
        <f t="shared" si="29"/>
        <v>0</v>
      </c>
    </row>
    <row r="1881" spans="1:5">
      <c r="A1881" s="59">
        <v>3</v>
      </c>
      <c r="B1881" s="59">
        <v>64</v>
      </c>
      <c r="C1881" s="59">
        <v>320</v>
      </c>
      <c r="D1881" s="51">
        <v>11</v>
      </c>
      <c r="E1881" s="51">
        <f t="shared" si="29"/>
        <v>0</v>
      </c>
    </row>
    <row r="1882" spans="1:5">
      <c r="A1882" s="59">
        <v>3</v>
      </c>
      <c r="B1882" s="59">
        <v>64</v>
      </c>
      <c r="C1882" s="59">
        <v>940</v>
      </c>
      <c r="D1882" s="51">
        <v>11</v>
      </c>
      <c r="E1882" s="51">
        <f t="shared" si="29"/>
        <v>0</v>
      </c>
    </row>
    <row r="1883" spans="1:5">
      <c r="A1883" s="59">
        <v>3</v>
      </c>
      <c r="B1883" s="59">
        <v>13</v>
      </c>
      <c r="C1883" s="59">
        <v>330</v>
      </c>
      <c r="D1883" s="51">
        <v>10</v>
      </c>
      <c r="E1883" s="51">
        <f t="shared" si="29"/>
        <v>0</v>
      </c>
    </row>
    <row r="1884" spans="1:5">
      <c r="A1884" s="59">
        <v>3</v>
      </c>
      <c r="B1884" s="59">
        <v>15</v>
      </c>
      <c r="C1884" s="59">
        <v>530</v>
      </c>
      <c r="D1884" s="51">
        <v>10</v>
      </c>
      <c r="E1884" s="51">
        <f t="shared" si="29"/>
        <v>0</v>
      </c>
    </row>
    <row r="1885" spans="1:5">
      <c r="A1885" s="59">
        <v>3</v>
      </c>
      <c r="B1885" s="59">
        <v>43</v>
      </c>
      <c r="C1885" s="59">
        <v>120</v>
      </c>
      <c r="D1885" s="51">
        <v>10</v>
      </c>
      <c r="E1885" s="51">
        <f t="shared" si="29"/>
        <v>0</v>
      </c>
    </row>
    <row r="1886" spans="1:5">
      <c r="A1886" s="59">
        <v>3</v>
      </c>
      <c r="B1886" s="59">
        <v>51</v>
      </c>
      <c r="C1886" s="59">
        <v>510</v>
      </c>
      <c r="D1886" s="51">
        <v>10</v>
      </c>
      <c r="E1886" s="51">
        <f t="shared" si="29"/>
        <v>0</v>
      </c>
    </row>
    <row r="1887" spans="1:5">
      <c r="A1887" s="59">
        <v>3</v>
      </c>
      <c r="B1887" s="59">
        <v>11</v>
      </c>
      <c r="C1887" s="59">
        <v>510</v>
      </c>
      <c r="D1887" s="51">
        <v>9</v>
      </c>
      <c r="E1887" s="51">
        <f t="shared" si="29"/>
        <v>0</v>
      </c>
    </row>
    <row r="1888" spans="1:5">
      <c r="A1888" s="59">
        <v>3</v>
      </c>
      <c r="B1888" s="59">
        <v>14</v>
      </c>
      <c r="C1888" s="59">
        <v>430</v>
      </c>
      <c r="D1888" s="51">
        <v>9</v>
      </c>
      <c r="E1888" s="51">
        <f t="shared" si="29"/>
        <v>0</v>
      </c>
    </row>
    <row r="1889" spans="1:5">
      <c r="A1889" s="59">
        <v>3</v>
      </c>
      <c r="B1889" s="59">
        <v>41</v>
      </c>
      <c r="C1889" s="59">
        <v>620</v>
      </c>
      <c r="D1889" s="51">
        <v>9</v>
      </c>
      <c r="E1889" s="51">
        <f t="shared" si="29"/>
        <v>1</v>
      </c>
    </row>
    <row r="1890" spans="1:5">
      <c r="A1890" s="59">
        <v>3</v>
      </c>
      <c r="B1890" s="59">
        <v>44</v>
      </c>
      <c r="C1890" s="59">
        <v>730</v>
      </c>
      <c r="D1890" s="51">
        <v>9</v>
      </c>
      <c r="E1890" s="51">
        <f t="shared" si="29"/>
        <v>1</v>
      </c>
    </row>
    <row r="1891" spans="1:5">
      <c r="A1891" s="59">
        <v>3</v>
      </c>
      <c r="B1891" s="59">
        <v>62</v>
      </c>
      <c r="C1891" s="59">
        <v>710</v>
      </c>
      <c r="D1891" s="51">
        <v>9</v>
      </c>
      <c r="E1891" s="51">
        <f t="shared" si="29"/>
        <v>1</v>
      </c>
    </row>
    <row r="1892" spans="1:5">
      <c r="A1892" s="59">
        <v>3</v>
      </c>
      <c r="B1892" s="59">
        <v>62</v>
      </c>
      <c r="C1892" s="59">
        <v>990</v>
      </c>
      <c r="D1892" s="51">
        <v>9</v>
      </c>
      <c r="E1892" s="51">
        <f t="shared" si="29"/>
        <v>1</v>
      </c>
    </row>
    <row r="1893" spans="1:5">
      <c r="A1893" s="59">
        <v>3</v>
      </c>
      <c r="B1893" s="59">
        <v>64</v>
      </c>
      <c r="C1893" s="59">
        <v>140</v>
      </c>
      <c r="D1893" s="51">
        <v>9</v>
      </c>
      <c r="E1893" s="51">
        <f t="shared" si="29"/>
        <v>0</v>
      </c>
    </row>
    <row r="1894" spans="1:5">
      <c r="A1894" s="59">
        <v>3</v>
      </c>
      <c r="B1894" s="59">
        <v>81</v>
      </c>
      <c r="C1894" s="59">
        <v>160</v>
      </c>
      <c r="D1894" s="51">
        <v>9</v>
      </c>
      <c r="E1894" s="51">
        <f t="shared" si="29"/>
        <v>0</v>
      </c>
    </row>
    <row r="1895" spans="1:5">
      <c r="A1895" s="59">
        <v>3</v>
      </c>
      <c r="B1895" s="59">
        <v>14</v>
      </c>
      <c r="C1895" s="59">
        <v>620</v>
      </c>
      <c r="D1895" s="51">
        <v>8</v>
      </c>
      <c r="E1895" s="51">
        <f t="shared" si="29"/>
        <v>0</v>
      </c>
    </row>
    <row r="1896" spans="1:5">
      <c r="A1896" s="59">
        <v>3</v>
      </c>
      <c r="B1896" s="59">
        <v>22</v>
      </c>
      <c r="C1896" s="59">
        <v>240</v>
      </c>
      <c r="D1896" s="51">
        <v>8</v>
      </c>
      <c r="E1896" s="51">
        <f t="shared" si="29"/>
        <v>0</v>
      </c>
    </row>
    <row r="1897" spans="1:5">
      <c r="A1897" s="59">
        <v>3</v>
      </c>
      <c r="B1897" s="59">
        <v>22</v>
      </c>
      <c r="C1897" s="59">
        <v>320</v>
      </c>
      <c r="D1897" s="51">
        <v>8</v>
      </c>
      <c r="E1897" s="51">
        <f t="shared" si="29"/>
        <v>0</v>
      </c>
    </row>
    <row r="1898" spans="1:5">
      <c r="A1898" s="59">
        <v>3</v>
      </c>
      <c r="B1898" s="59">
        <v>41</v>
      </c>
      <c r="C1898" s="59">
        <v>930</v>
      </c>
      <c r="D1898" s="51">
        <v>8</v>
      </c>
      <c r="E1898" s="51">
        <f t="shared" si="29"/>
        <v>1</v>
      </c>
    </row>
    <row r="1899" spans="1:5">
      <c r="A1899" s="59">
        <v>3</v>
      </c>
      <c r="B1899" s="59">
        <v>42</v>
      </c>
      <c r="C1899" s="59">
        <v>730</v>
      </c>
      <c r="D1899" s="51">
        <v>8</v>
      </c>
      <c r="E1899" s="51">
        <f t="shared" si="29"/>
        <v>0</v>
      </c>
    </row>
    <row r="1900" spans="1:5">
      <c r="A1900" s="59">
        <v>3</v>
      </c>
      <c r="B1900" s="59">
        <v>51</v>
      </c>
      <c r="C1900" s="59">
        <v>610</v>
      </c>
      <c r="D1900" s="51">
        <v>8</v>
      </c>
      <c r="E1900" s="51">
        <f t="shared" si="29"/>
        <v>0</v>
      </c>
    </row>
    <row r="1901" spans="1:5">
      <c r="A1901" s="59">
        <v>3</v>
      </c>
      <c r="B1901" s="59">
        <v>62</v>
      </c>
      <c r="C1901" s="59">
        <v>410</v>
      </c>
      <c r="D1901" s="51">
        <v>8</v>
      </c>
      <c r="E1901" s="51">
        <f t="shared" si="29"/>
        <v>1</v>
      </c>
    </row>
    <row r="1902" spans="1:5">
      <c r="A1902" s="59">
        <v>3</v>
      </c>
      <c r="B1902" s="59">
        <v>13</v>
      </c>
      <c r="C1902" s="59">
        <v>620</v>
      </c>
      <c r="D1902" s="51">
        <v>7</v>
      </c>
      <c r="E1902" s="51">
        <f t="shared" si="29"/>
        <v>0</v>
      </c>
    </row>
    <row r="1903" spans="1:5">
      <c r="A1903" s="59">
        <v>3</v>
      </c>
      <c r="B1903" s="59">
        <v>14</v>
      </c>
      <c r="C1903" s="59">
        <v>410</v>
      </c>
      <c r="D1903" s="51">
        <v>7</v>
      </c>
      <c r="E1903" s="51">
        <f t="shared" si="29"/>
        <v>0</v>
      </c>
    </row>
    <row r="1904" spans="1:5">
      <c r="A1904" s="59">
        <v>3</v>
      </c>
      <c r="B1904" s="59">
        <v>14</v>
      </c>
      <c r="C1904" s="59">
        <v>930</v>
      </c>
      <c r="D1904" s="51">
        <v>7</v>
      </c>
      <c r="E1904" s="51">
        <f t="shared" si="29"/>
        <v>0</v>
      </c>
    </row>
    <row r="1905" spans="1:5">
      <c r="A1905" s="59">
        <v>3</v>
      </c>
      <c r="B1905" s="59">
        <v>16</v>
      </c>
      <c r="C1905" s="59">
        <v>410</v>
      </c>
      <c r="D1905" s="51">
        <v>7</v>
      </c>
      <c r="E1905" s="51">
        <f t="shared" si="29"/>
        <v>0</v>
      </c>
    </row>
    <row r="1906" spans="1:5">
      <c r="A1906" s="59">
        <v>3</v>
      </c>
      <c r="B1906" s="59">
        <v>22</v>
      </c>
      <c r="C1906" s="59">
        <v>110</v>
      </c>
      <c r="D1906" s="51">
        <v>7</v>
      </c>
      <c r="E1906" s="51">
        <f t="shared" si="29"/>
        <v>0</v>
      </c>
    </row>
    <row r="1907" spans="1:5">
      <c r="A1907" s="59">
        <v>3</v>
      </c>
      <c r="B1907" s="59">
        <v>22</v>
      </c>
      <c r="C1907" s="59">
        <v>530</v>
      </c>
      <c r="D1907" s="51">
        <v>7</v>
      </c>
      <c r="E1907" s="51">
        <f t="shared" si="29"/>
        <v>0</v>
      </c>
    </row>
    <row r="1908" spans="1:5">
      <c r="A1908" s="59">
        <v>3</v>
      </c>
      <c r="B1908" s="59">
        <v>32</v>
      </c>
      <c r="C1908" s="59">
        <v>970</v>
      </c>
      <c r="D1908" s="51">
        <v>7</v>
      </c>
      <c r="E1908" s="51">
        <f t="shared" si="29"/>
        <v>0</v>
      </c>
    </row>
    <row r="1909" spans="1:5">
      <c r="A1909" s="59">
        <v>3</v>
      </c>
      <c r="B1909" s="59">
        <v>43</v>
      </c>
      <c r="C1909" s="59">
        <v>630</v>
      </c>
      <c r="D1909" s="51">
        <v>7</v>
      </c>
      <c r="E1909" s="51">
        <f t="shared" si="29"/>
        <v>0</v>
      </c>
    </row>
    <row r="1910" spans="1:5">
      <c r="A1910" s="59">
        <v>3</v>
      </c>
      <c r="B1910" s="59">
        <v>43</v>
      </c>
      <c r="C1910" s="59">
        <v>710</v>
      </c>
      <c r="D1910" s="51">
        <v>7</v>
      </c>
      <c r="E1910" s="51">
        <f t="shared" si="29"/>
        <v>0</v>
      </c>
    </row>
    <row r="1911" spans="1:5">
      <c r="A1911" s="59">
        <v>3</v>
      </c>
      <c r="B1911" s="59">
        <v>44</v>
      </c>
      <c r="C1911" s="59">
        <v>630</v>
      </c>
      <c r="D1911" s="51">
        <v>7</v>
      </c>
      <c r="E1911" s="51">
        <f t="shared" si="29"/>
        <v>1</v>
      </c>
    </row>
    <row r="1912" spans="1:5">
      <c r="A1912" s="59">
        <v>3</v>
      </c>
      <c r="B1912" s="59">
        <v>44</v>
      </c>
      <c r="C1912" s="59">
        <v>950</v>
      </c>
      <c r="D1912" s="51">
        <v>7</v>
      </c>
      <c r="E1912" s="51">
        <f t="shared" si="29"/>
        <v>1</v>
      </c>
    </row>
    <row r="1913" spans="1:5">
      <c r="A1913" s="59">
        <v>3</v>
      </c>
      <c r="B1913" s="59">
        <v>61</v>
      </c>
      <c r="C1913" s="59">
        <v>910</v>
      </c>
      <c r="D1913" s="51">
        <v>7</v>
      </c>
      <c r="E1913" s="51">
        <f t="shared" si="29"/>
        <v>0</v>
      </c>
    </row>
    <row r="1914" spans="1:5">
      <c r="A1914" s="59">
        <v>3</v>
      </c>
      <c r="B1914" s="59">
        <v>64</v>
      </c>
      <c r="C1914" s="59">
        <v>240</v>
      </c>
      <c r="D1914" s="51">
        <v>7</v>
      </c>
      <c r="E1914" s="51">
        <f t="shared" si="29"/>
        <v>0</v>
      </c>
    </row>
    <row r="1915" spans="1:5">
      <c r="A1915" s="59">
        <v>3</v>
      </c>
      <c r="B1915" s="59">
        <v>64</v>
      </c>
      <c r="C1915" s="59">
        <v>710</v>
      </c>
      <c r="D1915" s="51">
        <v>7</v>
      </c>
      <c r="E1915" s="51">
        <f t="shared" si="29"/>
        <v>0</v>
      </c>
    </row>
    <row r="1916" spans="1:5">
      <c r="A1916" s="59">
        <v>3</v>
      </c>
      <c r="B1916" s="59">
        <v>33</v>
      </c>
      <c r="C1916" s="59">
        <v>110</v>
      </c>
      <c r="D1916" s="51">
        <v>6</v>
      </c>
      <c r="E1916" s="51">
        <f t="shared" si="29"/>
        <v>0</v>
      </c>
    </row>
    <row r="1917" spans="1:5">
      <c r="A1917" s="59">
        <v>3</v>
      </c>
      <c r="B1917" s="59">
        <v>41</v>
      </c>
      <c r="C1917" s="59">
        <v>540</v>
      </c>
      <c r="D1917" s="51">
        <v>6</v>
      </c>
      <c r="E1917" s="51">
        <f t="shared" si="29"/>
        <v>1</v>
      </c>
    </row>
    <row r="1918" spans="1:5">
      <c r="A1918" s="59">
        <v>3</v>
      </c>
      <c r="B1918" s="59">
        <v>43</v>
      </c>
      <c r="C1918" s="59">
        <v>740</v>
      </c>
      <c r="D1918" s="51">
        <v>6</v>
      </c>
      <c r="E1918" s="51">
        <f t="shared" si="29"/>
        <v>0</v>
      </c>
    </row>
    <row r="1919" spans="1:5">
      <c r="A1919" s="59">
        <v>3</v>
      </c>
      <c r="B1919" s="59">
        <v>43</v>
      </c>
      <c r="C1919" s="59">
        <v>860</v>
      </c>
      <c r="D1919" s="51">
        <v>6</v>
      </c>
      <c r="E1919" s="51">
        <f t="shared" si="29"/>
        <v>0</v>
      </c>
    </row>
    <row r="1920" spans="1:5">
      <c r="A1920" s="59">
        <v>3</v>
      </c>
      <c r="B1920" s="59">
        <v>43</v>
      </c>
      <c r="C1920" s="59">
        <v>899</v>
      </c>
      <c r="D1920" s="51">
        <v>6</v>
      </c>
      <c r="E1920" s="51">
        <f t="shared" si="29"/>
        <v>0</v>
      </c>
    </row>
    <row r="1921" spans="1:5">
      <c r="A1921" s="59">
        <v>3</v>
      </c>
      <c r="B1921" s="59">
        <v>44</v>
      </c>
      <c r="C1921" s="59">
        <v>960</v>
      </c>
      <c r="D1921" s="51">
        <v>6</v>
      </c>
      <c r="E1921" s="51">
        <f t="shared" si="29"/>
        <v>1</v>
      </c>
    </row>
    <row r="1922" spans="1:5">
      <c r="A1922" s="59">
        <v>3</v>
      </c>
      <c r="B1922" s="59">
        <v>62</v>
      </c>
      <c r="C1922" s="59">
        <v>430</v>
      </c>
      <c r="D1922" s="51">
        <v>6</v>
      </c>
      <c r="E1922" s="51">
        <f t="shared" ref="E1922:E1985" si="30">IF(OR(A1922=6,A1922=7,A1922=14,A1922=15,A1922=16,A1922=17,A1922=18,A1922=19,A1922=20,A1922=21,A1922=22,A1922=23,A1922=25,A1922=26,A1922=27,A1922=28,B1922=41,B1922=44,B1922=62),1,0)</f>
        <v>1</v>
      </c>
    </row>
    <row r="1923" spans="1:5">
      <c r="A1923" s="59">
        <v>3</v>
      </c>
      <c r="B1923" s="59">
        <v>63</v>
      </c>
      <c r="C1923" s="59">
        <v>990</v>
      </c>
      <c r="D1923" s="51">
        <v>6</v>
      </c>
      <c r="E1923" s="51">
        <f t="shared" si="30"/>
        <v>0</v>
      </c>
    </row>
    <row r="1924" spans="1:5">
      <c r="A1924" s="59">
        <v>3</v>
      </c>
      <c r="B1924" s="59">
        <v>71</v>
      </c>
      <c r="C1924" s="59">
        <v>750</v>
      </c>
      <c r="D1924" s="51">
        <v>6</v>
      </c>
      <c r="E1924" s="51">
        <f t="shared" si="30"/>
        <v>0</v>
      </c>
    </row>
    <row r="1925" spans="1:5">
      <c r="A1925" s="59">
        <v>3</v>
      </c>
      <c r="B1925" s="59">
        <v>13</v>
      </c>
      <c r="C1925" s="59">
        <v>240</v>
      </c>
      <c r="D1925" s="51">
        <v>5</v>
      </c>
      <c r="E1925" s="51">
        <f t="shared" si="30"/>
        <v>0</v>
      </c>
    </row>
    <row r="1926" spans="1:5">
      <c r="A1926" s="59">
        <v>3</v>
      </c>
      <c r="B1926" s="59">
        <v>13</v>
      </c>
      <c r="C1926" s="59">
        <v>410</v>
      </c>
      <c r="D1926" s="51">
        <v>5</v>
      </c>
      <c r="E1926" s="51">
        <f t="shared" si="30"/>
        <v>0</v>
      </c>
    </row>
    <row r="1927" spans="1:5">
      <c r="A1927" s="59">
        <v>3</v>
      </c>
      <c r="B1927" s="59">
        <v>13</v>
      </c>
      <c r="C1927" s="59">
        <v>550</v>
      </c>
      <c r="D1927" s="51">
        <v>5</v>
      </c>
      <c r="E1927" s="51">
        <f t="shared" si="30"/>
        <v>0</v>
      </c>
    </row>
    <row r="1928" spans="1:5">
      <c r="A1928" s="59">
        <v>3</v>
      </c>
      <c r="B1928" s="59">
        <v>16</v>
      </c>
      <c r="C1928" s="59">
        <v>230</v>
      </c>
      <c r="D1928" s="51">
        <v>5</v>
      </c>
      <c r="E1928" s="51">
        <f t="shared" si="30"/>
        <v>0</v>
      </c>
    </row>
    <row r="1929" spans="1:5">
      <c r="A1929" s="59">
        <v>3</v>
      </c>
      <c r="B1929" s="59">
        <v>22</v>
      </c>
      <c r="C1929" s="59">
        <v>160</v>
      </c>
      <c r="D1929" s="51">
        <v>5</v>
      </c>
      <c r="E1929" s="51">
        <f t="shared" si="30"/>
        <v>0</v>
      </c>
    </row>
    <row r="1930" spans="1:5">
      <c r="A1930" s="59">
        <v>3</v>
      </c>
      <c r="B1930" s="59">
        <v>24</v>
      </c>
      <c r="C1930" s="59">
        <v>520</v>
      </c>
      <c r="D1930" s="51">
        <v>5</v>
      </c>
      <c r="E1930" s="51">
        <f t="shared" si="30"/>
        <v>0</v>
      </c>
    </row>
    <row r="1931" spans="1:5">
      <c r="A1931" s="59">
        <v>3</v>
      </c>
      <c r="B1931" s="59">
        <v>32</v>
      </c>
      <c r="C1931" s="59">
        <v>150</v>
      </c>
      <c r="D1931" s="51">
        <v>5</v>
      </c>
      <c r="E1931" s="51">
        <f t="shared" si="30"/>
        <v>0</v>
      </c>
    </row>
    <row r="1932" spans="1:5">
      <c r="A1932" s="59">
        <v>3</v>
      </c>
      <c r="B1932" s="59">
        <v>33</v>
      </c>
      <c r="C1932" s="59">
        <v>150</v>
      </c>
      <c r="D1932" s="51">
        <v>5</v>
      </c>
      <c r="E1932" s="51">
        <f t="shared" si="30"/>
        <v>0</v>
      </c>
    </row>
    <row r="1933" spans="1:5">
      <c r="A1933" s="59">
        <v>3</v>
      </c>
      <c r="B1933" s="59">
        <v>42</v>
      </c>
      <c r="C1933" s="59">
        <v>410</v>
      </c>
      <c r="D1933" s="51">
        <v>5</v>
      </c>
      <c r="E1933" s="51">
        <f t="shared" si="30"/>
        <v>0</v>
      </c>
    </row>
    <row r="1934" spans="1:5">
      <c r="A1934" s="59">
        <v>3</v>
      </c>
      <c r="B1934" s="59">
        <v>43</v>
      </c>
      <c r="C1934" s="59">
        <v>640</v>
      </c>
      <c r="D1934" s="51">
        <v>5</v>
      </c>
      <c r="E1934" s="51">
        <f t="shared" si="30"/>
        <v>0</v>
      </c>
    </row>
    <row r="1935" spans="1:5">
      <c r="A1935" s="59">
        <v>3</v>
      </c>
      <c r="B1935" s="59">
        <v>44</v>
      </c>
      <c r="C1935" s="59">
        <v>240</v>
      </c>
      <c r="D1935" s="51">
        <v>5</v>
      </c>
      <c r="E1935" s="51">
        <f t="shared" si="30"/>
        <v>1</v>
      </c>
    </row>
    <row r="1936" spans="1:5">
      <c r="A1936" s="59">
        <v>3</v>
      </c>
      <c r="B1936" s="59">
        <v>62</v>
      </c>
      <c r="C1936" s="59">
        <v>630</v>
      </c>
      <c r="D1936" s="51">
        <v>5</v>
      </c>
      <c r="E1936" s="51">
        <f t="shared" si="30"/>
        <v>1</v>
      </c>
    </row>
    <row r="1937" spans="1:5">
      <c r="A1937" s="59">
        <v>3</v>
      </c>
      <c r="B1937" s="59">
        <v>62</v>
      </c>
      <c r="C1937" s="59">
        <v>930</v>
      </c>
      <c r="D1937" s="51">
        <v>5</v>
      </c>
      <c r="E1937" s="51">
        <f t="shared" si="30"/>
        <v>1</v>
      </c>
    </row>
    <row r="1938" spans="1:5">
      <c r="A1938" s="59">
        <v>3</v>
      </c>
      <c r="B1938" s="59">
        <v>63</v>
      </c>
      <c r="C1938" s="59">
        <v>950</v>
      </c>
      <c r="D1938" s="51">
        <v>5</v>
      </c>
      <c r="E1938" s="51">
        <f t="shared" si="30"/>
        <v>0</v>
      </c>
    </row>
    <row r="1939" spans="1:5">
      <c r="A1939" s="59">
        <v>3</v>
      </c>
      <c r="B1939" s="59">
        <v>64</v>
      </c>
      <c r="C1939" s="59">
        <v>120</v>
      </c>
      <c r="D1939" s="51">
        <v>5</v>
      </c>
      <c r="E1939" s="51">
        <f t="shared" si="30"/>
        <v>0</v>
      </c>
    </row>
    <row r="1940" spans="1:5">
      <c r="A1940" s="59">
        <v>3</v>
      </c>
      <c r="B1940" s="59">
        <v>81</v>
      </c>
      <c r="C1940" s="59">
        <v>540</v>
      </c>
      <c r="D1940" s="51">
        <v>5</v>
      </c>
      <c r="E1940" s="51">
        <f t="shared" si="30"/>
        <v>0</v>
      </c>
    </row>
    <row r="1941" spans="1:5">
      <c r="A1941" s="59">
        <v>3</v>
      </c>
      <c r="B1941" s="59">
        <v>11</v>
      </c>
      <c r="C1941" s="59">
        <v>530</v>
      </c>
      <c r="D1941" s="51">
        <v>4</v>
      </c>
      <c r="E1941" s="51">
        <f t="shared" si="30"/>
        <v>0</v>
      </c>
    </row>
    <row r="1942" spans="1:5">
      <c r="A1942" s="59">
        <v>3</v>
      </c>
      <c r="B1942" s="59">
        <v>15</v>
      </c>
      <c r="C1942" s="59">
        <v>110</v>
      </c>
      <c r="D1942" s="51">
        <v>4</v>
      </c>
      <c r="E1942" s="51">
        <f t="shared" si="30"/>
        <v>0</v>
      </c>
    </row>
    <row r="1943" spans="1:5">
      <c r="A1943" s="59">
        <v>3</v>
      </c>
      <c r="B1943" s="59">
        <v>22</v>
      </c>
      <c r="C1943" s="59">
        <v>310</v>
      </c>
      <c r="D1943" s="51">
        <v>4</v>
      </c>
      <c r="E1943" s="51">
        <f t="shared" si="30"/>
        <v>0</v>
      </c>
    </row>
    <row r="1944" spans="1:5">
      <c r="A1944" s="59">
        <v>3</v>
      </c>
      <c r="B1944" s="59">
        <v>22</v>
      </c>
      <c r="C1944" s="59">
        <v>620</v>
      </c>
      <c r="D1944" s="51">
        <v>4</v>
      </c>
      <c r="E1944" s="51">
        <f t="shared" si="30"/>
        <v>0</v>
      </c>
    </row>
    <row r="1945" spans="1:5">
      <c r="A1945" s="59">
        <v>3</v>
      </c>
      <c r="B1945" s="59">
        <v>23</v>
      </c>
      <c r="C1945" s="59">
        <v>150</v>
      </c>
      <c r="D1945" s="51">
        <v>4</v>
      </c>
      <c r="E1945" s="51">
        <f t="shared" si="30"/>
        <v>0</v>
      </c>
    </row>
    <row r="1946" spans="1:5">
      <c r="A1946" s="59">
        <v>3</v>
      </c>
      <c r="B1946" s="59">
        <v>32</v>
      </c>
      <c r="C1946" s="59">
        <v>160</v>
      </c>
      <c r="D1946" s="51">
        <v>4</v>
      </c>
      <c r="E1946" s="51">
        <f t="shared" si="30"/>
        <v>0</v>
      </c>
    </row>
    <row r="1947" spans="1:5">
      <c r="A1947" s="59">
        <v>3</v>
      </c>
      <c r="B1947" s="59">
        <v>33</v>
      </c>
      <c r="C1947" s="59">
        <v>160</v>
      </c>
      <c r="D1947" s="51">
        <v>4</v>
      </c>
      <c r="E1947" s="51">
        <f t="shared" si="30"/>
        <v>0</v>
      </c>
    </row>
    <row r="1948" spans="1:5">
      <c r="A1948" s="59">
        <v>3</v>
      </c>
      <c r="B1948" s="59">
        <v>33</v>
      </c>
      <c r="C1948" s="59">
        <v>750</v>
      </c>
      <c r="D1948" s="51">
        <v>4</v>
      </c>
      <c r="E1948" s="51">
        <f t="shared" si="30"/>
        <v>0</v>
      </c>
    </row>
    <row r="1949" spans="1:5">
      <c r="A1949" s="59">
        <v>3</v>
      </c>
      <c r="B1949" s="59">
        <v>42</v>
      </c>
      <c r="C1949" s="59">
        <v>160</v>
      </c>
      <c r="D1949" s="51">
        <v>4</v>
      </c>
      <c r="E1949" s="51">
        <f t="shared" si="30"/>
        <v>0</v>
      </c>
    </row>
    <row r="1950" spans="1:5">
      <c r="A1950" s="59">
        <v>3</v>
      </c>
      <c r="B1950" s="59">
        <v>42</v>
      </c>
      <c r="C1950" s="59">
        <v>640</v>
      </c>
      <c r="D1950" s="51">
        <v>4</v>
      </c>
      <c r="E1950" s="51">
        <f t="shared" si="30"/>
        <v>0</v>
      </c>
    </row>
    <row r="1951" spans="1:5">
      <c r="A1951" s="59">
        <v>3</v>
      </c>
      <c r="B1951" s="59">
        <v>42</v>
      </c>
      <c r="C1951" s="59">
        <v>930</v>
      </c>
      <c r="D1951" s="51">
        <v>4</v>
      </c>
      <c r="E1951" s="51">
        <f t="shared" si="30"/>
        <v>0</v>
      </c>
    </row>
    <row r="1952" spans="1:5">
      <c r="A1952" s="59">
        <v>3</v>
      </c>
      <c r="B1952" s="59">
        <v>43</v>
      </c>
      <c r="C1952" s="59">
        <v>960</v>
      </c>
      <c r="D1952" s="51">
        <v>4</v>
      </c>
      <c r="E1952" s="51">
        <f t="shared" si="30"/>
        <v>0</v>
      </c>
    </row>
    <row r="1953" spans="1:5">
      <c r="A1953" s="59">
        <v>3</v>
      </c>
      <c r="B1953" s="59">
        <v>44</v>
      </c>
      <c r="C1953" s="59">
        <v>150</v>
      </c>
      <c r="D1953" s="51">
        <v>4</v>
      </c>
      <c r="E1953" s="51">
        <f t="shared" si="30"/>
        <v>1</v>
      </c>
    </row>
    <row r="1954" spans="1:5">
      <c r="A1954" s="59">
        <v>3</v>
      </c>
      <c r="B1954" s="59">
        <v>44</v>
      </c>
      <c r="C1954" s="59">
        <v>640</v>
      </c>
      <c r="D1954" s="51">
        <v>4</v>
      </c>
      <c r="E1954" s="51">
        <f t="shared" si="30"/>
        <v>1</v>
      </c>
    </row>
    <row r="1955" spans="1:5">
      <c r="A1955" s="59">
        <v>3</v>
      </c>
      <c r="B1955" s="59">
        <v>44</v>
      </c>
      <c r="C1955" s="59">
        <v>892</v>
      </c>
      <c r="D1955" s="51">
        <v>4</v>
      </c>
      <c r="E1955" s="51">
        <f t="shared" si="30"/>
        <v>1</v>
      </c>
    </row>
    <row r="1956" spans="1:5">
      <c r="A1956" s="59">
        <v>3</v>
      </c>
      <c r="B1956" s="59">
        <v>44</v>
      </c>
      <c r="C1956" s="59">
        <v>970</v>
      </c>
      <c r="D1956" s="51">
        <v>4</v>
      </c>
      <c r="E1956" s="51">
        <f t="shared" si="30"/>
        <v>1</v>
      </c>
    </row>
    <row r="1957" spans="1:5">
      <c r="A1957" s="59">
        <v>3</v>
      </c>
      <c r="B1957" s="59">
        <v>62</v>
      </c>
      <c r="C1957" s="59">
        <v>640</v>
      </c>
      <c r="D1957" s="51">
        <v>4</v>
      </c>
      <c r="E1957" s="51">
        <f t="shared" si="30"/>
        <v>1</v>
      </c>
    </row>
    <row r="1958" spans="1:5">
      <c r="A1958" s="59">
        <v>3</v>
      </c>
      <c r="B1958" s="59">
        <v>62</v>
      </c>
      <c r="C1958" s="59">
        <v>950</v>
      </c>
      <c r="D1958" s="51">
        <v>4</v>
      </c>
      <c r="E1958" s="51">
        <f t="shared" si="30"/>
        <v>1</v>
      </c>
    </row>
    <row r="1959" spans="1:5">
      <c r="A1959" s="59">
        <v>3</v>
      </c>
      <c r="B1959" s="59">
        <v>63</v>
      </c>
      <c r="C1959" s="59">
        <v>210</v>
      </c>
      <c r="D1959" s="51">
        <v>4</v>
      </c>
      <c r="E1959" s="51">
        <f t="shared" si="30"/>
        <v>0</v>
      </c>
    </row>
    <row r="1960" spans="1:5">
      <c r="A1960" s="59">
        <v>3</v>
      </c>
      <c r="B1960" s="59">
        <v>63</v>
      </c>
      <c r="C1960" s="59">
        <v>630</v>
      </c>
      <c r="D1960" s="51">
        <v>4</v>
      </c>
      <c r="E1960" s="51">
        <f t="shared" si="30"/>
        <v>0</v>
      </c>
    </row>
    <row r="1961" spans="1:5">
      <c r="A1961" s="59">
        <v>3</v>
      </c>
      <c r="B1961" s="59">
        <v>64</v>
      </c>
      <c r="C1961" s="59">
        <v>130</v>
      </c>
      <c r="D1961" s="51">
        <v>4</v>
      </c>
      <c r="E1961" s="51">
        <f t="shared" si="30"/>
        <v>0</v>
      </c>
    </row>
    <row r="1962" spans="1:5">
      <c r="A1962" s="59">
        <v>3</v>
      </c>
      <c r="B1962" s="59">
        <v>64</v>
      </c>
      <c r="C1962" s="59">
        <v>960</v>
      </c>
      <c r="D1962" s="51">
        <v>4</v>
      </c>
      <c r="E1962" s="51">
        <f t="shared" si="30"/>
        <v>0</v>
      </c>
    </row>
    <row r="1963" spans="1:5">
      <c r="A1963" s="59">
        <v>3</v>
      </c>
      <c r="B1963" s="59">
        <v>71</v>
      </c>
      <c r="C1963" s="59">
        <v>990</v>
      </c>
      <c r="D1963" s="51">
        <v>4</v>
      </c>
      <c r="E1963" s="51">
        <f t="shared" si="30"/>
        <v>0</v>
      </c>
    </row>
    <row r="1964" spans="1:5">
      <c r="A1964" s="59">
        <v>3</v>
      </c>
      <c r="B1964" s="59">
        <v>14</v>
      </c>
      <c r="C1964" s="59">
        <v>540</v>
      </c>
      <c r="D1964" s="51">
        <v>3</v>
      </c>
      <c r="E1964" s="51">
        <f t="shared" si="30"/>
        <v>0</v>
      </c>
    </row>
    <row r="1965" spans="1:5">
      <c r="A1965" s="59">
        <v>3</v>
      </c>
      <c r="B1965" s="59">
        <v>14</v>
      </c>
      <c r="C1965" s="59">
        <v>550</v>
      </c>
      <c r="D1965" s="51">
        <v>3</v>
      </c>
      <c r="E1965" s="51">
        <f t="shared" si="30"/>
        <v>0</v>
      </c>
    </row>
    <row r="1966" spans="1:5">
      <c r="A1966" s="59">
        <v>3</v>
      </c>
      <c r="B1966" s="59">
        <v>14</v>
      </c>
      <c r="C1966" s="59">
        <v>720</v>
      </c>
      <c r="D1966" s="51">
        <v>3</v>
      </c>
      <c r="E1966" s="51">
        <f t="shared" si="30"/>
        <v>0</v>
      </c>
    </row>
    <row r="1967" spans="1:5">
      <c r="A1967" s="59">
        <v>3</v>
      </c>
      <c r="B1967" s="59">
        <v>15</v>
      </c>
      <c r="C1967" s="59">
        <v>160</v>
      </c>
      <c r="D1967" s="51">
        <v>3</v>
      </c>
      <c r="E1967" s="51">
        <f t="shared" si="30"/>
        <v>0</v>
      </c>
    </row>
    <row r="1968" spans="1:5">
      <c r="A1968" s="59">
        <v>3</v>
      </c>
      <c r="B1968" s="59">
        <v>16</v>
      </c>
      <c r="C1968" s="59">
        <v>310</v>
      </c>
      <c r="D1968" s="51">
        <v>3</v>
      </c>
      <c r="E1968" s="51">
        <f t="shared" si="30"/>
        <v>0</v>
      </c>
    </row>
    <row r="1969" spans="1:5">
      <c r="A1969" s="59">
        <v>3</v>
      </c>
      <c r="B1969" s="59">
        <v>16</v>
      </c>
      <c r="C1969" s="59">
        <v>610</v>
      </c>
      <c r="D1969" s="51">
        <v>3</v>
      </c>
      <c r="E1969" s="51">
        <f t="shared" si="30"/>
        <v>0</v>
      </c>
    </row>
    <row r="1970" spans="1:5">
      <c r="A1970" s="59">
        <v>3</v>
      </c>
      <c r="B1970" s="59">
        <v>22</v>
      </c>
      <c r="C1970" s="59">
        <v>130</v>
      </c>
      <c r="D1970" s="51">
        <v>3</v>
      </c>
      <c r="E1970" s="51">
        <f t="shared" si="30"/>
        <v>0</v>
      </c>
    </row>
    <row r="1971" spans="1:5">
      <c r="A1971" s="59">
        <v>3</v>
      </c>
      <c r="B1971" s="59">
        <v>22</v>
      </c>
      <c r="C1971" s="59">
        <v>330</v>
      </c>
      <c r="D1971" s="51">
        <v>3</v>
      </c>
      <c r="E1971" s="51">
        <f t="shared" si="30"/>
        <v>0</v>
      </c>
    </row>
    <row r="1972" spans="1:5">
      <c r="A1972" s="59">
        <v>3</v>
      </c>
      <c r="B1972" s="59">
        <v>22</v>
      </c>
      <c r="C1972" s="59">
        <v>920</v>
      </c>
      <c r="D1972" s="51">
        <v>3</v>
      </c>
      <c r="E1972" s="51">
        <f t="shared" si="30"/>
        <v>0</v>
      </c>
    </row>
    <row r="1973" spans="1:5">
      <c r="A1973" s="59">
        <v>3</v>
      </c>
      <c r="B1973" s="59">
        <v>23</v>
      </c>
      <c r="C1973" s="59">
        <v>420</v>
      </c>
      <c r="D1973" s="51">
        <v>3</v>
      </c>
      <c r="E1973" s="51">
        <f t="shared" si="30"/>
        <v>0</v>
      </c>
    </row>
    <row r="1974" spans="1:5">
      <c r="A1974" s="59">
        <v>3</v>
      </c>
      <c r="B1974" s="59">
        <v>23</v>
      </c>
      <c r="C1974" s="59">
        <v>510</v>
      </c>
      <c r="D1974" s="51">
        <v>3</v>
      </c>
      <c r="E1974" s="51">
        <f t="shared" si="30"/>
        <v>0</v>
      </c>
    </row>
    <row r="1975" spans="1:5">
      <c r="A1975" s="59">
        <v>3</v>
      </c>
      <c r="B1975" s="59">
        <v>23</v>
      </c>
      <c r="C1975" s="59">
        <v>910</v>
      </c>
      <c r="D1975" s="51">
        <v>3</v>
      </c>
      <c r="E1975" s="51">
        <f t="shared" si="30"/>
        <v>0</v>
      </c>
    </row>
    <row r="1976" spans="1:5">
      <c r="A1976" s="59">
        <v>3</v>
      </c>
      <c r="B1976" s="59">
        <v>32</v>
      </c>
      <c r="C1976" s="59">
        <v>550</v>
      </c>
      <c r="D1976" s="51">
        <v>3</v>
      </c>
      <c r="E1976" s="51">
        <f t="shared" si="30"/>
        <v>0</v>
      </c>
    </row>
    <row r="1977" spans="1:5">
      <c r="A1977" s="59">
        <v>3</v>
      </c>
      <c r="B1977" s="59">
        <v>32</v>
      </c>
      <c r="C1977" s="59">
        <v>920</v>
      </c>
      <c r="D1977" s="51">
        <v>3</v>
      </c>
      <c r="E1977" s="51">
        <f t="shared" si="30"/>
        <v>0</v>
      </c>
    </row>
    <row r="1978" spans="1:5">
      <c r="A1978" s="59">
        <v>3</v>
      </c>
      <c r="B1978" s="59">
        <v>33</v>
      </c>
      <c r="C1978" s="59">
        <v>210</v>
      </c>
      <c r="D1978" s="51">
        <v>3</v>
      </c>
      <c r="E1978" s="51">
        <f t="shared" si="30"/>
        <v>0</v>
      </c>
    </row>
    <row r="1979" spans="1:5">
      <c r="A1979" s="59">
        <v>3</v>
      </c>
      <c r="B1979" s="59">
        <v>41</v>
      </c>
      <c r="C1979" s="59">
        <v>210</v>
      </c>
      <c r="D1979" s="51">
        <v>3</v>
      </c>
      <c r="E1979" s="51">
        <f t="shared" si="30"/>
        <v>1</v>
      </c>
    </row>
    <row r="1980" spans="1:5">
      <c r="A1980" s="59">
        <v>3</v>
      </c>
      <c r="B1980" s="59">
        <v>42</v>
      </c>
      <c r="C1980" s="59">
        <v>210</v>
      </c>
      <c r="D1980" s="51">
        <v>3</v>
      </c>
      <c r="E1980" s="51">
        <f t="shared" si="30"/>
        <v>0</v>
      </c>
    </row>
    <row r="1981" spans="1:5">
      <c r="A1981" s="59">
        <v>3</v>
      </c>
      <c r="B1981" s="59">
        <v>42</v>
      </c>
      <c r="C1981" s="59">
        <v>310</v>
      </c>
      <c r="D1981" s="51">
        <v>3</v>
      </c>
      <c r="E1981" s="51">
        <f t="shared" si="30"/>
        <v>0</v>
      </c>
    </row>
    <row r="1982" spans="1:5">
      <c r="A1982" s="59">
        <v>3</v>
      </c>
      <c r="B1982" s="59">
        <v>44</v>
      </c>
      <c r="C1982" s="59">
        <v>990</v>
      </c>
      <c r="D1982" s="51">
        <v>3</v>
      </c>
      <c r="E1982" s="51">
        <f t="shared" si="30"/>
        <v>1</v>
      </c>
    </row>
    <row r="1983" spans="1:5">
      <c r="A1983" s="59">
        <v>3</v>
      </c>
      <c r="B1983" s="59">
        <v>62</v>
      </c>
      <c r="C1983" s="59">
        <v>220</v>
      </c>
      <c r="D1983" s="51">
        <v>3</v>
      </c>
      <c r="E1983" s="51">
        <f t="shared" si="30"/>
        <v>1</v>
      </c>
    </row>
    <row r="1984" spans="1:5">
      <c r="A1984" s="59">
        <v>3</v>
      </c>
      <c r="B1984" s="59">
        <v>62</v>
      </c>
      <c r="C1984" s="59">
        <v>420</v>
      </c>
      <c r="D1984" s="51">
        <v>3</v>
      </c>
      <c r="E1984" s="51">
        <f t="shared" si="30"/>
        <v>1</v>
      </c>
    </row>
    <row r="1985" spans="1:5">
      <c r="A1985" s="59">
        <v>3</v>
      </c>
      <c r="B1985" s="59">
        <v>63</v>
      </c>
      <c r="C1985" s="59">
        <v>430</v>
      </c>
      <c r="D1985" s="51">
        <v>3</v>
      </c>
      <c r="E1985" s="51">
        <f t="shared" si="30"/>
        <v>0</v>
      </c>
    </row>
    <row r="1986" spans="1:5">
      <c r="A1986" s="59">
        <v>3</v>
      </c>
      <c r="B1986" s="59">
        <v>63</v>
      </c>
      <c r="C1986" s="59">
        <v>970</v>
      </c>
      <c r="D1986" s="51">
        <v>3</v>
      </c>
      <c r="E1986" s="51">
        <f t="shared" ref="E1986:E2049" si="31">IF(OR(A1986=6,A1986=7,A1986=14,A1986=15,A1986=16,A1986=17,A1986=18,A1986=19,A1986=20,A1986=21,A1986=22,A1986=23,A1986=25,A1986=26,A1986=27,A1986=28,B1986=41,B1986=44,B1986=62),1,0)</f>
        <v>0</v>
      </c>
    </row>
    <row r="1987" spans="1:5">
      <c r="A1987" s="59">
        <v>3</v>
      </c>
      <c r="B1987" s="59">
        <v>64</v>
      </c>
      <c r="C1987" s="59">
        <v>860</v>
      </c>
      <c r="D1987" s="51">
        <v>3</v>
      </c>
      <c r="E1987" s="51">
        <f t="shared" si="31"/>
        <v>0</v>
      </c>
    </row>
    <row r="1988" spans="1:5">
      <c r="A1988" s="59">
        <v>3</v>
      </c>
      <c r="B1988" s="59">
        <v>71</v>
      </c>
      <c r="C1988" s="59">
        <v>310</v>
      </c>
      <c r="D1988" s="51">
        <v>3</v>
      </c>
      <c r="E1988" s="51">
        <f t="shared" si="31"/>
        <v>0</v>
      </c>
    </row>
    <row r="1989" spans="1:5">
      <c r="A1989" s="59">
        <v>3</v>
      </c>
      <c r="B1989" s="59">
        <v>71</v>
      </c>
      <c r="C1989" s="59">
        <v>740</v>
      </c>
      <c r="D1989" s="51">
        <v>3</v>
      </c>
      <c r="E1989" s="51">
        <f t="shared" si="31"/>
        <v>0</v>
      </c>
    </row>
    <row r="1990" spans="1:5">
      <c r="A1990" s="59">
        <v>3</v>
      </c>
      <c r="B1990" s="59">
        <v>81</v>
      </c>
      <c r="C1990" s="59">
        <v>210</v>
      </c>
      <c r="D1990" s="51">
        <v>3</v>
      </c>
      <c r="E1990" s="51">
        <f t="shared" si="31"/>
        <v>0</v>
      </c>
    </row>
    <row r="1991" spans="1:5">
      <c r="A1991" s="59">
        <v>3</v>
      </c>
      <c r="B1991" s="59">
        <v>13</v>
      </c>
      <c r="C1991" s="59">
        <v>140</v>
      </c>
      <c r="D1991" s="51">
        <v>2</v>
      </c>
      <c r="E1991" s="51">
        <f t="shared" si="31"/>
        <v>0</v>
      </c>
    </row>
    <row r="1992" spans="1:5">
      <c r="A1992" s="59">
        <v>3</v>
      </c>
      <c r="B1992" s="59">
        <v>13</v>
      </c>
      <c r="C1992" s="59">
        <v>940</v>
      </c>
      <c r="D1992" s="51">
        <v>2</v>
      </c>
      <c r="E1992" s="51">
        <f t="shared" si="31"/>
        <v>0</v>
      </c>
    </row>
    <row r="1993" spans="1:5">
      <c r="A1993" s="59">
        <v>3</v>
      </c>
      <c r="B1993" s="59">
        <v>14</v>
      </c>
      <c r="C1993" s="59">
        <v>220</v>
      </c>
      <c r="D1993" s="51">
        <v>2</v>
      </c>
      <c r="E1993" s="51">
        <f t="shared" si="31"/>
        <v>0</v>
      </c>
    </row>
    <row r="1994" spans="1:5">
      <c r="A1994" s="59">
        <v>3</v>
      </c>
      <c r="B1994" s="59">
        <v>14</v>
      </c>
      <c r="C1994" s="59">
        <v>240</v>
      </c>
      <c r="D1994" s="51">
        <v>2</v>
      </c>
      <c r="E1994" s="51">
        <f t="shared" si="31"/>
        <v>0</v>
      </c>
    </row>
    <row r="1995" spans="1:5">
      <c r="A1995" s="59">
        <v>3</v>
      </c>
      <c r="B1995" s="59">
        <v>15</v>
      </c>
      <c r="C1995" s="59">
        <v>720</v>
      </c>
      <c r="D1995" s="51">
        <v>2</v>
      </c>
      <c r="E1995" s="51">
        <f t="shared" si="31"/>
        <v>0</v>
      </c>
    </row>
    <row r="1996" spans="1:5">
      <c r="A1996" s="59">
        <v>3</v>
      </c>
      <c r="B1996" s="59">
        <v>16</v>
      </c>
      <c r="C1996" s="59">
        <v>140</v>
      </c>
      <c r="D1996" s="51">
        <v>2</v>
      </c>
      <c r="E1996" s="51">
        <f t="shared" si="31"/>
        <v>0</v>
      </c>
    </row>
    <row r="1997" spans="1:5">
      <c r="A1997" s="59">
        <v>3</v>
      </c>
      <c r="B1997" s="59">
        <v>16</v>
      </c>
      <c r="C1997" s="59">
        <v>330</v>
      </c>
      <c r="D1997" s="51">
        <v>2</v>
      </c>
      <c r="E1997" s="51">
        <f t="shared" si="31"/>
        <v>0</v>
      </c>
    </row>
    <row r="1998" spans="1:5">
      <c r="A1998" s="59">
        <v>3</v>
      </c>
      <c r="B1998" s="59">
        <v>21</v>
      </c>
      <c r="C1998" s="59">
        <v>410</v>
      </c>
      <c r="D1998" s="51">
        <v>2</v>
      </c>
      <c r="E1998" s="51">
        <f t="shared" si="31"/>
        <v>0</v>
      </c>
    </row>
    <row r="1999" spans="1:5">
      <c r="A1999" s="59">
        <v>3</v>
      </c>
      <c r="B1999" s="59">
        <v>21</v>
      </c>
      <c r="C1999" s="59">
        <v>420</v>
      </c>
      <c r="D1999" s="51">
        <v>2</v>
      </c>
      <c r="E1999" s="51">
        <f t="shared" si="31"/>
        <v>0</v>
      </c>
    </row>
    <row r="2000" spans="1:5">
      <c r="A2000" s="59">
        <v>3</v>
      </c>
      <c r="B2000" s="59">
        <v>22</v>
      </c>
      <c r="C2000" s="59">
        <v>140</v>
      </c>
      <c r="D2000" s="51">
        <v>2</v>
      </c>
      <c r="E2000" s="51">
        <f t="shared" si="31"/>
        <v>0</v>
      </c>
    </row>
    <row r="2001" spans="1:5">
      <c r="A2001" s="59">
        <v>3</v>
      </c>
      <c r="B2001" s="59">
        <v>24</v>
      </c>
      <c r="C2001" s="59">
        <v>910</v>
      </c>
      <c r="D2001" s="51">
        <v>2</v>
      </c>
      <c r="E2001" s="51">
        <f t="shared" si="31"/>
        <v>0</v>
      </c>
    </row>
    <row r="2002" spans="1:5">
      <c r="A2002" s="59">
        <v>3</v>
      </c>
      <c r="B2002" s="59">
        <v>32</v>
      </c>
      <c r="C2002" s="59">
        <v>540</v>
      </c>
      <c r="D2002" s="51">
        <v>2</v>
      </c>
      <c r="E2002" s="51">
        <f t="shared" si="31"/>
        <v>0</v>
      </c>
    </row>
    <row r="2003" spans="1:5">
      <c r="A2003" s="59">
        <v>3</v>
      </c>
      <c r="B2003" s="59">
        <v>33</v>
      </c>
      <c r="C2003" s="59">
        <v>320</v>
      </c>
      <c r="D2003" s="51">
        <v>2</v>
      </c>
      <c r="E2003" s="51">
        <f t="shared" si="31"/>
        <v>0</v>
      </c>
    </row>
    <row r="2004" spans="1:5">
      <c r="A2004" s="59">
        <v>3</v>
      </c>
      <c r="B2004" s="59">
        <v>42</v>
      </c>
      <c r="C2004" s="59">
        <v>420</v>
      </c>
      <c r="D2004" s="51">
        <v>2</v>
      </c>
      <c r="E2004" s="51">
        <f t="shared" si="31"/>
        <v>0</v>
      </c>
    </row>
    <row r="2005" spans="1:5">
      <c r="A2005" s="59">
        <v>3</v>
      </c>
      <c r="B2005" s="59">
        <v>43</v>
      </c>
      <c r="C2005" s="59">
        <v>831</v>
      </c>
      <c r="D2005" s="51">
        <v>2</v>
      </c>
      <c r="E2005" s="51">
        <f t="shared" si="31"/>
        <v>0</v>
      </c>
    </row>
    <row r="2006" spans="1:5">
      <c r="A2006" s="59">
        <v>3</v>
      </c>
      <c r="B2006" s="59">
        <v>43</v>
      </c>
      <c r="C2006" s="59">
        <v>891</v>
      </c>
      <c r="D2006" s="51">
        <v>2</v>
      </c>
      <c r="E2006" s="51">
        <f t="shared" si="31"/>
        <v>0</v>
      </c>
    </row>
    <row r="2007" spans="1:5">
      <c r="A2007" s="59">
        <v>3</v>
      </c>
      <c r="B2007" s="59">
        <v>44</v>
      </c>
      <c r="C2007" s="59">
        <v>210</v>
      </c>
      <c r="D2007" s="51">
        <v>2</v>
      </c>
      <c r="E2007" s="51">
        <f t="shared" si="31"/>
        <v>1</v>
      </c>
    </row>
    <row r="2008" spans="1:5">
      <c r="A2008" s="59">
        <v>3</v>
      </c>
      <c r="B2008" s="59">
        <v>44</v>
      </c>
      <c r="C2008" s="59">
        <v>320</v>
      </c>
      <c r="D2008" s="51">
        <v>2</v>
      </c>
      <c r="E2008" s="51">
        <f t="shared" si="31"/>
        <v>1</v>
      </c>
    </row>
    <row r="2009" spans="1:5">
      <c r="A2009" s="59">
        <v>3</v>
      </c>
      <c r="B2009" s="59">
        <v>44</v>
      </c>
      <c r="C2009" s="59">
        <v>750</v>
      </c>
      <c r="D2009" s="51">
        <v>2</v>
      </c>
      <c r="E2009" s="51">
        <f t="shared" si="31"/>
        <v>1</v>
      </c>
    </row>
    <row r="2010" spans="1:5">
      <c r="A2010" s="59">
        <v>3</v>
      </c>
      <c r="B2010" s="59">
        <v>44</v>
      </c>
      <c r="C2010" s="59">
        <v>861</v>
      </c>
      <c r="D2010" s="51">
        <v>2</v>
      </c>
      <c r="E2010" s="51">
        <f t="shared" si="31"/>
        <v>1</v>
      </c>
    </row>
    <row r="2011" spans="1:5">
      <c r="A2011" s="59">
        <v>3</v>
      </c>
      <c r="B2011" s="59">
        <v>51</v>
      </c>
      <c r="C2011" s="59">
        <v>530</v>
      </c>
      <c r="D2011" s="51">
        <v>2</v>
      </c>
      <c r="E2011" s="51">
        <f t="shared" si="31"/>
        <v>0</v>
      </c>
    </row>
    <row r="2012" spans="1:5">
      <c r="A2012" s="59">
        <v>3</v>
      </c>
      <c r="B2012" s="59">
        <v>62</v>
      </c>
      <c r="C2012" s="59">
        <v>740</v>
      </c>
      <c r="D2012" s="51">
        <v>2</v>
      </c>
      <c r="E2012" s="51">
        <f t="shared" si="31"/>
        <v>1</v>
      </c>
    </row>
    <row r="2013" spans="1:5">
      <c r="A2013" s="59">
        <v>3</v>
      </c>
      <c r="B2013" s="59">
        <v>63</v>
      </c>
      <c r="C2013" s="59">
        <v>310</v>
      </c>
      <c r="D2013" s="51">
        <v>2</v>
      </c>
      <c r="E2013" s="51">
        <f t="shared" si="31"/>
        <v>0</v>
      </c>
    </row>
    <row r="2014" spans="1:5">
      <c r="A2014" s="59">
        <v>3</v>
      </c>
      <c r="B2014" s="59">
        <v>63</v>
      </c>
      <c r="C2014" s="59">
        <v>320</v>
      </c>
      <c r="D2014" s="51">
        <v>2</v>
      </c>
      <c r="E2014" s="51">
        <f t="shared" si="31"/>
        <v>0</v>
      </c>
    </row>
    <row r="2015" spans="1:5">
      <c r="A2015" s="59">
        <v>3</v>
      </c>
      <c r="B2015" s="59">
        <v>63</v>
      </c>
      <c r="C2015" s="59">
        <v>710</v>
      </c>
      <c r="D2015" s="51">
        <v>2</v>
      </c>
      <c r="E2015" s="51">
        <f t="shared" si="31"/>
        <v>0</v>
      </c>
    </row>
    <row r="2016" spans="1:5">
      <c r="A2016" s="59">
        <v>3</v>
      </c>
      <c r="B2016" s="59">
        <v>64</v>
      </c>
      <c r="C2016" s="59">
        <v>950</v>
      </c>
      <c r="D2016" s="51">
        <v>2</v>
      </c>
      <c r="E2016" s="51">
        <f t="shared" si="31"/>
        <v>0</v>
      </c>
    </row>
    <row r="2017" spans="1:5">
      <c r="A2017" s="59">
        <v>3</v>
      </c>
      <c r="B2017" s="59">
        <v>71</v>
      </c>
      <c r="C2017" s="59">
        <v>240</v>
      </c>
      <c r="D2017" s="51">
        <v>2</v>
      </c>
      <c r="E2017" s="51">
        <f t="shared" si="31"/>
        <v>0</v>
      </c>
    </row>
    <row r="2018" spans="1:5">
      <c r="A2018" s="59">
        <v>3</v>
      </c>
      <c r="B2018" s="59">
        <v>71</v>
      </c>
      <c r="C2018" s="59">
        <v>330</v>
      </c>
      <c r="D2018" s="51">
        <v>2</v>
      </c>
      <c r="E2018" s="51">
        <f t="shared" si="31"/>
        <v>0</v>
      </c>
    </row>
    <row r="2019" spans="1:5">
      <c r="A2019" s="59">
        <v>3</v>
      </c>
      <c r="B2019" s="59">
        <v>71</v>
      </c>
      <c r="C2019" s="59">
        <v>420</v>
      </c>
      <c r="D2019" s="51">
        <v>2</v>
      </c>
      <c r="E2019" s="51">
        <f t="shared" si="31"/>
        <v>0</v>
      </c>
    </row>
    <row r="2020" spans="1:5">
      <c r="A2020" s="59">
        <v>3</v>
      </c>
      <c r="B2020" s="59">
        <v>71</v>
      </c>
      <c r="C2020" s="59">
        <v>710</v>
      </c>
      <c r="D2020" s="51">
        <v>2</v>
      </c>
      <c r="E2020" s="51">
        <f t="shared" si="31"/>
        <v>0</v>
      </c>
    </row>
    <row r="2021" spans="1:5">
      <c r="A2021" s="59">
        <v>3</v>
      </c>
      <c r="B2021" s="59">
        <v>71</v>
      </c>
      <c r="C2021" s="59">
        <v>950</v>
      </c>
      <c r="D2021" s="51">
        <v>2</v>
      </c>
      <c r="E2021" s="51">
        <f t="shared" si="31"/>
        <v>0</v>
      </c>
    </row>
    <row r="2022" spans="1:5">
      <c r="A2022" s="59">
        <v>3</v>
      </c>
      <c r="B2022" s="59">
        <v>71</v>
      </c>
      <c r="C2022" s="59">
        <v>970</v>
      </c>
      <c r="D2022" s="51">
        <v>2</v>
      </c>
      <c r="E2022" s="51">
        <f t="shared" si="31"/>
        <v>0</v>
      </c>
    </row>
    <row r="2023" spans="1:5">
      <c r="A2023" s="59">
        <v>3</v>
      </c>
      <c r="B2023" s="59">
        <v>81</v>
      </c>
      <c r="C2023" s="59">
        <v>550</v>
      </c>
      <c r="D2023" s="51">
        <v>2</v>
      </c>
      <c r="E2023" s="51">
        <f t="shared" si="31"/>
        <v>0</v>
      </c>
    </row>
    <row r="2024" spans="1:5">
      <c r="A2024" s="59">
        <v>3</v>
      </c>
      <c r="B2024" s="59">
        <v>81</v>
      </c>
      <c r="C2024" s="59">
        <v>640</v>
      </c>
      <c r="D2024" s="51">
        <v>2</v>
      </c>
      <c r="E2024" s="51">
        <f t="shared" si="31"/>
        <v>0</v>
      </c>
    </row>
    <row r="2025" spans="1:5">
      <c r="A2025" s="59">
        <v>3</v>
      </c>
      <c r="B2025" s="59">
        <v>81</v>
      </c>
      <c r="C2025" s="59">
        <v>710</v>
      </c>
      <c r="D2025" s="51">
        <v>2</v>
      </c>
      <c r="E2025" s="51">
        <f t="shared" si="31"/>
        <v>0</v>
      </c>
    </row>
    <row r="2026" spans="1:5">
      <c r="A2026" s="59">
        <v>3</v>
      </c>
      <c r="B2026" s="59">
        <v>12</v>
      </c>
      <c r="C2026" s="59">
        <v>150</v>
      </c>
      <c r="D2026" s="51">
        <v>1</v>
      </c>
      <c r="E2026" s="51">
        <f t="shared" si="31"/>
        <v>0</v>
      </c>
    </row>
    <row r="2027" spans="1:5">
      <c r="A2027" s="59">
        <v>3</v>
      </c>
      <c r="B2027" s="59">
        <v>12</v>
      </c>
      <c r="C2027" s="59">
        <v>510</v>
      </c>
      <c r="D2027" s="51">
        <v>1</v>
      </c>
      <c r="E2027" s="51">
        <f t="shared" si="31"/>
        <v>0</v>
      </c>
    </row>
    <row r="2028" spans="1:5">
      <c r="A2028" s="59">
        <v>3</v>
      </c>
      <c r="B2028" s="59">
        <v>12</v>
      </c>
      <c r="C2028" s="59">
        <v>610</v>
      </c>
      <c r="D2028" s="51">
        <v>1</v>
      </c>
      <c r="E2028" s="51">
        <f t="shared" si="31"/>
        <v>0</v>
      </c>
    </row>
    <row r="2029" spans="1:5">
      <c r="A2029" s="59">
        <v>3</v>
      </c>
      <c r="B2029" s="59">
        <v>12</v>
      </c>
      <c r="C2029" s="59">
        <v>910</v>
      </c>
      <c r="D2029" s="51">
        <v>1</v>
      </c>
      <c r="E2029" s="51">
        <f t="shared" si="31"/>
        <v>0</v>
      </c>
    </row>
    <row r="2030" spans="1:5">
      <c r="A2030" s="59">
        <v>3</v>
      </c>
      <c r="B2030" s="59">
        <v>13</v>
      </c>
      <c r="C2030" s="59">
        <v>430</v>
      </c>
      <c r="D2030" s="51">
        <v>1</v>
      </c>
      <c r="E2030" s="51">
        <f t="shared" si="31"/>
        <v>0</v>
      </c>
    </row>
    <row r="2031" spans="1:5">
      <c r="A2031" s="59">
        <v>3</v>
      </c>
      <c r="B2031" s="59">
        <v>13</v>
      </c>
      <c r="C2031" s="59">
        <v>640</v>
      </c>
      <c r="D2031" s="51">
        <v>1</v>
      </c>
      <c r="E2031" s="51">
        <f t="shared" si="31"/>
        <v>0</v>
      </c>
    </row>
    <row r="2032" spans="1:5">
      <c r="A2032" s="59">
        <v>3</v>
      </c>
      <c r="B2032" s="59">
        <v>13</v>
      </c>
      <c r="C2032" s="59">
        <v>720</v>
      </c>
      <c r="D2032" s="51">
        <v>1</v>
      </c>
      <c r="E2032" s="51">
        <f t="shared" si="31"/>
        <v>0</v>
      </c>
    </row>
    <row r="2033" spans="1:5">
      <c r="A2033" s="59">
        <v>3</v>
      </c>
      <c r="B2033" s="59">
        <v>13</v>
      </c>
      <c r="C2033" s="59">
        <v>730</v>
      </c>
      <c r="D2033" s="51">
        <v>1</v>
      </c>
      <c r="E2033" s="51">
        <f t="shared" si="31"/>
        <v>0</v>
      </c>
    </row>
    <row r="2034" spans="1:5">
      <c r="A2034" s="59">
        <v>3</v>
      </c>
      <c r="B2034" s="59">
        <v>13</v>
      </c>
      <c r="C2034" s="59">
        <v>930</v>
      </c>
      <c r="D2034" s="51">
        <v>1</v>
      </c>
      <c r="E2034" s="51">
        <f t="shared" si="31"/>
        <v>0</v>
      </c>
    </row>
    <row r="2035" spans="1:5">
      <c r="A2035" s="59">
        <v>3</v>
      </c>
      <c r="B2035" s="59">
        <v>13</v>
      </c>
      <c r="C2035" s="59">
        <v>950</v>
      </c>
      <c r="D2035" s="51">
        <v>1</v>
      </c>
      <c r="E2035" s="51">
        <f t="shared" si="31"/>
        <v>0</v>
      </c>
    </row>
    <row r="2036" spans="1:5">
      <c r="A2036" s="59">
        <v>3</v>
      </c>
      <c r="B2036" s="59">
        <v>13</v>
      </c>
      <c r="C2036" s="59">
        <v>990</v>
      </c>
      <c r="D2036" s="51">
        <v>1</v>
      </c>
      <c r="E2036" s="51">
        <f t="shared" si="31"/>
        <v>0</v>
      </c>
    </row>
    <row r="2037" spans="1:5">
      <c r="A2037" s="59">
        <v>3</v>
      </c>
      <c r="B2037" s="59">
        <v>14</v>
      </c>
      <c r="C2037" s="59">
        <v>630</v>
      </c>
      <c r="D2037" s="51">
        <v>1</v>
      </c>
      <c r="E2037" s="51">
        <f t="shared" si="31"/>
        <v>0</v>
      </c>
    </row>
    <row r="2038" spans="1:5">
      <c r="A2038" s="59">
        <v>3</v>
      </c>
      <c r="B2038" s="59">
        <v>14</v>
      </c>
      <c r="C2038" s="59">
        <v>950</v>
      </c>
      <c r="D2038" s="51">
        <v>1</v>
      </c>
      <c r="E2038" s="51">
        <f t="shared" si="31"/>
        <v>0</v>
      </c>
    </row>
    <row r="2039" spans="1:5">
      <c r="A2039" s="59">
        <v>3</v>
      </c>
      <c r="B2039" s="59">
        <v>15</v>
      </c>
      <c r="C2039" s="59">
        <v>320</v>
      </c>
      <c r="D2039" s="51">
        <v>1</v>
      </c>
      <c r="E2039" s="51">
        <f t="shared" si="31"/>
        <v>0</v>
      </c>
    </row>
    <row r="2040" spans="1:5">
      <c r="A2040" s="59">
        <v>3</v>
      </c>
      <c r="B2040" s="59">
        <v>15</v>
      </c>
      <c r="C2040" s="59">
        <v>330</v>
      </c>
      <c r="D2040" s="51">
        <v>1</v>
      </c>
      <c r="E2040" s="51">
        <f t="shared" si="31"/>
        <v>0</v>
      </c>
    </row>
    <row r="2041" spans="1:5">
      <c r="A2041" s="59">
        <v>3</v>
      </c>
      <c r="B2041" s="59">
        <v>15</v>
      </c>
      <c r="C2041" s="59">
        <v>420</v>
      </c>
      <c r="D2041" s="51">
        <v>1</v>
      </c>
      <c r="E2041" s="51">
        <f t="shared" si="31"/>
        <v>0</v>
      </c>
    </row>
    <row r="2042" spans="1:5">
      <c r="A2042" s="59">
        <v>3</v>
      </c>
      <c r="B2042" s="59">
        <v>15</v>
      </c>
      <c r="C2042" s="59">
        <v>430</v>
      </c>
      <c r="D2042" s="51">
        <v>1</v>
      </c>
      <c r="E2042" s="51">
        <f t="shared" si="31"/>
        <v>0</v>
      </c>
    </row>
    <row r="2043" spans="1:5">
      <c r="A2043" s="59">
        <v>3</v>
      </c>
      <c r="B2043" s="59">
        <v>15</v>
      </c>
      <c r="C2043" s="59">
        <v>540</v>
      </c>
      <c r="D2043" s="51">
        <v>1</v>
      </c>
      <c r="E2043" s="51">
        <f t="shared" si="31"/>
        <v>0</v>
      </c>
    </row>
    <row r="2044" spans="1:5">
      <c r="A2044" s="59">
        <v>3</v>
      </c>
      <c r="B2044" s="59">
        <v>16</v>
      </c>
      <c r="C2044" s="59">
        <v>130</v>
      </c>
      <c r="D2044" s="51">
        <v>1</v>
      </c>
      <c r="E2044" s="51">
        <f t="shared" si="31"/>
        <v>0</v>
      </c>
    </row>
    <row r="2045" spans="1:5">
      <c r="A2045" s="59">
        <v>3</v>
      </c>
      <c r="B2045" s="59">
        <v>16</v>
      </c>
      <c r="C2045" s="59">
        <v>240</v>
      </c>
      <c r="D2045" s="51">
        <v>1</v>
      </c>
      <c r="E2045" s="51">
        <f t="shared" si="31"/>
        <v>0</v>
      </c>
    </row>
    <row r="2046" spans="1:5">
      <c r="A2046" s="59">
        <v>3</v>
      </c>
      <c r="B2046" s="59">
        <v>16</v>
      </c>
      <c r="C2046" s="59">
        <v>420</v>
      </c>
      <c r="D2046" s="51">
        <v>1</v>
      </c>
      <c r="E2046" s="51">
        <f t="shared" si="31"/>
        <v>0</v>
      </c>
    </row>
    <row r="2047" spans="1:5">
      <c r="A2047" s="59">
        <v>3</v>
      </c>
      <c r="B2047" s="59">
        <v>16</v>
      </c>
      <c r="C2047" s="59">
        <v>920</v>
      </c>
      <c r="D2047" s="51">
        <v>1</v>
      </c>
      <c r="E2047" s="51">
        <f t="shared" si="31"/>
        <v>0</v>
      </c>
    </row>
    <row r="2048" spans="1:5">
      <c r="A2048" s="59">
        <v>3</v>
      </c>
      <c r="B2048" s="59">
        <v>16</v>
      </c>
      <c r="C2048" s="59">
        <v>970</v>
      </c>
      <c r="D2048" s="51">
        <v>1</v>
      </c>
      <c r="E2048" s="51">
        <f t="shared" si="31"/>
        <v>0</v>
      </c>
    </row>
    <row r="2049" spans="1:5">
      <c r="A2049" s="59">
        <v>3</v>
      </c>
      <c r="B2049" s="59">
        <v>21</v>
      </c>
      <c r="C2049" s="59">
        <v>910</v>
      </c>
      <c r="D2049" s="51">
        <v>1</v>
      </c>
      <c r="E2049" s="51">
        <f t="shared" si="31"/>
        <v>0</v>
      </c>
    </row>
    <row r="2050" spans="1:5">
      <c r="A2050" s="59">
        <v>3</v>
      </c>
      <c r="B2050" s="59">
        <v>22</v>
      </c>
      <c r="C2050" s="59">
        <v>610</v>
      </c>
      <c r="D2050" s="51">
        <v>1</v>
      </c>
      <c r="E2050" s="51">
        <f t="shared" ref="E2050:E2113" si="32">IF(OR(A2050=6,A2050=7,A2050=14,A2050=15,A2050=16,A2050=17,A2050=18,A2050=19,A2050=20,A2050=21,A2050=22,A2050=23,A2050=25,A2050=26,A2050=27,A2050=28,B2050=41,B2050=44,B2050=62),1,0)</f>
        <v>0</v>
      </c>
    </row>
    <row r="2051" spans="1:5">
      <c r="A2051" s="59">
        <v>3</v>
      </c>
      <c r="B2051" s="59">
        <v>22</v>
      </c>
      <c r="C2051" s="59">
        <v>630</v>
      </c>
      <c r="D2051" s="51">
        <v>1</v>
      </c>
      <c r="E2051" s="51">
        <f t="shared" si="32"/>
        <v>0</v>
      </c>
    </row>
    <row r="2052" spans="1:5">
      <c r="A2052" s="59">
        <v>3</v>
      </c>
      <c r="B2052" s="59">
        <v>22</v>
      </c>
      <c r="C2052" s="59">
        <v>950</v>
      </c>
      <c r="D2052" s="51">
        <v>1</v>
      </c>
      <c r="E2052" s="51">
        <f t="shared" si="32"/>
        <v>0</v>
      </c>
    </row>
    <row r="2053" spans="1:5">
      <c r="A2053" s="59">
        <v>3</v>
      </c>
      <c r="B2053" s="59">
        <v>23</v>
      </c>
      <c r="C2053" s="59">
        <v>530</v>
      </c>
      <c r="D2053" s="51">
        <v>1</v>
      </c>
      <c r="E2053" s="51">
        <f t="shared" si="32"/>
        <v>0</v>
      </c>
    </row>
    <row r="2054" spans="1:5">
      <c r="A2054" s="59">
        <v>3</v>
      </c>
      <c r="B2054" s="59">
        <v>24</v>
      </c>
      <c r="C2054" s="59">
        <v>230</v>
      </c>
      <c r="D2054" s="51">
        <v>1</v>
      </c>
      <c r="E2054" s="51">
        <f t="shared" si="32"/>
        <v>0</v>
      </c>
    </row>
    <row r="2055" spans="1:5">
      <c r="A2055" s="59">
        <v>3</v>
      </c>
      <c r="B2055" s="59">
        <v>31</v>
      </c>
      <c r="C2055" s="59">
        <v>530</v>
      </c>
      <c r="D2055" s="51">
        <v>1</v>
      </c>
      <c r="E2055" s="51">
        <f t="shared" si="32"/>
        <v>0</v>
      </c>
    </row>
    <row r="2056" spans="1:5">
      <c r="A2056" s="59">
        <v>3</v>
      </c>
      <c r="B2056" s="59">
        <v>32</v>
      </c>
      <c r="C2056" s="59">
        <v>110</v>
      </c>
      <c r="D2056" s="51">
        <v>1</v>
      </c>
      <c r="E2056" s="51">
        <f t="shared" si="32"/>
        <v>0</v>
      </c>
    </row>
    <row r="2057" spans="1:5">
      <c r="A2057" s="59">
        <v>3</v>
      </c>
      <c r="B2057" s="59">
        <v>32</v>
      </c>
      <c r="C2057" s="59">
        <v>210</v>
      </c>
      <c r="D2057" s="51">
        <v>1</v>
      </c>
      <c r="E2057" s="51">
        <f t="shared" si="32"/>
        <v>0</v>
      </c>
    </row>
    <row r="2058" spans="1:5">
      <c r="A2058" s="59">
        <v>3</v>
      </c>
      <c r="B2058" s="59">
        <v>32</v>
      </c>
      <c r="C2058" s="59">
        <v>220</v>
      </c>
      <c r="D2058" s="51">
        <v>1</v>
      </c>
      <c r="E2058" s="51">
        <f t="shared" si="32"/>
        <v>0</v>
      </c>
    </row>
    <row r="2059" spans="1:5">
      <c r="A2059" s="59">
        <v>3</v>
      </c>
      <c r="B2059" s="59">
        <v>32</v>
      </c>
      <c r="C2059" s="59">
        <v>310</v>
      </c>
      <c r="D2059" s="51">
        <v>1</v>
      </c>
      <c r="E2059" s="51">
        <f t="shared" si="32"/>
        <v>0</v>
      </c>
    </row>
    <row r="2060" spans="1:5">
      <c r="A2060" s="59">
        <v>3</v>
      </c>
      <c r="B2060" s="59">
        <v>32</v>
      </c>
      <c r="C2060" s="59">
        <v>720</v>
      </c>
      <c r="D2060" s="51">
        <v>1</v>
      </c>
      <c r="E2060" s="51">
        <f t="shared" si="32"/>
        <v>0</v>
      </c>
    </row>
    <row r="2061" spans="1:5">
      <c r="A2061" s="59">
        <v>3</v>
      </c>
      <c r="B2061" s="59">
        <v>32</v>
      </c>
      <c r="C2061" s="59">
        <v>740</v>
      </c>
      <c r="D2061" s="51">
        <v>1</v>
      </c>
      <c r="E2061" s="51">
        <f t="shared" si="32"/>
        <v>0</v>
      </c>
    </row>
    <row r="2062" spans="1:5">
      <c r="A2062" s="59">
        <v>3</v>
      </c>
      <c r="B2062" s="59">
        <v>32</v>
      </c>
      <c r="C2062" s="59">
        <v>750</v>
      </c>
      <c r="D2062" s="51">
        <v>1</v>
      </c>
      <c r="E2062" s="51">
        <f t="shared" si="32"/>
        <v>0</v>
      </c>
    </row>
    <row r="2063" spans="1:5">
      <c r="A2063" s="59">
        <v>3</v>
      </c>
      <c r="B2063" s="59">
        <v>33</v>
      </c>
      <c r="C2063" s="59">
        <v>330</v>
      </c>
      <c r="D2063" s="51">
        <v>1</v>
      </c>
      <c r="E2063" s="51">
        <f t="shared" si="32"/>
        <v>0</v>
      </c>
    </row>
    <row r="2064" spans="1:5">
      <c r="A2064" s="59">
        <v>3</v>
      </c>
      <c r="B2064" s="59">
        <v>33</v>
      </c>
      <c r="C2064" s="59">
        <v>550</v>
      </c>
      <c r="D2064" s="51">
        <v>1</v>
      </c>
      <c r="E2064" s="51">
        <f t="shared" si="32"/>
        <v>0</v>
      </c>
    </row>
    <row r="2065" spans="1:5">
      <c r="A2065" s="59">
        <v>3</v>
      </c>
      <c r="B2065" s="59">
        <v>33</v>
      </c>
      <c r="C2065" s="59">
        <v>730</v>
      </c>
      <c r="D2065" s="51">
        <v>1</v>
      </c>
      <c r="E2065" s="51">
        <f t="shared" si="32"/>
        <v>0</v>
      </c>
    </row>
    <row r="2066" spans="1:5">
      <c r="A2066" s="59">
        <v>3</v>
      </c>
      <c r="B2066" s="59">
        <v>41</v>
      </c>
      <c r="C2066" s="59">
        <v>330</v>
      </c>
      <c r="D2066" s="51">
        <v>1</v>
      </c>
      <c r="E2066" s="51">
        <f t="shared" si="32"/>
        <v>1</v>
      </c>
    </row>
    <row r="2067" spans="1:5">
      <c r="A2067" s="59">
        <v>3</v>
      </c>
      <c r="B2067" s="59">
        <v>41</v>
      </c>
      <c r="C2067" s="59">
        <v>630</v>
      </c>
      <c r="D2067" s="51">
        <v>1</v>
      </c>
      <c r="E2067" s="51">
        <f t="shared" si="32"/>
        <v>1</v>
      </c>
    </row>
    <row r="2068" spans="1:5">
      <c r="A2068" s="59">
        <v>3</v>
      </c>
      <c r="B2068" s="59">
        <v>41</v>
      </c>
      <c r="C2068" s="59">
        <v>710</v>
      </c>
      <c r="D2068" s="51">
        <v>1</v>
      </c>
      <c r="E2068" s="51">
        <f t="shared" si="32"/>
        <v>1</v>
      </c>
    </row>
    <row r="2069" spans="1:5">
      <c r="A2069" s="59">
        <v>3</v>
      </c>
      <c r="B2069" s="59">
        <v>41</v>
      </c>
      <c r="C2069" s="59">
        <v>750</v>
      </c>
      <c r="D2069" s="51">
        <v>1</v>
      </c>
      <c r="E2069" s="51">
        <f t="shared" si="32"/>
        <v>1</v>
      </c>
    </row>
    <row r="2070" spans="1:5">
      <c r="A2070" s="59">
        <v>3</v>
      </c>
      <c r="B2070" s="59">
        <v>41</v>
      </c>
      <c r="C2070" s="59">
        <v>831</v>
      </c>
      <c r="D2070" s="51">
        <v>1</v>
      </c>
      <c r="E2070" s="51">
        <f t="shared" si="32"/>
        <v>1</v>
      </c>
    </row>
    <row r="2071" spans="1:5">
      <c r="A2071" s="59">
        <v>3</v>
      </c>
      <c r="B2071" s="59">
        <v>41</v>
      </c>
      <c r="C2071" s="59">
        <v>893</v>
      </c>
      <c r="D2071" s="51">
        <v>1</v>
      </c>
      <c r="E2071" s="51">
        <f t="shared" si="32"/>
        <v>1</v>
      </c>
    </row>
    <row r="2072" spans="1:5">
      <c r="A2072" s="59">
        <v>3</v>
      </c>
      <c r="B2072" s="59">
        <v>41</v>
      </c>
      <c r="C2072" s="59">
        <v>940</v>
      </c>
      <c r="D2072" s="51">
        <v>1</v>
      </c>
      <c r="E2072" s="51">
        <f t="shared" si="32"/>
        <v>1</v>
      </c>
    </row>
    <row r="2073" spans="1:5">
      <c r="A2073" s="59">
        <v>3</v>
      </c>
      <c r="B2073" s="59">
        <v>41</v>
      </c>
      <c r="C2073" s="59">
        <v>970</v>
      </c>
      <c r="D2073" s="51">
        <v>1</v>
      </c>
      <c r="E2073" s="51">
        <f t="shared" si="32"/>
        <v>1</v>
      </c>
    </row>
    <row r="2074" spans="1:5">
      <c r="A2074" s="59">
        <v>3</v>
      </c>
      <c r="B2074" s="59">
        <v>42</v>
      </c>
      <c r="C2074" s="59">
        <v>430</v>
      </c>
      <c r="D2074" s="51">
        <v>1</v>
      </c>
      <c r="E2074" s="51">
        <f t="shared" si="32"/>
        <v>0</v>
      </c>
    </row>
    <row r="2075" spans="1:5">
      <c r="A2075" s="59">
        <v>3</v>
      </c>
      <c r="B2075" s="59">
        <v>42</v>
      </c>
      <c r="C2075" s="59">
        <v>440</v>
      </c>
      <c r="D2075" s="51">
        <v>1</v>
      </c>
      <c r="E2075" s="51">
        <f t="shared" si="32"/>
        <v>0</v>
      </c>
    </row>
    <row r="2076" spans="1:5">
      <c r="A2076" s="59">
        <v>3</v>
      </c>
      <c r="B2076" s="59">
        <v>42</v>
      </c>
      <c r="C2076" s="59">
        <v>750</v>
      </c>
      <c r="D2076" s="51">
        <v>1</v>
      </c>
      <c r="E2076" s="51">
        <f t="shared" si="32"/>
        <v>0</v>
      </c>
    </row>
    <row r="2077" spans="1:5">
      <c r="A2077" s="59">
        <v>3</v>
      </c>
      <c r="B2077" s="59">
        <v>43</v>
      </c>
      <c r="C2077" s="59">
        <v>850</v>
      </c>
      <c r="D2077" s="51">
        <v>1</v>
      </c>
      <c r="E2077" s="51">
        <f t="shared" si="32"/>
        <v>0</v>
      </c>
    </row>
    <row r="2078" spans="1:5">
      <c r="A2078" s="59">
        <v>3</v>
      </c>
      <c r="B2078" s="59">
        <v>44</v>
      </c>
      <c r="C2078" s="59">
        <v>220</v>
      </c>
      <c r="D2078" s="51">
        <v>1</v>
      </c>
      <c r="E2078" s="51">
        <f t="shared" si="32"/>
        <v>1</v>
      </c>
    </row>
    <row r="2079" spans="1:5">
      <c r="A2079" s="59">
        <v>3</v>
      </c>
      <c r="B2079" s="59">
        <v>44</v>
      </c>
      <c r="C2079" s="59">
        <v>230</v>
      </c>
      <c r="D2079" s="51">
        <v>1</v>
      </c>
      <c r="E2079" s="51">
        <f t="shared" si="32"/>
        <v>1</v>
      </c>
    </row>
    <row r="2080" spans="1:5">
      <c r="A2080" s="59">
        <v>3</v>
      </c>
      <c r="B2080" s="59">
        <v>44</v>
      </c>
      <c r="C2080" s="59">
        <v>310</v>
      </c>
      <c r="D2080" s="51">
        <v>1</v>
      </c>
      <c r="E2080" s="51">
        <f t="shared" si="32"/>
        <v>1</v>
      </c>
    </row>
    <row r="2081" spans="1:5">
      <c r="A2081" s="59">
        <v>3</v>
      </c>
      <c r="B2081" s="59">
        <v>44</v>
      </c>
      <c r="C2081" s="59">
        <v>430</v>
      </c>
      <c r="D2081" s="51">
        <v>1</v>
      </c>
      <c r="E2081" s="51">
        <f t="shared" si="32"/>
        <v>1</v>
      </c>
    </row>
    <row r="2082" spans="1:5">
      <c r="A2082" s="59">
        <v>3</v>
      </c>
      <c r="B2082" s="59">
        <v>51</v>
      </c>
      <c r="C2082" s="59">
        <v>150</v>
      </c>
      <c r="D2082" s="51">
        <v>1</v>
      </c>
      <c r="E2082" s="51">
        <f t="shared" si="32"/>
        <v>0</v>
      </c>
    </row>
    <row r="2083" spans="1:5">
      <c r="A2083" s="59">
        <v>3</v>
      </c>
      <c r="B2083" s="59">
        <v>62</v>
      </c>
      <c r="C2083" s="59">
        <v>230</v>
      </c>
      <c r="D2083" s="51">
        <v>1</v>
      </c>
      <c r="E2083" s="51">
        <f t="shared" si="32"/>
        <v>1</v>
      </c>
    </row>
    <row r="2084" spans="1:5">
      <c r="A2084" s="59">
        <v>3</v>
      </c>
      <c r="B2084" s="59">
        <v>62</v>
      </c>
      <c r="C2084" s="59">
        <v>240</v>
      </c>
      <c r="D2084" s="51">
        <v>1</v>
      </c>
      <c r="E2084" s="51">
        <f t="shared" si="32"/>
        <v>1</v>
      </c>
    </row>
    <row r="2085" spans="1:5">
      <c r="A2085" s="59">
        <v>3</v>
      </c>
      <c r="B2085" s="59">
        <v>62</v>
      </c>
      <c r="C2085" s="59">
        <v>940</v>
      </c>
      <c r="D2085" s="51">
        <v>1</v>
      </c>
      <c r="E2085" s="51">
        <f t="shared" si="32"/>
        <v>1</v>
      </c>
    </row>
    <row r="2086" spans="1:5">
      <c r="A2086" s="59">
        <v>3</v>
      </c>
      <c r="B2086" s="59">
        <v>63</v>
      </c>
      <c r="C2086" s="59">
        <v>410</v>
      </c>
      <c r="D2086" s="51">
        <v>1</v>
      </c>
      <c r="E2086" s="51">
        <f t="shared" si="32"/>
        <v>0</v>
      </c>
    </row>
    <row r="2087" spans="1:5">
      <c r="A2087" s="59">
        <v>3</v>
      </c>
      <c r="B2087" s="59">
        <v>63</v>
      </c>
      <c r="C2087" s="59">
        <v>740</v>
      </c>
      <c r="D2087" s="51">
        <v>1</v>
      </c>
      <c r="E2087" s="51">
        <f t="shared" si="32"/>
        <v>0</v>
      </c>
    </row>
    <row r="2088" spans="1:5">
      <c r="A2088" s="59">
        <v>3</v>
      </c>
      <c r="B2088" s="59">
        <v>64</v>
      </c>
      <c r="C2088" s="59">
        <v>831</v>
      </c>
      <c r="D2088" s="51">
        <v>1</v>
      </c>
      <c r="E2088" s="51">
        <f t="shared" si="32"/>
        <v>0</v>
      </c>
    </row>
    <row r="2089" spans="1:5">
      <c r="A2089" s="59">
        <v>3</v>
      </c>
      <c r="B2089" s="59">
        <v>64</v>
      </c>
      <c r="C2089" s="59">
        <v>840</v>
      </c>
      <c r="D2089" s="51">
        <v>1</v>
      </c>
      <c r="E2089" s="51">
        <f t="shared" si="32"/>
        <v>0</v>
      </c>
    </row>
    <row r="2090" spans="1:5">
      <c r="A2090" s="59">
        <v>3</v>
      </c>
      <c r="B2090" s="59">
        <v>64</v>
      </c>
      <c r="C2090" s="59">
        <v>893</v>
      </c>
      <c r="D2090" s="51">
        <v>1</v>
      </c>
      <c r="E2090" s="51">
        <f t="shared" si="32"/>
        <v>0</v>
      </c>
    </row>
    <row r="2091" spans="1:5">
      <c r="A2091" s="59">
        <v>3</v>
      </c>
      <c r="B2091" s="59">
        <v>71</v>
      </c>
      <c r="C2091" s="59">
        <v>320</v>
      </c>
      <c r="D2091" s="51">
        <v>1</v>
      </c>
      <c r="E2091" s="51">
        <f t="shared" si="32"/>
        <v>0</v>
      </c>
    </row>
    <row r="2092" spans="1:5">
      <c r="A2092" s="59">
        <v>3</v>
      </c>
      <c r="B2092" s="59">
        <v>71</v>
      </c>
      <c r="C2092" s="59">
        <v>430</v>
      </c>
      <c r="D2092" s="51">
        <v>1</v>
      </c>
      <c r="E2092" s="51">
        <f t="shared" si="32"/>
        <v>0</v>
      </c>
    </row>
    <row r="2093" spans="1:5">
      <c r="A2093" s="59">
        <v>3</v>
      </c>
      <c r="B2093" s="59">
        <v>71</v>
      </c>
      <c r="C2093" s="59">
        <v>930</v>
      </c>
      <c r="D2093" s="51">
        <v>1</v>
      </c>
      <c r="E2093" s="51">
        <f t="shared" si="32"/>
        <v>0</v>
      </c>
    </row>
    <row r="2094" spans="1:5">
      <c r="A2094" s="59">
        <v>3</v>
      </c>
      <c r="B2094" s="59">
        <v>81</v>
      </c>
      <c r="C2094" s="59">
        <v>240</v>
      </c>
      <c r="D2094" s="51">
        <v>1</v>
      </c>
      <c r="E2094" s="51">
        <f t="shared" si="32"/>
        <v>0</v>
      </c>
    </row>
    <row r="2095" spans="1:5">
      <c r="A2095" s="59">
        <v>3</v>
      </c>
      <c r="B2095" s="59">
        <v>81</v>
      </c>
      <c r="C2095" s="59">
        <v>410</v>
      </c>
      <c r="D2095" s="51">
        <v>1</v>
      </c>
      <c r="E2095" s="51">
        <f t="shared" si="32"/>
        <v>0</v>
      </c>
    </row>
    <row r="2096" spans="1:5">
      <c r="A2096" s="59">
        <v>3</v>
      </c>
      <c r="B2096" s="59">
        <v>81</v>
      </c>
      <c r="C2096" s="59">
        <v>440</v>
      </c>
      <c r="D2096" s="51">
        <v>1</v>
      </c>
      <c r="E2096" s="51">
        <f t="shared" si="32"/>
        <v>0</v>
      </c>
    </row>
    <row r="2097" spans="1:5">
      <c r="A2097" s="59">
        <v>3</v>
      </c>
      <c r="B2097" s="59">
        <v>81</v>
      </c>
      <c r="C2097" s="59">
        <v>630</v>
      </c>
      <c r="D2097" s="51">
        <v>1</v>
      </c>
      <c r="E2097" s="51">
        <f t="shared" si="32"/>
        <v>0</v>
      </c>
    </row>
    <row r="2098" spans="1:5">
      <c r="A2098" s="59">
        <v>4</v>
      </c>
      <c r="B2098" s="59">
        <v>64</v>
      </c>
      <c r="C2098" s="59">
        <v>550</v>
      </c>
      <c r="D2098" s="51">
        <v>27672</v>
      </c>
      <c r="E2098" s="51">
        <f t="shared" si="32"/>
        <v>0</v>
      </c>
    </row>
    <row r="2099" spans="1:5">
      <c r="A2099" s="59">
        <v>4</v>
      </c>
      <c r="B2099" s="59">
        <v>64</v>
      </c>
      <c r="C2099" s="59">
        <v>530</v>
      </c>
      <c r="D2099" s="51">
        <v>10102</v>
      </c>
      <c r="E2099" s="51">
        <f t="shared" si="32"/>
        <v>0</v>
      </c>
    </row>
    <row r="2100" spans="1:5">
      <c r="A2100" s="59">
        <v>4</v>
      </c>
      <c r="B2100" s="59">
        <v>63</v>
      </c>
      <c r="C2100" s="59">
        <v>550</v>
      </c>
      <c r="D2100" s="51">
        <v>8792</v>
      </c>
      <c r="E2100" s="51">
        <f t="shared" si="32"/>
        <v>0</v>
      </c>
    </row>
    <row r="2101" spans="1:5">
      <c r="A2101" s="59">
        <v>4</v>
      </c>
      <c r="B2101" s="59">
        <v>71</v>
      </c>
      <c r="C2101" s="59">
        <v>640</v>
      </c>
      <c r="D2101" s="51">
        <v>8477</v>
      </c>
      <c r="E2101" s="51">
        <f t="shared" si="32"/>
        <v>0</v>
      </c>
    </row>
    <row r="2102" spans="1:5">
      <c r="A2102" s="59">
        <v>4</v>
      </c>
      <c r="B2102" s="59">
        <v>71</v>
      </c>
      <c r="C2102" s="59">
        <v>550</v>
      </c>
      <c r="D2102" s="51">
        <v>8080</v>
      </c>
      <c r="E2102" s="51">
        <f t="shared" si="32"/>
        <v>0</v>
      </c>
    </row>
    <row r="2103" spans="1:5">
      <c r="A2103" s="59">
        <v>4</v>
      </c>
      <c r="B2103" s="59">
        <v>64</v>
      </c>
      <c r="C2103" s="59">
        <v>740</v>
      </c>
      <c r="D2103" s="51">
        <v>6399</v>
      </c>
      <c r="E2103" s="51">
        <f t="shared" si="32"/>
        <v>0</v>
      </c>
    </row>
    <row r="2104" spans="1:5">
      <c r="A2104" s="59">
        <v>4</v>
      </c>
      <c r="B2104" s="59">
        <v>64</v>
      </c>
      <c r="C2104" s="59">
        <v>640</v>
      </c>
      <c r="D2104" s="51">
        <v>5848</v>
      </c>
      <c r="E2104" s="51">
        <f t="shared" si="32"/>
        <v>0</v>
      </c>
    </row>
    <row r="2105" spans="1:5">
      <c r="A2105" s="59">
        <v>4</v>
      </c>
      <c r="B2105" s="59">
        <v>62</v>
      </c>
      <c r="C2105" s="59">
        <v>550</v>
      </c>
      <c r="D2105" s="51">
        <v>4906</v>
      </c>
      <c r="E2105" s="51">
        <f t="shared" si="32"/>
        <v>1</v>
      </c>
    </row>
    <row r="2106" spans="1:5">
      <c r="A2106" s="59">
        <v>4</v>
      </c>
      <c r="B2106" s="59">
        <v>63</v>
      </c>
      <c r="C2106" s="59">
        <v>740</v>
      </c>
      <c r="D2106" s="51">
        <v>4570</v>
      </c>
      <c r="E2106" s="51">
        <f t="shared" si="32"/>
        <v>0</v>
      </c>
    </row>
    <row r="2107" spans="1:5">
      <c r="A2107" s="59">
        <v>4</v>
      </c>
      <c r="B2107" s="59">
        <v>64</v>
      </c>
      <c r="C2107" s="59">
        <v>160</v>
      </c>
      <c r="D2107" s="51">
        <v>4189</v>
      </c>
      <c r="E2107" s="51">
        <f t="shared" si="32"/>
        <v>0</v>
      </c>
    </row>
    <row r="2108" spans="1:5">
      <c r="A2108" s="59">
        <v>4</v>
      </c>
      <c r="B2108" s="59">
        <v>43</v>
      </c>
      <c r="C2108" s="59">
        <v>550</v>
      </c>
      <c r="D2108" s="51">
        <v>3785</v>
      </c>
      <c r="E2108" s="51">
        <f t="shared" si="32"/>
        <v>0</v>
      </c>
    </row>
    <row r="2109" spans="1:5">
      <c r="A2109" s="59">
        <v>4</v>
      </c>
      <c r="B2109" s="59">
        <v>64</v>
      </c>
      <c r="C2109" s="59">
        <v>510</v>
      </c>
      <c r="D2109" s="51">
        <v>3031</v>
      </c>
      <c r="E2109" s="51">
        <f t="shared" si="32"/>
        <v>0</v>
      </c>
    </row>
    <row r="2110" spans="1:5">
      <c r="A2110" s="59">
        <v>4</v>
      </c>
      <c r="B2110" s="59">
        <v>62</v>
      </c>
      <c r="C2110" s="59">
        <v>740</v>
      </c>
      <c r="D2110" s="51">
        <v>2976</v>
      </c>
      <c r="E2110" s="51">
        <f t="shared" si="32"/>
        <v>1</v>
      </c>
    </row>
    <row r="2111" spans="1:5">
      <c r="A2111" s="59">
        <v>4</v>
      </c>
      <c r="B2111" s="59">
        <v>63</v>
      </c>
      <c r="C2111" s="59">
        <v>640</v>
      </c>
      <c r="D2111" s="51">
        <v>2661</v>
      </c>
      <c r="E2111" s="51">
        <f t="shared" si="32"/>
        <v>0</v>
      </c>
    </row>
    <row r="2112" spans="1:5">
      <c r="A2112" s="59">
        <v>4</v>
      </c>
      <c r="B2112" s="59">
        <v>63</v>
      </c>
      <c r="C2112" s="59">
        <v>530</v>
      </c>
      <c r="D2112" s="51">
        <v>2410</v>
      </c>
      <c r="E2112" s="51">
        <f t="shared" si="32"/>
        <v>0</v>
      </c>
    </row>
    <row r="2113" spans="1:5">
      <c r="A2113" s="59">
        <v>4</v>
      </c>
      <c r="B2113" s="59">
        <v>64</v>
      </c>
      <c r="C2113" s="59">
        <v>620</v>
      </c>
      <c r="D2113" s="51">
        <v>2408</v>
      </c>
      <c r="E2113" s="51">
        <f t="shared" si="32"/>
        <v>0</v>
      </c>
    </row>
    <row r="2114" spans="1:5">
      <c r="A2114" s="59">
        <v>4</v>
      </c>
      <c r="B2114" s="59">
        <v>44</v>
      </c>
      <c r="C2114" s="59">
        <v>550</v>
      </c>
      <c r="D2114" s="51">
        <v>2406</v>
      </c>
      <c r="E2114" s="51">
        <f t="shared" ref="E2114:E2177" si="33">IF(OR(A2114=6,A2114=7,A2114=14,A2114=15,A2114=16,A2114=17,A2114=18,A2114=19,A2114=20,A2114=21,A2114=22,A2114=23,A2114=25,A2114=26,A2114=27,A2114=28,B2114=41,B2114=44,B2114=62),1,0)</f>
        <v>1</v>
      </c>
    </row>
    <row r="2115" spans="1:5">
      <c r="A2115" s="59">
        <v>4</v>
      </c>
      <c r="B2115" s="59">
        <v>62</v>
      </c>
      <c r="C2115" s="59">
        <v>530</v>
      </c>
      <c r="D2115" s="51">
        <v>2321</v>
      </c>
      <c r="E2115" s="51">
        <f t="shared" si="33"/>
        <v>1</v>
      </c>
    </row>
    <row r="2116" spans="1:5">
      <c r="A2116" s="59">
        <v>4</v>
      </c>
      <c r="B2116" s="59">
        <v>43</v>
      </c>
      <c r="C2116" s="59">
        <v>530</v>
      </c>
      <c r="D2116" s="51">
        <v>2234</v>
      </c>
      <c r="E2116" s="51">
        <f t="shared" si="33"/>
        <v>0</v>
      </c>
    </row>
    <row r="2117" spans="1:5">
      <c r="A2117" s="59">
        <v>4</v>
      </c>
      <c r="B2117" s="59">
        <v>71</v>
      </c>
      <c r="C2117" s="59">
        <v>530</v>
      </c>
      <c r="D2117" s="51">
        <v>2138</v>
      </c>
      <c r="E2117" s="51">
        <f t="shared" si="33"/>
        <v>0</v>
      </c>
    </row>
    <row r="2118" spans="1:5">
      <c r="A2118" s="59">
        <v>4</v>
      </c>
      <c r="B2118" s="59">
        <v>71</v>
      </c>
      <c r="C2118" s="59">
        <v>620</v>
      </c>
      <c r="D2118" s="51">
        <v>1936</v>
      </c>
      <c r="E2118" s="51">
        <f t="shared" si="33"/>
        <v>0</v>
      </c>
    </row>
    <row r="2119" spans="1:5">
      <c r="A2119" s="59">
        <v>4</v>
      </c>
      <c r="B2119" s="59">
        <v>64</v>
      </c>
      <c r="C2119" s="59">
        <v>910</v>
      </c>
      <c r="D2119" s="51">
        <v>1897</v>
      </c>
      <c r="E2119" s="51">
        <f t="shared" si="33"/>
        <v>0</v>
      </c>
    </row>
    <row r="2120" spans="1:5">
      <c r="A2120" s="59">
        <v>4</v>
      </c>
      <c r="B2120" s="59">
        <v>71</v>
      </c>
      <c r="C2120" s="59">
        <v>610</v>
      </c>
      <c r="D2120" s="51">
        <v>1856</v>
      </c>
      <c r="E2120" s="51">
        <f t="shared" si="33"/>
        <v>0</v>
      </c>
    </row>
    <row r="2121" spans="1:5">
      <c r="A2121" s="59">
        <v>4</v>
      </c>
      <c r="B2121" s="59">
        <v>44</v>
      </c>
      <c r="C2121" s="59">
        <v>530</v>
      </c>
      <c r="D2121" s="51">
        <v>1819</v>
      </c>
      <c r="E2121" s="51">
        <f t="shared" si="33"/>
        <v>1</v>
      </c>
    </row>
    <row r="2122" spans="1:5">
      <c r="A2122" s="59">
        <v>4</v>
      </c>
      <c r="B2122" s="59">
        <v>64</v>
      </c>
      <c r="C2122" s="59">
        <v>720</v>
      </c>
      <c r="D2122" s="51">
        <v>1738</v>
      </c>
      <c r="E2122" s="51">
        <f t="shared" si="33"/>
        <v>0</v>
      </c>
    </row>
    <row r="2123" spans="1:5">
      <c r="A2123" s="59">
        <v>4</v>
      </c>
      <c r="B2123" s="59">
        <v>62</v>
      </c>
      <c r="C2123" s="59">
        <v>720</v>
      </c>
      <c r="D2123" s="51">
        <v>1404</v>
      </c>
      <c r="E2123" s="51">
        <f t="shared" si="33"/>
        <v>1</v>
      </c>
    </row>
    <row r="2124" spans="1:5">
      <c r="A2124" s="59">
        <v>4</v>
      </c>
      <c r="B2124" s="59">
        <v>62</v>
      </c>
      <c r="C2124" s="59">
        <v>640</v>
      </c>
      <c r="D2124" s="51">
        <v>1388</v>
      </c>
      <c r="E2124" s="51">
        <f t="shared" si="33"/>
        <v>1</v>
      </c>
    </row>
    <row r="2125" spans="1:5">
      <c r="A2125" s="59">
        <v>4</v>
      </c>
      <c r="B2125" s="59">
        <v>64</v>
      </c>
      <c r="C2125" s="59">
        <v>110</v>
      </c>
      <c r="D2125" s="51">
        <v>1237</v>
      </c>
      <c r="E2125" s="51">
        <f t="shared" si="33"/>
        <v>0</v>
      </c>
    </row>
    <row r="2126" spans="1:5">
      <c r="A2126" s="59">
        <v>4</v>
      </c>
      <c r="B2126" s="59">
        <v>71</v>
      </c>
      <c r="C2126" s="59">
        <v>160</v>
      </c>
      <c r="D2126" s="51">
        <v>1206</v>
      </c>
      <c r="E2126" s="51">
        <f t="shared" si="33"/>
        <v>0</v>
      </c>
    </row>
    <row r="2127" spans="1:5">
      <c r="A2127" s="59">
        <v>4</v>
      </c>
      <c r="B2127" s="59">
        <v>63</v>
      </c>
      <c r="C2127" s="59">
        <v>510</v>
      </c>
      <c r="D2127" s="51">
        <v>1144</v>
      </c>
      <c r="E2127" s="51">
        <f t="shared" si="33"/>
        <v>0</v>
      </c>
    </row>
    <row r="2128" spans="1:5">
      <c r="A2128" s="59">
        <v>4</v>
      </c>
      <c r="B2128" s="59">
        <v>43</v>
      </c>
      <c r="C2128" s="59">
        <v>640</v>
      </c>
      <c r="D2128" s="51">
        <v>969</v>
      </c>
      <c r="E2128" s="51">
        <f t="shared" si="33"/>
        <v>0</v>
      </c>
    </row>
    <row r="2129" spans="1:5">
      <c r="A2129" s="59">
        <v>4</v>
      </c>
      <c r="B2129" s="59">
        <v>63</v>
      </c>
      <c r="C2129" s="59">
        <v>160</v>
      </c>
      <c r="D2129" s="51">
        <v>955</v>
      </c>
      <c r="E2129" s="51">
        <f t="shared" si="33"/>
        <v>0</v>
      </c>
    </row>
    <row r="2130" spans="1:5">
      <c r="A2130" s="59">
        <v>4</v>
      </c>
      <c r="B2130" s="59">
        <v>63</v>
      </c>
      <c r="C2130" s="59">
        <v>620</v>
      </c>
      <c r="D2130" s="51">
        <v>835</v>
      </c>
      <c r="E2130" s="51">
        <f t="shared" si="33"/>
        <v>0</v>
      </c>
    </row>
    <row r="2131" spans="1:5">
      <c r="A2131" s="59">
        <v>4</v>
      </c>
      <c r="B2131" s="59">
        <v>43</v>
      </c>
      <c r="C2131" s="59">
        <v>740</v>
      </c>
      <c r="D2131" s="51">
        <v>784</v>
      </c>
      <c r="E2131" s="51">
        <f t="shared" si="33"/>
        <v>0</v>
      </c>
    </row>
    <row r="2132" spans="1:5">
      <c r="A2132" s="59">
        <v>4</v>
      </c>
      <c r="B2132" s="59">
        <v>63</v>
      </c>
      <c r="C2132" s="59">
        <v>720</v>
      </c>
      <c r="D2132" s="51">
        <v>758</v>
      </c>
      <c r="E2132" s="51">
        <f t="shared" si="33"/>
        <v>0</v>
      </c>
    </row>
    <row r="2133" spans="1:5">
      <c r="A2133" s="59">
        <v>4</v>
      </c>
      <c r="B2133" s="59">
        <v>71</v>
      </c>
      <c r="C2133" s="59">
        <v>910</v>
      </c>
      <c r="D2133" s="51">
        <v>678</v>
      </c>
      <c r="E2133" s="51">
        <f t="shared" si="33"/>
        <v>0</v>
      </c>
    </row>
    <row r="2134" spans="1:5">
      <c r="A2134" s="59">
        <v>4</v>
      </c>
      <c r="B2134" s="59">
        <v>13</v>
      </c>
      <c r="C2134" s="59">
        <v>160</v>
      </c>
      <c r="D2134" s="51">
        <v>668</v>
      </c>
      <c r="E2134" s="51">
        <f t="shared" si="33"/>
        <v>0</v>
      </c>
    </row>
    <row r="2135" spans="1:5">
      <c r="A2135" s="59">
        <v>4</v>
      </c>
      <c r="B2135" s="59">
        <v>62</v>
      </c>
      <c r="C2135" s="59">
        <v>510</v>
      </c>
      <c r="D2135" s="51">
        <v>647</v>
      </c>
      <c r="E2135" s="51">
        <f t="shared" si="33"/>
        <v>1</v>
      </c>
    </row>
    <row r="2136" spans="1:5">
      <c r="A2136" s="59">
        <v>4</v>
      </c>
      <c r="B2136" s="59">
        <v>64</v>
      </c>
      <c r="C2136" s="59">
        <v>540</v>
      </c>
      <c r="D2136" s="51">
        <v>624</v>
      </c>
      <c r="E2136" s="51">
        <f t="shared" si="33"/>
        <v>0</v>
      </c>
    </row>
    <row r="2137" spans="1:5">
      <c r="A2137" s="59">
        <v>4</v>
      </c>
      <c r="B2137" s="59">
        <v>43</v>
      </c>
      <c r="C2137" s="59">
        <v>160</v>
      </c>
      <c r="D2137" s="51">
        <v>612</v>
      </c>
      <c r="E2137" s="51">
        <f t="shared" si="33"/>
        <v>0</v>
      </c>
    </row>
    <row r="2138" spans="1:5">
      <c r="A2138" s="59">
        <v>4</v>
      </c>
      <c r="B2138" s="59">
        <v>62</v>
      </c>
      <c r="C2138" s="59">
        <v>620</v>
      </c>
      <c r="D2138" s="51">
        <v>586</v>
      </c>
      <c r="E2138" s="51">
        <f t="shared" si="33"/>
        <v>1</v>
      </c>
    </row>
    <row r="2139" spans="1:5">
      <c r="A2139" s="59">
        <v>4</v>
      </c>
      <c r="B2139" s="59">
        <v>62</v>
      </c>
      <c r="C2139" s="59">
        <v>160</v>
      </c>
      <c r="D2139" s="51">
        <v>584</v>
      </c>
      <c r="E2139" s="51">
        <f t="shared" si="33"/>
        <v>1</v>
      </c>
    </row>
    <row r="2140" spans="1:5">
      <c r="A2140" s="59">
        <v>4</v>
      </c>
      <c r="B2140" s="59">
        <v>43</v>
      </c>
      <c r="C2140" s="59">
        <v>510</v>
      </c>
      <c r="D2140" s="51">
        <v>576</v>
      </c>
      <c r="E2140" s="51">
        <f t="shared" si="33"/>
        <v>0</v>
      </c>
    </row>
    <row r="2141" spans="1:5">
      <c r="A2141" s="59">
        <v>4</v>
      </c>
      <c r="B2141" s="59">
        <v>63</v>
      </c>
      <c r="C2141" s="59">
        <v>910</v>
      </c>
      <c r="D2141" s="51">
        <v>552</v>
      </c>
      <c r="E2141" s="51">
        <f t="shared" si="33"/>
        <v>0</v>
      </c>
    </row>
    <row r="2142" spans="1:5">
      <c r="A2142" s="59">
        <v>4</v>
      </c>
      <c r="B2142" s="59">
        <v>42</v>
      </c>
      <c r="C2142" s="59">
        <v>640</v>
      </c>
      <c r="D2142" s="51">
        <v>515</v>
      </c>
      <c r="E2142" s="51">
        <f t="shared" si="33"/>
        <v>0</v>
      </c>
    </row>
    <row r="2143" spans="1:5">
      <c r="A2143" s="59">
        <v>4</v>
      </c>
      <c r="B2143" s="59">
        <v>64</v>
      </c>
      <c r="C2143" s="59">
        <v>150</v>
      </c>
      <c r="D2143" s="51">
        <v>509</v>
      </c>
      <c r="E2143" s="51">
        <f t="shared" si="33"/>
        <v>0</v>
      </c>
    </row>
    <row r="2144" spans="1:5">
      <c r="A2144" s="59">
        <v>4</v>
      </c>
      <c r="B2144" s="59">
        <v>43</v>
      </c>
      <c r="C2144" s="59">
        <v>910</v>
      </c>
      <c r="D2144" s="51">
        <v>506</v>
      </c>
      <c r="E2144" s="51">
        <f t="shared" si="33"/>
        <v>0</v>
      </c>
    </row>
    <row r="2145" spans="1:5">
      <c r="A2145" s="59">
        <v>4</v>
      </c>
      <c r="B2145" s="59">
        <v>42</v>
      </c>
      <c r="C2145" s="59">
        <v>550</v>
      </c>
      <c r="D2145" s="51">
        <v>500</v>
      </c>
      <c r="E2145" s="51">
        <f t="shared" si="33"/>
        <v>0</v>
      </c>
    </row>
    <row r="2146" spans="1:5">
      <c r="A2146" s="59">
        <v>4</v>
      </c>
      <c r="B2146" s="59">
        <v>64</v>
      </c>
      <c r="C2146" s="59">
        <v>610</v>
      </c>
      <c r="D2146" s="51">
        <v>490</v>
      </c>
      <c r="E2146" s="51">
        <f t="shared" si="33"/>
        <v>0</v>
      </c>
    </row>
    <row r="2147" spans="1:5">
      <c r="A2147" s="59">
        <v>4</v>
      </c>
      <c r="B2147" s="59">
        <v>71</v>
      </c>
      <c r="C2147" s="59">
        <v>510</v>
      </c>
      <c r="D2147" s="51">
        <v>487</v>
      </c>
      <c r="E2147" s="51">
        <f t="shared" si="33"/>
        <v>0</v>
      </c>
    </row>
    <row r="2148" spans="1:5">
      <c r="A2148" s="59">
        <v>4</v>
      </c>
      <c r="B2148" s="59">
        <v>64</v>
      </c>
      <c r="C2148" s="59">
        <v>730</v>
      </c>
      <c r="D2148" s="51">
        <v>455</v>
      </c>
      <c r="E2148" s="51">
        <f t="shared" si="33"/>
        <v>0</v>
      </c>
    </row>
    <row r="2149" spans="1:5">
      <c r="A2149" s="59">
        <v>4</v>
      </c>
      <c r="B2149" s="59">
        <v>44</v>
      </c>
      <c r="C2149" s="59">
        <v>640</v>
      </c>
      <c r="D2149" s="51">
        <v>453</v>
      </c>
      <c r="E2149" s="51">
        <f t="shared" si="33"/>
        <v>1</v>
      </c>
    </row>
    <row r="2150" spans="1:5">
      <c r="A2150" s="59">
        <v>4</v>
      </c>
      <c r="B2150" s="59">
        <v>43</v>
      </c>
      <c r="C2150" s="59">
        <v>620</v>
      </c>
      <c r="D2150" s="51">
        <v>445</v>
      </c>
      <c r="E2150" s="51">
        <f t="shared" si="33"/>
        <v>0</v>
      </c>
    </row>
    <row r="2151" spans="1:5">
      <c r="A2151" s="59">
        <v>4</v>
      </c>
      <c r="B2151" s="59">
        <v>62</v>
      </c>
      <c r="C2151" s="59">
        <v>750</v>
      </c>
      <c r="D2151" s="51">
        <v>436</v>
      </c>
      <c r="E2151" s="51">
        <f t="shared" si="33"/>
        <v>1</v>
      </c>
    </row>
    <row r="2152" spans="1:5">
      <c r="A2152" s="59">
        <v>4</v>
      </c>
      <c r="B2152" s="59">
        <v>64</v>
      </c>
      <c r="C2152" s="59">
        <v>750</v>
      </c>
      <c r="D2152" s="51">
        <v>413</v>
      </c>
      <c r="E2152" s="51">
        <f t="shared" si="33"/>
        <v>0</v>
      </c>
    </row>
    <row r="2153" spans="1:5">
      <c r="A2153" s="59">
        <v>4</v>
      </c>
      <c r="B2153" s="59">
        <v>43</v>
      </c>
      <c r="C2153" s="59">
        <v>720</v>
      </c>
      <c r="D2153" s="51">
        <v>400</v>
      </c>
      <c r="E2153" s="51">
        <f t="shared" si="33"/>
        <v>0</v>
      </c>
    </row>
    <row r="2154" spans="1:5">
      <c r="A2154" s="59">
        <v>4</v>
      </c>
      <c r="B2154" s="59">
        <v>71</v>
      </c>
      <c r="C2154" s="59">
        <v>110</v>
      </c>
      <c r="D2154" s="51">
        <v>388</v>
      </c>
      <c r="E2154" s="51">
        <f t="shared" si="33"/>
        <v>0</v>
      </c>
    </row>
    <row r="2155" spans="1:5">
      <c r="A2155" s="59">
        <v>4</v>
      </c>
      <c r="B2155" s="59">
        <v>44</v>
      </c>
      <c r="C2155" s="59">
        <v>510</v>
      </c>
      <c r="D2155" s="51">
        <v>375</v>
      </c>
      <c r="E2155" s="51">
        <f t="shared" si="33"/>
        <v>1</v>
      </c>
    </row>
    <row r="2156" spans="1:5">
      <c r="A2156" s="59">
        <v>4</v>
      </c>
      <c r="B2156" s="59">
        <v>81</v>
      </c>
      <c r="C2156" s="59">
        <v>740</v>
      </c>
      <c r="D2156" s="51">
        <v>365</v>
      </c>
      <c r="E2156" s="51">
        <f t="shared" si="33"/>
        <v>0</v>
      </c>
    </row>
    <row r="2157" spans="1:5">
      <c r="A2157" s="59">
        <v>4</v>
      </c>
      <c r="B2157" s="59">
        <v>44</v>
      </c>
      <c r="C2157" s="59">
        <v>910</v>
      </c>
      <c r="D2157" s="51">
        <v>364</v>
      </c>
      <c r="E2157" s="51">
        <f t="shared" si="33"/>
        <v>1</v>
      </c>
    </row>
    <row r="2158" spans="1:5">
      <c r="A2158" s="59">
        <v>4</v>
      </c>
      <c r="B2158" s="59">
        <v>64</v>
      </c>
      <c r="C2158" s="59">
        <v>520</v>
      </c>
      <c r="D2158" s="51">
        <v>334</v>
      </c>
      <c r="E2158" s="51">
        <f t="shared" si="33"/>
        <v>0</v>
      </c>
    </row>
    <row r="2159" spans="1:5">
      <c r="A2159" s="59">
        <v>4</v>
      </c>
      <c r="B2159" s="59">
        <v>62</v>
      </c>
      <c r="C2159" s="59">
        <v>910</v>
      </c>
      <c r="D2159" s="51">
        <v>331</v>
      </c>
      <c r="E2159" s="51">
        <f t="shared" si="33"/>
        <v>1</v>
      </c>
    </row>
    <row r="2160" spans="1:5">
      <c r="A2160" s="59">
        <v>4</v>
      </c>
      <c r="B2160" s="59">
        <v>71</v>
      </c>
      <c r="C2160" s="59">
        <v>920</v>
      </c>
      <c r="D2160" s="51">
        <v>319</v>
      </c>
      <c r="E2160" s="51">
        <f t="shared" si="33"/>
        <v>0</v>
      </c>
    </row>
    <row r="2161" spans="1:5">
      <c r="A2161" s="59">
        <v>4</v>
      </c>
      <c r="B2161" s="59">
        <v>13</v>
      </c>
      <c r="C2161" s="59">
        <v>150</v>
      </c>
      <c r="D2161" s="51">
        <v>311</v>
      </c>
      <c r="E2161" s="51">
        <f t="shared" si="33"/>
        <v>0</v>
      </c>
    </row>
    <row r="2162" spans="1:5">
      <c r="A2162" s="59">
        <v>4</v>
      </c>
      <c r="B2162" s="59">
        <v>13</v>
      </c>
      <c r="C2162" s="59">
        <v>550</v>
      </c>
      <c r="D2162" s="51">
        <v>296</v>
      </c>
      <c r="E2162" s="51">
        <f t="shared" si="33"/>
        <v>0</v>
      </c>
    </row>
    <row r="2163" spans="1:5">
      <c r="A2163" s="59">
        <v>4</v>
      </c>
      <c r="B2163" s="59">
        <v>81</v>
      </c>
      <c r="C2163" s="59">
        <v>550</v>
      </c>
      <c r="D2163" s="51">
        <v>290</v>
      </c>
      <c r="E2163" s="51">
        <f t="shared" si="33"/>
        <v>0</v>
      </c>
    </row>
    <row r="2164" spans="1:5">
      <c r="A2164" s="59">
        <v>4</v>
      </c>
      <c r="B2164" s="59">
        <v>44</v>
      </c>
      <c r="C2164" s="59">
        <v>740</v>
      </c>
      <c r="D2164" s="51">
        <v>289</v>
      </c>
      <c r="E2164" s="51">
        <f t="shared" si="33"/>
        <v>1</v>
      </c>
    </row>
    <row r="2165" spans="1:5">
      <c r="A2165" s="59">
        <v>4</v>
      </c>
      <c r="B2165" s="59">
        <v>62</v>
      </c>
      <c r="C2165" s="59">
        <v>730</v>
      </c>
      <c r="D2165" s="51">
        <v>288</v>
      </c>
      <c r="E2165" s="51">
        <f t="shared" si="33"/>
        <v>1</v>
      </c>
    </row>
    <row r="2166" spans="1:5">
      <c r="A2166" s="59">
        <v>4</v>
      </c>
      <c r="B2166" s="59">
        <v>63</v>
      </c>
      <c r="C2166" s="59">
        <v>110</v>
      </c>
      <c r="D2166" s="51">
        <v>279</v>
      </c>
      <c r="E2166" s="51">
        <f t="shared" si="33"/>
        <v>0</v>
      </c>
    </row>
    <row r="2167" spans="1:5">
      <c r="A2167" s="59">
        <v>4</v>
      </c>
      <c r="B2167" s="59">
        <v>71</v>
      </c>
      <c r="C2167" s="59">
        <v>740</v>
      </c>
      <c r="D2167" s="51">
        <v>271</v>
      </c>
      <c r="E2167" s="51">
        <f t="shared" si="33"/>
        <v>0</v>
      </c>
    </row>
    <row r="2168" spans="1:5">
      <c r="A2168" s="59">
        <v>4</v>
      </c>
      <c r="B2168" s="59">
        <v>63</v>
      </c>
      <c r="C2168" s="59">
        <v>730</v>
      </c>
      <c r="D2168" s="51">
        <v>268</v>
      </c>
      <c r="E2168" s="51">
        <f t="shared" si="33"/>
        <v>0</v>
      </c>
    </row>
    <row r="2169" spans="1:5">
      <c r="A2169" s="59">
        <v>4</v>
      </c>
      <c r="B2169" s="59">
        <v>63</v>
      </c>
      <c r="C2169" s="59">
        <v>610</v>
      </c>
      <c r="D2169" s="51">
        <v>253</v>
      </c>
      <c r="E2169" s="51">
        <f t="shared" si="33"/>
        <v>0</v>
      </c>
    </row>
    <row r="2170" spans="1:5">
      <c r="A2170" s="59">
        <v>4</v>
      </c>
      <c r="B2170" s="59">
        <v>64</v>
      </c>
      <c r="C2170" s="59">
        <v>920</v>
      </c>
      <c r="D2170" s="51">
        <v>253</v>
      </c>
      <c r="E2170" s="51">
        <f t="shared" si="33"/>
        <v>0</v>
      </c>
    </row>
    <row r="2171" spans="1:5">
      <c r="A2171" s="59">
        <v>4</v>
      </c>
      <c r="B2171" s="59">
        <v>62</v>
      </c>
      <c r="C2171" s="59">
        <v>110</v>
      </c>
      <c r="D2171" s="51">
        <v>232</v>
      </c>
      <c r="E2171" s="51">
        <f t="shared" si="33"/>
        <v>1</v>
      </c>
    </row>
    <row r="2172" spans="1:5">
      <c r="A2172" s="59">
        <v>4</v>
      </c>
      <c r="B2172" s="59">
        <v>81</v>
      </c>
      <c r="C2172" s="59">
        <v>530</v>
      </c>
      <c r="D2172" s="51">
        <v>230</v>
      </c>
      <c r="E2172" s="51">
        <f t="shared" si="33"/>
        <v>0</v>
      </c>
    </row>
    <row r="2173" spans="1:5">
      <c r="A2173" s="59">
        <v>4</v>
      </c>
      <c r="B2173" s="59">
        <v>14</v>
      </c>
      <c r="C2173" s="59">
        <v>550</v>
      </c>
      <c r="D2173" s="51">
        <v>214</v>
      </c>
      <c r="E2173" s="51">
        <f t="shared" si="33"/>
        <v>0</v>
      </c>
    </row>
    <row r="2174" spans="1:5">
      <c r="A2174" s="59">
        <v>4</v>
      </c>
      <c r="B2174" s="59">
        <v>44</v>
      </c>
      <c r="C2174" s="59">
        <v>540</v>
      </c>
      <c r="D2174" s="51">
        <v>209</v>
      </c>
      <c r="E2174" s="51">
        <f t="shared" si="33"/>
        <v>1</v>
      </c>
    </row>
    <row r="2175" spans="1:5">
      <c r="A2175" s="59">
        <v>4</v>
      </c>
      <c r="B2175" s="59">
        <v>71</v>
      </c>
      <c r="C2175" s="59">
        <v>540</v>
      </c>
      <c r="D2175" s="51">
        <v>206</v>
      </c>
      <c r="E2175" s="51">
        <f t="shared" si="33"/>
        <v>0</v>
      </c>
    </row>
    <row r="2176" spans="1:5">
      <c r="A2176" s="59">
        <v>4</v>
      </c>
      <c r="B2176" s="59">
        <v>71</v>
      </c>
      <c r="C2176" s="59">
        <v>630</v>
      </c>
      <c r="D2176" s="51">
        <v>201</v>
      </c>
      <c r="E2176" s="51">
        <f t="shared" si="33"/>
        <v>0</v>
      </c>
    </row>
    <row r="2177" spans="1:5">
      <c r="A2177" s="59">
        <v>4</v>
      </c>
      <c r="B2177" s="59">
        <v>43</v>
      </c>
      <c r="C2177" s="59">
        <v>110</v>
      </c>
      <c r="D2177" s="51">
        <v>189</v>
      </c>
      <c r="E2177" s="51">
        <f t="shared" si="33"/>
        <v>0</v>
      </c>
    </row>
    <row r="2178" spans="1:5">
      <c r="A2178" s="59">
        <v>4</v>
      </c>
      <c r="B2178" s="59">
        <v>64</v>
      </c>
      <c r="C2178" s="59">
        <v>410</v>
      </c>
      <c r="D2178" s="51">
        <v>184</v>
      </c>
      <c r="E2178" s="51">
        <f t="shared" ref="E2178:E2241" si="34">IF(OR(A2178=6,A2178=7,A2178=14,A2178=15,A2178=16,A2178=17,A2178=18,A2178=19,A2178=20,A2178=21,A2178=22,A2178=23,A2178=25,A2178=26,A2178=27,A2178=28,B2178=41,B2178=44,B2178=62),1,0)</f>
        <v>0</v>
      </c>
    </row>
    <row r="2179" spans="1:5">
      <c r="A2179" s="59">
        <v>4</v>
      </c>
      <c r="B2179" s="59">
        <v>63</v>
      </c>
      <c r="C2179" s="59">
        <v>750</v>
      </c>
      <c r="D2179" s="51">
        <v>180</v>
      </c>
      <c r="E2179" s="51">
        <f t="shared" si="34"/>
        <v>0</v>
      </c>
    </row>
    <row r="2180" spans="1:5">
      <c r="A2180" s="59">
        <v>4</v>
      </c>
      <c r="B2180" s="59">
        <v>42</v>
      </c>
      <c r="C2180" s="59">
        <v>530</v>
      </c>
      <c r="D2180" s="51">
        <v>173</v>
      </c>
      <c r="E2180" s="51">
        <f t="shared" si="34"/>
        <v>0</v>
      </c>
    </row>
    <row r="2181" spans="1:5">
      <c r="A2181" s="59">
        <v>4</v>
      </c>
      <c r="B2181" s="59">
        <v>42</v>
      </c>
      <c r="C2181" s="59">
        <v>620</v>
      </c>
      <c r="D2181" s="51">
        <v>172</v>
      </c>
      <c r="E2181" s="51">
        <f t="shared" si="34"/>
        <v>0</v>
      </c>
    </row>
    <row r="2182" spans="1:5">
      <c r="A2182" s="59">
        <v>4</v>
      </c>
      <c r="B2182" s="59">
        <v>16</v>
      </c>
      <c r="C2182" s="59">
        <v>550</v>
      </c>
      <c r="D2182" s="51">
        <v>169</v>
      </c>
      <c r="E2182" s="51">
        <f t="shared" si="34"/>
        <v>0</v>
      </c>
    </row>
    <row r="2183" spans="1:5">
      <c r="A2183" s="59">
        <v>4</v>
      </c>
      <c r="B2183" s="59">
        <v>64</v>
      </c>
      <c r="C2183" s="59">
        <v>430</v>
      </c>
      <c r="D2183" s="51">
        <v>164</v>
      </c>
      <c r="E2183" s="51">
        <f t="shared" si="34"/>
        <v>0</v>
      </c>
    </row>
    <row r="2184" spans="1:5">
      <c r="A2184" s="59">
        <v>4</v>
      </c>
      <c r="B2184" s="59">
        <v>63</v>
      </c>
      <c r="C2184" s="59">
        <v>540</v>
      </c>
      <c r="D2184" s="51">
        <v>160</v>
      </c>
      <c r="E2184" s="51">
        <f t="shared" si="34"/>
        <v>0</v>
      </c>
    </row>
    <row r="2185" spans="1:5">
      <c r="A2185" s="59">
        <v>4</v>
      </c>
      <c r="B2185" s="59">
        <v>43</v>
      </c>
      <c r="C2185" s="59">
        <v>150</v>
      </c>
      <c r="D2185" s="51">
        <v>144</v>
      </c>
      <c r="E2185" s="51">
        <f t="shared" si="34"/>
        <v>0</v>
      </c>
    </row>
    <row r="2186" spans="1:5">
      <c r="A2186" s="59">
        <v>4</v>
      </c>
      <c r="B2186" s="59">
        <v>42</v>
      </c>
      <c r="C2186" s="59">
        <v>740</v>
      </c>
      <c r="D2186" s="51">
        <v>142</v>
      </c>
      <c r="E2186" s="51">
        <f t="shared" si="34"/>
        <v>0</v>
      </c>
    </row>
    <row r="2187" spans="1:5">
      <c r="A2187" s="59">
        <v>4</v>
      </c>
      <c r="B2187" s="59">
        <v>62</v>
      </c>
      <c r="C2187" s="59">
        <v>540</v>
      </c>
      <c r="D2187" s="51">
        <v>142</v>
      </c>
      <c r="E2187" s="51">
        <f t="shared" si="34"/>
        <v>1</v>
      </c>
    </row>
    <row r="2188" spans="1:5">
      <c r="A2188" s="59">
        <v>4</v>
      </c>
      <c r="B2188" s="59">
        <v>43</v>
      </c>
      <c r="C2188" s="59">
        <v>540</v>
      </c>
      <c r="D2188" s="51">
        <v>138</v>
      </c>
      <c r="E2188" s="51">
        <f t="shared" si="34"/>
        <v>0</v>
      </c>
    </row>
    <row r="2189" spans="1:5">
      <c r="A2189" s="59">
        <v>4</v>
      </c>
      <c r="B2189" s="59">
        <v>13</v>
      </c>
      <c r="C2189" s="59">
        <v>530</v>
      </c>
      <c r="D2189" s="51">
        <v>135</v>
      </c>
      <c r="E2189" s="51">
        <f t="shared" si="34"/>
        <v>0</v>
      </c>
    </row>
    <row r="2190" spans="1:5">
      <c r="A2190" s="59">
        <v>4</v>
      </c>
      <c r="B2190" s="59">
        <v>32</v>
      </c>
      <c r="C2190" s="59">
        <v>550</v>
      </c>
      <c r="D2190" s="51">
        <v>131</v>
      </c>
      <c r="E2190" s="51">
        <f t="shared" si="34"/>
        <v>0</v>
      </c>
    </row>
    <row r="2191" spans="1:5">
      <c r="A2191" s="59">
        <v>4</v>
      </c>
      <c r="B2191" s="59">
        <v>13</v>
      </c>
      <c r="C2191" s="59">
        <v>910</v>
      </c>
      <c r="D2191" s="51">
        <v>127</v>
      </c>
      <c r="E2191" s="51">
        <f t="shared" si="34"/>
        <v>0</v>
      </c>
    </row>
    <row r="2192" spans="1:5">
      <c r="A2192" s="59">
        <v>4</v>
      </c>
      <c r="B2192" s="59">
        <v>44</v>
      </c>
      <c r="C2192" s="59">
        <v>620</v>
      </c>
      <c r="D2192" s="51">
        <v>127</v>
      </c>
      <c r="E2192" s="51">
        <f t="shared" si="34"/>
        <v>1</v>
      </c>
    </row>
    <row r="2193" spans="1:5">
      <c r="A2193" s="59">
        <v>4</v>
      </c>
      <c r="B2193" s="59">
        <v>64</v>
      </c>
      <c r="C2193" s="59">
        <v>630</v>
      </c>
      <c r="D2193" s="51">
        <v>122</v>
      </c>
      <c r="E2193" s="51">
        <f t="shared" si="34"/>
        <v>0</v>
      </c>
    </row>
    <row r="2194" spans="1:5">
      <c r="A2194" s="59">
        <v>4</v>
      </c>
      <c r="B2194" s="59">
        <v>15</v>
      </c>
      <c r="C2194" s="59">
        <v>530</v>
      </c>
      <c r="D2194" s="51">
        <v>121</v>
      </c>
      <c r="E2194" s="51">
        <f t="shared" si="34"/>
        <v>0</v>
      </c>
    </row>
    <row r="2195" spans="1:5">
      <c r="A2195" s="59">
        <v>4</v>
      </c>
      <c r="B2195" s="59">
        <v>71</v>
      </c>
      <c r="C2195" s="59">
        <v>520</v>
      </c>
      <c r="D2195" s="51">
        <v>117</v>
      </c>
      <c r="E2195" s="51">
        <f t="shared" si="34"/>
        <v>0</v>
      </c>
    </row>
    <row r="2196" spans="1:5">
      <c r="A2196" s="59">
        <v>4</v>
      </c>
      <c r="B2196" s="59">
        <v>44</v>
      </c>
      <c r="C2196" s="59">
        <v>720</v>
      </c>
      <c r="D2196" s="51">
        <v>116</v>
      </c>
      <c r="E2196" s="51">
        <f t="shared" si="34"/>
        <v>1</v>
      </c>
    </row>
    <row r="2197" spans="1:5">
      <c r="A2197" s="59">
        <v>4</v>
      </c>
      <c r="B2197" s="59">
        <v>81</v>
      </c>
      <c r="C2197" s="59">
        <v>640</v>
      </c>
      <c r="D2197" s="51">
        <v>110</v>
      </c>
      <c r="E2197" s="51">
        <f t="shared" si="34"/>
        <v>0</v>
      </c>
    </row>
    <row r="2198" spans="1:5">
      <c r="A2198" s="59">
        <v>4</v>
      </c>
      <c r="B2198" s="59">
        <v>41</v>
      </c>
      <c r="C2198" s="59">
        <v>740</v>
      </c>
      <c r="D2198" s="51">
        <v>107</v>
      </c>
      <c r="E2198" s="51">
        <f t="shared" si="34"/>
        <v>1</v>
      </c>
    </row>
    <row r="2199" spans="1:5">
      <c r="A2199" s="59">
        <v>4</v>
      </c>
      <c r="B2199" s="59">
        <v>43</v>
      </c>
      <c r="C2199" s="59">
        <v>520</v>
      </c>
      <c r="D2199" s="51">
        <v>106</v>
      </c>
      <c r="E2199" s="51">
        <f t="shared" si="34"/>
        <v>0</v>
      </c>
    </row>
    <row r="2200" spans="1:5">
      <c r="A2200" s="59">
        <v>4</v>
      </c>
      <c r="B2200" s="59">
        <v>81</v>
      </c>
      <c r="C2200" s="59">
        <v>720</v>
      </c>
      <c r="D2200" s="51">
        <v>106</v>
      </c>
      <c r="E2200" s="51">
        <f t="shared" si="34"/>
        <v>0</v>
      </c>
    </row>
    <row r="2201" spans="1:5">
      <c r="A2201" s="59">
        <v>4</v>
      </c>
      <c r="B2201" s="59">
        <v>32</v>
      </c>
      <c r="C2201" s="59">
        <v>530</v>
      </c>
      <c r="D2201" s="51">
        <v>105</v>
      </c>
      <c r="E2201" s="51">
        <f t="shared" si="34"/>
        <v>0</v>
      </c>
    </row>
    <row r="2202" spans="1:5">
      <c r="A2202" s="59">
        <v>4</v>
      </c>
      <c r="B2202" s="59">
        <v>41</v>
      </c>
      <c r="C2202" s="59">
        <v>550</v>
      </c>
      <c r="D2202" s="51">
        <v>101</v>
      </c>
      <c r="E2202" s="51">
        <f t="shared" si="34"/>
        <v>1</v>
      </c>
    </row>
    <row r="2203" spans="1:5">
      <c r="A2203" s="59">
        <v>4</v>
      </c>
      <c r="B2203" s="59">
        <v>43</v>
      </c>
      <c r="C2203" s="59">
        <v>610</v>
      </c>
      <c r="D2203" s="51">
        <v>99</v>
      </c>
      <c r="E2203" s="51">
        <f t="shared" si="34"/>
        <v>0</v>
      </c>
    </row>
    <row r="2204" spans="1:5">
      <c r="A2204" s="59">
        <v>4</v>
      </c>
      <c r="B2204" s="59">
        <v>63</v>
      </c>
      <c r="C2204" s="59">
        <v>920</v>
      </c>
      <c r="D2204" s="51">
        <v>99</v>
      </c>
      <c r="E2204" s="51">
        <f t="shared" si="34"/>
        <v>0</v>
      </c>
    </row>
    <row r="2205" spans="1:5">
      <c r="A2205" s="59">
        <v>4</v>
      </c>
      <c r="B2205" s="59">
        <v>64</v>
      </c>
      <c r="C2205" s="59">
        <v>861</v>
      </c>
      <c r="D2205" s="51">
        <v>99</v>
      </c>
      <c r="E2205" s="51">
        <f t="shared" si="34"/>
        <v>0</v>
      </c>
    </row>
    <row r="2206" spans="1:5">
      <c r="A2206" s="59">
        <v>4</v>
      </c>
      <c r="B2206" s="59">
        <v>42</v>
      </c>
      <c r="C2206" s="59">
        <v>160</v>
      </c>
      <c r="D2206" s="51">
        <v>93</v>
      </c>
      <c r="E2206" s="51">
        <f t="shared" si="34"/>
        <v>0</v>
      </c>
    </row>
    <row r="2207" spans="1:5">
      <c r="A2207" s="59">
        <v>4</v>
      </c>
      <c r="B2207" s="59">
        <v>14</v>
      </c>
      <c r="C2207" s="59">
        <v>530</v>
      </c>
      <c r="D2207" s="51">
        <v>87</v>
      </c>
      <c r="E2207" s="51">
        <f t="shared" si="34"/>
        <v>0</v>
      </c>
    </row>
    <row r="2208" spans="1:5">
      <c r="A2208" s="59">
        <v>4</v>
      </c>
      <c r="B2208" s="59">
        <v>64</v>
      </c>
      <c r="C2208" s="59">
        <v>440</v>
      </c>
      <c r="D2208" s="51">
        <v>87</v>
      </c>
      <c r="E2208" s="51">
        <f t="shared" si="34"/>
        <v>0</v>
      </c>
    </row>
    <row r="2209" spans="1:5">
      <c r="A2209" s="59">
        <v>4</v>
      </c>
      <c r="B2209" s="59">
        <v>62</v>
      </c>
      <c r="C2209" s="59">
        <v>610</v>
      </c>
      <c r="D2209" s="51">
        <v>86</v>
      </c>
      <c r="E2209" s="51">
        <f t="shared" si="34"/>
        <v>1</v>
      </c>
    </row>
    <row r="2210" spans="1:5">
      <c r="A2210" s="59">
        <v>4</v>
      </c>
      <c r="B2210" s="59">
        <v>63</v>
      </c>
      <c r="C2210" s="59">
        <v>520</v>
      </c>
      <c r="D2210" s="51">
        <v>84</v>
      </c>
      <c r="E2210" s="51">
        <f t="shared" si="34"/>
        <v>0</v>
      </c>
    </row>
    <row r="2211" spans="1:5">
      <c r="A2211" s="59">
        <v>4</v>
      </c>
      <c r="B2211" s="59">
        <v>43</v>
      </c>
      <c r="C2211" s="59">
        <v>730</v>
      </c>
      <c r="D2211" s="51">
        <v>83</v>
      </c>
      <c r="E2211" s="51">
        <f t="shared" si="34"/>
        <v>0</v>
      </c>
    </row>
    <row r="2212" spans="1:5">
      <c r="A2212" s="59">
        <v>4</v>
      </c>
      <c r="B2212" s="59">
        <v>14</v>
      </c>
      <c r="C2212" s="59">
        <v>160</v>
      </c>
      <c r="D2212" s="51">
        <v>82</v>
      </c>
      <c r="E2212" s="51">
        <f t="shared" si="34"/>
        <v>0</v>
      </c>
    </row>
    <row r="2213" spans="1:5">
      <c r="A2213" s="59">
        <v>4</v>
      </c>
      <c r="B2213" s="59">
        <v>41</v>
      </c>
      <c r="C2213" s="59">
        <v>530</v>
      </c>
      <c r="D2213" s="51">
        <v>81</v>
      </c>
      <c r="E2213" s="51">
        <f t="shared" si="34"/>
        <v>1</v>
      </c>
    </row>
    <row r="2214" spans="1:5">
      <c r="A2214" s="59">
        <v>4</v>
      </c>
      <c r="B2214" s="59">
        <v>62</v>
      </c>
      <c r="C2214" s="59">
        <v>920</v>
      </c>
      <c r="D2214" s="51">
        <v>81</v>
      </c>
      <c r="E2214" s="51">
        <f t="shared" si="34"/>
        <v>1</v>
      </c>
    </row>
    <row r="2215" spans="1:5">
      <c r="A2215" s="59">
        <v>4</v>
      </c>
      <c r="B2215" s="59">
        <v>64</v>
      </c>
      <c r="C2215" s="59">
        <v>710</v>
      </c>
      <c r="D2215" s="51">
        <v>80</v>
      </c>
      <c r="E2215" s="51">
        <f t="shared" si="34"/>
        <v>0</v>
      </c>
    </row>
    <row r="2216" spans="1:5">
      <c r="A2216" s="59">
        <v>4</v>
      </c>
      <c r="B2216" s="59">
        <v>62</v>
      </c>
      <c r="C2216" s="59">
        <v>520</v>
      </c>
      <c r="D2216" s="51">
        <v>79</v>
      </c>
      <c r="E2216" s="51">
        <f t="shared" si="34"/>
        <v>1</v>
      </c>
    </row>
    <row r="2217" spans="1:5">
      <c r="A2217" s="59">
        <v>4</v>
      </c>
      <c r="B2217" s="59">
        <v>14</v>
      </c>
      <c r="C2217" s="59">
        <v>150</v>
      </c>
      <c r="D2217" s="51">
        <v>78</v>
      </c>
      <c r="E2217" s="51">
        <f t="shared" si="34"/>
        <v>0</v>
      </c>
    </row>
    <row r="2218" spans="1:5">
      <c r="A2218" s="59">
        <v>4</v>
      </c>
      <c r="B2218" s="59">
        <v>64</v>
      </c>
      <c r="C2218" s="59">
        <v>420</v>
      </c>
      <c r="D2218" s="51">
        <v>77</v>
      </c>
      <c r="E2218" s="51">
        <f t="shared" si="34"/>
        <v>0</v>
      </c>
    </row>
    <row r="2219" spans="1:5">
      <c r="A2219" s="59">
        <v>4</v>
      </c>
      <c r="B2219" s="59">
        <v>41</v>
      </c>
      <c r="C2219" s="59">
        <v>720</v>
      </c>
      <c r="D2219" s="51">
        <v>74</v>
      </c>
      <c r="E2219" s="51">
        <f t="shared" si="34"/>
        <v>1</v>
      </c>
    </row>
    <row r="2220" spans="1:5">
      <c r="A2220" s="59">
        <v>4</v>
      </c>
      <c r="B2220" s="59">
        <v>71</v>
      </c>
      <c r="C2220" s="59">
        <v>720</v>
      </c>
      <c r="D2220" s="51">
        <v>73</v>
      </c>
      <c r="E2220" s="51">
        <f t="shared" si="34"/>
        <v>0</v>
      </c>
    </row>
    <row r="2221" spans="1:5">
      <c r="A2221" s="59">
        <v>4</v>
      </c>
      <c r="B2221" s="59">
        <v>14</v>
      </c>
      <c r="C2221" s="59">
        <v>910</v>
      </c>
      <c r="D2221" s="51">
        <v>71</v>
      </c>
      <c r="E2221" s="51">
        <f t="shared" si="34"/>
        <v>0</v>
      </c>
    </row>
    <row r="2222" spans="1:5">
      <c r="A2222" s="59">
        <v>4</v>
      </c>
      <c r="B2222" s="59">
        <v>81</v>
      </c>
      <c r="C2222" s="59">
        <v>160</v>
      </c>
      <c r="D2222" s="51">
        <v>71</v>
      </c>
      <c r="E2222" s="51">
        <f t="shared" si="34"/>
        <v>0</v>
      </c>
    </row>
    <row r="2223" spans="1:5">
      <c r="A2223" s="59">
        <v>4</v>
      </c>
      <c r="B2223" s="59">
        <v>32</v>
      </c>
      <c r="C2223" s="59">
        <v>160</v>
      </c>
      <c r="D2223" s="51">
        <v>69</v>
      </c>
      <c r="E2223" s="51">
        <f t="shared" si="34"/>
        <v>0</v>
      </c>
    </row>
    <row r="2224" spans="1:5">
      <c r="A2224" s="59">
        <v>4</v>
      </c>
      <c r="B2224" s="59">
        <v>22</v>
      </c>
      <c r="C2224" s="59">
        <v>550</v>
      </c>
      <c r="D2224" s="51">
        <v>68</v>
      </c>
      <c r="E2224" s="51">
        <f t="shared" si="34"/>
        <v>0</v>
      </c>
    </row>
    <row r="2225" spans="1:5">
      <c r="A2225" s="59">
        <v>4</v>
      </c>
      <c r="B2225" s="59">
        <v>43</v>
      </c>
      <c r="C2225" s="59">
        <v>430</v>
      </c>
      <c r="D2225" s="51">
        <v>68</v>
      </c>
      <c r="E2225" s="51">
        <f t="shared" si="34"/>
        <v>0</v>
      </c>
    </row>
    <row r="2226" spans="1:5">
      <c r="A2226" s="59">
        <v>4</v>
      </c>
      <c r="B2226" s="59">
        <v>61</v>
      </c>
      <c r="C2226" s="59">
        <v>740</v>
      </c>
      <c r="D2226" s="51">
        <v>68</v>
      </c>
      <c r="E2226" s="51">
        <f t="shared" si="34"/>
        <v>0</v>
      </c>
    </row>
    <row r="2227" spans="1:5">
      <c r="A2227" s="59">
        <v>4</v>
      </c>
      <c r="B2227" s="59">
        <v>43</v>
      </c>
      <c r="C2227" s="59">
        <v>410</v>
      </c>
      <c r="D2227" s="51">
        <v>65</v>
      </c>
      <c r="E2227" s="51">
        <f t="shared" si="34"/>
        <v>0</v>
      </c>
    </row>
    <row r="2228" spans="1:5">
      <c r="A2228" s="59">
        <v>4</v>
      </c>
      <c r="B2228" s="59">
        <v>43</v>
      </c>
      <c r="C2228" s="59">
        <v>750</v>
      </c>
      <c r="D2228" s="51">
        <v>65</v>
      </c>
      <c r="E2228" s="51">
        <f t="shared" si="34"/>
        <v>0</v>
      </c>
    </row>
    <row r="2229" spans="1:5">
      <c r="A2229" s="59">
        <v>4</v>
      </c>
      <c r="B2229" s="59">
        <v>63</v>
      </c>
      <c r="C2229" s="59">
        <v>150</v>
      </c>
      <c r="D2229" s="51">
        <v>65</v>
      </c>
      <c r="E2229" s="51">
        <f t="shared" si="34"/>
        <v>0</v>
      </c>
    </row>
    <row r="2230" spans="1:5">
      <c r="A2230" s="59">
        <v>4</v>
      </c>
      <c r="B2230" s="59">
        <v>16</v>
      </c>
      <c r="C2230" s="59">
        <v>530</v>
      </c>
      <c r="D2230" s="51">
        <v>64</v>
      </c>
      <c r="E2230" s="51">
        <f t="shared" si="34"/>
        <v>0</v>
      </c>
    </row>
    <row r="2231" spans="1:5">
      <c r="A2231" s="59">
        <v>4</v>
      </c>
      <c r="B2231" s="59">
        <v>71</v>
      </c>
      <c r="C2231" s="59">
        <v>150</v>
      </c>
      <c r="D2231" s="51">
        <v>64</v>
      </c>
      <c r="E2231" s="51">
        <f t="shared" si="34"/>
        <v>0</v>
      </c>
    </row>
    <row r="2232" spans="1:5">
      <c r="A2232" s="59">
        <v>4</v>
      </c>
      <c r="B2232" s="59">
        <v>14</v>
      </c>
      <c r="C2232" s="59">
        <v>510</v>
      </c>
      <c r="D2232" s="51">
        <v>61</v>
      </c>
      <c r="E2232" s="51">
        <f t="shared" si="34"/>
        <v>0</v>
      </c>
    </row>
    <row r="2233" spans="1:5">
      <c r="A2233" s="59">
        <v>4</v>
      </c>
      <c r="B2233" s="59">
        <v>42</v>
      </c>
      <c r="C2233" s="59">
        <v>910</v>
      </c>
      <c r="D2233" s="51">
        <v>61</v>
      </c>
      <c r="E2233" s="51">
        <f t="shared" si="34"/>
        <v>0</v>
      </c>
    </row>
    <row r="2234" spans="1:5">
      <c r="A2234" s="59">
        <v>4</v>
      </c>
      <c r="B2234" s="59">
        <v>62</v>
      </c>
      <c r="C2234" s="59">
        <v>150</v>
      </c>
      <c r="D2234" s="51">
        <v>60</v>
      </c>
      <c r="E2234" s="51">
        <f t="shared" si="34"/>
        <v>1</v>
      </c>
    </row>
    <row r="2235" spans="1:5">
      <c r="A2235" s="59">
        <v>4</v>
      </c>
      <c r="B2235" s="59">
        <v>81</v>
      </c>
      <c r="C2235" s="59">
        <v>510</v>
      </c>
      <c r="D2235" s="51">
        <v>59</v>
      </c>
      <c r="E2235" s="51">
        <f t="shared" si="34"/>
        <v>0</v>
      </c>
    </row>
    <row r="2236" spans="1:5">
      <c r="A2236" s="59">
        <v>4</v>
      </c>
      <c r="B2236" s="59">
        <v>64</v>
      </c>
      <c r="C2236" s="59">
        <v>210</v>
      </c>
      <c r="D2236" s="51">
        <v>58</v>
      </c>
      <c r="E2236" s="51">
        <f t="shared" si="34"/>
        <v>0</v>
      </c>
    </row>
    <row r="2237" spans="1:5">
      <c r="A2237" s="59">
        <v>4</v>
      </c>
      <c r="B2237" s="59">
        <v>44</v>
      </c>
      <c r="C2237" s="59">
        <v>160</v>
      </c>
      <c r="D2237" s="51">
        <v>57</v>
      </c>
      <c r="E2237" s="51">
        <f t="shared" si="34"/>
        <v>1</v>
      </c>
    </row>
    <row r="2238" spans="1:5">
      <c r="A2238" s="59">
        <v>4</v>
      </c>
      <c r="B2238" s="59">
        <v>43</v>
      </c>
      <c r="C2238" s="59">
        <v>920</v>
      </c>
      <c r="D2238" s="51">
        <v>56</v>
      </c>
      <c r="E2238" s="51">
        <f t="shared" si="34"/>
        <v>0</v>
      </c>
    </row>
    <row r="2239" spans="1:5">
      <c r="A2239" s="59">
        <v>4</v>
      </c>
      <c r="B2239" s="59">
        <v>81</v>
      </c>
      <c r="C2239" s="59">
        <v>620</v>
      </c>
      <c r="D2239" s="51">
        <v>55</v>
      </c>
      <c r="E2239" s="51">
        <f t="shared" si="34"/>
        <v>0</v>
      </c>
    </row>
    <row r="2240" spans="1:5">
      <c r="A2240" s="59">
        <v>4</v>
      </c>
      <c r="B2240" s="59">
        <v>14</v>
      </c>
      <c r="C2240" s="59">
        <v>740</v>
      </c>
      <c r="D2240" s="51">
        <v>51</v>
      </c>
      <c r="E2240" s="51">
        <f t="shared" si="34"/>
        <v>0</v>
      </c>
    </row>
    <row r="2241" spans="1:5">
      <c r="A2241" s="59">
        <v>4</v>
      </c>
      <c r="B2241" s="59">
        <v>32</v>
      </c>
      <c r="C2241" s="59">
        <v>420</v>
      </c>
      <c r="D2241" s="51">
        <v>50</v>
      </c>
      <c r="E2241" s="51">
        <f t="shared" si="34"/>
        <v>0</v>
      </c>
    </row>
    <row r="2242" spans="1:5">
      <c r="A2242" s="59">
        <v>4</v>
      </c>
      <c r="B2242" s="59">
        <v>22</v>
      </c>
      <c r="C2242" s="59">
        <v>720</v>
      </c>
      <c r="D2242" s="51">
        <v>49</v>
      </c>
      <c r="E2242" s="51">
        <f t="shared" ref="E2242:E2305" si="35">IF(OR(A2242=6,A2242=7,A2242=14,A2242=15,A2242=16,A2242=17,A2242=18,A2242=19,A2242=20,A2242=21,A2242=22,A2242=23,A2242=25,A2242=26,A2242=27,A2242=28,B2242=41,B2242=44,B2242=62),1,0)</f>
        <v>0</v>
      </c>
    </row>
    <row r="2243" spans="1:5">
      <c r="A2243" s="59">
        <v>4</v>
      </c>
      <c r="B2243" s="59">
        <v>62</v>
      </c>
      <c r="C2243" s="59">
        <v>710</v>
      </c>
      <c r="D2243" s="51">
        <v>48</v>
      </c>
      <c r="E2243" s="51">
        <f t="shared" si="35"/>
        <v>1</v>
      </c>
    </row>
    <row r="2244" spans="1:5">
      <c r="A2244" s="59">
        <v>4</v>
      </c>
      <c r="B2244" s="59">
        <v>63</v>
      </c>
      <c r="C2244" s="59">
        <v>440</v>
      </c>
      <c r="D2244" s="51">
        <v>48</v>
      </c>
      <c r="E2244" s="51">
        <f t="shared" si="35"/>
        <v>0</v>
      </c>
    </row>
    <row r="2245" spans="1:5">
      <c r="A2245" s="59">
        <v>4</v>
      </c>
      <c r="B2245" s="59">
        <v>13</v>
      </c>
      <c r="C2245" s="59">
        <v>110</v>
      </c>
      <c r="D2245" s="51">
        <v>45</v>
      </c>
      <c r="E2245" s="51">
        <f t="shared" si="35"/>
        <v>0</v>
      </c>
    </row>
    <row r="2246" spans="1:5">
      <c r="A2246" s="59">
        <v>4</v>
      </c>
      <c r="B2246" s="59">
        <v>13</v>
      </c>
      <c r="C2246" s="59">
        <v>510</v>
      </c>
      <c r="D2246" s="51">
        <v>44</v>
      </c>
      <c r="E2246" s="51">
        <f t="shared" si="35"/>
        <v>0</v>
      </c>
    </row>
    <row r="2247" spans="1:5">
      <c r="A2247" s="59">
        <v>4</v>
      </c>
      <c r="B2247" s="59">
        <v>13</v>
      </c>
      <c r="C2247" s="59">
        <v>620</v>
      </c>
      <c r="D2247" s="51">
        <v>43</v>
      </c>
      <c r="E2247" s="51">
        <f t="shared" si="35"/>
        <v>0</v>
      </c>
    </row>
    <row r="2248" spans="1:5">
      <c r="A2248" s="59">
        <v>4</v>
      </c>
      <c r="B2248" s="59">
        <v>44</v>
      </c>
      <c r="C2248" s="59">
        <v>920</v>
      </c>
      <c r="D2248" s="51">
        <v>43</v>
      </c>
      <c r="E2248" s="51">
        <f t="shared" si="35"/>
        <v>1</v>
      </c>
    </row>
    <row r="2249" spans="1:5">
      <c r="A2249" s="59">
        <v>4</v>
      </c>
      <c r="B2249" s="59">
        <v>62</v>
      </c>
      <c r="C2249" s="59">
        <v>440</v>
      </c>
      <c r="D2249" s="51">
        <v>43</v>
      </c>
      <c r="E2249" s="51">
        <f t="shared" si="35"/>
        <v>1</v>
      </c>
    </row>
    <row r="2250" spans="1:5">
      <c r="A2250" s="59">
        <v>4</v>
      </c>
      <c r="B2250" s="59">
        <v>71</v>
      </c>
      <c r="C2250" s="59">
        <v>410</v>
      </c>
      <c r="D2250" s="51">
        <v>42</v>
      </c>
      <c r="E2250" s="51">
        <f t="shared" si="35"/>
        <v>0</v>
      </c>
    </row>
    <row r="2251" spans="1:5">
      <c r="A2251" s="59">
        <v>4</v>
      </c>
      <c r="B2251" s="59">
        <v>63</v>
      </c>
      <c r="C2251" s="59">
        <v>630</v>
      </c>
      <c r="D2251" s="51">
        <v>41</v>
      </c>
      <c r="E2251" s="51">
        <f t="shared" si="35"/>
        <v>0</v>
      </c>
    </row>
    <row r="2252" spans="1:5">
      <c r="A2252" s="59">
        <v>4</v>
      </c>
      <c r="B2252" s="59">
        <v>33</v>
      </c>
      <c r="C2252" s="59">
        <v>740</v>
      </c>
      <c r="D2252" s="51">
        <v>39</v>
      </c>
      <c r="E2252" s="51">
        <f t="shared" si="35"/>
        <v>0</v>
      </c>
    </row>
    <row r="2253" spans="1:5">
      <c r="A2253" s="59">
        <v>4</v>
      </c>
      <c r="B2253" s="59">
        <v>62</v>
      </c>
      <c r="C2253" s="59">
        <v>630</v>
      </c>
      <c r="D2253" s="51">
        <v>39</v>
      </c>
      <c r="E2253" s="51">
        <f t="shared" si="35"/>
        <v>1</v>
      </c>
    </row>
    <row r="2254" spans="1:5">
      <c r="A2254" s="59">
        <v>4</v>
      </c>
      <c r="B2254" s="59">
        <v>42</v>
      </c>
      <c r="C2254" s="59">
        <v>110</v>
      </c>
      <c r="D2254" s="51">
        <v>38</v>
      </c>
      <c r="E2254" s="51">
        <f t="shared" si="35"/>
        <v>0</v>
      </c>
    </row>
    <row r="2255" spans="1:5">
      <c r="A2255" s="59">
        <v>4</v>
      </c>
      <c r="B2255" s="59">
        <v>43</v>
      </c>
      <c r="C2255" s="59">
        <v>210</v>
      </c>
      <c r="D2255" s="51">
        <v>38</v>
      </c>
      <c r="E2255" s="51">
        <f t="shared" si="35"/>
        <v>0</v>
      </c>
    </row>
    <row r="2256" spans="1:5">
      <c r="A2256" s="59">
        <v>4</v>
      </c>
      <c r="B2256" s="59">
        <v>81</v>
      </c>
      <c r="C2256" s="59">
        <v>610</v>
      </c>
      <c r="D2256" s="51">
        <v>37</v>
      </c>
      <c r="E2256" s="51">
        <f t="shared" si="35"/>
        <v>0</v>
      </c>
    </row>
    <row r="2257" spans="1:5">
      <c r="A2257" s="59">
        <v>4</v>
      </c>
      <c r="B2257" s="59">
        <v>16</v>
      </c>
      <c r="C2257" s="59">
        <v>160</v>
      </c>
      <c r="D2257" s="51">
        <v>36</v>
      </c>
      <c r="E2257" s="51">
        <f t="shared" si="35"/>
        <v>0</v>
      </c>
    </row>
    <row r="2258" spans="1:5">
      <c r="A2258" s="59">
        <v>4</v>
      </c>
      <c r="B2258" s="59">
        <v>64</v>
      </c>
      <c r="C2258" s="59">
        <v>860</v>
      </c>
      <c r="D2258" s="51">
        <v>36</v>
      </c>
      <c r="E2258" s="51">
        <f t="shared" si="35"/>
        <v>0</v>
      </c>
    </row>
    <row r="2259" spans="1:5">
      <c r="A2259" s="59">
        <v>4</v>
      </c>
      <c r="B2259" s="59">
        <v>42</v>
      </c>
      <c r="C2259" s="59">
        <v>610</v>
      </c>
      <c r="D2259" s="51">
        <v>34</v>
      </c>
      <c r="E2259" s="51">
        <f t="shared" si="35"/>
        <v>0</v>
      </c>
    </row>
    <row r="2260" spans="1:5">
      <c r="A2260" s="59">
        <v>4</v>
      </c>
      <c r="B2260" s="59">
        <v>15</v>
      </c>
      <c r="C2260" s="59">
        <v>550</v>
      </c>
      <c r="D2260" s="51">
        <v>32</v>
      </c>
      <c r="E2260" s="51">
        <f t="shared" si="35"/>
        <v>0</v>
      </c>
    </row>
    <row r="2261" spans="1:5">
      <c r="A2261" s="59">
        <v>4</v>
      </c>
      <c r="B2261" s="59">
        <v>41</v>
      </c>
      <c r="C2261" s="59">
        <v>640</v>
      </c>
      <c r="D2261" s="51">
        <v>32</v>
      </c>
      <c r="E2261" s="51">
        <f t="shared" si="35"/>
        <v>1</v>
      </c>
    </row>
    <row r="2262" spans="1:5">
      <c r="A2262" s="59">
        <v>4</v>
      </c>
      <c r="B2262" s="59">
        <v>13</v>
      </c>
      <c r="C2262" s="59">
        <v>410</v>
      </c>
      <c r="D2262" s="51">
        <v>31</v>
      </c>
      <c r="E2262" s="51">
        <f t="shared" si="35"/>
        <v>0</v>
      </c>
    </row>
    <row r="2263" spans="1:5">
      <c r="A2263" s="59">
        <v>4</v>
      </c>
      <c r="B2263" s="59">
        <v>41</v>
      </c>
      <c r="C2263" s="59">
        <v>910</v>
      </c>
      <c r="D2263" s="51">
        <v>31</v>
      </c>
      <c r="E2263" s="51">
        <f t="shared" si="35"/>
        <v>1</v>
      </c>
    </row>
    <row r="2264" spans="1:5">
      <c r="A2264" s="59">
        <v>4</v>
      </c>
      <c r="B2264" s="59">
        <v>43</v>
      </c>
      <c r="C2264" s="59">
        <v>630</v>
      </c>
      <c r="D2264" s="51">
        <v>30</v>
      </c>
      <c r="E2264" s="51">
        <f t="shared" si="35"/>
        <v>0</v>
      </c>
    </row>
    <row r="2265" spans="1:5">
      <c r="A2265" s="59">
        <v>4</v>
      </c>
      <c r="B2265" s="59">
        <v>64</v>
      </c>
      <c r="C2265" s="59">
        <v>891</v>
      </c>
      <c r="D2265" s="51">
        <v>30</v>
      </c>
      <c r="E2265" s="51">
        <f t="shared" si="35"/>
        <v>0</v>
      </c>
    </row>
    <row r="2266" spans="1:5">
      <c r="A2266" s="59">
        <v>4</v>
      </c>
      <c r="B2266" s="59">
        <v>81</v>
      </c>
      <c r="C2266" s="59">
        <v>910</v>
      </c>
      <c r="D2266" s="51">
        <v>30</v>
      </c>
      <c r="E2266" s="51">
        <f t="shared" si="35"/>
        <v>0</v>
      </c>
    </row>
    <row r="2267" spans="1:5">
      <c r="A2267" s="59">
        <v>4</v>
      </c>
      <c r="B2267" s="59">
        <v>32</v>
      </c>
      <c r="C2267" s="59">
        <v>430</v>
      </c>
      <c r="D2267" s="51">
        <v>29</v>
      </c>
      <c r="E2267" s="51">
        <f t="shared" si="35"/>
        <v>0</v>
      </c>
    </row>
    <row r="2268" spans="1:5">
      <c r="A2268" s="59">
        <v>4</v>
      </c>
      <c r="B2268" s="59">
        <v>42</v>
      </c>
      <c r="C2268" s="59">
        <v>720</v>
      </c>
      <c r="D2268" s="51">
        <v>29</v>
      </c>
      <c r="E2268" s="51">
        <f t="shared" si="35"/>
        <v>0</v>
      </c>
    </row>
    <row r="2269" spans="1:5">
      <c r="A2269" s="59">
        <v>4</v>
      </c>
      <c r="B2269" s="59">
        <v>44</v>
      </c>
      <c r="C2269" s="59">
        <v>730</v>
      </c>
      <c r="D2269" s="51">
        <v>29</v>
      </c>
      <c r="E2269" s="51">
        <f t="shared" si="35"/>
        <v>1</v>
      </c>
    </row>
    <row r="2270" spans="1:5">
      <c r="A2270" s="59">
        <v>4</v>
      </c>
      <c r="B2270" s="59">
        <v>64</v>
      </c>
      <c r="C2270" s="59">
        <v>310</v>
      </c>
      <c r="D2270" s="51">
        <v>28</v>
      </c>
      <c r="E2270" s="51">
        <f t="shared" si="35"/>
        <v>0</v>
      </c>
    </row>
    <row r="2271" spans="1:5">
      <c r="A2271" s="59">
        <v>4</v>
      </c>
      <c r="B2271" s="59">
        <v>13</v>
      </c>
      <c r="C2271" s="59">
        <v>330</v>
      </c>
      <c r="D2271" s="51">
        <v>27</v>
      </c>
      <c r="E2271" s="51">
        <f t="shared" si="35"/>
        <v>0</v>
      </c>
    </row>
    <row r="2272" spans="1:5">
      <c r="A2272" s="59">
        <v>4</v>
      </c>
      <c r="B2272" s="59">
        <v>13</v>
      </c>
      <c r="C2272" s="59">
        <v>540</v>
      </c>
      <c r="D2272" s="51">
        <v>27</v>
      </c>
      <c r="E2272" s="51">
        <f t="shared" si="35"/>
        <v>0</v>
      </c>
    </row>
    <row r="2273" spans="1:5">
      <c r="A2273" s="59">
        <v>4</v>
      </c>
      <c r="B2273" s="59">
        <v>62</v>
      </c>
      <c r="C2273" s="59">
        <v>990</v>
      </c>
      <c r="D2273" s="51">
        <v>27</v>
      </c>
      <c r="E2273" s="51">
        <f t="shared" si="35"/>
        <v>1</v>
      </c>
    </row>
    <row r="2274" spans="1:5">
      <c r="A2274" s="59">
        <v>4</v>
      </c>
      <c r="B2274" s="59">
        <v>64</v>
      </c>
      <c r="C2274" s="59">
        <v>881</v>
      </c>
      <c r="D2274" s="51">
        <v>27</v>
      </c>
      <c r="E2274" s="51">
        <f t="shared" si="35"/>
        <v>0</v>
      </c>
    </row>
    <row r="2275" spans="1:5">
      <c r="A2275" s="59">
        <v>4</v>
      </c>
      <c r="B2275" s="59">
        <v>13</v>
      </c>
      <c r="C2275" s="59">
        <v>640</v>
      </c>
      <c r="D2275" s="51">
        <v>26</v>
      </c>
      <c r="E2275" s="51">
        <f t="shared" si="35"/>
        <v>0</v>
      </c>
    </row>
    <row r="2276" spans="1:5">
      <c r="A2276" s="59">
        <v>4</v>
      </c>
      <c r="B2276" s="59">
        <v>16</v>
      </c>
      <c r="C2276" s="59">
        <v>150</v>
      </c>
      <c r="D2276" s="51">
        <v>26</v>
      </c>
      <c r="E2276" s="51">
        <f t="shared" si="35"/>
        <v>0</v>
      </c>
    </row>
    <row r="2277" spans="1:5">
      <c r="A2277" s="59">
        <v>4</v>
      </c>
      <c r="B2277" s="59">
        <v>32</v>
      </c>
      <c r="C2277" s="59">
        <v>640</v>
      </c>
      <c r="D2277" s="51">
        <v>25</v>
      </c>
      <c r="E2277" s="51">
        <f t="shared" si="35"/>
        <v>0</v>
      </c>
    </row>
    <row r="2278" spans="1:5">
      <c r="A2278" s="59">
        <v>4</v>
      </c>
      <c r="B2278" s="59">
        <v>44</v>
      </c>
      <c r="C2278" s="59">
        <v>410</v>
      </c>
      <c r="D2278" s="51">
        <v>25</v>
      </c>
      <c r="E2278" s="51">
        <f t="shared" si="35"/>
        <v>1</v>
      </c>
    </row>
    <row r="2279" spans="1:5">
      <c r="A2279" s="59">
        <v>4</v>
      </c>
      <c r="B2279" s="59">
        <v>71</v>
      </c>
      <c r="C2279" s="59">
        <v>750</v>
      </c>
      <c r="D2279" s="51">
        <v>25</v>
      </c>
      <c r="E2279" s="51">
        <f t="shared" si="35"/>
        <v>0</v>
      </c>
    </row>
    <row r="2280" spans="1:5">
      <c r="A2280" s="59">
        <v>4</v>
      </c>
      <c r="B2280" s="59">
        <v>81</v>
      </c>
      <c r="C2280" s="59">
        <v>110</v>
      </c>
      <c r="D2280" s="51">
        <v>25</v>
      </c>
      <c r="E2280" s="51">
        <f t="shared" si="35"/>
        <v>0</v>
      </c>
    </row>
    <row r="2281" spans="1:5">
      <c r="A2281" s="59">
        <v>4</v>
      </c>
      <c r="B2281" s="59">
        <v>32</v>
      </c>
      <c r="C2281" s="59">
        <v>110</v>
      </c>
      <c r="D2281" s="51">
        <v>24</v>
      </c>
      <c r="E2281" s="51">
        <f t="shared" si="35"/>
        <v>0</v>
      </c>
    </row>
    <row r="2282" spans="1:5">
      <c r="A2282" s="59">
        <v>4</v>
      </c>
      <c r="B2282" s="59">
        <v>41</v>
      </c>
      <c r="C2282" s="59">
        <v>160</v>
      </c>
      <c r="D2282" s="51">
        <v>24</v>
      </c>
      <c r="E2282" s="51">
        <f t="shared" si="35"/>
        <v>1</v>
      </c>
    </row>
    <row r="2283" spans="1:5">
      <c r="A2283" s="59">
        <v>4</v>
      </c>
      <c r="B2283" s="59">
        <v>32</v>
      </c>
      <c r="C2283" s="59">
        <v>620</v>
      </c>
      <c r="D2283" s="51">
        <v>23</v>
      </c>
      <c r="E2283" s="51">
        <f t="shared" si="35"/>
        <v>0</v>
      </c>
    </row>
    <row r="2284" spans="1:5">
      <c r="A2284" s="59">
        <v>4</v>
      </c>
      <c r="B2284" s="59">
        <v>64</v>
      </c>
      <c r="C2284" s="59">
        <v>230</v>
      </c>
      <c r="D2284" s="51">
        <v>23</v>
      </c>
      <c r="E2284" s="51">
        <f t="shared" si="35"/>
        <v>0</v>
      </c>
    </row>
    <row r="2285" spans="1:5">
      <c r="A2285" s="59">
        <v>4</v>
      </c>
      <c r="B2285" s="59">
        <v>71</v>
      </c>
      <c r="C2285" s="59">
        <v>440</v>
      </c>
      <c r="D2285" s="51">
        <v>22</v>
      </c>
      <c r="E2285" s="51">
        <f t="shared" si="35"/>
        <v>0</v>
      </c>
    </row>
    <row r="2286" spans="1:5">
      <c r="A2286" s="59">
        <v>4</v>
      </c>
      <c r="B2286" s="59">
        <v>81</v>
      </c>
      <c r="C2286" s="59">
        <v>730</v>
      </c>
      <c r="D2286" s="51">
        <v>22</v>
      </c>
      <c r="E2286" s="51">
        <f t="shared" si="35"/>
        <v>0</v>
      </c>
    </row>
    <row r="2287" spans="1:5">
      <c r="A2287" s="59">
        <v>4</v>
      </c>
      <c r="B2287" s="59">
        <v>13</v>
      </c>
      <c r="C2287" s="59">
        <v>310</v>
      </c>
      <c r="D2287" s="51">
        <v>21</v>
      </c>
      <c r="E2287" s="51">
        <f t="shared" si="35"/>
        <v>0</v>
      </c>
    </row>
    <row r="2288" spans="1:5">
      <c r="A2288" s="59">
        <v>4</v>
      </c>
      <c r="B2288" s="59">
        <v>42</v>
      </c>
      <c r="C2288" s="59">
        <v>510</v>
      </c>
      <c r="D2288" s="51">
        <v>21</v>
      </c>
      <c r="E2288" s="51">
        <f t="shared" si="35"/>
        <v>0</v>
      </c>
    </row>
    <row r="2289" spans="1:5">
      <c r="A2289" s="59">
        <v>4</v>
      </c>
      <c r="B2289" s="59">
        <v>64</v>
      </c>
      <c r="C2289" s="59">
        <v>930</v>
      </c>
      <c r="D2289" s="51">
        <v>21</v>
      </c>
      <c r="E2289" s="51">
        <f t="shared" si="35"/>
        <v>0</v>
      </c>
    </row>
    <row r="2290" spans="1:5">
      <c r="A2290" s="59">
        <v>4</v>
      </c>
      <c r="B2290" s="59">
        <v>22</v>
      </c>
      <c r="C2290" s="59">
        <v>530</v>
      </c>
      <c r="D2290" s="51">
        <v>20</v>
      </c>
      <c r="E2290" s="51">
        <f t="shared" si="35"/>
        <v>0</v>
      </c>
    </row>
    <row r="2291" spans="1:5">
      <c r="A2291" s="59">
        <v>4</v>
      </c>
      <c r="B2291" s="59">
        <v>43</v>
      </c>
      <c r="C2291" s="59">
        <v>420</v>
      </c>
      <c r="D2291" s="51">
        <v>20</v>
      </c>
      <c r="E2291" s="51">
        <f t="shared" si="35"/>
        <v>0</v>
      </c>
    </row>
    <row r="2292" spans="1:5">
      <c r="A2292" s="59">
        <v>4</v>
      </c>
      <c r="B2292" s="59">
        <v>61</v>
      </c>
      <c r="C2292" s="59">
        <v>530</v>
      </c>
      <c r="D2292" s="51">
        <v>20</v>
      </c>
      <c r="E2292" s="51">
        <f t="shared" si="35"/>
        <v>0</v>
      </c>
    </row>
    <row r="2293" spans="1:5">
      <c r="A2293" s="59">
        <v>4</v>
      </c>
      <c r="B2293" s="59">
        <v>63</v>
      </c>
      <c r="C2293" s="59">
        <v>410</v>
      </c>
      <c r="D2293" s="51">
        <v>20</v>
      </c>
      <c r="E2293" s="51">
        <f t="shared" si="35"/>
        <v>0</v>
      </c>
    </row>
    <row r="2294" spans="1:5">
      <c r="A2294" s="59">
        <v>4</v>
      </c>
      <c r="B2294" s="59">
        <v>13</v>
      </c>
      <c r="C2294" s="59">
        <v>320</v>
      </c>
      <c r="D2294" s="51">
        <v>19</v>
      </c>
      <c r="E2294" s="51">
        <f t="shared" si="35"/>
        <v>0</v>
      </c>
    </row>
    <row r="2295" spans="1:5">
      <c r="A2295" s="59">
        <v>4</v>
      </c>
      <c r="B2295" s="59">
        <v>32</v>
      </c>
      <c r="C2295" s="59">
        <v>510</v>
      </c>
      <c r="D2295" s="51">
        <v>19</v>
      </c>
      <c r="E2295" s="51">
        <f t="shared" si="35"/>
        <v>0</v>
      </c>
    </row>
    <row r="2296" spans="1:5">
      <c r="A2296" s="59">
        <v>4</v>
      </c>
      <c r="B2296" s="59">
        <v>62</v>
      </c>
      <c r="C2296" s="59">
        <v>430</v>
      </c>
      <c r="D2296" s="51">
        <v>19</v>
      </c>
      <c r="E2296" s="51">
        <f t="shared" si="35"/>
        <v>1</v>
      </c>
    </row>
    <row r="2297" spans="1:5">
      <c r="A2297" s="59">
        <v>4</v>
      </c>
      <c r="B2297" s="59">
        <v>63</v>
      </c>
      <c r="C2297" s="59">
        <v>710</v>
      </c>
      <c r="D2297" s="51">
        <v>19</v>
      </c>
      <c r="E2297" s="51">
        <f t="shared" si="35"/>
        <v>0</v>
      </c>
    </row>
    <row r="2298" spans="1:5">
      <c r="A2298" s="59">
        <v>4</v>
      </c>
      <c r="B2298" s="59">
        <v>44</v>
      </c>
      <c r="C2298" s="59">
        <v>520</v>
      </c>
      <c r="D2298" s="51">
        <v>18</v>
      </c>
      <c r="E2298" s="51">
        <f t="shared" si="35"/>
        <v>1</v>
      </c>
    </row>
    <row r="2299" spans="1:5">
      <c r="A2299" s="59">
        <v>4</v>
      </c>
      <c r="B2299" s="59">
        <v>64</v>
      </c>
      <c r="C2299" s="59">
        <v>240</v>
      </c>
      <c r="D2299" s="51">
        <v>18</v>
      </c>
      <c r="E2299" s="51">
        <f t="shared" si="35"/>
        <v>0</v>
      </c>
    </row>
    <row r="2300" spans="1:5">
      <c r="A2300" s="59">
        <v>4</v>
      </c>
      <c r="B2300" s="59">
        <v>64</v>
      </c>
      <c r="C2300" s="59">
        <v>990</v>
      </c>
      <c r="D2300" s="51">
        <v>18</v>
      </c>
      <c r="E2300" s="51">
        <f t="shared" si="35"/>
        <v>0</v>
      </c>
    </row>
    <row r="2301" spans="1:5">
      <c r="A2301" s="59">
        <v>4</v>
      </c>
      <c r="B2301" s="59">
        <v>13</v>
      </c>
      <c r="C2301" s="59">
        <v>420</v>
      </c>
      <c r="D2301" s="51">
        <v>17</v>
      </c>
      <c r="E2301" s="51">
        <f t="shared" si="35"/>
        <v>0</v>
      </c>
    </row>
    <row r="2302" spans="1:5">
      <c r="A2302" s="59">
        <v>4</v>
      </c>
      <c r="B2302" s="59">
        <v>44</v>
      </c>
      <c r="C2302" s="59">
        <v>630</v>
      </c>
      <c r="D2302" s="51">
        <v>17</v>
      </c>
      <c r="E2302" s="51">
        <f t="shared" si="35"/>
        <v>1</v>
      </c>
    </row>
    <row r="2303" spans="1:5">
      <c r="A2303" s="59">
        <v>4</v>
      </c>
      <c r="B2303" s="59">
        <v>64</v>
      </c>
      <c r="C2303" s="59">
        <v>330</v>
      </c>
      <c r="D2303" s="51">
        <v>17</v>
      </c>
      <c r="E2303" s="51">
        <f t="shared" si="35"/>
        <v>0</v>
      </c>
    </row>
    <row r="2304" spans="1:5">
      <c r="A2304" s="59">
        <v>4</v>
      </c>
      <c r="B2304" s="59">
        <v>14</v>
      </c>
      <c r="C2304" s="59">
        <v>140</v>
      </c>
      <c r="D2304" s="51">
        <v>16</v>
      </c>
      <c r="E2304" s="51">
        <f t="shared" si="35"/>
        <v>0</v>
      </c>
    </row>
    <row r="2305" spans="1:5">
      <c r="A2305" s="59">
        <v>4</v>
      </c>
      <c r="B2305" s="59">
        <v>43</v>
      </c>
      <c r="C2305" s="59">
        <v>240</v>
      </c>
      <c r="D2305" s="51">
        <v>16</v>
      </c>
      <c r="E2305" s="51">
        <f t="shared" si="35"/>
        <v>0</v>
      </c>
    </row>
    <row r="2306" spans="1:5">
      <c r="A2306" s="59">
        <v>4</v>
      </c>
      <c r="B2306" s="59">
        <v>71</v>
      </c>
      <c r="C2306" s="59">
        <v>430</v>
      </c>
      <c r="D2306" s="51">
        <v>16</v>
      </c>
      <c r="E2306" s="51">
        <f t="shared" ref="E2306:E2369" si="36">IF(OR(A2306=6,A2306=7,A2306=14,A2306=15,A2306=16,A2306=17,A2306=18,A2306=19,A2306=20,A2306=21,A2306=22,A2306=23,A2306=25,A2306=26,A2306=27,A2306=28,B2306=41,B2306=44,B2306=62),1,0)</f>
        <v>0</v>
      </c>
    </row>
    <row r="2307" spans="1:5">
      <c r="A2307" s="59">
        <v>4</v>
      </c>
      <c r="B2307" s="59">
        <v>71</v>
      </c>
      <c r="C2307" s="59">
        <v>730</v>
      </c>
      <c r="D2307" s="51">
        <v>16</v>
      </c>
      <c r="E2307" s="51">
        <f t="shared" si="36"/>
        <v>0</v>
      </c>
    </row>
    <row r="2308" spans="1:5">
      <c r="A2308" s="59">
        <v>4</v>
      </c>
      <c r="B2308" s="59">
        <v>13</v>
      </c>
      <c r="C2308" s="59">
        <v>430</v>
      </c>
      <c r="D2308" s="51">
        <v>15</v>
      </c>
      <c r="E2308" s="51">
        <f t="shared" si="36"/>
        <v>0</v>
      </c>
    </row>
    <row r="2309" spans="1:5">
      <c r="A2309" s="59">
        <v>4</v>
      </c>
      <c r="B2309" s="59">
        <v>32</v>
      </c>
      <c r="C2309" s="59">
        <v>410</v>
      </c>
      <c r="D2309" s="51">
        <v>15</v>
      </c>
      <c r="E2309" s="51">
        <f t="shared" si="36"/>
        <v>0</v>
      </c>
    </row>
    <row r="2310" spans="1:5">
      <c r="A2310" s="59">
        <v>4</v>
      </c>
      <c r="B2310" s="59">
        <v>42</v>
      </c>
      <c r="C2310" s="59">
        <v>730</v>
      </c>
      <c r="D2310" s="51">
        <v>15</v>
      </c>
      <c r="E2310" s="51">
        <f t="shared" si="36"/>
        <v>0</v>
      </c>
    </row>
    <row r="2311" spans="1:5">
      <c r="A2311" s="59">
        <v>4</v>
      </c>
      <c r="B2311" s="59">
        <v>64</v>
      </c>
      <c r="C2311" s="59">
        <v>970</v>
      </c>
      <c r="D2311" s="51">
        <v>15</v>
      </c>
      <c r="E2311" s="51">
        <f t="shared" si="36"/>
        <v>0</v>
      </c>
    </row>
    <row r="2312" spans="1:5">
      <c r="A2312" s="59">
        <v>4</v>
      </c>
      <c r="B2312" s="59">
        <v>32</v>
      </c>
      <c r="C2312" s="59">
        <v>910</v>
      </c>
      <c r="D2312" s="51">
        <v>14</v>
      </c>
      <c r="E2312" s="51">
        <f t="shared" si="36"/>
        <v>0</v>
      </c>
    </row>
    <row r="2313" spans="1:5">
      <c r="A2313" s="59">
        <v>4</v>
      </c>
      <c r="B2313" s="59">
        <v>44</v>
      </c>
      <c r="C2313" s="59">
        <v>610</v>
      </c>
      <c r="D2313" s="51">
        <v>14</v>
      </c>
      <c r="E2313" s="51">
        <f t="shared" si="36"/>
        <v>1</v>
      </c>
    </row>
    <row r="2314" spans="1:5">
      <c r="A2314" s="59">
        <v>4</v>
      </c>
      <c r="B2314" s="59">
        <v>64</v>
      </c>
      <c r="C2314" s="59">
        <v>320</v>
      </c>
      <c r="D2314" s="51">
        <v>14</v>
      </c>
      <c r="E2314" s="51">
        <f t="shared" si="36"/>
        <v>0</v>
      </c>
    </row>
    <row r="2315" spans="1:5">
      <c r="A2315" s="59">
        <v>4</v>
      </c>
      <c r="B2315" s="59">
        <v>14</v>
      </c>
      <c r="C2315" s="59">
        <v>110</v>
      </c>
      <c r="D2315" s="51">
        <v>13</v>
      </c>
      <c r="E2315" s="51">
        <f t="shared" si="36"/>
        <v>0</v>
      </c>
    </row>
    <row r="2316" spans="1:5">
      <c r="A2316" s="59">
        <v>4</v>
      </c>
      <c r="B2316" s="59">
        <v>15</v>
      </c>
      <c r="C2316" s="59">
        <v>160</v>
      </c>
      <c r="D2316" s="51">
        <v>13</v>
      </c>
      <c r="E2316" s="51">
        <f t="shared" si="36"/>
        <v>0</v>
      </c>
    </row>
    <row r="2317" spans="1:5">
      <c r="A2317" s="59">
        <v>4</v>
      </c>
      <c r="B2317" s="59">
        <v>23</v>
      </c>
      <c r="C2317" s="59">
        <v>550</v>
      </c>
      <c r="D2317" s="51">
        <v>13</v>
      </c>
      <c r="E2317" s="51">
        <f t="shared" si="36"/>
        <v>0</v>
      </c>
    </row>
    <row r="2318" spans="1:5">
      <c r="A2318" s="59">
        <v>4</v>
      </c>
      <c r="B2318" s="59">
        <v>41</v>
      </c>
      <c r="C2318" s="59">
        <v>510</v>
      </c>
      <c r="D2318" s="51">
        <v>13</v>
      </c>
      <c r="E2318" s="51">
        <f t="shared" si="36"/>
        <v>1</v>
      </c>
    </row>
    <row r="2319" spans="1:5">
      <c r="A2319" s="59">
        <v>4</v>
      </c>
      <c r="B2319" s="59">
        <v>43</v>
      </c>
      <c r="C2319" s="59">
        <v>930</v>
      </c>
      <c r="D2319" s="51">
        <v>13</v>
      </c>
      <c r="E2319" s="51">
        <f t="shared" si="36"/>
        <v>0</v>
      </c>
    </row>
    <row r="2320" spans="1:5">
      <c r="A2320" s="59">
        <v>4</v>
      </c>
      <c r="B2320" s="59">
        <v>44</v>
      </c>
      <c r="C2320" s="59">
        <v>110</v>
      </c>
      <c r="D2320" s="51">
        <v>13</v>
      </c>
      <c r="E2320" s="51">
        <f t="shared" si="36"/>
        <v>1</v>
      </c>
    </row>
    <row r="2321" spans="1:5">
      <c r="A2321" s="59">
        <v>4</v>
      </c>
      <c r="B2321" s="59">
        <v>14</v>
      </c>
      <c r="C2321" s="59">
        <v>620</v>
      </c>
      <c r="D2321" s="51">
        <v>12</v>
      </c>
      <c r="E2321" s="51">
        <f t="shared" si="36"/>
        <v>0</v>
      </c>
    </row>
    <row r="2322" spans="1:5">
      <c r="A2322" s="59">
        <v>4</v>
      </c>
      <c r="B2322" s="59">
        <v>15</v>
      </c>
      <c r="C2322" s="59">
        <v>910</v>
      </c>
      <c r="D2322" s="51">
        <v>12</v>
      </c>
      <c r="E2322" s="51">
        <f t="shared" si="36"/>
        <v>0</v>
      </c>
    </row>
    <row r="2323" spans="1:5">
      <c r="A2323" s="59">
        <v>4</v>
      </c>
      <c r="B2323" s="59">
        <v>22</v>
      </c>
      <c r="C2323" s="59">
        <v>510</v>
      </c>
      <c r="D2323" s="51">
        <v>12</v>
      </c>
      <c r="E2323" s="51">
        <f t="shared" si="36"/>
        <v>0</v>
      </c>
    </row>
    <row r="2324" spans="1:5">
      <c r="A2324" s="59">
        <v>4</v>
      </c>
      <c r="B2324" s="59">
        <v>42</v>
      </c>
      <c r="C2324" s="59">
        <v>410</v>
      </c>
      <c r="D2324" s="51">
        <v>12</v>
      </c>
      <c r="E2324" s="51">
        <f t="shared" si="36"/>
        <v>0</v>
      </c>
    </row>
    <row r="2325" spans="1:5">
      <c r="A2325" s="59">
        <v>4</v>
      </c>
      <c r="B2325" s="59">
        <v>42</v>
      </c>
      <c r="C2325" s="59">
        <v>630</v>
      </c>
      <c r="D2325" s="51">
        <v>12</v>
      </c>
      <c r="E2325" s="51">
        <f t="shared" si="36"/>
        <v>0</v>
      </c>
    </row>
    <row r="2326" spans="1:5">
      <c r="A2326" s="59">
        <v>4</v>
      </c>
      <c r="B2326" s="59">
        <v>51</v>
      </c>
      <c r="C2326" s="59">
        <v>550</v>
      </c>
      <c r="D2326" s="51">
        <v>12</v>
      </c>
      <c r="E2326" s="51">
        <f t="shared" si="36"/>
        <v>0</v>
      </c>
    </row>
    <row r="2327" spans="1:5">
      <c r="A2327" s="59">
        <v>4</v>
      </c>
      <c r="B2327" s="59">
        <v>63</v>
      </c>
      <c r="C2327" s="59">
        <v>881</v>
      </c>
      <c r="D2327" s="51">
        <v>12</v>
      </c>
      <c r="E2327" s="51">
        <f t="shared" si="36"/>
        <v>0</v>
      </c>
    </row>
    <row r="2328" spans="1:5">
      <c r="A2328" s="59">
        <v>4</v>
      </c>
      <c r="B2328" s="59">
        <v>81</v>
      </c>
      <c r="C2328" s="59">
        <v>831</v>
      </c>
      <c r="D2328" s="51">
        <v>12</v>
      </c>
      <c r="E2328" s="51">
        <f t="shared" si="36"/>
        <v>0</v>
      </c>
    </row>
    <row r="2329" spans="1:5">
      <c r="A2329" s="59">
        <v>4</v>
      </c>
      <c r="B2329" s="59">
        <v>11</v>
      </c>
      <c r="C2329" s="59">
        <v>550</v>
      </c>
      <c r="D2329" s="51">
        <v>11</v>
      </c>
      <c r="E2329" s="51">
        <f t="shared" si="36"/>
        <v>0</v>
      </c>
    </row>
    <row r="2330" spans="1:5">
      <c r="A2330" s="59">
        <v>4</v>
      </c>
      <c r="B2330" s="59">
        <v>13</v>
      </c>
      <c r="C2330" s="59">
        <v>210</v>
      </c>
      <c r="D2330" s="51">
        <v>11</v>
      </c>
      <c r="E2330" s="51">
        <f t="shared" si="36"/>
        <v>0</v>
      </c>
    </row>
    <row r="2331" spans="1:5">
      <c r="A2331" s="59">
        <v>4</v>
      </c>
      <c r="B2331" s="59">
        <v>14</v>
      </c>
      <c r="C2331" s="59">
        <v>320</v>
      </c>
      <c r="D2331" s="51">
        <v>11</v>
      </c>
      <c r="E2331" s="51">
        <f t="shared" si="36"/>
        <v>0</v>
      </c>
    </row>
    <row r="2332" spans="1:5">
      <c r="A2332" s="59">
        <v>4</v>
      </c>
      <c r="B2332" s="59">
        <v>33</v>
      </c>
      <c r="C2332" s="59">
        <v>550</v>
      </c>
      <c r="D2332" s="51">
        <v>11</v>
      </c>
      <c r="E2332" s="51">
        <f t="shared" si="36"/>
        <v>0</v>
      </c>
    </row>
    <row r="2333" spans="1:5">
      <c r="A2333" s="59">
        <v>4</v>
      </c>
      <c r="B2333" s="59">
        <v>41</v>
      </c>
      <c r="C2333" s="59">
        <v>730</v>
      </c>
      <c r="D2333" s="51">
        <v>11</v>
      </c>
      <c r="E2333" s="51">
        <f t="shared" si="36"/>
        <v>1</v>
      </c>
    </row>
    <row r="2334" spans="1:5">
      <c r="A2334" s="59">
        <v>4</v>
      </c>
      <c r="B2334" s="59">
        <v>42</v>
      </c>
      <c r="C2334" s="59">
        <v>150</v>
      </c>
      <c r="D2334" s="51">
        <v>11</v>
      </c>
      <c r="E2334" s="51">
        <f t="shared" si="36"/>
        <v>0</v>
      </c>
    </row>
    <row r="2335" spans="1:5">
      <c r="A2335" s="59">
        <v>4</v>
      </c>
      <c r="B2335" s="59">
        <v>42</v>
      </c>
      <c r="C2335" s="59">
        <v>540</v>
      </c>
      <c r="D2335" s="51">
        <v>11</v>
      </c>
      <c r="E2335" s="51">
        <f t="shared" si="36"/>
        <v>0</v>
      </c>
    </row>
    <row r="2336" spans="1:5">
      <c r="A2336" s="59">
        <v>4</v>
      </c>
      <c r="B2336" s="59">
        <v>43</v>
      </c>
      <c r="C2336" s="59">
        <v>870</v>
      </c>
      <c r="D2336" s="51">
        <v>10</v>
      </c>
      <c r="E2336" s="51">
        <f t="shared" si="36"/>
        <v>0</v>
      </c>
    </row>
    <row r="2337" spans="1:5">
      <c r="A2337" s="59">
        <v>4</v>
      </c>
      <c r="B2337" s="59">
        <v>16</v>
      </c>
      <c r="C2337" s="59">
        <v>910</v>
      </c>
      <c r="D2337" s="51">
        <v>9</v>
      </c>
      <c r="E2337" s="51">
        <f t="shared" si="36"/>
        <v>0</v>
      </c>
    </row>
    <row r="2338" spans="1:5">
      <c r="A2338" s="59">
        <v>4</v>
      </c>
      <c r="B2338" s="59">
        <v>32</v>
      </c>
      <c r="C2338" s="59">
        <v>740</v>
      </c>
      <c r="D2338" s="51">
        <v>9</v>
      </c>
      <c r="E2338" s="51">
        <f t="shared" si="36"/>
        <v>0</v>
      </c>
    </row>
    <row r="2339" spans="1:5">
      <c r="A2339" s="59">
        <v>4</v>
      </c>
      <c r="B2339" s="59">
        <v>33</v>
      </c>
      <c r="C2339" s="59">
        <v>530</v>
      </c>
      <c r="D2339" s="51">
        <v>9</v>
      </c>
      <c r="E2339" s="51">
        <f t="shared" si="36"/>
        <v>0</v>
      </c>
    </row>
    <row r="2340" spans="1:5">
      <c r="A2340" s="59">
        <v>4</v>
      </c>
      <c r="B2340" s="59">
        <v>43</v>
      </c>
      <c r="C2340" s="59">
        <v>310</v>
      </c>
      <c r="D2340" s="51">
        <v>9</v>
      </c>
      <c r="E2340" s="51">
        <f t="shared" si="36"/>
        <v>0</v>
      </c>
    </row>
    <row r="2341" spans="1:5">
      <c r="A2341" s="59">
        <v>4</v>
      </c>
      <c r="B2341" s="59">
        <v>62</v>
      </c>
      <c r="C2341" s="59">
        <v>960</v>
      </c>
      <c r="D2341" s="51">
        <v>9</v>
      </c>
      <c r="E2341" s="51">
        <f t="shared" si="36"/>
        <v>1</v>
      </c>
    </row>
    <row r="2342" spans="1:5">
      <c r="A2342" s="59">
        <v>4</v>
      </c>
      <c r="B2342" s="59">
        <v>63</v>
      </c>
      <c r="C2342" s="59">
        <v>210</v>
      </c>
      <c r="D2342" s="51">
        <v>9</v>
      </c>
      <c r="E2342" s="51">
        <f t="shared" si="36"/>
        <v>0</v>
      </c>
    </row>
    <row r="2343" spans="1:5">
      <c r="A2343" s="59">
        <v>4</v>
      </c>
      <c r="B2343" s="59">
        <v>64</v>
      </c>
      <c r="C2343" s="59">
        <v>220</v>
      </c>
      <c r="D2343" s="51">
        <v>9</v>
      </c>
      <c r="E2343" s="51">
        <f t="shared" si="36"/>
        <v>0</v>
      </c>
    </row>
    <row r="2344" spans="1:5">
      <c r="A2344" s="59">
        <v>4</v>
      </c>
      <c r="B2344" s="59">
        <v>64</v>
      </c>
      <c r="C2344" s="59">
        <v>899</v>
      </c>
      <c r="D2344" s="51">
        <v>9</v>
      </c>
      <c r="E2344" s="51">
        <f t="shared" si="36"/>
        <v>0</v>
      </c>
    </row>
    <row r="2345" spans="1:5">
      <c r="A2345" s="59">
        <v>4</v>
      </c>
      <c r="B2345" s="59">
        <v>81</v>
      </c>
      <c r="C2345" s="59">
        <v>540</v>
      </c>
      <c r="D2345" s="51">
        <v>9</v>
      </c>
      <c r="E2345" s="51">
        <f t="shared" si="36"/>
        <v>0</v>
      </c>
    </row>
    <row r="2346" spans="1:5">
      <c r="A2346" s="59">
        <v>4</v>
      </c>
      <c r="B2346" s="59">
        <v>22</v>
      </c>
      <c r="C2346" s="59">
        <v>230</v>
      </c>
      <c r="D2346" s="51">
        <v>8</v>
      </c>
      <c r="E2346" s="51">
        <f t="shared" si="36"/>
        <v>0</v>
      </c>
    </row>
    <row r="2347" spans="1:5">
      <c r="A2347" s="59">
        <v>4</v>
      </c>
      <c r="B2347" s="59">
        <v>32</v>
      </c>
      <c r="C2347" s="59">
        <v>520</v>
      </c>
      <c r="D2347" s="51">
        <v>8</v>
      </c>
      <c r="E2347" s="51">
        <f t="shared" si="36"/>
        <v>0</v>
      </c>
    </row>
    <row r="2348" spans="1:5">
      <c r="A2348" s="59">
        <v>4</v>
      </c>
      <c r="B2348" s="59">
        <v>41</v>
      </c>
      <c r="C2348" s="59">
        <v>620</v>
      </c>
      <c r="D2348" s="51">
        <v>8</v>
      </c>
      <c r="E2348" s="51">
        <f t="shared" si="36"/>
        <v>1</v>
      </c>
    </row>
    <row r="2349" spans="1:5">
      <c r="A2349" s="59">
        <v>4</v>
      </c>
      <c r="B2349" s="59">
        <v>41</v>
      </c>
      <c r="C2349" s="59">
        <v>750</v>
      </c>
      <c r="D2349" s="51">
        <v>8</v>
      </c>
      <c r="E2349" s="51">
        <f t="shared" si="36"/>
        <v>1</v>
      </c>
    </row>
    <row r="2350" spans="1:5">
      <c r="A2350" s="59">
        <v>4</v>
      </c>
      <c r="B2350" s="59">
        <v>42</v>
      </c>
      <c r="C2350" s="59">
        <v>520</v>
      </c>
      <c r="D2350" s="51">
        <v>8</v>
      </c>
      <c r="E2350" s="51">
        <f t="shared" si="36"/>
        <v>0</v>
      </c>
    </row>
    <row r="2351" spans="1:5">
      <c r="A2351" s="59">
        <v>4</v>
      </c>
      <c r="B2351" s="59">
        <v>42</v>
      </c>
      <c r="C2351" s="59">
        <v>920</v>
      </c>
      <c r="D2351" s="51">
        <v>8</v>
      </c>
      <c r="E2351" s="51">
        <f t="shared" si="36"/>
        <v>0</v>
      </c>
    </row>
    <row r="2352" spans="1:5">
      <c r="A2352" s="59">
        <v>4</v>
      </c>
      <c r="B2352" s="59">
        <v>43</v>
      </c>
      <c r="C2352" s="59">
        <v>230</v>
      </c>
      <c r="D2352" s="51">
        <v>8</v>
      </c>
      <c r="E2352" s="51">
        <f t="shared" si="36"/>
        <v>0</v>
      </c>
    </row>
    <row r="2353" spans="1:5">
      <c r="A2353" s="59">
        <v>4</v>
      </c>
      <c r="B2353" s="59">
        <v>43</v>
      </c>
      <c r="C2353" s="59">
        <v>440</v>
      </c>
      <c r="D2353" s="51">
        <v>8</v>
      </c>
      <c r="E2353" s="51">
        <f t="shared" si="36"/>
        <v>0</v>
      </c>
    </row>
    <row r="2354" spans="1:5">
      <c r="A2354" s="59">
        <v>4</v>
      </c>
      <c r="B2354" s="59">
        <v>43</v>
      </c>
      <c r="C2354" s="59">
        <v>710</v>
      </c>
      <c r="D2354" s="51">
        <v>8</v>
      </c>
      <c r="E2354" s="51">
        <f t="shared" si="36"/>
        <v>0</v>
      </c>
    </row>
    <row r="2355" spans="1:5">
      <c r="A2355" s="59">
        <v>4</v>
      </c>
      <c r="B2355" s="59">
        <v>43</v>
      </c>
      <c r="C2355" s="59">
        <v>840</v>
      </c>
      <c r="D2355" s="51">
        <v>8</v>
      </c>
      <c r="E2355" s="51">
        <f t="shared" si="36"/>
        <v>0</v>
      </c>
    </row>
    <row r="2356" spans="1:5">
      <c r="A2356" s="59">
        <v>4</v>
      </c>
      <c r="B2356" s="59">
        <v>43</v>
      </c>
      <c r="C2356" s="59">
        <v>940</v>
      </c>
      <c r="D2356" s="51">
        <v>8</v>
      </c>
      <c r="E2356" s="51">
        <f t="shared" si="36"/>
        <v>0</v>
      </c>
    </row>
    <row r="2357" spans="1:5">
      <c r="A2357" s="59">
        <v>4</v>
      </c>
      <c r="B2357" s="59">
        <v>44</v>
      </c>
      <c r="C2357" s="59">
        <v>210</v>
      </c>
      <c r="D2357" s="51">
        <v>8</v>
      </c>
      <c r="E2357" s="51">
        <f t="shared" si="36"/>
        <v>1</v>
      </c>
    </row>
    <row r="2358" spans="1:5">
      <c r="A2358" s="59">
        <v>4</v>
      </c>
      <c r="B2358" s="59">
        <v>44</v>
      </c>
      <c r="C2358" s="59">
        <v>430</v>
      </c>
      <c r="D2358" s="51">
        <v>8</v>
      </c>
      <c r="E2358" s="51">
        <f t="shared" si="36"/>
        <v>1</v>
      </c>
    </row>
    <row r="2359" spans="1:5">
      <c r="A2359" s="59">
        <v>4</v>
      </c>
      <c r="B2359" s="59">
        <v>44</v>
      </c>
      <c r="C2359" s="59">
        <v>930</v>
      </c>
      <c r="D2359" s="51">
        <v>8</v>
      </c>
      <c r="E2359" s="51">
        <f t="shared" si="36"/>
        <v>1</v>
      </c>
    </row>
    <row r="2360" spans="1:5">
      <c r="A2360" s="59">
        <v>4</v>
      </c>
      <c r="B2360" s="59">
        <v>51</v>
      </c>
      <c r="C2360" s="59">
        <v>640</v>
      </c>
      <c r="D2360" s="51">
        <v>8</v>
      </c>
      <c r="E2360" s="51">
        <f t="shared" si="36"/>
        <v>0</v>
      </c>
    </row>
    <row r="2361" spans="1:5">
      <c r="A2361" s="59">
        <v>4</v>
      </c>
      <c r="B2361" s="59">
        <v>62</v>
      </c>
      <c r="C2361" s="59">
        <v>310</v>
      </c>
      <c r="D2361" s="51">
        <v>8</v>
      </c>
      <c r="E2361" s="51">
        <f t="shared" si="36"/>
        <v>1</v>
      </c>
    </row>
    <row r="2362" spans="1:5">
      <c r="A2362" s="59">
        <v>4</v>
      </c>
      <c r="B2362" s="59">
        <v>64</v>
      </c>
      <c r="C2362" s="59">
        <v>960</v>
      </c>
      <c r="D2362" s="51">
        <v>8</v>
      </c>
      <c r="E2362" s="51">
        <f t="shared" si="36"/>
        <v>0</v>
      </c>
    </row>
    <row r="2363" spans="1:5">
      <c r="A2363" s="59">
        <v>4</v>
      </c>
      <c r="B2363" s="59">
        <v>81</v>
      </c>
      <c r="C2363" s="59">
        <v>520</v>
      </c>
      <c r="D2363" s="51">
        <v>8</v>
      </c>
      <c r="E2363" s="51">
        <f t="shared" si="36"/>
        <v>0</v>
      </c>
    </row>
    <row r="2364" spans="1:5">
      <c r="A2364" s="59">
        <v>4</v>
      </c>
      <c r="B2364" s="59">
        <v>81</v>
      </c>
      <c r="C2364" s="59">
        <v>750</v>
      </c>
      <c r="D2364" s="51">
        <v>8</v>
      </c>
      <c r="E2364" s="51">
        <f t="shared" si="36"/>
        <v>0</v>
      </c>
    </row>
    <row r="2365" spans="1:5">
      <c r="A2365" s="59">
        <v>4</v>
      </c>
      <c r="B2365" s="59">
        <v>81</v>
      </c>
      <c r="C2365" s="59">
        <v>920</v>
      </c>
      <c r="D2365" s="51">
        <v>8</v>
      </c>
      <c r="E2365" s="51">
        <f t="shared" si="36"/>
        <v>0</v>
      </c>
    </row>
    <row r="2366" spans="1:5">
      <c r="A2366" s="59">
        <v>4</v>
      </c>
      <c r="B2366" s="59">
        <v>11</v>
      </c>
      <c r="C2366" s="59">
        <v>160</v>
      </c>
      <c r="D2366" s="51">
        <v>7</v>
      </c>
      <c r="E2366" s="51">
        <f t="shared" si="36"/>
        <v>0</v>
      </c>
    </row>
    <row r="2367" spans="1:5">
      <c r="A2367" s="59">
        <v>4</v>
      </c>
      <c r="B2367" s="59">
        <v>11</v>
      </c>
      <c r="C2367" s="59">
        <v>640</v>
      </c>
      <c r="D2367" s="51">
        <v>7</v>
      </c>
      <c r="E2367" s="51">
        <f t="shared" si="36"/>
        <v>0</v>
      </c>
    </row>
    <row r="2368" spans="1:5">
      <c r="A2368" s="59">
        <v>4</v>
      </c>
      <c r="B2368" s="59">
        <v>13</v>
      </c>
      <c r="C2368" s="59">
        <v>740</v>
      </c>
      <c r="D2368" s="51">
        <v>7</v>
      </c>
      <c r="E2368" s="51">
        <f t="shared" si="36"/>
        <v>0</v>
      </c>
    </row>
    <row r="2369" spans="1:5">
      <c r="A2369" s="59">
        <v>4</v>
      </c>
      <c r="B2369" s="59">
        <v>14</v>
      </c>
      <c r="C2369" s="59">
        <v>540</v>
      </c>
      <c r="D2369" s="51">
        <v>7</v>
      </c>
      <c r="E2369" s="51">
        <f t="shared" si="36"/>
        <v>0</v>
      </c>
    </row>
    <row r="2370" spans="1:5">
      <c r="A2370" s="59">
        <v>4</v>
      </c>
      <c r="B2370" s="59">
        <v>14</v>
      </c>
      <c r="C2370" s="59">
        <v>640</v>
      </c>
      <c r="D2370" s="51">
        <v>7</v>
      </c>
      <c r="E2370" s="51">
        <f t="shared" ref="E2370:E2433" si="37">IF(OR(A2370=6,A2370=7,A2370=14,A2370=15,A2370=16,A2370=17,A2370=18,A2370=19,A2370=20,A2370=21,A2370=22,A2370=23,A2370=25,A2370=26,A2370=27,A2370=28,B2370=41,B2370=44,B2370=62),1,0)</f>
        <v>0</v>
      </c>
    </row>
    <row r="2371" spans="1:5">
      <c r="A2371" s="59">
        <v>4</v>
      </c>
      <c r="B2371" s="59">
        <v>14</v>
      </c>
      <c r="C2371" s="59">
        <v>720</v>
      </c>
      <c r="D2371" s="51">
        <v>7</v>
      </c>
      <c r="E2371" s="51">
        <f t="shared" si="37"/>
        <v>0</v>
      </c>
    </row>
    <row r="2372" spans="1:5">
      <c r="A2372" s="59">
        <v>4</v>
      </c>
      <c r="B2372" s="59">
        <v>33</v>
      </c>
      <c r="C2372" s="59">
        <v>410</v>
      </c>
      <c r="D2372" s="51">
        <v>7</v>
      </c>
      <c r="E2372" s="51">
        <f t="shared" si="37"/>
        <v>0</v>
      </c>
    </row>
    <row r="2373" spans="1:5">
      <c r="A2373" s="59">
        <v>4</v>
      </c>
      <c r="B2373" s="59">
        <v>33</v>
      </c>
      <c r="C2373" s="59">
        <v>420</v>
      </c>
      <c r="D2373" s="51">
        <v>7</v>
      </c>
      <c r="E2373" s="51">
        <f t="shared" si="37"/>
        <v>0</v>
      </c>
    </row>
    <row r="2374" spans="1:5">
      <c r="A2374" s="59">
        <v>4</v>
      </c>
      <c r="B2374" s="59">
        <v>12</v>
      </c>
      <c r="C2374" s="59">
        <v>150</v>
      </c>
      <c r="D2374" s="51">
        <v>6</v>
      </c>
      <c r="E2374" s="51">
        <f t="shared" si="37"/>
        <v>0</v>
      </c>
    </row>
    <row r="2375" spans="1:5">
      <c r="A2375" s="59">
        <v>4</v>
      </c>
      <c r="B2375" s="59">
        <v>16</v>
      </c>
      <c r="C2375" s="59">
        <v>510</v>
      </c>
      <c r="D2375" s="51">
        <v>6</v>
      </c>
      <c r="E2375" s="51">
        <f t="shared" si="37"/>
        <v>0</v>
      </c>
    </row>
    <row r="2376" spans="1:5">
      <c r="A2376" s="59">
        <v>4</v>
      </c>
      <c r="B2376" s="59">
        <v>41</v>
      </c>
      <c r="C2376" s="59">
        <v>110</v>
      </c>
      <c r="D2376" s="51">
        <v>6</v>
      </c>
      <c r="E2376" s="51">
        <f t="shared" si="37"/>
        <v>1</v>
      </c>
    </row>
    <row r="2377" spans="1:5">
      <c r="A2377" s="59">
        <v>4</v>
      </c>
      <c r="B2377" s="59">
        <v>41</v>
      </c>
      <c r="C2377" s="59">
        <v>520</v>
      </c>
      <c r="D2377" s="51">
        <v>6</v>
      </c>
      <c r="E2377" s="51">
        <f t="shared" si="37"/>
        <v>1</v>
      </c>
    </row>
    <row r="2378" spans="1:5">
      <c r="A2378" s="59">
        <v>4</v>
      </c>
      <c r="B2378" s="59">
        <v>42</v>
      </c>
      <c r="C2378" s="59">
        <v>430</v>
      </c>
      <c r="D2378" s="51">
        <v>6</v>
      </c>
      <c r="E2378" s="51">
        <f t="shared" si="37"/>
        <v>0</v>
      </c>
    </row>
    <row r="2379" spans="1:5">
      <c r="A2379" s="59">
        <v>4</v>
      </c>
      <c r="B2379" s="59">
        <v>43</v>
      </c>
      <c r="C2379" s="59">
        <v>861</v>
      </c>
      <c r="D2379" s="51">
        <v>6</v>
      </c>
      <c r="E2379" s="51">
        <f t="shared" si="37"/>
        <v>0</v>
      </c>
    </row>
    <row r="2380" spans="1:5">
      <c r="A2380" s="59">
        <v>4</v>
      </c>
      <c r="B2380" s="59">
        <v>44</v>
      </c>
      <c r="C2380" s="59">
        <v>310</v>
      </c>
      <c r="D2380" s="51">
        <v>6</v>
      </c>
      <c r="E2380" s="51">
        <f t="shared" si="37"/>
        <v>1</v>
      </c>
    </row>
    <row r="2381" spans="1:5">
      <c r="A2381" s="59">
        <v>4</v>
      </c>
      <c r="B2381" s="59">
        <v>62</v>
      </c>
      <c r="C2381" s="59">
        <v>240</v>
      </c>
      <c r="D2381" s="51">
        <v>6</v>
      </c>
      <c r="E2381" s="51">
        <f t="shared" si="37"/>
        <v>1</v>
      </c>
    </row>
    <row r="2382" spans="1:5">
      <c r="A2382" s="59">
        <v>4</v>
      </c>
      <c r="B2382" s="59">
        <v>63</v>
      </c>
      <c r="C2382" s="59">
        <v>310</v>
      </c>
      <c r="D2382" s="51">
        <v>6</v>
      </c>
      <c r="E2382" s="51">
        <f t="shared" si="37"/>
        <v>0</v>
      </c>
    </row>
    <row r="2383" spans="1:5">
      <c r="A2383" s="59">
        <v>4</v>
      </c>
      <c r="B2383" s="59">
        <v>64</v>
      </c>
      <c r="C2383" s="59">
        <v>840</v>
      </c>
      <c r="D2383" s="51">
        <v>6</v>
      </c>
      <c r="E2383" s="51">
        <f t="shared" si="37"/>
        <v>0</v>
      </c>
    </row>
    <row r="2384" spans="1:5">
      <c r="A2384" s="59">
        <v>4</v>
      </c>
      <c r="B2384" s="59">
        <v>64</v>
      </c>
      <c r="C2384" s="59">
        <v>870</v>
      </c>
      <c r="D2384" s="51">
        <v>6</v>
      </c>
      <c r="E2384" s="51">
        <f t="shared" si="37"/>
        <v>0</v>
      </c>
    </row>
    <row r="2385" spans="1:5">
      <c r="A2385" s="59">
        <v>4</v>
      </c>
      <c r="B2385" s="59">
        <v>81</v>
      </c>
      <c r="C2385" s="59">
        <v>630</v>
      </c>
      <c r="D2385" s="51">
        <v>6</v>
      </c>
      <c r="E2385" s="51">
        <f t="shared" si="37"/>
        <v>0</v>
      </c>
    </row>
    <row r="2386" spans="1:5">
      <c r="A2386" s="59">
        <v>4</v>
      </c>
      <c r="B2386" s="59">
        <v>13</v>
      </c>
      <c r="C2386" s="59">
        <v>730</v>
      </c>
      <c r="D2386" s="51">
        <v>5</v>
      </c>
      <c r="E2386" s="51">
        <f t="shared" si="37"/>
        <v>0</v>
      </c>
    </row>
    <row r="2387" spans="1:5">
      <c r="A2387" s="59">
        <v>4</v>
      </c>
      <c r="B2387" s="59">
        <v>15</v>
      </c>
      <c r="C2387" s="59">
        <v>150</v>
      </c>
      <c r="D2387" s="51">
        <v>5</v>
      </c>
      <c r="E2387" s="51">
        <f t="shared" si="37"/>
        <v>0</v>
      </c>
    </row>
    <row r="2388" spans="1:5">
      <c r="A2388" s="59">
        <v>4</v>
      </c>
      <c r="B2388" s="59">
        <v>15</v>
      </c>
      <c r="C2388" s="59">
        <v>210</v>
      </c>
      <c r="D2388" s="51">
        <v>5</v>
      </c>
      <c r="E2388" s="51">
        <f t="shared" si="37"/>
        <v>0</v>
      </c>
    </row>
    <row r="2389" spans="1:5">
      <c r="A2389" s="59">
        <v>4</v>
      </c>
      <c r="B2389" s="59">
        <v>15</v>
      </c>
      <c r="C2389" s="59">
        <v>930</v>
      </c>
      <c r="D2389" s="51">
        <v>5</v>
      </c>
      <c r="E2389" s="51">
        <f t="shared" si="37"/>
        <v>0</v>
      </c>
    </row>
    <row r="2390" spans="1:5">
      <c r="A2390" s="59">
        <v>4</v>
      </c>
      <c r="B2390" s="59">
        <v>32</v>
      </c>
      <c r="C2390" s="59">
        <v>720</v>
      </c>
      <c r="D2390" s="51">
        <v>5</v>
      </c>
      <c r="E2390" s="51">
        <f t="shared" si="37"/>
        <v>0</v>
      </c>
    </row>
    <row r="2391" spans="1:5">
      <c r="A2391" s="59">
        <v>4</v>
      </c>
      <c r="B2391" s="59">
        <v>33</v>
      </c>
      <c r="C2391" s="59">
        <v>430</v>
      </c>
      <c r="D2391" s="51">
        <v>5</v>
      </c>
      <c r="E2391" s="51">
        <f t="shared" si="37"/>
        <v>0</v>
      </c>
    </row>
    <row r="2392" spans="1:5">
      <c r="A2392" s="59">
        <v>4</v>
      </c>
      <c r="B2392" s="59">
        <v>33</v>
      </c>
      <c r="C2392" s="59">
        <v>640</v>
      </c>
      <c r="D2392" s="51">
        <v>5</v>
      </c>
      <c r="E2392" s="51">
        <f t="shared" si="37"/>
        <v>0</v>
      </c>
    </row>
    <row r="2393" spans="1:5">
      <c r="A2393" s="59">
        <v>4</v>
      </c>
      <c r="B2393" s="59">
        <v>33</v>
      </c>
      <c r="C2393" s="59">
        <v>910</v>
      </c>
      <c r="D2393" s="51">
        <v>5</v>
      </c>
      <c r="E2393" s="51">
        <f t="shared" si="37"/>
        <v>0</v>
      </c>
    </row>
    <row r="2394" spans="1:5">
      <c r="A2394" s="59">
        <v>4</v>
      </c>
      <c r="B2394" s="59">
        <v>43</v>
      </c>
      <c r="C2394" s="59">
        <v>220</v>
      </c>
      <c r="D2394" s="51">
        <v>5</v>
      </c>
      <c r="E2394" s="51">
        <f t="shared" si="37"/>
        <v>0</v>
      </c>
    </row>
    <row r="2395" spans="1:5">
      <c r="A2395" s="59">
        <v>4</v>
      </c>
      <c r="B2395" s="59">
        <v>44</v>
      </c>
      <c r="C2395" s="59">
        <v>750</v>
      </c>
      <c r="D2395" s="51">
        <v>5</v>
      </c>
      <c r="E2395" s="51">
        <f t="shared" si="37"/>
        <v>1</v>
      </c>
    </row>
    <row r="2396" spans="1:5">
      <c r="A2396" s="59">
        <v>4</v>
      </c>
      <c r="B2396" s="59">
        <v>44</v>
      </c>
      <c r="C2396" s="59">
        <v>970</v>
      </c>
      <c r="D2396" s="51">
        <v>5</v>
      </c>
      <c r="E2396" s="51">
        <f t="shared" si="37"/>
        <v>1</v>
      </c>
    </row>
    <row r="2397" spans="1:5">
      <c r="A2397" s="59">
        <v>4</v>
      </c>
      <c r="B2397" s="59">
        <v>13</v>
      </c>
      <c r="C2397" s="59">
        <v>610</v>
      </c>
      <c r="D2397" s="51">
        <v>4</v>
      </c>
      <c r="E2397" s="51">
        <f t="shared" si="37"/>
        <v>0</v>
      </c>
    </row>
    <row r="2398" spans="1:5">
      <c r="A2398" s="59">
        <v>4</v>
      </c>
      <c r="B2398" s="59">
        <v>22</v>
      </c>
      <c r="C2398" s="59">
        <v>160</v>
      </c>
      <c r="D2398" s="51">
        <v>4</v>
      </c>
      <c r="E2398" s="51">
        <f t="shared" si="37"/>
        <v>0</v>
      </c>
    </row>
    <row r="2399" spans="1:5">
      <c r="A2399" s="59">
        <v>4</v>
      </c>
      <c r="B2399" s="59">
        <v>22</v>
      </c>
      <c r="C2399" s="59">
        <v>910</v>
      </c>
      <c r="D2399" s="51">
        <v>4</v>
      </c>
      <c r="E2399" s="51">
        <f t="shared" si="37"/>
        <v>0</v>
      </c>
    </row>
    <row r="2400" spans="1:5">
      <c r="A2400" s="59">
        <v>4</v>
      </c>
      <c r="B2400" s="59">
        <v>32</v>
      </c>
      <c r="C2400" s="59">
        <v>540</v>
      </c>
      <c r="D2400" s="51">
        <v>4</v>
      </c>
      <c r="E2400" s="51">
        <f t="shared" si="37"/>
        <v>0</v>
      </c>
    </row>
    <row r="2401" spans="1:5">
      <c r="A2401" s="59">
        <v>4</v>
      </c>
      <c r="B2401" s="59">
        <v>32</v>
      </c>
      <c r="C2401" s="59">
        <v>610</v>
      </c>
      <c r="D2401" s="51">
        <v>4</v>
      </c>
      <c r="E2401" s="51">
        <f t="shared" si="37"/>
        <v>0</v>
      </c>
    </row>
    <row r="2402" spans="1:5">
      <c r="A2402" s="59">
        <v>4</v>
      </c>
      <c r="B2402" s="59">
        <v>42</v>
      </c>
      <c r="C2402" s="59">
        <v>940</v>
      </c>
      <c r="D2402" s="51">
        <v>4</v>
      </c>
      <c r="E2402" s="51">
        <f t="shared" si="37"/>
        <v>0</v>
      </c>
    </row>
    <row r="2403" spans="1:5">
      <c r="A2403" s="59">
        <v>4</v>
      </c>
      <c r="B2403" s="59">
        <v>43</v>
      </c>
      <c r="C2403" s="59">
        <v>850</v>
      </c>
      <c r="D2403" s="51">
        <v>4</v>
      </c>
      <c r="E2403" s="51">
        <f t="shared" si="37"/>
        <v>0</v>
      </c>
    </row>
    <row r="2404" spans="1:5">
      <c r="A2404" s="59">
        <v>4</v>
      </c>
      <c r="B2404" s="59">
        <v>43</v>
      </c>
      <c r="C2404" s="59">
        <v>860</v>
      </c>
      <c r="D2404" s="51">
        <v>4</v>
      </c>
      <c r="E2404" s="51">
        <f t="shared" si="37"/>
        <v>0</v>
      </c>
    </row>
    <row r="2405" spans="1:5">
      <c r="A2405" s="59">
        <v>4</v>
      </c>
      <c r="B2405" s="59">
        <v>43</v>
      </c>
      <c r="C2405" s="59">
        <v>895</v>
      </c>
      <c r="D2405" s="51">
        <v>4</v>
      </c>
      <c r="E2405" s="51">
        <f t="shared" si="37"/>
        <v>0</v>
      </c>
    </row>
    <row r="2406" spans="1:5">
      <c r="A2406" s="59">
        <v>4</v>
      </c>
      <c r="B2406" s="59">
        <v>43</v>
      </c>
      <c r="C2406" s="59">
        <v>990</v>
      </c>
      <c r="D2406" s="51">
        <v>4</v>
      </c>
      <c r="E2406" s="51">
        <f t="shared" si="37"/>
        <v>0</v>
      </c>
    </row>
    <row r="2407" spans="1:5">
      <c r="A2407" s="59">
        <v>4</v>
      </c>
      <c r="B2407" s="59">
        <v>44</v>
      </c>
      <c r="C2407" s="59">
        <v>150</v>
      </c>
      <c r="D2407" s="51">
        <v>4</v>
      </c>
      <c r="E2407" s="51">
        <f t="shared" si="37"/>
        <v>1</v>
      </c>
    </row>
    <row r="2408" spans="1:5">
      <c r="A2408" s="59">
        <v>4</v>
      </c>
      <c r="B2408" s="59">
        <v>44</v>
      </c>
      <c r="C2408" s="59">
        <v>950</v>
      </c>
      <c r="D2408" s="51">
        <v>4</v>
      </c>
      <c r="E2408" s="51">
        <f t="shared" si="37"/>
        <v>1</v>
      </c>
    </row>
    <row r="2409" spans="1:5">
      <c r="A2409" s="59">
        <v>4</v>
      </c>
      <c r="B2409" s="59">
        <v>44</v>
      </c>
      <c r="C2409" s="59">
        <v>960</v>
      </c>
      <c r="D2409" s="51">
        <v>4</v>
      </c>
      <c r="E2409" s="51">
        <f t="shared" si="37"/>
        <v>1</v>
      </c>
    </row>
    <row r="2410" spans="1:5">
      <c r="A2410" s="59">
        <v>4</v>
      </c>
      <c r="B2410" s="59">
        <v>62</v>
      </c>
      <c r="C2410" s="59">
        <v>210</v>
      </c>
      <c r="D2410" s="51">
        <v>4</v>
      </c>
      <c r="E2410" s="51">
        <f t="shared" si="37"/>
        <v>1</v>
      </c>
    </row>
    <row r="2411" spans="1:5">
      <c r="A2411" s="59">
        <v>4</v>
      </c>
      <c r="B2411" s="59">
        <v>63</v>
      </c>
      <c r="C2411" s="59">
        <v>960</v>
      </c>
      <c r="D2411" s="51">
        <v>4</v>
      </c>
      <c r="E2411" s="51">
        <f t="shared" si="37"/>
        <v>0</v>
      </c>
    </row>
    <row r="2412" spans="1:5">
      <c r="A2412" s="59">
        <v>4</v>
      </c>
      <c r="B2412" s="59">
        <v>64</v>
      </c>
      <c r="C2412" s="59">
        <v>130</v>
      </c>
      <c r="D2412" s="51">
        <v>4</v>
      </c>
      <c r="E2412" s="51">
        <f t="shared" si="37"/>
        <v>0</v>
      </c>
    </row>
    <row r="2413" spans="1:5">
      <c r="A2413" s="59">
        <v>4</v>
      </c>
      <c r="B2413" s="59">
        <v>64</v>
      </c>
      <c r="C2413" s="59">
        <v>940</v>
      </c>
      <c r="D2413" s="51">
        <v>4</v>
      </c>
      <c r="E2413" s="51">
        <f t="shared" si="37"/>
        <v>0</v>
      </c>
    </row>
    <row r="2414" spans="1:5">
      <c r="A2414" s="59">
        <v>4</v>
      </c>
      <c r="B2414" s="59">
        <v>64</v>
      </c>
      <c r="C2414" s="59">
        <v>950</v>
      </c>
      <c r="D2414" s="51">
        <v>4</v>
      </c>
      <c r="E2414" s="51">
        <f t="shared" si="37"/>
        <v>0</v>
      </c>
    </row>
    <row r="2415" spans="1:5">
      <c r="A2415" s="59">
        <v>4</v>
      </c>
      <c r="B2415" s="59">
        <v>71</v>
      </c>
      <c r="C2415" s="59">
        <v>990</v>
      </c>
      <c r="D2415" s="51">
        <v>4</v>
      </c>
      <c r="E2415" s="51">
        <f t="shared" si="37"/>
        <v>0</v>
      </c>
    </row>
    <row r="2416" spans="1:5">
      <c r="A2416" s="59">
        <v>4</v>
      </c>
      <c r="B2416" s="59">
        <v>81</v>
      </c>
      <c r="C2416" s="59">
        <v>150</v>
      </c>
      <c r="D2416" s="51">
        <v>4</v>
      </c>
      <c r="E2416" s="51">
        <f t="shared" si="37"/>
        <v>0</v>
      </c>
    </row>
    <row r="2417" spans="1:5">
      <c r="A2417" s="59">
        <v>4</v>
      </c>
      <c r="B2417" s="59">
        <v>81</v>
      </c>
      <c r="C2417" s="59">
        <v>440</v>
      </c>
      <c r="D2417" s="51">
        <v>4</v>
      </c>
      <c r="E2417" s="51">
        <f t="shared" si="37"/>
        <v>0</v>
      </c>
    </row>
    <row r="2418" spans="1:5">
      <c r="A2418" s="59">
        <v>4</v>
      </c>
      <c r="B2418" s="59">
        <v>13</v>
      </c>
      <c r="C2418" s="59">
        <v>130</v>
      </c>
      <c r="D2418" s="51">
        <v>3</v>
      </c>
      <c r="E2418" s="51">
        <f t="shared" si="37"/>
        <v>0</v>
      </c>
    </row>
    <row r="2419" spans="1:5">
      <c r="A2419" s="59">
        <v>4</v>
      </c>
      <c r="B2419" s="59">
        <v>13</v>
      </c>
      <c r="C2419" s="59">
        <v>230</v>
      </c>
      <c r="D2419" s="51">
        <v>3</v>
      </c>
      <c r="E2419" s="51">
        <f t="shared" si="37"/>
        <v>0</v>
      </c>
    </row>
    <row r="2420" spans="1:5">
      <c r="A2420" s="59">
        <v>4</v>
      </c>
      <c r="B2420" s="59">
        <v>13</v>
      </c>
      <c r="C2420" s="59">
        <v>240</v>
      </c>
      <c r="D2420" s="51">
        <v>3</v>
      </c>
      <c r="E2420" s="51">
        <f t="shared" si="37"/>
        <v>0</v>
      </c>
    </row>
    <row r="2421" spans="1:5">
      <c r="A2421" s="59">
        <v>4</v>
      </c>
      <c r="B2421" s="59">
        <v>13</v>
      </c>
      <c r="C2421" s="59">
        <v>520</v>
      </c>
      <c r="D2421" s="51">
        <v>3</v>
      </c>
      <c r="E2421" s="51">
        <f t="shared" si="37"/>
        <v>0</v>
      </c>
    </row>
    <row r="2422" spans="1:5">
      <c r="A2422" s="59">
        <v>4</v>
      </c>
      <c r="B2422" s="59">
        <v>13</v>
      </c>
      <c r="C2422" s="59">
        <v>630</v>
      </c>
      <c r="D2422" s="51">
        <v>3</v>
      </c>
      <c r="E2422" s="51">
        <f t="shared" si="37"/>
        <v>0</v>
      </c>
    </row>
    <row r="2423" spans="1:5">
      <c r="A2423" s="59">
        <v>4</v>
      </c>
      <c r="B2423" s="59">
        <v>13</v>
      </c>
      <c r="C2423" s="59">
        <v>720</v>
      </c>
      <c r="D2423" s="51">
        <v>3</v>
      </c>
      <c r="E2423" s="51">
        <f t="shared" si="37"/>
        <v>0</v>
      </c>
    </row>
    <row r="2424" spans="1:5">
      <c r="A2424" s="59">
        <v>4</v>
      </c>
      <c r="B2424" s="59">
        <v>13</v>
      </c>
      <c r="C2424" s="59">
        <v>920</v>
      </c>
      <c r="D2424" s="51">
        <v>3</v>
      </c>
      <c r="E2424" s="51">
        <f t="shared" si="37"/>
        <v>0</v>
      </c>
    </row>
    <row r="2425" spans="1:5">
      <c r="A2425" s="59">
        <v>4</v>
      </c>
      <c r="B2425" s="59">
        <v>15</v>
      </c>
      <c r="C2425" s="59">
        <v>620</v>
      </c>
      <c r="D2425" s="51">
        <v>3</v>
      </c>
      <c r="E2425" s="51">
        <f t="shared" si="37"/>
        <v>0</v>
      </c>
    </row>
    <row r="2426" spans="1:5">
      <c r="A2426" s="59">
        <v>4</v>
      </c>
      <c r="B2426" s="59">
        <v>15</v>
      </c>
      <c r="C2426" s="59">
        <v>740</v>
      </c>
      <c r="D2426" s="51">
        <v>3</v>
      </c>
      <c r="E2426" s="51">
        <f t="shared" si="37"/>
        <v>0</v>
      </c>
    </row>
    <row r="2427" spans="1:5">
      <c r="A2427" s="59">
        <v>4</v>
      </c>
      <c r="B2427" s="59">
        <v>16</v>
      </c>
      <c r="C2427" s="59">
        <v>430</v>
      </c>
      <c r="D2427" s="51">
        <v>3</v>
      </c>
      <c r="E2427" s="51">
        <f t="shared" si="37"/>
        <v>0</v>
      </c>
    </row>
    <row r="2428" spans="1:5">
      <c r="A2428" s="59">
        <v>4</v>
      </c>
      <c r="B2428" s="59">
        <v>16</v>
      </c>
      <c r="C2428" s="59">
        <v>540</v>
      </c>
      <c r="D2428" s="51">
        <v>3</v>
      </c>
      <c r="E2428" s="51">
        <f t="shared" si="37"/>
        <v>0</v>
      </c>
    </row>
    <row r="2429" spans="1:5">
      <c r="A2429" s="59">
        <v>4</v>
      </c>
      <c r="B2429" s="59">
        <v>16</v>
      </c>
      <c r="C2429" s="59">
        <v>640</v>
      </c>
      <c r="D2429" s="51">
        <v>3</v>
      </c>
      <c r="E2429" s="51">
        <f t="shared" si="37"/>
        <v>0</v>
      </c>
    </row>
    <row r="2430" spans="1:5">
      <c r="A2430" s="59">
        <v>4</v>
      </c>
      <c r="B2430" s="59">
        <v>33</v>
      </c>
      <c r="C2430" s="59">
        <v>540</v>
      </c>
      <c r="D2430" s="51">
        <v>3</v>
      </c>
      <c r="E2430" s="51">
        <f t="shared" si="37"/>
        <v>0</v>
      </c>
    </row>
    <row r="2431" spans="1:5">
      <c r="A2431" s="59">
        <v>4</v>
      </c>
      <c r="B2431" s="59">
        <v>33</v>
      </c>
      <c r="C2431" s="59">
        <v>630</v>
      </c>
      <c r="D2431" s="51">
        <v>3</v>
      </c>
      <c r="E2431" s="51">
        <f t="shared" si="37"/>
        <v>0</v>
      </c>
    </row>
    <row r="2432" spans="1:5">
      <c r="A2432" s="59">
        <v>4</v>
      </c>
      <c r="B2432" s="59">
        <v>33</v>
      </c>
      <c r="C2432" s="59">
        <v>720</v>
      </c>
      <c r="D2432" s="51">
        <v>3</v>
      </c>
      <c r="E2432" s="51">
        <f t="shared" si="37"/>
        <v>0</v>
      </c>
    </row>
    <row r="2433" spans="1:5">
      <c r="A2433" s="59">
        <v>4</v>
      </c>
      <c r="B2433" s="59">
        <v>41</v>
      </c>
      <c r="C2433" s="59">
        <v>150</v>
      </c>
      <c r="D2433" s="51">
        <v>3</v>
      </c>
      <c r="E2433" s="51">
        <f t="shared" si="37"/>
        <v>1</v>
      </c>
    </row>
    <row r="2434" spans="1:5">
      <c r="A2434" s="59">
        <v>4</v>
      </c>
      <c r="B2434" s="59">
        <v>41</v>
      </c>
      <c r="C2434" s="59">
        <v>610</v>
      </c>
      <c r="D2434" s="51">
        <v>3</v>
      </c>
      <c r="E2434" s="51">
        <f t="shared" ref="E2434:E2497" si="38">IF(OR(A2434=6,A2434=7,A2434=14,A2434=15,A2434=16,A2434=17,A2434=18,A2434=19,A2434=20,A2434=21,A2434=22,A2434=23,A2434=25,A2434=26,A2434=27,A2434=28,B2434=41,B2434=44,B2434=62),1,0)</f>
        <v>1</v>
      </c>
    </row>
    <row r="2435" spans="1:5">
      <c r="A2435" s="59">
        <v>4</v>
      </c>
      <c r="B2435" s="59">
        <v>42</v>
      </c>
      <c r="C2435" s="59">
        <v>750</v>
      </c>
      <c r="D2435" s="51">
        <v>3</v>
      </c>
      <c r="E2435" s="51">
        <f t="shared" si="38"/>
        <v>0</v>
      </c>
    </row>
    <row r="2436" spans="1:5">
      <c r="A2436" s="59">
        <v>4</v>
      </c>
      <c r="B2436" s="59">
        <v>43</v>
      </c>
      <c r="C2436" s="59">
        <v>330</v>
      </c>
      <c r="D2436" s="51">
        <v>3</v>
      </c>
      <c r="E2436" s="51">
        <f t="shared" si="38"/>
        <v>0</v>
      </c>
    </row>
    <row r="2437" spans="1:5">
      <c r="A2437" s="59">
        <v>4</v>
      </c>
      <c r="B2437" s="59">
        <v>44</v>
      </c>
      <c r="C2437" s="59">
        <v>240</v>
      </c>
      <c r="D2437" s="51">
        <v>3</v>
      </c>
      <c r="E2437" s="51">
        <f t="shared" si="38"/>
        <v>1</v>
      </c>
    </row>
    <row r="2438" spans="1:5">
      <c r="A2438" s="59">
        <v>4</v>
      </c>
      <c r="B2438" s="59">
        <v>44</v>
      </c>
      <c r="C2438" s="59">
        <v>892</v>
      </c>
      <c r="D2438" s="51">
        <v>3</v>
      </c>
      <c r="E2438" s="51">
        <f t="shared" si="38"/>
        <v>1</v>
      </c>
    </row>
    <row r="2439" spans="1:5">
      <c r="A2439" s="59">
        <v>4</v>
      </c>
      <c r="B2439" s="59">
        <v>61</v>
      </c>
      <c r="C2439" s="59">
        <v>410</v>
      </c>
      <c r="D2439" s="51">
        <v>3</v>
      </c>
      <c r="E2439" s="51">
        <f t="shared" si="38"/>
        <v>0</v>
      </c>
    </row>
    <row r="2440" spans="1:5">
      <c r="A2440" s="59">
        <v>4</v>
      </c>
      <c r="B2440" s="59">
        <v>61</v>
      </c>
      <c r="C2440" s="59">
        <v>510</v>
      </c>
      <c r="D2440" s="51">
        <v>3</v>
      </c>
      <c r="E2440" s="51">
        <f t="shared" si="38"/>
        <v>0</v>
      </c>
    </row>
    <row r="2441" spans="1:5">
      <c r="A2441" s="59">
        <v>4</v>
      </c>
      <c r="B2441" s="59">
        <v>62</v>
      </c>
      <c r="C2441" s="59">
        <v>850</v>
      </c>
      <c r="D2441" s="51">
        <v>3</v>
      </c>
      <c r="E2441" s="51">
        <f t="shared" si="38"/>
        <v>1</v>
      </c>
    </row>
    <row r="2442" spans="1:5">
      <c r="A2442" s="59">
        <v>4</v>
      </c>
      <c r="B2442" s="59">
        <v>63</v>
      </c>
      <c r="C2442" s="59">
        <v>430</v>
      </c>
      <c r="D2442" s="51">
        <v>3</v>
      </c>
      <c r="E2442" s="51">
        <f t="shared" si="38"/>
        <v>0</v>
      </c>
    </row>
    <row r="2443" spans="1:5">
      <c r="A2443" s="59">
        <v>4</v>
      </c>
      <c r="B2443" s="59">
        <v>63</v>
      </c>
      <c r="C2443" s="59">
        <v>970</v>
      </c>
      <c r="D2443" s="51">
        <v>3</v>
      </c>
      <c r="E2443" s="51">
        <f t="shared" si="38"/>
        <v>0</v>
      </c>
    </row>
    <row r="2444" spans="1:5">
      <c r="A2444" s="59">
        <v>4</v>
      </c>
      <c r="B2444" s="59">
        <v>63</v>
      </c>
      <c r="C2444" s="59">
        <v>990</v>
      </c>
      <c r="D2444" s="51">
        <v>3</v>
      </c>
      <c r="E2444" s="51">
        <f t="shared" si="38"/>
        <v>0</v>
      </c>
    </row>
    <row r="2445" spans="1:5">
      <c r="A2445" s="59">
        <v>4</v>
      </c>
      <c r="B2445" s="59">
        <v>64</v>
      </c>
      <c r="C2445" s="59">
        <v>140</v>
      </c>
      <c r="D2445" s="51">
        <v>3</v>
      </c>
      <c r="E2445" s="51">
        <f t="shared" si="38"/>
        <v>0</v>
      </c>
    </row>
    <row r="2446" spans="1:5">
      <c r="A2446" s="59">
        <v>4</v>
      </c>
      <c r="B2446" s="59">
        <v>64</v>
      </c>
      <c r="C2446" s="59">
        <v>862</v>
      </c>
      <c r="D2446" s="51">
        <v>3</v>
      </c>
      <c r="E2446" s="51">
        <f t="shared" si="38"/>
        <v>0</v>
      </c>
    </row>
    <row r="2447" spans="1:5">
      <c r="A2447" s="59">
        <v>4</v>
      </c>
      <c r="B2447" s="59">
        <v>71</v>
      </c>
      <c r="C2447" s="59">
        <v>210</v>
      </c>
      <c r="D2447" s="51">
        <v>3</v>
      </c>
      <c r="E2447" s="51">
        <f t="shared" si="38"/>
        <v>0</v>
      </c>
    </row>
    <row r="2448" spans="1:5">
      <c r="A2448" s="59">
        <v>4</v>
      </c>
      <c r="B2448" s="59">
        <v>71</v>
      </c>
      <c r="C2448" s="59">
        <v>320</v>
      </c>
      <c r="D2448" s="51">
        <v>3</v>
      </c>
      <c r="E2448" s="51">
        <f t="shared" si="38"/>
        <v>0</v>
      </c>
    </row>
    <row r="2449" spans="1:5">
      <c r="A2449" s="59">
        <v>4</v>
      </c>
      <c r="B2449" s="59">
        <v>71</v>
      </c>
      <c r="C2449" s="59">
        <v>330</v>
      </c>
      <c r="D2449" s="51">
        <v>3</v>
      </c>
      <c r="E2449" s="51">
        <f t="shared" si="38"/>
        <v>0</v>
      </c>
    </row>
    <row r="2450" spans="1:5">
      <c r="A2450" s="59">
        <v>4</v>
      </c>
      <c r="B2450" s="59">
        <v>71</v>
      </c>
      <c r="C2450" s="59">
        <v>420</v>
      </c>
      <c r="D2450" s="51">
        <v>3</v>
      </c>
      <c r="E2450" s="51">
        <f t="shared" si="38"/>
        <v>0</v>
      </c>
    </row>
    <row r="2451" spans="1:5">
      <c r="A2451" s="59">
        <v>4</v>
      </c>
      <c r="B2451" s="59">
        <v>81</v>
      </c>
      <c r="C2451" s="59">
        <v>410</v>
      </c>
      <c r="D2451" s="51">
        <v>3</v>
      </c>
      <c r="E2451" s="51">
        <f t="shared" si="38"/>
        <v>0</v>
      </c>
    </row>
    <row r="2452" spans="1:5">
      <c r="A2452" s="59">
        <v>4</v>
      </c>
      <c r="B2452" s="59">
        <v>11</v>
      </c>
      <c r="C2452" s="59">
        <v>530</v>
      </c>
      <c r="D2452" s="51">
        <v>2</v>
      </c>
      <c r="E2452" s="51">
        <f t="shared" si="38"/>
        <v>0</v>
      </c>
    </row>
    <row r="2453" spans="1:5">
      <c r="A2453" s="59">
        <v>4</v>
      </c>
      <c r="B2453" s="59">
        <v>12</v>
      </c>
      <c r="C2453" s="59">
        <v>160</v>
      </c>
      <c r="D2453" s="51">
        <v>2</v>
      </c>
      <c r="E2453" s="51">
        <f t="shared" si="38"/>
        <v>0</v>
      </c>
    </row>
    <row r="2454" spans="1:5">
      <c r="A2454" s="59">
        <v>4</v>
      </c>
      <c r="B2454" s="59">
        <v>14</v>
      </c>
      <c r="C2454" s="59">
        <v>210</v>
      </c>
      <c r="D2454" s="51">
        <v>2</v>
      </c>
      <c r="E2454" s="51">
        <f t="shared" si="38"/>
        <v>0</v>
      </c>
    </row>
    <row r="2455" spans="1:5">
      <c r="A2455" s="59">
        <v>4</v>
      </c>
      <c r="B2455" s="59">
        <v>14</v>
      </c>
      <c r="C2455" s="59">
        <v>420</v>
      </c>
      <c r="D2455" s="51">
        <v>2</v>
      </c>
      <c r="E2455" s="51">
        <f t="shared" si="38"/>
        <v>0</v>
      </c>
    </row>
    <row r="2456" spans="1:5">
      <c r="A2456" s="59">
        <v>4</v>
      </c>
      <c r="B2456" s="59">
        <v>14</v>
      </c>
      <c r="C2456" s="59">
        <v>430</v>
      </c>
      <c r="D2456" s="51">
        <v>2</v>
      </c>
      <c r="E2456" s="51">
        <f t="shared" si="38"/>
        <v>0</v>
      </c>
    </row>
    <row r="2457" spans="1:5">
      <c r="A2457" s="59">
        <v>4</v>
      </c>
      <c r="B2457" s="59">
        <v>14</v>
      </c>
      <c r="C2457" s="59">
        <v>730</v>
      </c>
      <c r="D2457" s="51">
        <v>2</v>
      </c>
      <c r="E2457" s="51">
        <f t="shared" si="38"/>
        <v>0</v>
      </c>
    </row>
    <row r="2458" spans="1:5">
      <c r="A2458" s="59">
        <v>4</v>
      </c>
      <c r="B2458" s="59">
        <v>15</v>
      </c>
      <c r="C2458" s="59">
        <v>640</v>
      </c>
      <c r="D2458" s="51">
        <v>2</v>
      </c>
      <c r="E2458" s="51">
        <f t="shared" si="38"/>
        <v>0</v>
      </c>
    </row>
    <row r="2459" spans="1:5">
      <c r="A2459" s="59">
        <v>4</v>
      </c>
      <c r="B2459" s="59">
        <v>16</v>
      </c>
      <c r="C2459" s="59">
        <v>210</v>
      </c>
      <c r="D2459" s="51">
        <v>2</v>
      </c>
      <c r="E2459" s="51">
        <f t="shared" si="38"/>
        <v>0</v>
      </c>
    </row>
    <row r="2460" spans="1:5">
      <c r="A2460" s="59">
        <v>4</v>
      </c>
      <c r="B2460" s="59">
        <v>16</v>
      </c>
      <c r="C2460" s="59">
        <v>410</v>
      </c>
      <c r="D2460" s="51">
        <v>2</v>
      </c>
      <c r="E2460" s="51">
        <f t="shared" si="38"/>
        <v>0</v>
      </c>
    </row>
    <row r="2461" spans="1:5">
      <c r="A2461" s="59">
        <v>4</v>
      </c>
      <c r="B2461" s="59">
        <v>16</v>
      </c>
      <c r="C2461" s="59">
        <v>630</v>
      </c>
      <c r="D2461" s="51">
        <v>2</v>
      </c>
      <c r="E2461" s="51">
        <f t="shared" si="38"/>
        <v>0</v>
      </c>
    </row>
    <row r="2462" spans="1:5">
      <c r="A2462" s="59">
        <v>4</v>
      </c>
      <c r="B2462" s="59">
        <v>22</v>
      </c>
      <c r="C2462" s="59">
        <v>640</v>
      </c>
      <c r="D2462" s="51">
        <v>2</v>
      </c>
      <c r="E2462" s="51">
        <f t="shared" si="38"/>
        <v>0</v>
      </c>
    </row>
    <row r="2463" spans="1:5">
      <c r="A2463" s="59">
        <v>4</v>
      </c>
      <c r="B2463" s="59">
        <v>32</v>
      </c>
      <c r="C2463" s="59">
        <v>895</v>
      </c>
      <c r="D2463" s="51">
        <v>2</v>
      </c>
      <c r="E2463" s="51">
        <f t="shared" si="38"/>
        <v>0</v>
      </c>
    </row>
    <row r="2464" spans="1:5">
      <c r="A2464" s="59">
        <v>4</v>
      </c>
      <c r="B2464" s="59">
        <v>33</v>
      </c>
      <c r="C2464" s="59">
        <v>610</v>
      </c>
      <c r="D2464" s="51">
        <v>2</v>
      </c>
      <c r="E2464" s="51">
        <f t="shared" si="38"/>
        <v>0</v>
      </c>
    </row>
    <row r="2465" spans="1:5">
      <c r="A2465" s="59">
        <v>4</v>
      </c>
      <c r="B2465" s="59">
        <v>41</v>
      </c>
      <c r="C2465" s="59">
        <v>420</v>
      </c>
      <c r="D2465" s="51">
        <v>2</v>
      </c>
      <c r="E2465" s="51">
        <f t="shared" si="38"/>
        <v>1</v>
      </c>
    </row>
    <row r="2466" spans="1:5">
      <c r="A2466" s="59">
        <v>4</v>
      </c>
      <c r="B2466" s="59">
        <v>41</v>
      </c>
      <c r="C2466" s="59">
        <v>540</v>
      </c>
      <c r="D2466" s="51">
        <v>2</v>
      </c>
      <c r="E2466" s="51">
        <f t="shared" si="38"/>
        <v>1</v>
      </c>
    </row>
    <row r="2467" spans="1:5">
      <c r="A2467" s="59">
        <v>4</v>
      </c>
      <c r="B2467" s="59">
        <v>41</v>
      </c>
      <c r="C2467" s="59">
        <v>893</v>
      </c>
      <c r="D2467" s="51">
        <v>2</v>
      </c>
      <c r="E2467" s="51">
        <f t="shared" si="38"/>
        <v>1</v>
      </c>
    </row>
    <row r="2468" spans="1:5">
      <c r="A2468" s="59">
        <v>4</v>
      </c>
      <c r="B2468" s="59">
        <v>42</v>
      </c>
      <c r="C2468" s="59">
        <v>210</v>
      </c>
      <c r="D2468" s="51">
        <v>2</v>
      </c>
      <c r="E2468" s="51">
        <f t="shared" si="38"/>
        <v>0</v>
      </c>
    </row>
    <row r="2469" spans="1:5">
      <c r="A2469" s="59">
        <v>4</v>
      </c>
      <c r="B2469" s="59">
        <v>42</v>
      </c>
      <c r="C2469" s="59">
        <v>240</v>
      </c>
      <c r="D2469" s="51">
        <v>2</v>
      </c>
      <c r="E2469" s="51">
        <f t="shared" si="38"/>
        <v>0</v>
      </c>
    </row>
    <row r="2470" spans="1:5">
      <c r="A2470" s="59">
        <v>4</v>
      </c>
      <c r="B2470" s="59">
        <v>42</v>
      </c>
      <c r="C2470" s="59">
        <v>310</v>
      </c>
      <c r="D2470" s="51">
        <v>2</v>
      </c>
      <c r="E2470" s="51">
        <f t="shared" si="38"/>
        <v>0</v>
      </c>
    </row>
    <row r="2471" spans="1:5">
      <c r="A2471" s="59">
        <v>4</v>
      </c>
      <c r="B2471" s="59">
        <v>42</v>
      </c>
      <c r="C2471" s="59">
        <v>950</v>
      </c>
      <c r="D2471" s="51">
        <v>2</v>
      </c>
      <c r="E2471" s="51">
        <f t="shared" si="38"/>
        <v>0</v>
      </c>
    </row>
    <row r="2472" spans="1:5">
      <c r="A2472" s="59">
        <v>4</v>
      </c>
      <c r="B2472" s="59">
        <v>43</v>
      </c>
      <c r="C2472" s="59">
        <v>140</v>
      </c>
      <c r="D2472" s="51">
        <v>2</v>
      </c>
      <c r="E2472" s="51">
        <f t="shared" si="38"/>
        <v>0</v>
      </c>
    </row>
    <row r="2473" spans="1:5">
      <c r="A2473" s="59">
        <v>4</v>
      </c>
      <c r="B2473" s="59">
        <v>44</v>
      </c>
      <c r="C2473" s="59">
        <v>881</v>
      </c>
      <c r="D2473" s="51">
        <v>2</v>
      </c>
      <c r="E2473" s="51">
        <f t="shared" si="38"/>
        <v>1</v>
      </c>
    </row>
    <row r="2474" spans="1:5">
      <c r="A2474" s="59">
        <v>4</v>
      </c>
      <c r="B2474" s="59">
        <v>44</v>
      </c>
      <c r="C2474" s="59">
        <v>893</v>
      </c>
      <c r="D2474" s="51">
        <v>2</v>
      </c>
      <c r="E2474" s="51">
        <f t="shared" si="38"/>
        <v>1</v>
      </c>
    </row>
    <row r="2475" spans="1:5">
      <c r="A2475" s="59">
        <v>4</v>
      </c>
      <c r="B2475" s="59">
        <v>44</v>
      </c>
      <c r="C2475" s="59">
        <v>990</v>
      </c>
      <c r="D2475" s="51">
        <v>2</v>
      </c>
      <c r="E2475" s="51">
        <f t="shared" si="38"/>
        <v>1</v>
      </c>
    </row>
    <row r="2476" spans="1:5">
      <c r="A2476" s="59">
        <v>4</v>
      </c>
      <c r="B2476" s="59">
        <v>61</v>
      </c>
      <c r="C2476" s="59">
        <v>550</v>
      </c>
      <c r="D2476" s="51">
        <v>2</v>
      </c>
      <c r="E2476" s="51">
        <f t="shared" si="38"/>
        <v>0</v>
      </c>
    </row>
    <row r="2477" spans="1:5">
      <c r="A2477" s="59">
        <v>4</v>
      </c>
      <c r="B2477" s="59">
        <v>61</v>
      </c>
      <c r="C2477" s="59">
        <v>640</v>
      </c>
      <c r="D2477" s="51">
        <v>2</v>
      </c>
      <c r="E2477" s="51">
        <f t="shared" si="38"/>
        <v>0</v>
      </c>
    </row>
    <row r="2478" spans="1:5">
      <c r="A2478" s="59">
        <v>4</v>
      </c>
      <c r="B2478" s="59">
        <v>62</v>
      </c>
      <c r="C2478" s="59">
        <v>140</v>
      </c>
      <c r="D2478" s="51">
        <v>2</v>
      </c>
      <c r="E2478" s="51">
        <f t="shared" si="38"/>
        <v>1</v>
      </c>
    </row>
    <row r="2479" spans="1:5">
      <c r="A2479" s="59">
        <v>4</v>
      </c>
      <c r="B2479" s="59">
        <v>62</v>
      </c>
      <c r="C2479" s="59">
        <v>330</v>
      </c>
      <c r="D2479" s="51">
        <v>2</v>
      </c>
      <c r="E2479" s="51">
        <f t="shared" si="38"/>
        <v>1</v>
      </c>
    </row>
    <row r="2480" spans="1:5">
      <c r="A2480" s="59">
        <v>4</v>
      </c>
      <c r="B2480" s="59">
        <v>62</v>
      </c>
      <c r="C2480" s="59">
        <v>410</v>
      </c>
      <c r="D2480" s="51">
        <v>2</v>
      </c>
      <c r="E2480" s="51">
        <f t="shared" si="38"/>
        <v>1</v>
      </c>
    </row>
    <row r="2481" spans="1:5">
      <c r="A2481" s="59">
        <v>4</v>
      </c>
      <c r="B2481" s="59">
        <v>62</v>
      </c>
      <c r="C2481" s="59">
        <v>930</v>
      </c>
      <c r="D2481" s="51">
        <v>2</v>
      </c>
      <c r="E2481" s="51">
        <f t="shared" si="38"/>
        <v>1</v>
      </c>
    </row>
    <row r="2482" spans="1:5">
      <c r="A2482" s="59">
        <v>4</v>
      </c>
      <c r="B2482" s="59">
        <v>62</v>
      </c>
      <c r="C2482" s="59">
        <v>970</v>
      </c>
      <c r="D2482" s="51">
        <v>2</v>
      </c>
      <c r="E2482" s="51">
        <f t="shared" si="38"/>
        <v>1</v>
      </c>
    </row>
    <row r="2483" spans="1:5">
      <c r="A2483" s="59">
        <v>4</v>
      </c>
      <c r="B2483" s="59">
        <v>63</v>
      </c>
      <c r="C2483" s="59">
        <v>230</v>
      </c>
      <c r="D2483" s="51">
        <v>2</v>
      </c>
      <c r="E2483" s="51">
        <f t="shared" si="38"/>
        <v>0</v>
      </c>
    </row>
    <row r="2484" spans="1:5">
      <c r="A2484" s="59">
        <v>4</v>
      </c>
      <c r="B2484" s="59">
        <v>63</v>
      </c>
      <c r="C2484" s="59">
        <v>831</v>
      </c>
      <c r="D2484" s="51">
        <v>2</v>
      </c>
      <c r="E2484" s="51">
        <f t="shared" si="38"/>
        <v>0</v>
      </c>
    </row>
    <row r="2485" spans="1:5">
      <c r="A2485" s="59">
        <v>4</v>
      </c>
      <c r="B2485" s="59">
        <v>63</v>
      </c>
      <c r="C2485" s="59">
        <v>892</v>
      </c>
      <c r="D2485" s="51">
        <v>2</v>
      </c>
      <c r="E2485" s="51">
        <f t="shared" si="38"/>
        <v>0</v>
      </c>
    </row>
    <row r="2486" spans="1:5">
      <c r="A2486" s="59">
        <v>4</v>
      </c>
      <c r="B2486" s="59">
        <v>63</v>
      </c>
      <c r="C2486" s="59">
        <v>950</v>
      </c>
      <c r="D2486" s="51">
        <v>2</v>
      </c>
      <c r="E2486" s="51">
        <f t="shared" si="38"/>
        <v>0</v>
      </c>
    </row>
    <row r="2487" spans="1:5">
      <c r="A2487" s="59">
        <v>4</v>
      </c>
      <c r="B2487" s="59">
        <v>64</v>
      </c>
      <c r="C2487" s="59">
        <v>892</v>
      </c>
      <c r="D2487" s="51">
        <v>2</v>
      </c>
      <c r="E2487" s="51">
        <f t="shared" si="38"/>
        <v>0</v>
      </c>
    </row>
    <row r="2488" spans="1:5">
      <c r="A2488" s="59">
        <v>4</v>
      </c>
      <c r="B2488" s="59">
        <v>71</v>
      </c>
      <c r="C2488" s="59">
        <v>950</v>
      </c>
      <c r="D2488" s="51">
        <v>2</v>
      </c>
      <c r="E2488" s="51">
        <f t="shared" si="38"/>
        <v>0</v>
      </c>
    </row>
    <row r="2489" spans="1:5">
      <c r="A2489" s="59">
        <v>4</v>
      </c>
      <c r="B2489" s="59">
        <v>71</v>
      </c>
      <c r="C2489" s="59">
        <v>970</v>
      </c>
      <c r="D2489" s="51">
        <v>2</v>
      </c>
      <c r="E2489" s="51">
        <f t="shared" si="38"/>
        <v>0</v>
      </c>
    </row>
    <row r="2490" spans="1:5">
      <c r="A2490" s="59">
        <v>4</v>
      </c>
      <c r="B2490" s="59">
        <v>81</v>
      </c>
      <c r="C2490" s="59">
        <v>210</v>
      </c>
      <c r="D2490" s="51">
        <v>2</v>
      </c>
      <c r="E2490" s="51">
        <f t="shared" si="38"/>
        <v>0</v>
      </c>
    </row>
    <row r="2491" spans="1:5">
      <c r="A2491" s="59">
        <v>4</v>
      </c>
      <c r="B2491" s="59">
        <v>81</v>
      </c>
      <c r="C2491" s="59">
        <v>930</v>
      </c>
      <c r="D2491" s="51">
        <v>2</v>
      </c>
      <c r="E2491" s="51">
        <f t="shared" si="38"/>
        <v>0</v>
      </c>
    </row>
    <row r="2492" spans="1:5">
      <c r="A2492" s="59">
        <v>4</v>
      </c>
      <c r="B2492" s="59">
        <v>11</v>
      </c>
      <c r="C2492" s="59">
        <v>150</v>
      </c>
      <c r="D2492" s="51">
        <v>1</v>
      </c>
      <c r="E2492" s="51">
        <f t="shared" si="38"/>
        <v>0</v>
      </c>
    </row>
    <row r="2493" spans="1:5">
      <c r="A2493" s="59">
        <v>4</v>
      </c>
      <c r="B2493" s="59">
        <v>11</v>
      </c>
      <c r="C2493" s="59">
        <v>920</v>
      </c>
      <c r="D2493" s="51">
        <v>1</v>
      </c>
      <c r="E2493" s="51">
        <f t="shared" si="38"/>
        <v>0</v>
      </c>
    </row>
    <row r="2494" spans="1:5">
      <c r="A2494" s="59">
        <v>4</v>
      </c>
      <c r="B2494" s="59">
        <v>12</v>
      </c>
      <c r="C2494" s="59">
        <v>510</v>
      </c>
      <c r="D2494" s="51">
        <v>1</v>
      </c>
      <c r="E2494" s="51">
        <f t="shared" si="38"/>
        <v>0</v>
      </c>
    </row>
    <row r="2495" spans="1:5">
      <c r="A2495" s="59">
        <v>4</v>
      </c>
      <c r="B2495" s="59">
        <v>12</v>
      </c>
      <c r="C2495" s="59">
        <v>550</v>
      </c>
      <c r="D2495" s="51">
        <v>1</v>
      </c>
      <c r="E2495" s="51">
        <f t="shared" si="38"/>
        <v>0</v>
      </c>
    </row>
    <row r="2496" spans="1:5">
      <c r="A2496" s="59">
        <v>4</v>
      </c>
      <c r="B2496" s="59">
        <v>12</v>
      </c>
      <c r="C2496" s="59">
        <v>910</v>
      </c>
      <c r="D2496" s="51">
        <v>1</v>
      </c>
      <c r="E2496" s="51">
        <f t="shared" si="38"/>
        <v>0</v>
      </c>
    </row>
    <row r="2497" spans="1:5">
      <c r="A2497" s="59">
        <v>4</v>
      </c>
      <c r="B2497" s="59">
        <v>13</v>
      </c>
      <c r="C2497" s="59">
        <v>220</v>
      </c>
      <c r="D2497" s="51">
        <v>1</v>
      </c>
      <c r="E2497" s="51">
        <f t="shared" si="38"/>
        <v>0</v>
      </c>
    </row>
    <row r="2498" spans="1:5">
      <c r="A2498" s="59">
        <v>4</v>
      </c>
      <c r="B2498" s="59">
        <v>13</v>
      </c>
      <c r="C2498" s="59">
        <v>750</v>
      </c>
      <c r="D2498" s="51">
        <v>1</v>
      </c>
      <c r="E2498" s="51">
        <f t="shared" ref="E2498:E2561" si="39">IF(OR(A2498=6,A2498=7,A2498=14,A2498=15,A2498=16,A2498=17,A2498=18,A2498=19,A2498=20,A2498=21,A2498=22,A2498=23,A2498=25,A2498=26,A2498=27,A2498=28,B2498=41,B2498=44,B2498=62),1,0)</f>
        <v>0</v>
      </c>
    </row>
    <row r="2499" spans="1:5">
      <c r="A2499" s="59">
        <v>4</v>
      </c>
      <c r="B2499" s="59">
        <v>13</v>
      </c>
      <c r="C2499" s="59">
        <v>930</v>
      </c>
      <c r="D2499" s="51">
        <v>1</v>
      </c>
      <c r="E2499" s="51">
        <f t="shared" si="39"/>
        <v>0</v>
      </c>
    </row>
    <row r="2500" spans="1:5">
      <c r="A2500" s="59">
        <v>4</v>
      </c>
      <c r="B2500" s="59">
        <v>13</v>
      </c>
      <c r="C2500" s="59">
        <v>950</v>
      </c>
      <c r="D2500" s="51">
        <v>1</v>
      </c>
      <c r="E2500" s="51">
        <f t="shared" si="39"/>
        <v>0</v>
      </c>
    </row>
    <row r="2501" spans="1:5">
      <c r="A2501" s="59">
        <v>4</v>
      </c>
      <c r="B2501" s="59">
        <v>14</v>
      </c>
      <c r="C2501" s="59">
        <v>230</v>
      </c>
      <c r="D2501" s="51">
        <v>1</v>
      </c>
      <c r="E2501" s="51">
        <f t="shared" si="39"/>
        <v>0</v>
      </c>
    </row>
    <row r="2502" spans="1:5">
      <c r="A2502" s="59">
        <v>4</v>
      </c>
      <c r="B2502" s="59">
        <v>14</v>
      </c>
      <c r="C2502" s="59">
        <v>240</v>
      </c>
      <c r="D2502" s="51">
        <v>1</v>
      </c>
      <c r="E2502" s="51">
        <f t="shared" si="39"/>
        <v>0</v>
      </c>
    </row>
    <row r="2503" spans="1:5">
      <c r="A2503" s="59">
        <v>4</v>
      </c>
      <c r="B2503" s="59">
        <v>14</v>
      </c>
      <c r="C2503" s="59">
        <v>330</v>
      </c>
      <c r="D2503" s="51">
        <v>1</v>
      </c>
      <c r="E2503" s="51">
        <f t="shared" si="39"/>
        <v>0</v>
      </c>
    </row>
    <row r="2504" spans="1:5">
      <c r="A2504" s="59">
        <v>4</v>
      </c>
      <c r="B2504" s="59">
        <v>14</v>
      </c>
      <c r="C2504" s="59">
        <v>410</v>
      </c>
      <c r="D2504" s="51">
        <v>1</v>
      </c>
      <c r="E2504" s="51">
        <f t="shared" si="39"/>
        <v>0</v>
      </c>
    </row>
    <row r="2505" spans="1:5">
      <c r="A2505" s="59">
        <v>4</v>
      </c>
      <c r="B2505" s="59">
        <v>14</v>
      </c>
      <c r="C2505" s="59">
        <v>610</v>
      </c>
      <c r="D2505" s="51">
        <v>1</v>
      </c>
      <c r="E2505" s="51">
        <f t="shared" si="39"/>
        <v>0</v>
      </c>
    </row>
    <row r="2506" spans="1:5">
      <c r="A2506" s="59">
        <v>4</v>
      </c>
      <c r="B2506" s="59">
        <v>14</v>
      </c>
      <c r="C2506" s="59">
        <v>630</v>
      </c>
      <c r="D2506" s="51">
        <v>1</v>
      </c>
      <c r="E2506" s="51">
        <f t="shared" si="39"/>
        <v>0</v>
      </c>
    </row>
    <row r="2507" spans="1:5">
      <c r="A2507" s="59">
        <v>4</v>
      </c>
      <c r="B2507" s="59">
        <v>14</v>
      </c>
      <c r="C2507" s="59">
        <v>750</v>
      </c>
      <c r="D2507" s="51">
        <v>1</v>
      </c>
      <c r="E2507" s="51">
        <f t="shared" si="39"/>
        <v>0</v>
      </c>
    </row>
    <row r="2508" spans="1:5">
      <c r="A2508" s="59">
        <v>4</v>
      </c>
      <c r="B2508" s="59">
        <v>14</v>
      </c>
      <c r="C2508" s="59">
        <v>930</v>
      </c>
      <c r="D2508" s="51">
        <v>1</v>
      </c>
      <c r="E2508" s="51">
        <f t="shared" si="39"/>
        <v>0</v>
      </c>
    </row>
    <row r="2509" spans="1:5">
      <c r="A2509" s="59">
        <v>4</v>
      </c>
      <c r="B2509" s="59">
        <v>14</v>
      </c>
      <c r="C2509" s="59">
        <v>950</v>
      </c>
      <c r="D2509" s="51">
        <v>1</v>
      </c>
      <c r="E2509" s="51">
        <f t="shared" si="39"/>
        <v>0</v>
      </c>
    </row>
    <row r="2510" spans="1:5">
      <c r="A2510" s="59">
        <v>4</v>
      </c>
      <c r="B2510" s="59">
        <v>15</v>
      </c>
      <c r="C2510" s="59">
        <v>110</v>
      </c>
      <c r="D2510" s="51">
        <v>1</v>
      </c>
      <c r="E2510" s="51">
        <f t="shared" si="39"/>
        <v>0</v>
      </c>
    </row>
    <row r="2511" spans="1:5">
      <c r="A2511" s="59">
        <v>4</v>
      </c>
      <c r="B2511" s="59">
        <v>15</v>
      </c>
      <c r="C2511" s="59">
        <v>420</v>
      </c>
      <c r="D2511" s="51">
        <v>1</v>
      </c>
      <c r="E2511" s="51">
        <f t="shared" si="39"/>
        <v>0</v>
      </c>
    </row>
    <row r="2512" spans="1:5">
      <c r="A2512" s="59">
        <v>4</v>
      </c>
      <c r="B2512" s="59">
        <v>15</v>
      </c>
      <c r="C2512" s="59">
        <v>430</v>
      </c>
      <c r="D2512" s="51">
        <v>1</v>
      </c>
      <c r="E2512" s="51">
        <f t="shared" si="39"/>
        <v>0</v>
      </c>
    </row>
    <row r="2513" spans="1:5">
      <c r="A2513" s="59">
        <v>4</v>
      </c>
      <c r="B2513" s="59">
        <v>15</v>
      </c>
      <c r="C2513" s="59">
        <v>510</v>
      </c>
      <c r="D2513" s="51">
        <v>1</v>
      </c>
      <c r="E2513" s="51">
        <f t="shared" si="39"/>
        <v>0</v>
      </c>
    </row>
    <row r="2514" spans="1:5">
      <c r="A2514" s="59">
        <v>4</v>
      </c>
      <c r="B2514" s="59">
        <v>15</v>
      </c>
      <c r="C2514" s="59">
        <v>720</v>
      </c>
      <c r="D2514" s="51">
        <v>1</v>
      </c>
      <c r="E2514" s="51">
        <f t="shared" si="39"/>
        <v>0</v>
      </c>
    </row>
    <row r="2515" spans="1:5">
      <c r="A2515" s="59">
        <v>4</v>
      </c>
      <c r="B2515" s="59">
        <v>15</v>
      </c>
      <c r="C2515" s="59">
        <v>730</v>
      </c>
      <c r="D2515" s="51">
        <v>1</v>
      </c>
      <c r="E2515" s="51">
        <f t="shared" si="39"/>
        <v>0</v>
      </c>
    </row>
    <row r="2516" spans="1:5">
      <c r="A2516" s="59">
        <v>4</v>
      </c>
      <c r="B2516" s="59">
        <v>16</v>
      </c>
      <c r="C2516" s="59">
        <v>230</v>
      </c>
      <c r="D2516" s="51">
        <v>1</v>
      </c>
      <c r="E2516" s="51">
        <f t="shared" si="39"/>
        <v>0</v>
      </c>
    </row>
    <row r="2517" spans="1:5">
      <c r="A2517" s="59">
        <v>4</v>
      </c>
      <c r="B2517" s="59">
        <v>16</v>
      </c>
      <c r="C2517" s="59">
        <v>310</v>
      </c>
      <c r="D2517" s="51">
        <v>1</v>
      </c>
      <c r="E2517" s="51">
        <f t="shared" si="39"/>
        <v>0</v>
      </c>
    </row>
    <row r="2518" spans="1:5">
      <c r="A2518" s="59">
        <v>4</v>
      </c>
      <c r="B2518" s="59">
        <v>22</v>
      </c>
      <c r="C2518" s="59">
        <v>110</v>
      </c>
      <c r="D2518" s="51">
        <v>1</v>
      </c>
      <c r="E2518" s="51">
        <f t="shared" si="39"/>
        <v>0</v>
      </c>
    </row>
    <row r="2519" spans="1:5">
      <c r="A2519" s="59">
        <v>4</v>
      </c>
      <c r="B2519" s="59">
        <v>22</v>
      </c>
      <c r="C2519" s="59">
        <v>950</v>
      </c>
      <c r="D2519" s="51">
        <v>1</v>
      </c>
      <c r="E2519" s="51">
        <f t="shared" si="39"/>
        <v>0</v>
      </c>
    </row>
    <row r="2520" spans="1:5">
      <c r="A2520" s="59">
        <v>4</v>
      </c>
      <c r="B2520" s="59">
        <v>23</v>
      </c>
      <c r="C2520" s="59">
        <v>510</v>
      </c>
      <c r="D2520" s="51">
        <v>1</v>
      </c>
      <c r="E2520" s="51">
        <f t="shared" si="39"/>
        <v>0</v>
      </c>
    </row>
    <row r="2521" spans="1:5">
      <c r="A2521" s="59">
        <v>4</v>
      </c>
      <c r="B2521" s="59">
        <v>23</v>
      </c>
      <c r="C2521" s="59">
        <v>540</v>
      </c>
      <c r="D2521" s="51">
        <v>1</v>
      </c>
      <c r="E2521" s="51">
        <f t="shared" si="39"/>
        <v>0</v>
      </c>
    </row>
    <row r="2522" spans="1:5">
      <c r="A2522" s="59">
        <v>4</v>
      </c>
      <c r="B2522" s="59">
        <v>24</v>
      </c>
      <c r="C2522" s="59">
        <v>160</v>
      </c>
      <c r="D2522" s="51">
        <v>1</v>
      </c>
      <c r="E2522" s="51">
        <f t="shared" si="39"/>
        <v>0</v>
      </c>
    </row>
    <row r="2523" spans="1:5">
      <c r="A2523" s="59">
        <v>4</v>
      </c>
      <c r="B2523" s="59">
        <v>31</v>
      </c>
      <c r="C2523" s="59">
        <v>530</v>
      </c>
      <c r="D2523" s="51">
        <v>1</v>
      </c>
      <c r="E2523" s="51">
        <f t="shared" si="39"/>
        <v>0</v>
      </c>
    </row>
    <row r="2524" spans="1:5">
      <c r="A2524" s="59">
        <v>4</v>
      </c>
      <c r="B2524" s="59">
        <v>31</v>
      </c>
      <c r="C2524" s="59">
        <v>550</v>
      </c>
      <c r="D2524" s="51">
        <v>1</v>
      </c>
      <c r="E2524" s="51">
        <f t="shared" si="39"/>
        <v>0</v>
      </c>
    </row>
    <row r="2525" spans="1:5">
      <c r="A2525" s="59">
        <v>4</v>
      </c>
      <c r="B2525" s="59">
        <v>33</v>
      </c>
      <c r="C2525" s="59">
        <v>110</v>
      </c>
      <c r="D2525" s="51">
        <v>1</v>
      </c>
      <c r="E2525" s="51">
        <f t="shared" si="39"/>
        <v>0</v>
      </c>
    </row>
    <row r="2526" spans="1:5">
      <c r="A2526" s="59">
        <v>4</v>
      </c>
      <c r="B2526" s="59">
        <v>33</v>
      </c>
      <c r="C2526" s="59">
        <v>730</v>
      </c>
      <c r="D2526" s="51">
        <v>1</v>
      </c>
      <c r="E2526" s="51">
        <f t="shared" si="39"/>
        <v>0</v>
      </c>
    </row>
    <row r="2527" spans="1:5">
      <c r="A2527" s="59">
        <v>4</v>
      </c>
      <c r="B2527" s="59">
        <v>41</v>
      </c>
      <c r="C2527" s="59">
        <v>710</v>
      </c>
      <c r="D2527" s="51">
        <v>1</v>
      </c>
      <c r="E2527" s="51">
        <f t="shared" si="39"/>
        <v>1</v>
      </c>
    </row>
    <row r="2528" spans="1:5">
      <c r="A2528" s="59">
        <v>4</v>
      </c>
      <c r="B2528" s="59">
        <v>41</v>
      </c>
      <c r="C2528" s="59">
        <v>899</v>
      </c>
      <c r="D2528" s="51">
        <v>1</v>
      </c>
      <c r="E2528" s="51">
        <f t="shared" si="39"/>
        <v>1</v>
      </c>
    </row>
    <row r="2529" spans="1:5">
      <c r="A2529" s="59">
        <v>4</v>
      </c>
      <c r="B2529" s="59">
        <v>43</v>
      </c>
      <c r="C2529" s="59">
        <v>950</v>
      </c>
      <c r="D2529" s="51">
        <v>1</v>
      </c>
      <c r="E2529" s="51">
        <f t="shared" si="39"/>
        <v>0</v>
      </c>
    </row>
    <row r="2530" spans="1:5">
      <c r="A2530" s="59">
        <v>4</v>
      </c>
      <c r="B2530" s="59">
        <v>43</v>
      </c>
      <c r="C2530" s="59">
        <v>960</v>
      </c>
      <c r="D2530" s="51">
        <v>1</v>
      </c>
      <c r="E2530" s="51">
        <f t="shared" si="39"/>
        <v>0</v>
      </c>
    </row>
    <row r="2531" spans="1:5">
      <c r="A2531" s="59">
        <v>4</v>
      </c>
      <c r="B2531" s="59">
        <v>44</v>
      </c>
      <c r="C2531" s="59">
        <v>320</v>
      </c>
      <c r="D2531" s="51">
        <v>1</v>
      </c>
      <c r="E2531" s="51">
        <f t="shared" si="39"/>
        <v>1</v>
      </c>
    </row>
    <row r="2532" spans="1:5">
      <c r="A2532" s="59">
        <v>4</v>
      </c>
      <c r="B2532" s="59">
        <v>44</v>
      </c>
      <c r="C2532" s="59">
        <v>420</v>
      </c>
      <c r="D2532" s="51">
        <v>1</v>
      </c>
      <c r="E2532" s="51">
        <f t="shared" si="39"/>
        <v>1</v>
      </c>
    </row>
    <row r="2533" spans="1:5">
      <c r="A2533" s="59">
        <v>4</v>
      </c>
      <c r="B2533" s="59">
        <v>44</v>
      </c>
      <c r="C2533" s="59">
        <v>861</v>
      </c>
      <c r="D2533" s="51">
        <v>1</v>
      </c>
      <c r="E2533" s="51">
        <f t="shared" si="39"/>
        <v>1</v>
      </c>
    </row>
    <row r="2534" spans="1:5">
      <c r="A2534" s="59">
        <v>4</v>
      </c>
      <c r="B2534" s="59">
        <v>51</v>
      </c>
      <c r="C2534" s="59">
        <v>510</v>
      </c>
      <c r="D2534" s="51">
        <v>1</v>
      </c>
      <c r="E2534" s="51">
        <f t="shared" si="39"/>
        <v>0</v>
      </c>
    </row>
    <row r="2535" spans="1:5">
      <c r="A2535" s="59">
        <v>4</v>
      </c>
      <c r="B2535" s="59">
        <v>51</v>
      </c>
      <c r="C2535" s="59">
        <v>530</v>
      </c>
      <c r="D2535" s="51">
        <v>1</v>
      </c>
      <c r="E2535" s="51">
        <f t="shared" si="39"/>
        <v>0</v>
      </c>
    </row>
    <row r="2536" spans="1:5">
      <c r="A2536" s="59">
        <v>4</v>
      </c>
      <c r="B2536" s="59">
        <v>51</v>
      </c>
      <c r="C2536" s="59">
        <v>610</v>
      </c>
      <c r="D2536" s="51">
        <v>1</v>
      </c>
      <c r="E2536" s="51">
        <f t="shared" si="39"/>
        <v>0</v>
      </c>
    </row>
    <row r="2537" spans="1:5">
      <c r="A2537" s="59">
        <v>4</v>
      </c>
      <c r="B2537" s="59">
        <v>51</v>
      </c>
      <c r="C2537" s="59">
        <v>620</v>
      </c>
      <c r="D2537" s="51">
        <v>1</v>
      </c>
      <c r="E2537" s="51">
        <f t="shared" si="39"/>
        <v>0</v>
      </c>
    </row>
    <row r="2538" spans="1:5">
      <c r="A2538" s="59">
        <v>4</v>
      </c>
      <c r="B2538" s="59">
        <v>51</v>
      </c>
      <c r="C2538" s="59">
        <v>630</v>
      </c>
      <c r="D2538" s="51">
        <v>1</v>
      </c>
      <c r="E2538" s="51">
        <f t="shared" si="39"/>
        <v>0</v>
      </c>
    </row>
    <row r="2539" spans="1:5">
      <c r="A2539" s="59">
        <v>4</v>
      </c>
      <c r="B2539" s="59">
        <v>51</v>
      </c>
      <c r="C2539" s="59">
        <v>740</v>
      </c>
      <c r="D2539" s="51">
        <v>1</v>
      </c>
      <c r="E2539" s="51">
        <f t="shared" si="39"/>
        <v>0</v>
      </c>
    </row>
    <row r="2540" spans="1:5">
      <c r="A2540" s="59">
        <v>4</v>
      </c>
      <c r="B2540" s="59">
        <v>61</v>
      </c>
      <c r="C2540" s="59">
        <v>160</v>
      </c>
      <c r="D2540" s="51">
        <v>1</v>
      </c>
      <c r="E2540" s="51">
        <f t="shared" si="39"/>
        <v>0</v>
      </c>
    </row>
    <row r="2541" spans="1:5">
      <c r="A2541" s="59">
        <v>4</v>
      </c>
      <c r="B2541" s="59">
        <v>62</v>
      </c>
      <c r="C2541" s="59">
        <v>320</v>
      </c>
      <c r="D2541" s="51">
        <v>1</v>
      </c>
      <c r="E2541" s="51">
        <f t="shared" si="39"/>
        <v>1</v>
      </c>
    </row>
    <row r="2542" spans="1:5">
      <c r="A2542" s="59">
        <v>4</v>
      </c>
      <c r="B2542" s="59">
        <v>62</v>
      </c>
      <c r="C2542" s="59">
        <v>420</v>
      </c>
      <c r="D2542" s="51">
        <v>1</v>
      </c>
      <c r="E2542" s="51">
        <f t="shared" si="39"/>
        <v>1</v>
      </c>
    </row>
    <row r="2543" spans="1:5">
      <c r="A2543" s="59">
        <v>4</v>
      </c>
      <c r="B2543" s="59">
        <v>62</v>
      </c>
      <c r="C2543" s="59">
        <v>899</v>
      </c>
      <c r="D2543" s="51">
        <v>1</v>
      </c>
      <c r="E2543" s="51">
        <f t="shared" si="39"/>
        <v>1</v>
      </c>
    </row>
    <row r="2544" spans="1:5">
      <c r="A2544" s="59">
        <v>4</v>
      </c>
      <c r="B2544" s="59">
        <v>63</v>
      </c>
      <c r="C2544" s="59">
        <v>120</v>
      </c>
      <c r="D2544" s="51">
        <v>1</v>
      </c>
      <c r="E2544" s="51">
        <f t="shared" si="39"/>
        <v>0</v>
      </c>
    </row>
    <row r="2545" spans="1:5">
      <c r="A2545" s="59">
        <v>4</v>
      </c>
      <c r="B2545" s="59">
        <v>63</v>
      </c>
      <c r="C2545" s="59">
        <v>330</v>
      </c>
      <c r="D2545" s="51">
        <v>1</v>
      </c>
      <c r="E2545" s="51">
        <f t="shared" si="39"/>
        <v>0</v>
      </c>
    </row>
    <row r="2546" spans="1:5">
      <c r="A2546" s="59">
        <v>4</v>
      </c>
      <c r="B2546" s="59">
        <v>63</v>
      </c>
      <c r="C2546" s="59">
        <v>830</v>
      </c>
      <c r="D2546" s="51">
        <v>1</v>
      </c>
      <c r="E2546" s="51">
        <f t="shared" si="39"/>
        <v>0</v>
      </c>
    </row>
    <row r="2547" spans="1:5">
      <c r="A2547" s="59">
        <v>4</v>
      </c>
      <c r="B2547" s="59">
        <v>63</v>
      </c>
      <c r="C2547" s="59">
        <v>891</v>
      </c>
      <c r="D2547" s="51">
        <v>1</v>
      </c>
      <c r="E2547" s="51">
        <f t="shared" si="39"/>
        <v>0</v>
      </c>
    </row>
    <row r="2548" spans="1:5">
      <c r="A2548" s="59">
        <v>4</v>
      </c>
      <c r="B2548" s="59">
        <v>63</v>
      </c>
      <c r="C2548" s="59">
        <v>930</v>
      </c>
      <c r="D2548" s="51">
        <v>1</v>
      </c>
      <c r="E2548" s="51">
        <f t="shared" si="39"/>
        <v>0</v>
      </c>
    </row>
    <row r="2549" spans="1:5">
      <c r="A2549" s="59">
        <v>4</v>
      </c>
      <c r="B2549" s="59">
        <v>63</v>
      </c>
      <c r="C2549" s="59">
        <v>940</v>
      </c>
      <c r="D2549" s="51">
        <v>1</v>
      </c>
      <c r="E2549" s="51">
        <f t="shared" si="39"/>
        <v>0</v>
      </c>
    </row>
    <row r="2550" spans="1:5">
      <c r="A2550" s="59">
        <v>4</v>
      </c>
      <c r="B2550" s="59">
        <v>64</v>
      </c>
      <c r="C2550" s="59">
        <v>120</v>
      </c>
      <c r="D2550" s="51">
        <v>1</v>
      </c>
      <c r="E2550" s="51">
        <f t="shared" si="39"/>
        <v>0</v>
      </c>
    </row>
    <row r="2551" spans="1:5">
      <c r="A2551" s="59">
        <v>4</v>
      </c>
      <c r="B2551" s="59">
        <v>64</v>
      </c>
      <c r="C2551" s="59">
        <v>850</v>
      </c>
      <c r="D2551" s="51">
        <v>1</v>
      </c>
      <c r="E2551" s="51">
        <f t="shared" si="39"/>
        <v>0</v>
      </c>
    </row>
    <row r="2552" spans="1:5">
      <c r="A2552" s="59">
        <v>4</v>
      </c>
      <c r="B2552" s="59">
        <v>64</v>
      </c>
      <c r="C2552" s="59">
        <v>880</v>
      </c>
      <c r="D2552" s="51">
        <v>1</v>
      </c>
      <c r="E2552" s="51">
        <f t="shared" si="39"/>
        <v>0</v>
      </c>
    </row>
    <row r="2553" spans="1:5">
      <c r="A2553" s="59">
        <v>4</v>
      </c>
      <c r="B2553" s="59">
        <v>64</v>
      </c>
      <c r="C2553" s="59">
        <v>893</v>
      </c>
      <c r="D2553" s="51">
        <v>1</v>
      </c>
      <c r="E2553" s="51">
        <f t="shared" si="39"/>
        <v>0</v>
      </c>
    </row>
    <row r="2554" spans="1:5">
      <c r="A2554" s="59">
        <v>4</v>
      </c>
      <c r="B2554" s="59">
        <v>71</v>
      </c>
      <c r="C2554" s="59">
        <v>230</v>
      </c>
      <c r="D2554" s="51">
        <v>1</v>
      </c>
      <c r="E2554" s="51">
        <f t="shared" si="39"/>
        <v>0</v>
      </c>
    </row>
    <row r="2555" spans="1:5">
      <c r="A2555" s="59">
        <v>4</v>
      </c>
      <c r="B2555" s="59">
        <v>71</v>
      </c>
      <c r="C2555" s="59">
        <v>310</v>
      </c>
      <c r="D2555" s="51">
        <v>1</v>
      </c>
      <c r="E2555" s="51">
        <f t="shared" si="39"/>
        <v>0</v>
      </c>
    </row>
    <row r="2556" spans="1:5">
      <c r="A2556" s="59">
        <v>4</v>
      </c>
      <c r="B2556" s="59">
        <v>71</v>
      </c>
      <c r="C2556" s="59">
        <v>710</v>
      </c>
      <c r="D2556" s="51">
        <v>1</v>
      </c>
      <c r="E2556" s="51">
        <f t="shared" si="39"/>
        <v>0</v>
      </c>
    </row>
    <row r="2557" spans="1:5">
      <c r="A2557" s="59">
        <v>4</v>
      </c>
      <c r="B2557" s="59">
        <v>71</v>
      </c>
      <c r="C2557" s="59">
        <v>881</v>
      </c>
      <c r="D2557" s="51">
        <v>1</v>
      </c>
      <c r="E2557" s="51">
        <f t="shared" si="39"/>
        <v>0</v>
      </c>
    </row>
    <row r="2558" spans="1:5">
      <c r="A2558" s="59">
        <v>4</v>
      </c>
      <c r="B2558" s="59">
        <v>71</v>
      </c>
      <c r="C2558" s="59">
        <v>940</v>
      </c>
      <c r="D2558" s="51">
        <v>1</v>
      </c>
      <c r="E2558" s="51">
        <f t="shared" si="39"/>
        <v>0</v>
      </c>
    </row>
    <row r="2559" spans="1:5">
      <c r="A2559" s="59">
        <v>4</v>
      </c>
      <c r="B2559" s="59">
        <v>81</v>
      </c>
      <c r="C2559" s="59">
        <v>710</v>
      </c>
      <c r="D2559" s="51">
        <v>1</v>
      </c>
      <c r="E2559" s="51">
        <f t="shared" si="39"/>
        <v>0</v>
      </c>
    </row>
    <row r="2560" spans="1:5">
      <c r="A2560" s="59">
        <v>4</v>
      </c>
      <c r="B2560" s="59">
        <v>81</v>
      </c>
      <c r="C2560" s="59">
        <v>990</v>
      </c>
      <c r="D2560" s="51">
        <v>1</v>
      </c>
      <c r="E2560" s="51">
        <f t="shared" si="39"/>
        <v>0</v>
      </c>
    </row>
    <row r="2561" spans="1:5">
      <c r="A2561" s="59">
        <v>5</v>
      </c>
      <c r="B2561" s="59">
        <v>71</v>
      </c>
      <c r="C2561" s="59">
        <v>720</v>
      </c>
      <c r="D2561" s="51">
        <v>1018345</v>
      </c>
      <c r="E2561" s="51">
        <f t="shared" si="39"/>
        <v>0</v>
      </c>
    </row>
    <row r="2562" spans="1:5">
      <c r="A2562" s="59">
        <v>5</v>
      </c>
      <c r="B2562" s="59">
        <v>64</v>
      </c>
      <c r="C2562" s="59">
        <v>720</v>
      </c>
      <c r="D2562" s="51">
        <v>596990</v>
      </c>
      <c r="E2562" s="51">
        <f t="shared" ref="E2562:E2625" si="40">IF(OR(A2562=6,A2562=7,A2562=14,A2562=15,A2562=16,A2562=17,A2562=18,A2562=19,A2562=20,A2562=21,A2562=22,A2562=23,A2562=25,A2562=26,A2562=27,A2562=28,B2562=41,B2562=44,B2562=62),1,0)</f>
        <v>0</v>
      </c>
    </row>
    <row r="2563" spans="1:5">
      <c r="A2563" s="59">
        <v>5</v>
      </c>
      <c r="B2563" s="59">
        <v>62</v>
      </c>
      <c r="C2563" s="59">
        <v>720</v>
      </c>
      <c r="D2563" s="51">
        <v>548517</v>
      </c>
      <c r="E2563" s="51">
        <f t="shared" si="40"/>
        <v>1</v>
      </c>
    </row>
    <row r="2564" spans="1:5">
      <c r="A2564" s="59">
        <v>5</v>
      </c>
      <c r="B2564" s="59">
        <v>43</v>
      </c>
      <c r="C2564" s="59">
        <v>720</v>
      </c>
      <c r="D2564" s="51">
        <v>324412</v>
      </c>
      <c r="E2564" s="51">
        <f t="shared" si="40"/>
        <v>0</v>
      </c>
    </row>
    <row r="2565" spans="1:5">
      <c r="A2565" s="59">
        <v>5</v>
      </c>
      <c r="B2565" s="59">
        <v>63</v>
      </c>
      <c r="C2565" s="59">
        <v>720</v>
      </c>
      <c r="D2565" s="51">
        <v>212022</v>
      </c>
      <c r="E2565" s="51">
        <f t="shared" si="40"/>
        <v>0</v>
      </c>
    </row>
    <row r="2566" spans="1:5">
      <c r="A2566" s="59">
        <v>5</v>
      </c>
      <c r="B2566" s="59">
        <v>44</v>
      </c>
      <c r="C2566" s="59">
        <v>720</v>
      </c>
      <c r="D2566" s="51">
        <v>161876</v>
      </c>
      <c r="E2566" s="51">
        <f t="shared" si="40"/>
        <v>1</v>
      </c>
    </row>
    <row r="2567" spans="1:5">
      <c r="A2567" s="59">
        <v>5</v>
      </c>
      <c r="B2567" s="59">
        <v>64</v>
      </c>
      <c r="C2567" s="59">
        <v>730</v>
      </c>
      <c r="D2567" s="51">
        <v>139590</v>
      </c>
      <c r="E2567" s="51">
        <f t="shared" si="40"/>
        <v>0</v>
      </c>
    </row>
    <row r="2568" spans="1:5">
      <c r="A2568" s="59">
        <v>5</v>
      </c>
      <c r="B2568" s="59">
        <v>81</v>
      </c>
      <c r="C2568" s="59">
        <v>720</v>
      </c>
      <c r="D2568" s="51">
        <v>129554</v>
      </c>
      <c r="E2568" s="51">
        <f t="shared" si="40"/>
        <v>0</v>
      </c>
    </row>
    <row r="2569" spans="1:5">
      <c r="A2569" s="59">
        <v>5</v>
      </c>
      <c r="B2569" s="59">
        <v>64</v>
      </c>
      <c r="C2569" s="59">
        <v>510</v>
      </c>
      <c r="D2569" s="51">
        <v>123654</v>
      </c>
      <c r="E2569" s="51">
        <f t="shared" si="40"/>
        <v>0</v>
      </c>
    </row>
    <row r="2570" spans="1:5">
      <c r="A2570" s="59">
        <v>5</v>
      </c>
      <c r="B2570" s="59">
        <v>62</v>
      </c>
      <c r="C2570" s="59">
        <v>730</v>
      </c>
      <c r="D2570" s="51">
        <v>110387</v>
      </c>
      <c r="E2570" s="51">
        <f t="shared" si="40"/>
        <v>1</v>
      </c>
    </row>
    <row r="2571" spans="1:5">
      <c r="A2571" s="59">
        <v>5</v>
      </c>
      <c r="B2571" s="59">
        <v>41</v>
      </c>
      <c r="C2571" s="59">
        <v>720</v>
      </c>
      <c r="D2571" s="51">
        <v>94123</v>
      </c>
      <c r="E2571" s="51">
        <f t="shared" si="40"/>
        <v>1</v>
      </c>
    </row>
    <row r="2572" spans="1:5">
      <c r="A2572" s="59">
        <v>5</v>
      </c>
      <c r="B2572" s="59">
        <v>71</v>
      </c>
      <c r="C2572" s="59">
        <v>730</v>
      </c>
      <c r="D2572" s="51">
        <v>84263</v>
      </c>
      <c r="E2572" s="51">
        <f t="shared" si="40"/>
        <v>0</v>
      </c>
    </row>
    <row r="2573" spans="1:5">
      <c r="A2573" s="59">
        <v>5</v>
      </c>
      <c r="B2573" s="59">
        <v>71</v>
      </c>
      <c r="C2573" s="59">
        <v>710</v>
      </c>
      <c r="D2573" s="51">
        <v>79473</v>
      </c>
      <c r="E2573" s="51">
        <f t="shared" si="40"/>
        <v>0</v>
      </c>
    </row>
    <row r="2574" spans="1:5">
      <c r="A2574" s="59">
        <v>5</v>
      </c>
      <c r="B2574" s="59">
        <v>63</v>
      </c>
      <c r="C2574" s="59">
        <v>730</v>
      </c>
      <c r="D2574" s="51">
        <v>64246</v>
      </c>
      <c r="E2574" s="51">
        <f t="shared" si="40"/>
        <v>0</v>
      </c>
    </row>
    <row r="2575" spans="1:5">
      <c r="A2575" s="59">
        <v>5</v>
      </c>
      <c r="B2575" s="59">
        <v>64</v>
      </c>
      <c r="C2575" s="59">
        <v>910</v>
      </c>
      <c r="D2575" s="51">
        <v>63412</v>
      </c>
      <c r="E2575" s="51">
        <f t="shared" si="40"/>
        <v>0</v>
      </c>
    </row>
    <row r="2576" spans="1:5">
      <c r="A2576" s="59">
        <v>5</v>
      </c>
      <c r="B2576" s="59">
        <v>63</v>
      </c>
      <c r="C2576" s="59">
        <v>510</v>
      </c>
      <c r="D2576" s="51">
        <v>54334</v>
      </c>
      <c r="E2576" s="51">
        <f t="shared" si="40"/>
        <v>0</v>
      </c>
    </row>
    <row r="2577" spans="1:5">
      <c r="A2577" s="59">
        <v>5</v>
      </c>
      <c r="B2577" s="59">
        <v>62</v>
      </c>
      <c r="C2577" s="59">
        <v>510</v>
      </c>
      <c r="D2577" s="51">
        <v>51788</v>
      </c>
      <c r="E2577" s="51">
        <f t="shared" si="40"/>
        <v>1</v>
      </c>
    </row>
    <row r="2578" spans="1:5">
      <c r="A2578" s="59">
        <v>5</v>
      </c>
      <c r="B2578" s="59">
        <v>43</v>
      </c>
      <c r="C2578" s="59">
        <v>730</v>
      </c>
      <c r="D2578" s="51">
        <v>38774</v>
      </c>
      <c r="E2578" s="51">
        <f t="shared" si="40"/>
        <v>0</v>
      </c>
    </row>
    <row r="2579" spans="1:5">
      <c r="A2579" s="59">
        <v>5</v>
      </c>
      <c r="B2579" s="59">
        <v>62</v>
      </c>
      <c r="C2579" s="59">
        <v>710</v>
      </c>
      <c r="D2579" s="51">
        <v>35920</v>
      </c>
      <c r="E2579" s="51">
        <f t="shared" si="40"/>
        <v>1</v>
      </c>
    </row>
    <row r="2580" spans="1:5">
      <c r="A2580" s="59">
        <v>5</v>
      </c>
      <c r="B2580" s="59">
        <v>62</v>
      </c>
      <c r="C2580" s="59">
        <v>910</v>
      </c>
      <c r="D2580" s="51">
        <v>34272</v>
      </c>
      <c r="E2580" s="51">
        <f t="shared" si="40"/>
        <v>1</v>
      </c>
    </row>
    <row r="2581" spans="1:5">
      <c r="A2581" s="59">
        <v>5</v>
      </c>
      <c r="B2581" s="59">
        <v>71</v>
      </c>
      <c r="C2581" s="59">
        <v>510</v>
      </c>
      <c r="D2581" s="51">
        <v>33977</v>
      </c>
      <c r="E2581" s="51">
        <f t="shared" si="40"/>
        <v>0</v>
      </c>
    </row>
    <row r="2582" spans="1:5">
      <c r="A2582" s="59">
        <v>5</v>
      </c>
      <c r="B2582" s="59">
        <v>43</v>
      </c>
      <c r="C2582" s="59">
        <v>910</v>
      </c>
      <c r="D2582" s="51">
        <v>31804</v>
      </c>
      <c r="E2582" s="51">
        <f t="shared" si="40"/>
        <v>0</v>
      </c>
    </row>
    <row r="2583" spans="1:5">
      <c r="A2583" s="59">
        <v>5</v>
      </c>
      <c r="B2583" s="59">
        <v>43</v>
      </c>
      <c r="C2583" s="59">
        <v>510</v>
      </c>
      <c r="D2583" s="51">
        <v>30857</v>
      </c>
      <c r="E2583" s="51">
        <f t="shared" si="40"/>
        <v>0</v>
      </c>
    </row>
    <row r="2584" spans="1:5">
      <c r="A2584" s="59">
        <v>5</v>
      </c>
      <c r="B2584" s="59">
        <v>64</v>
      </c>
      <c r="C2584" s="59">
        <v>530</v>
      </c>
      <c r="D2584" s="51">
        <v>30095</v>
      </c>
      <c r="E2584" s="51">
        <f t="shared" si="40"/>
        <v>0</v>
      </c>
    </row>
    <row r="2585" spans="1:5">
      <c r="A2585" s="59">
        <v>5</v>
      </c>
      <c r="B2585" s="59">
        <v>64</v>
      </c>
      <c r="C2585" s="59">
        <v>710</v>
      </c>
      <c r="D2585" s="51">
        <v>29555</v>
      </c>
      <c r="E2585" s="51">
        <f t="shared" si="40"/>
        <v>0</v>
      </c>
    </row>
    <row r="2586" spans="1:5">
      <c r="A2586" s="59">
        <v>5</v>
      </c>
      <c r="B2586" s="59">
        <v>71</v>
      </c>
      <c r="C2586" s="59">
        <v>910</v>
      </c>
      <c r="D2586" s="51">
        <v>23533</v>
      </c>
      <c r="E2586" s="51">
        <f t="shared" si="40"/>
        <v>0</v>
      </c>
    </row>
    <row r="2587" spans="1:5">
      <c r="A2587" s="59">
        <v>5</v>
      </c>
      <c r="B2587" s="59">
        <v>64</v>
      </c>
      <c r="C2587" s="59">
        <v>750</v>
      </c>
      <c r="D2587" s="51">
        <v>20965</v>
      </c>
      <c r="E2587" s="51">
        <f t="shared" si="40"/>
        <v>0</v>
      </c>
    </row>
    <row r="2588" spans="1:5">
      <c r="A2588" s="59">
        <v>5</v>
      </c>
      <c r="B2588" s="59">
        <v>63</v>
      </c>
      <c r="C2588" s="59">
        <v>910</v>
      </c>
      <c r="D2588" s="51">
        <v>19051</v>
      </c>
      <c r="E2588" s="51">
        <f t="shared" si="40"/>
        <v>0</v>
      </c>
    </row>
    <row r="2589" spans="1:5">
      <c r="A2589" s="59">
        <v>5</v>
      </c>
      <c r="B2589" s="59">
        <v>81</v>
      </c>
      <c r="C2589" s="59">
        <v>730</v>
      </c>
      <c r="D2589" s="51">
        <v>17205</v>
      </c>
      <c r="E2589" s="51">
        <f t="shared" si="40"/>
        <v>0</v>
      </c>
    </row>
    <row r="2590" spans="1:5">
      <c r="A2590" s="59">
        <v>5</v>
      </c>
      <c r="B2590" s="59">
        <v>64</v>
      </c>
      <c r="C2590" s="59">
        <v>110</v>
      </c>
      <c r="D2590" s="51">
        <v>16978</v>
      </c>
      <c r="E2590" s="51">
        <f t="shared" si="40"/>
        <v>0</v>
      </c>
    </row>
    <row r="2591" spans="1:5">
      <c r="A2591" s="59">
        <v>5</v>
      </c>
      <c r="B2591" s="59">
        <v>13</v>
      </c>
      <c r="C2591" s="59">
        <v>720</v>
      </c>
      <c r="D2591" s="51">
        <v>16599</v>
      </c>
      <c r="E2591" s="51">
        <f t="shared" si="40"/>
        <v>0</v>
      </c>
    </row>
    <row r="2592" spans="1:5">
      <c r="A2592" s="59">
        <v>5</v>
      </c>
      <c r="B2592" s="59">
        <v>43</v>
      </c>
      <c r="C2592" s="59">
        <v>710</v>
      </c>
      <c r="D2592" s="51">
        <v>14503</v>
      </c>
      <c r="E2592" s="51">
        <f t="shared" si="40"/>
        <v>0</v>
      </c>
    </row>
    <row r="2593" spans="1:5">
      <c r="A2593" s="59">
        <v>5</v>
      </c>
      <c r="B2593" s="59">
        <v>62</v>
      </c>
      <c r="C2593" s="59">
        <v>920</v>
      </c>
      <c r="D2593" s="51">
        <v>14362</v>
      </c>
      <c r="E2593" s="51">
        <f t="shared" si="40"/>
        <v>1</v>
      </c>
    </row>
    <row r="2594" spans="1:5">
      <c r="A2594" s="59">
        <v>5</v>
      </c>
      <c r="B2594" s="59">
        <v>64</v>
      </c>
      <c r="C2594" s="59">
        <v>520</v>
      </c>
      <c r="D2594" s="51">
        <v>13972</v>
      </c>
      <c r="E2594" s="51">
        <f t="shared" si="40"/>
        <v>0</v>
      </c>
    </row>
    <row r="2595" spans="1:5">
      <c r="A2595" s="59">
        <v>5</v>
      </c>
      <c r="B2595" s="59">
        <v>14</v>
      </c>
      <c r="C2595" s="59">
        <v>720</v>
      </c>
      <c r="D2595" s="51">
        <v>13698</v>
      </c>
      <c r="E2595" s="51">
        <f t="shared" si="40"/>
        <v>0</v>
      </c>
    </row>
    <row r="2596" spans="1:5">
      <c r="A2596" s="59">
        <v>5</v>
      </c>
      <c r="B2596" s="59">
        <v>44</v>
      </c>
      <c r="C2596" s="59">
        <v>910</v>
      </c>
      <c r="D2596" s="51">
        <v>13485</v>
      </c>
      <c r="E2596" s="51">
        <f t="shared" si="40"/>
        <v>1</v>
      </c>
    </row>
    <row r="2597" spans="1:5">
      <c r="A2597" s="59">
        <v>5</v>
      </c>
      <c r="B2597" s="59">
        <v>64</v>
      </c>
      <c r="C2597" s="59">
        <v>150</v>
      </c>
      <c r="D2597" s="51">
        <v>13467</v>
      </c>
      <c r="E2597" s="51">
        <f t="shared" si="40"/>
        <v>0</v>
      </c>
    </row>
    <row r="2598" spans="1:5">
      <c r="A2598" s="59">
        <v>5</v>
      </c>
      <c r="B2598" s="59">
        <v>62</v>
      </c>
      <c r="C2598" s="59">
        <v>750</v>
      </c>
      <c r="D2598" s="51">
        <v>12663</v>
      </c>
      <c r="E2598" s="51">
        <f t="shared" si="40"/>
        <v>1</v>
      </c>
    </row>
    <row r="2599" spans="1:5">
      <c r="A2599" s="59">
        <v>5</v>
      </c>
      <c r="B2599" s="59">
        <v>43</v>
      </c>
      <c r="C2599" s="59">
        <v>530</v>
      </c>
      <c r="D2599" s="51">
        <v>12066</v>
      </c>
      <c r="E2599" s="51">
        <f t="shared" si="40"/>
        <v>0</v>
      </c>
    </row>
    <row r="2600" spans="1:5">
      <c r="A2600" s="59">
        <v>5</v>
      </c>
      <c r="B2600" s="59">
        <v>44</v>
      </c>
      <c r="C2600" s="59">
        <v>730</v>
      </c>
      <c r="D2600" s="51">
        <v>11995</v>
      </c>
      <c r="E2600" s="51">
        <f t="shared" si="40"/>
        <v>1</v>
      </c>
    </row>
    <row r="2601" spans="1:5">
      <c r="A2601" s="59">
        <v>5</v>
      </c>
      <c r="B2601" s="59">
        <v>64</v>
      </c>
      <c r="C2601" s="59">
        <v>610</v>
      </c>
      <c r="D2601" s="51">
        <v>11941</v>
      </c>
      <c r="E2601" s="51">
        <f t="shared" si="40"/>
        <v>0</v>
      </c>
    </row>
    <row r="2602" spans="1:5">
      <c r="A2602" s="59">
        <v>5</v>
      </c>
      <c r="B2602" s="59">
        <v>63</v>
      </c>
      <c r="C2602" s="59">
        <v>710</v>
      </c>
      <c r="D2602" s="51">
        <v>11094</v>
      </c>
      <c r="E2602" s="51">
        <f t="shared" si="40"/>
        <v>0</v>
      </c>
    </row>
    <row r="2603" spans="1:5">
      <c r="A2603" s="59">
        <v>5</v>
      </c>
      <c r="B2603" s="59">
        <v>13</v>
      </c>
      <c r="C2603" s="59">
        <v>150</v>
      </c>
      <c r="D2603" s="51">
        <v>10764</v>
      </c>
      <c r="E2603" s="51">
        <f t="shared" si="40"/>
        <v>0</v>
      </c>
    </row>
    <row r="2604" spans="1:5">
      <c r="A2604" s="59">
        <v>5</v>
      </c>
      <c r="B2604" s="59">
        <v>62</v>
      </c>
      <c r="C2604" s="59">
        <v>530</v>
      </c>
      <c r="D2604" s="51">
        <v>10382</v>
      </c>
      <c r="E2604" s="51">
        <f t="shared" si="40"/>
        <v>1</v>
      </c>
    </row>
    <row r="2605" spans="1:5">
      <c r="A2605" s="59">
        <v>5</v>
      </c>
      <c r="B2605" s="59">
        <v>71</v>
      </c>
      <c r="C2605" s="59">
        <v>750</v>
      </c>
      <c r="D2605" s="51">
        <v>10104</v>
      </c>
      <c r="E2605" s="51">
        <f t="shared" si="40"/>
        <v>0</v>
      </c>
    </row>
    <row r="2606" spans="1:5">
      <c r="A2606" s="59">
        <v>5</v>
      </c>
      <c r="B2606" s="59">
        <v>14</v>
      </c>
      <c r="C2606" s="59">
        <v>150</v>
      </c>
      <c r="D2606" s="51">
        <v>9302</v>
      </c>
      <c r="E2606" s="51">
        <f t="shared" si="40"/>
        <v>0</v>
      </c>
    </row>
    <row r="2607" spans="1:5">
      <c r="A2607" s="59">
        <v>5</v>
      </c>
      <c r="B2607" s="59">
        <v>43</v>
      </c>
      <c r="C2607" s="59">
        <v>520</v>
      </c>
      <c r="D2607" s="51">
        <v>9266</v>
      </c>
      <c r="E2607" s="51">
        <f t="shared" si="40"/>
        <v>0</v>
      </c>
    </row>
    <row r="2608" spans="1:5">
      <c r="A2608" s="59">
        <v>5</v>
      </c>
      <c r="B2608" s="59">
        <v>43</v>
      </c>
      <c r="C2608" s="59">
        <v>750</v>
      </c>
      <c r="D2608" s="51">
        <v>8805</v>
      </c>
      <c r="E2608" s="51">
        <f t="shared" si="40"/>
        <v>0</v>
      </c>
    </row>
    <row r="2609" spans="1:5">
      <c r="A2609" s="59">
        <v>5</v>
      </c>
      <c r="B2609" s="59">
        <v>71</v>
      </c>
      <c r="C2609" s="59">
        <v>610</v>
      </c>
      <c r="D2609" s="51">
        <v>8610</v>
      </c>
      <c r="E2609" s="51">
        <f t="shared" si="40"/>
        <v>0</v>
      </c>
    </row>
    <row r="2610" spans="1:5">
      <c r="A2610" s="59">
        <v>5</v>
      </c>
      <c r="B2610" s="59">
        <v>14</v>
      </c>
      <c r="C2610" s="59">
        <v>910</v>
      </c>
      <c r="D2610" s="51">
        <v>8162</v>
      </c>
      <c r="E2610" s="51">
        <f t="shared" si="40"/>
        <v>0</v>
      </c>
    </row>
    <row r="2611" spans="1:5">
      <c r="A2611" s="59">
        <v>5</v>
      </c>
      <c r="B2611" s="59">
        <v>63</v>
      </c>
      <c r="C2611" s="59">
        <v>530</v>
      </c>
      <c r="D2611" s="51">
        <v>8090</v>
      </c>
      <c r="E2611" s="51">
        <f t="shared" si="40"/>
        <v>0</v>
      </c>
    </row>
    <row r="2612" spans="1:5">
      <c r="A2612" s="59">
        <v>5</v>
      </c>
      <c r="B2612" s="59">
        <v>44</v>
      </c>
      <c r="C2612" s="59">
        <v>510</v>
      </c>
      <c r="D2612" s="51">
        <v>7608</v>
      </c>
      <c r="E2612" s="51">
        <f t="shared" si="40"/>
        <v>1</v>
      </c>
    </row>
    <row r="2613" spans="1:5">
      <c r="A2613" s="59">
        <v>5</v>
      </c>
      <c r="B2613" s="59">
        <v>64</v>
      </c>
      <c r="C2613" s="59">
        <v>160</v>
      </c>
      <c r="D2613" s="51">
        <v>7208</v>
      </c>
      <c r="E2613" s="51">
        <f t="shared" si="40"/>
        <v>0</v>
      </c>
    </row>
    <row r="2614" spans="1:5">
      <c r="A2614" s="59">
        <v>5</v>
      </c>
      <c r="B2614" s="59">
        <v>64</v>
      </c>
      <c r="C2614" s="59">
        <v>920</v>
      </c>
      <c r="D2614" s="51">
        <v>7128</v>
      </c>
      <c r="E2614" s="51">
        <f t="shared" si="40"/>
        <v>0</v>
      </c>
    </row>
    <row r="2615" spans="1:5">
      <c r="A2615" s="59">
        <v>5</v>
      </c>
      <c r="B2615" s="59">
        <v>43</v>
      </c>
      <c r="C2615" s="59">
        <v>150</v>
      </c>
      <c r="D2615" s="51">
        <v>7114</v>
      </c>
      <c r="E2615" s="51">
        <f t="shared" si="40"/>
        <v>0</v>
      </c>
    </row>
    <row r="2616" spans="1:5">
      <c r="A2616" s="59">
        <v>5</v>
      </c>
      <c r="B2616" s="59">
        <v>32</v>
      </c>
      <c r="C2616" s="59">
        <v>720</v>
      </c>
      <c r="D2616" s="51">
        <v>7101</v>
      </c>
      <c r="E2616" s="51">
        <f t="shared" si="40"/>
        <v>0</v>
      </c>
    </row>
    <row r="2617" spans="1:5">
      <c r="A2617" s="59">
        <v>5</v>
      </c>
      <c r="B2617" s="59">
        <v>63</v>
      </c>
      <c r="C2617" s="59">
        <v>610</v>
      </c>
      <c r="D2617" s="51">
        <v>7085</v>
      </c>
      <c r="E2617" s="51">
        <f t="shared" si="40"/>
        <v>0</v>
      </c>
    </row>
    <row r="2618" spans="1:5">
      <c r="A2618" s="59">
        <v>5</v>
      </c>
      <c r="B2618" s="59">
        <v>71</v>
      </c>
      <c r="C2618" s="59">
        <v>920</v>
      </c>
      <c r="D2618" s="51">
        <v>6842</v>
      </c>
      <c r="E2618" s="51">
        <f t="shared" si="40"/>
        <v>0</v>
      </c>
    </row>
    <row r="2619" spans="1:5">
      <c r="A2619" s="59">
        <v>5</v>
      </c>
      <c r="B2619" s="59">
        <v>64</v>
      </c>
      <c r="C2619" s="59">
        <v>861</v>
      </c>
      <c r="D2619" s="51">
        <v>6590</v>
      </c>
      <c r="E2619" s="51">
        <f t="shared" si="40"/>
        <v>0</v>
      </c>
    </row>
    <row r="2620" spans="1:5">
      <c r="A2620" s="59">
        <v>5</v>
      </c>
      <c r="B2620" s="59">
        <v>13</v>
      </c>
      <c r="C2620" s="59">
        <v>910</v>
      </c>
      <c r="D2620" s="51">
        <v>6300</v>
      </c>
      <c r="E2620" s="51">
        <f t="shared" si="40"/>
        <v>0</v>
      </c>
    </row>
    <row r="2621" spans="1:5">
      <c r="A2621" s="59">
        <v>5</v>
      </c>
      <c r="B2621" s="59">
        <v>63</v>
      </c>
      <c r="C2621" s="59">
        <v>750</v>
      </c>
      <c r="D2621" s="51">
        <v>6067</v>
      </c>
      <c r="E2621" s="51">
        <f t="shared" si="40"/>
        <v>0</v>
      </c>
    </row>
    <row r="2622" spans="1:5">
      <c r="A2622" s="59">
        <v>5</v>
      </c>
      <c r="B2622" s="59">
        <v>62</v>
      </c>
      <c r="C2622" s="59">
        <v>610</v>
      </c>
      <c r="D2622" s="51">
        <v>5733</v>
      </c>
      <c r="E2622" s="51">
        <f t="shared" si="40"/>
        <v>1</v>
      </c>
    </row>
    <row r="2623" spans="1:5">
      <c r="A2623" s="59">
        <v>5</v>
      </c>
      <c r="B2623" s="59">
        <v>41</v>
      </c>
      <c r="C2623" s="59">
        <v>730</v>
      </c>
      <c r="D2623" s="51">
        <v>5588</v>
      </c>
      <c r="E2623" s="51">
        <f t="shared" si="40"/>
        <v>1</v>
      </c>
    </row>
    <row r="2624" spans="1:5">
      <c r="A2624" s="59">
        <v>5</v>
      </c>
      <c r="B2624" s="59">
        <v>81</v>
      </c>
      <c r="C2624" s="59">
        <v>510</v>
      </c>
      <c r="D2624" s="51">
        <v>5436</v>
      </c>
      <c r="E2624" s="51">
        <f t="shared" si="40"/>
        <v>0</v>
      </c>
    </row>
    <row r="2625" spans="1:5">
      <c r="A2625" s="59">
        <v>5</v>
      </c>
      <c r="B2625" s="59">
        <v>43</v>
      </c>
      <c r="C2625" s="59">
        <v>110</v>
      </c>
      <c r="D2625" s="51">
        <v>5218</v>
      </c>
      <c r="E2625" s="51">
        <f t="shared" si="40"/>
        <v>0</v>
      </c>
    </row>
    <row r="2626" spans="1:5">
      <c r="A2626" s="59">
        <v>5</v>
      </c>
      <c r="B2626" s="59">
        <v>71</v>
      </c>
      <c r="C2626" s="59">
        <v>530</v>
      </c>
      <c r="D2626" s="51">
        <v>5147</v>
      </c>
      <c r="E2626" s="51">
        <f t="shared" ref="E2626:E2689" si="41">IF(OR(A2626=6,A2626=7,A2626=14,A2626=15,A2626=16,A2626=17,A2626=18,A2626=19,A2626=20,A2626=21,A2626=22,A2626=23,A2626=25,A2626=26,A2626=27,A2626=28,B2626=41,B2626=44,B2626=62),1,0)</f>
        <v>0</v>
      </c>
    </row>
    <row r="2627" spans="1:5">
      <c r="A2627" s="59">
        <v>5</v>
      </c>
      <c r="B2627" s="59">
        <v>62</v>
      </c>
      <c r="C2627" s="59">
        <v>150</v>
      </c>
      <c r="D2627" s="51">
        <v>4842</v>
      </c>
      <c r="E2627" s="51">
        <f t="shared" si="41"/>
        <v>1</v>
      </c>
    </row>
    <row r="2628" spans="1:5">
      <c r="A2628" s="59">
        <v>5</v>
      </c>
      <c r="B2628" s="59">
        <v>62</v>
      </c>
      <c r="C2628" s="59">
        <v>520</v>
      </c>
      <c r="D2628" s="51">
        <v>4644</v>
      </c>
      <c r="E2628" s="51">
        <f t="shared" si="41"/>
        <v>1</v>
      </c>
    </row>
    <row r="2629" spans="1:5">
      <c r="A2629" s="59">
        <v>5</v>
      </c>
      <c r="B2629" s="59">
        <v>81</v>
      </c>
      <c r="C2629" s="59">
        <v>910</v>
      </c>
      <c r="D2629" s="51">
        <v>4600</v>
      </c>
      <c r="E2629" s="51">
        <f t="shared" si="41"/>
        <v>0</v>
      </c>
    </row>
    <row r="2630" spans="1:5">
      <c r="A2630" s="59">
        <v>5</v>
      </c>
      <c r="B2630" s="59">
        <v>43</v>
      </c>
      <c r="C2630" s="59">
        <v>160</v>
      </c>
      <c r="D2630" s="51">
        <v>4481</v>
      </c>
      <c r="E2630" s="51">
        <f t="shared" si="41"/>
        <v>0</v>
      </c>
    </row>
    <row r="2631" spans="1:5">
      <c r="A2631" s="59">
        <v>5</v>
      </c>
      <c r="B2631" s="59">
        <v>13</v>
      </c>
      <c r="C2631" s="59">
        <v>730</v>
      </c>
      <c r="D2631" s="51">
        <v>4423</v>
      </c>
      <c r="E2631" s="51">
        <f t="shared" si="41"/>
        <v>0</v>
      </c>
    </row>
    <row r="2632" spans="1:5">
      <c r="A2632" s="59">
        <v>5</v>
      </c>
      <c r="B2632" s="59">
        <v>41</v>
      </c>
      <c r="C2632" s="59">
        <v>710</v>
      </c>
      <c r="D2632" s="51">
        <v>4419</v>
      </c>
      <c r="E2632" s="51">
        <f t="shared" si="41"/>
        <v>1</v>
      </c>
    </row>
    <row r="2633" spans="1:5">
      <c r="A2633" s="59">
        <v>5</v>
      </c>
      <c r="B2633" s="59">
        <v>43</v>
      </c>
      <c r="C2633" s="59">
        <v>610</v>
      </c>
      <c r="D2633" s="51">
        <v>4271</v>
      </c>
      <c r="E2633" s="51">
        <f t="shared" si="41"/>
        <v>0</v>
      </c>
    </row>
    <row r="2634" spans="1:5">
      <c r="A2634" s="59">
        <v>5</v>
      </c>
      <c r="B2634" s="59">
        <v>43</v>
      </c>
      <c r="C2634" s="59">
        <v>920</v>
      </c>
      <c r="D2634" s="51">
        <v>4132</v>
      </c>
      <c r="E2634" s="51">
        <f t="shared" si="41"/>
        <v>0</v>
      </c>
    </row>
    <row r="2635" spans="1:5">
      <c r="A2635" s="59">
        <v>5</v>
      </c>
      <c r="B2635" s="59">
        <v>81</v>
      </c>
      <c r="C2635" s="59">
        <v>710</v>
      </c>
      <c r="D2635" s="51">
        <v>4055</v>
      </c>
      <c r="E2635" s="51">
        <f t="shared" si="41"/>
        <v>0</v>
      </c>
    </row>
    <row r="2636" spans="1:5">
      <c r="A2636" s="59">
        <v>5</v>
      </c>
      <c r="B2636" s="59">
        <v>63</v>
      </c>
      <c r="C2636" s="59">
        <v>520</v>
      </c>
      <c r="D2636" s="51">
        <v>4045</v>
      </c>
      <c r="E2636" s="51">
        <f t="shared" si="41"/>
        <v>0</v>
      </c>
    </row>
    <row r="2637" spans="1:5">
      <c r="A2637" s="59">
        <v>5</v>
      </c>
      <c r="B2637" s="59">
        <v>63</v>
      </c>
      <c r="C2637" s="59">
        <v>920</v>
      </c>
      <c r="D2637" s="51">
        <v>4017</v>
      </c>
      <c r="E2637" s="51">
        <f t="shared" si="41"/>
        <v>0</v>
      </c>
    </row>
    <row r="2638" spans="1:5">
      <c r="A2638" s="59">
        <v>5</v>
      </c>
      <c r="B2638" s="59">
        <v>42</v>
      </c>
      <c r="C2638" s="59">
        <v>720</v>
      </c>
      <c r="D2638" s="51">
        <v>3916</v>
      </c>
      <c r="E2638" s="51">
        <f t="shared" si="41"/>
        <v>0</v>
      </c>
    </row>
    <row r="2639" spans="1:5">
      <c r="A2639" s="59">
        <v>5</v>
      </c>
      <c r="B2639" s="59">
        <v>13</v>
      </c>
      <c r="C2639" s="59">
        <v>510</v>
      </c>
      <c r="D2639" s="51">
        <v>3871</v>
      </c>
      <c r="E2639" s="51">
        <f t="shared" si="41"/>
        <v>0</v>
      </c>
    </row>
    <row r="2640" spans="1:5">
      <c r="A2640" s="59">
        <v>5</v>
      </c>
      <c r="B2640" s="59">
        <v>41</v>
      </c>
      <c r="C2640" s="59">
        <v>910</v>
      </c>
      <c r="D2640" s="51">
        <v>3742</v>
      </c>
      <c r="E2640" s="51">
        <f t="shared" si="41"/>
        <v>1</v>
      </c>
    </row>
    <row r="2641" spans="1:5">
      <c r="A2641" s="59">
        <v>5</v>
      </c>
      <c r="B2641" s="59">
        <v>13</v>
      </c>
      <c r="C2641" s="59">
        <v>110</v>
      </c>
      <c r="D2641" s="51">
        <v>3712</v>
      </c>
      <c r="E2641" s="51">
        <f t="shared" si="41"/>
        <v>0</v>
      </c>
    </row>
    <row r="2642" spans="1:5">
      <c r="A2642" s="59">
        <v>5</v>
      </c>
      <c r="B2642" s="59">
        <v>14</v>
      </c>
      <c r="C2642" s="59">
        <v>110</v>
      </c>
      <c r="D2642" s="51">
        <v>3644</v>
      </c>
      <c r="E2642" s="51">
        <f t="shared" si="41"/>
        <v>0</v>
      </c>
    </row>
    <row r="2643" spans="1:5">
      <c r="A2643" s="59">
        <v>5</v>
      </c>
      <c r="B2643" s="59">
        <v>64</v>
      </c>
      <c r="C2643" s="59">
        <v>740</v>
      </c>
      <c r="D2643" s="51">
        <v>3342</v>
      </c>
      <c r="E2643" s="51">
        <f t="shared" si="41"/>
        <v>0</v>
      </c>
    </row>
    <row r="2644" spans="1:5">
      <c r="A2644" s="59">
        <v>5</v>
      </c>
      <c r="B2644" s="59">
        <v>14</v>
      </c>
      <c r="C2644" s="59">
        <v>730</v>
      </c>
      <c r="D2644" s="51">
        <v>3288</v>
      </c>
      <c r="E2644" s="51">
        <f t="shared" si="41"/>
        <v>0</v>
      </c>
    </row>
    <row r="2645" spans="1:5">
      <c r="A2645" s="59">
        <v>5</v>
      </c>
      <c r="B2645" s="59">
        <v>71</v>
      </c>
      <c r="C2645" s="59">
        <v>520</v>
      </c>
      <c r="D2645" s="51">
        <v>3157</v>
      </c>
      <c r="E2645" s="51">
        <f t="shared" si="41"/>
        <v>0</v>
      </c>
    </row>
    <row r="2646" spans="1:5">
      <c r="A2646" s="59">
        <v>5</v>
      </c>
      <c r="B2646" s="59">
        <v>64</v>
      </c>
      <c r="C2646" s="59">
        <v>860</v>
      </c>
      <c r="D2646" s="51">
        <v>2950</v>
      </c>
      <c r="E2646" s="51">
        <f t="shared" si="41"/>
        <v>0</v>
      </c>
    </row>
    <row r="2647" spans="1:5">
      <c r="A2647" s="59">
        <v>5</v>
      </c>
      <c r="B2647" s="59">
        <v>14</v>
      </c>
      <c r="C2647" s="59">
        <v>160</v>
      </c>
      <c r="D2647" s="51">
        <v>2877</v>
      </c>
      <c r="E2647" s="51">
        <f t="shared" si="41"/>
        <v>0</v>
      </c>
    </row>
    <row r="2648" spans="1:5">
      <c r="A2648" s="59">
        <v>5</v>
      </c>
      <c r="B2648" s="59">
        <v>44</v>
      </c>
      <c r="C2648" s="59">
        <v>750</v>
      </c>
      <c r="D2648" s="51">
        <v>2854</v>
      </c>
      <c r="E2648" s="51">
        <f t="shared" si="41"/>
        <v>1</v>
      </c>
    </row>
    <row r="2649" spans="1:5">
      <c r="A2649" s="59">
        <v>5</v>
      </c>
      <c r="B2649" s="59">
        <v>62</v>
      </c>
      <c r="C2649" s="59">
        <v>110</v>
      </c>
      <c r="D2649" s="51">
        <v>2842</v>
      </c>
      <c r="E2649" s="51">
        <f t="shared" si="41"/>
        <v>1</v>
      </c>
    </row>
    <row r="2650" spans="1:5">
      <c r="A2650" s="59">
        <v>5</v>
      </c>
      <c r="B2650" s="59">
        <v>81</v>
      </c>
      <c r="C2650" s="59">
        <v>990</v>
      </c>
      <c r="D2650" s="51">
        <v>2817</v>
      </c>
      <c r="E2650" s="51">
        <f t="shared" si="41"/>
        <v>0</v>
      </c>
    </row>
    <row r="2651" spans="1:5">
      <c r="A2651" s="59">
        <v>5</v>
      </c>
      <c r="B2651" s="59">
        <v>14</v>
      </c>
      <c r="C2651" s="59">
        <v>510</v>
      </c>
      <c r="D2651" s="51">
        <v>2736</v>
      </c>
      <c r="E2651" s="51">
        <f t="shared" si="41"/>
        <v>0</v>
      </c>
    </row>
    <row r="2652" spans="1:5">
      <c r="A2652" s="59">
        <v>5</v>
      </c>
      <c r="B2652" s="59">
        <v>32</v>
      </c>
      <c r="C2652" s="59">
        <v>420</v>
      </c>
      <c r="D2652" s="51">
        <v>2722</v>
      </c>
      <c r="E2652" s="51">
        <f t="shared" si="41"/>
        <v>0</v>
      </c>
    </row>
    <row r="2653" spans="1:5">
      <c r="A2653" s="59">
        <v>5</v>
      </c>
      <c r="B2653" s="59">
        <v>13</v>
      </c>
      <c r="C2653" s="59">
        <v>160</v>
      </c>
      <c r="D2653" s="51">
        <v>2470</v>
      </c>
      <c r="E2653" s="51">
        <f t="shared" si="41"/>
        <v>0</v>
      </c>
    </row>
    <row r="2654" spans="1:5">
      <c r="A2654" s="59">
        <v>5</v>
      </c>
      <c r="B2654" s="59">
        <v>64</v>
      </c>
      <c r="C2654" s="59">
        <v>410</v>
      </c>
      <c r="D2654" s="51">
        <v>2446</v>
      </c>
      <c r="E2654" s="51">
        <f t="shared" si="41"/>
        <v>0</v>
      </c>
    </row>
    <row r="2655" spans="1:5">
      <c r="A2655" s="59">
        <v>5</v>
      </c>
      <c r="B2655" s="59">
        <v>41</v>
      </c>
      <c r="C2655" s="59">
        <v>510</v>
      </c>
      <c r="D2655" s="51">
        <v>2422</v>
      </c>
      <c r="E2655" s="51">
        <f t="shared" si="41"/>
        <v>1</v>
      </c>
    </row>
    <row r="2656" spans="1:5">
      <c r="A2656" s="59">
        <v>5</v>
      </c>
      <c r="B2656" s="59">
        <v>44</v>
      </c>
      <c r="C2656" s="59">
        <v>530</v>
      </c>
      <c r="D2656" s="51">
        <v>2336</v>
      </c>
      <c r="E2656" s="51">
        <f t="shared" si="41"/>
        <v>1</v>
      </c>
    </row>
    <row r="2657" spans="1:5">
      <c r="A2657" s="59">
        <v>5</v>
      </c>
      <c r="B2657" s="59">
        <v>43</v>
      </c>
      <c r="C2657" s="59">
        <v>930</v>
      </c>
      <c r="D2657" s="51">
        <v>2326</v>
      </c>
      <c r="E2657" s="51">
        <f t="shared" si="41"/>
        <v>0</v>
      </c>
    </row>
    <row r="2658" spans="1:5">
      <c r="A2658" s="59">
        <v>5</v>
      </c>
      <c r="B2658" s="59">
        <v>63</v>
      </c>
      <c r="C2658" s="59">
        <v>110</v>
      </c>
      <c r="D2658" s="51">
        <v>2155</v>
      </c>
      <c r="E2658" s="51">
        <f t="shared" si="41"/>
        <v>0</v>
      </c>
    </row>
    <row r="2659" spans="1:5">
      <c r="A2659" s="59">
        <v>5</v>
      </c>
      <c r="B2659" s="59">
        <v>15</v>
      </c>
      <c r="C2659" s="59">
        <v>720</v>
      </c>
      <c r="D2659" s="51">
        <v>1914</v>
      </c>
      <c r="E2659" s="51">
        <f t="shared" si="41"/>
        <v>0</v>
      </c>
    </row>
    <row r="2660" spans="1:5">
      <c r="A2660" s="59">
        <v>5</v>
      </c>
      <c r="B2660" s="59">
        <v>42</v>
      </c>
      <c r="C2660" s="59">
        <v>510</v>
      </c>
      <c r="D2660" s="51">
        <v>1911</v>
      </c>
      <c r="E2660" s="51">
        <f t="shared" si="41"/>
        <v>0</v>
      </c>
    </row>
    <row r="2661" spans="1:5">
      <c r="A2661" s="59">
        <v>5</v>
      </c>
      <c r="B2661" s="59">
        <v>64</v>
      </c>
      <c r="C2661" s="59">
        <v>420</v>
      </c>
      <c r="D2661" s="51">
        <v>1869</v>
      </c>
      <c r="E2661" s="51">
        <f t="shared" si="41"/>
        <v>0</v>
      </c>
    </row>
    <row r="2662" spans="1:5">
      <c r="A2662" s="59">
        <v>5</v>
      </c>
      <c r="B2662" s="59">
        <v>81</v>
      </c>
      <c r="C2662" s="59">
        <v>920</v>
      </c>
      <c r="D2662" s="51">
        <v>1852</v>
      </c>
      <c r="E2662" s="51">
        <f t="shared" si="41"/>
        <v>0</v>
      </c>
    </row>
    <row r="2663" spans="1:5">
      <c r="A2663" s="59">
        <v>5</v>
      </c>
      <c r="B2663" s="59">
        <v>32</v>
      </c>
      <c r="C2663" s="59">
        <v>910</v>
      </c>
      <c r="D2663" s="51">
        <v>1785</v>
      </c>
      <c r="E2663" s="51">
        <f t="shared" si="41"/>
        <v>0</v>
      </c>
    </row>
    <row r="2664" spans="1:5">
      <c r="A2664" s="59">
        <v>5</v>
      </c>
      <c r="B2664" s="59">
        <v>41</v>
      </c>
      <c r="C2664" s="59">
        <v>750</v>
      </c>
      <c r="D2664" s="51">
        <v>1704</v>
      </c>
      <c r="E2664" s="51">
        <f t="shared" si="41"/>
        <v>1</v>
      </c>
    </row>
    <row r="2665" spans="1:5">
      <c r="A2665" s="59">
        <v>5</v>
      </c>
      <c r="B2665" s="59">
        <v>42</v>
      </c>
      <c r="C2665" s="59">
        <v>730</v>
      </c>
      <c r="D2665" s="51">
        <v>1603</v>
      </c>
      <c r="E2665" s="51">
        <f t="shared" si="41"/>
        <v>0</v>
      </c>
    </row>
    <row r="2666" spans="1:5">
      <c r="A2666" s="59">
        <v>5</v>
      </c>
      <c r="B2666" s="59">
        <v>64</v>
      </c>
      <c r="C2666" s="59">
        <v>550</v>
      </c>
      <c r="D2666" s="51">
        <v>1548</v>
      </c>
      <c r="E2666" s="51">
        <f t="shared" si="41"/>
        <v>0</v>
      </c>
    </row>
    <row r="2667" spans="1:5">
      <c r="A2667" s="59">
        <v>5</v>
      </c>
      <c r="B2667" s="59">
        <v>13</v>
      </c>
      <c r="C2667" s="59">
        <v>530</v>
      </c>
      <c r="D2667" s="51">
        <v>1543</v>
      </c>
      <c r="E2667" s="51">
        <f t="shared" si="41"/>
        <v>0</v>
      </c>
    </row>
    <row r="2668" spans="1:5">
      <c r="A2668" s="59">
        <v>5</v>
      </c>
      <c r="B2668" s="59">
        <v>43</v>
      </c>
      <c r="C2668" s="59">
        <v>861</v>
      </c>
      <c r="D2668" s="51">
        <v>1515</v>
      </c>
      <c r="E2668" s="51">
        <f t="shared" si="41"/>
        <v>0</v>
      </c>
    </row>
    <row r="2669" spans="1:5">
      <c r="A2669" s="59">
        <v>5</v>
      </c>
      <c r="B2669" s="59">
        <v>44</v>
      </c>
      <c r="C2669" s="59">
        <v>920</v>
      </c>
      <c r="D2669" s="51">
        <v>1493</v>
      </c>
      <c r="E2669" s="51">
        <f t="shared" si="41"/>
        <v>1</v>
      </c>
    </row>
    <row r="2670" spans="1:5">
      <c r="A2670" s="59">
        <v>5</v>
      </c>
      <c r="B2670" s="59">
        <v>33</v>
      </c>
      <c r="C2670" s="59">
        <v>720</v>
      </c>
      <c r="D2670" s="51">
        <v>1491</v>
      </c>
      <c r="E2670" s="51">
        <f t="shared" si="41"/>
        <v>0</v>
      </c>
    </row>
    <row r="2671" spans="1:5">
      <c r="A2671" s="59">
        <v>5</v>
      </c>
      <c r="B2671" s="59">
        <v>15</v>
      </c>
      <c r="C2671" s="59">
        <v>910</v>
      </c>
      <c r="D2671" s="51">
        <v>1472</v>
      </c>
      <c r="E2671" s="51">
        <f t="shared" si="41"/>
        <v>0</v>
      </c>
    </row>
    <row r="2672" spans="1:5">
      <c r="A2672" s="59">
        <v>5</v>
      </c>
      <c r="B2672" s="59">
        <v>64</v>
      </c>
      <c r="C2672" s="59">
        <v>620</v>
      </c>
      <c r="D2672" s="51">
        <v>1465</v>
      </c>
      <c r="E2672" s="51">
        <f t="shared" si="41"/>
        <v>0</v>
      </c>
    </row>
    <row r="2673" spans="1:5">
      <c r="A2673" s="59">
        <v>5</v>
      </c>
      <c r="B2673" s="59">
        <v>14</v>
      </c>
      <c r="C2673" s="59">
        <v>140</v>
      </c>
      <c r="D2673" s="51">
        <v>1462</v>
      </c>
      <c r="E2673" s="51">
        <f t="shared" si="41"/>
        <v>0</v>
      </c>
    </row>
    <row r="2674" spans="1:5">
      <c r="A2674" s="59">
        <v>5</v>
      </c>
      <c r="B2674" s="59">
        <v>61</v>
      </c>
      <c r="C2674" s="59">
        <v>720</v>
      </c>
      <c r="D2674" s="51">
        <v>1445</v>
      </c>
      <c r="E2674" s="51">
        <f t="shared" si="41"/>
        <v>0</v>
      </c>
    </row>
    <row r="2675" spans="1:5">
      <c r="A2675" s="59">
        <v>5</v>
      </c>
      <c r="B2675" s="59">
        <v>44</v>
      </c>
      <c r="C2675" s="59">
        <v>710</v>
      </c>
      <c r="D2675" s="51">
        <v>1441</v>
      </c>
      <c r="E2675" s="51">
        <f t="shared" si="41"/>
        <v>1</v>
      </c>
    </row>
    <row r="2676" spans="1:5">
      <c r="A2676" s="59">
        <v>5</v>
      </c>
      <c r="B2676" s="59">
        <v>63</v>
      </c>
      <c r="C2676" s="59">
        <v>740</v>
      </c>
      <c r="D2676" s="51">
        <v>1433</v>
      </c>
      <c r="E2676" s="51">
        <f t="shared" si="41"/>
        <v>0</v>
      </c>
    </row>
    <row r="2677" spans="1:5">
      <c r="A2677" s="59">
        <v>5</v>
      </c>
      <c r="B2677" s="59">
        <v>32</v>
      </c>
      <c r="C2677" s="59">
        <v>730</v>
      </c>
      <c r="D2677" s="51">
        <v>1369</v>
      </c>
      <c r="E2677" s="51">
        <f t="shared" si="41"/>
        <v>0</v>
      </c>
    </row>
    <row r="2678" spans="1:5">
      <c r="A2678" s="59">
        <v>5</v>
      </c>
      <c r="B2678" s="59">
        <v>44</v>
      </c>
      <c r="C2678" s="59">
        <v>520</v>
      </c>
      <c r="D2678" s="51">
        <v>1343</v>
      </c>
      <c r="E2678" s="51">
        <f t="shared" si="41"/>
        <v>1</v>
      </c>
    </row>
    <row r="2679" spans="1:5">
      <c r="A2679" s="59">
        <v>5</v>
      </c>
      <c r="B2679" s="59">
        <v>62</v>
      </c>
      <c r="C2679" s="59">
        <v>740</v>
      </c>
      <c r="D2679" s="51">
        <v>1336</v>
      </c>
      <c r="E2679" s="51">
        <f t="shared" si="41"/>
        <v>1</v>
      </c>
    </row>
    <row r="2680" spans="1:5">
      <c r="A2680" s="59">
        <v>5</v>
      </c>
      <c r="B2680" s="59">
        <v>62</v>
      </c>
      <c r="C2680" s="59">
        <v>990</v>
      </c>
      <c r="D2680" s="51">
        <v>1322</v>
      </c>
      <c r="E2680" s="51">
        <f t="shared" si="41"/>
        <v>1</v>
      </c>
    </row>
    <row r="2681" spans="1:5">
      <c r="A2681" s="59">
        <v>5</v>
      </c>
      <c r="B2681" s="59">
        <v>62</v>
      </c>
      <c r="C2681" s="59">
        <v>160</v>
      </c>
      <c r="D2681" s="51">
        <v>1317</v>
      </c>
      <c r="E2681" s="51">
        <f t="shared" si="41"/>
        <v>1</v>
      </c>
    </row>
    <row r="2682" spans="1:5">
      <c r="A2682" s="59">
        <v>5</v>
      </c>
      <c r="B2682" s="59">
        <v>14</v>
      </c>
      <c r="C2682" s="59">
        <v>530</v>
      </c>
      <c r="D2682" s="51">
        <v>1307</v>
      </c>
      <c r="E2682" s="51">
        <f t="shared" si="41"/>
        <v>0</v>
      </c>
    </row>
    <row r="2683" spans="1:5">
      <c r="A2683" s="59">
        <v>5</v>
      </c>
      <c r="B2683" s="59">
        <v>81</v>
      </c>
      <c r="C2683" s="59">
        <v>750</v>
      </c>
      <c r="D2683" s="51">
        <v>1289</v>
      </c>
      <c r="E2683" s="51">
        <f t="shared" si="41"/>
        <v>0</v>
      </c>
    </row>
    <row r="2684" spans="1:5">
      <c r="A2684" s="59">
        <v>5</v>
      </c>
      <c r="B2684" s="59">
        <v>64</v>
      </c>
      <c r="C2684" s="59">
        <v>440</v>
      </c>
      <c r="D2684" s="51">
        <v>1277</v>
      </c>
      <c r="E2684" s="51">
        <f t="shared" si="41"/>
        <v>0</v>
      </c>
    </row>
    <row r="2685" spans="1:5">
      <c r="A2685" s="59">
        <v>5</v>
      </c>
      <c r="B2685" s="59">
        <v>43</v>
      </c>
      <c r="C2685" s="59">
        <v>860</v>
      </c>
      <c r="D2685" s="51">
        <v>1214</v>
      </c>
      <c r="E2685" s="51">
        <f t="shared" si="41"/>
        <v>0</v>
      </c>
    </row>
    <row r="2686" spans="1:5">
      <c r="A2686" s="59">
        <v>5</v>
      </c>
      <c r="B2686" s="59">
        <v>71</v>
      </c>
      <c r="C2686" s="59">
        <v>110</v>
      </c>
      <c r="D2686" s="51">
        <v>1213</v>
      </c>
      <c r="E2686" s="51">
        <f t="shared" si="41"/>
        <v>0</v>
      </c>
    </row>
    <row r="2687" spans="1:5">
      <c r="A2687" s="59">
        <v>5</v>
      </c>
      <c r="B2687" s="59">
        <v>64</v>
      </c>
      <c r="C2687" s="59">
        <v>210</v>
      </c>
      <c r="D2687" s="51">
        <v>1205</v>
      </c>
      <c r="E2687" s="51">
        <f t="shared" si="41"/>
        <v>0</v>
      </c>
    </row>
    <row r="2688" spans="1:5">
      <c r="A2688" s="59">
        <v>5</v>
      </c>
      <c r="B2688" s="59">
        <v>41</v>
      </c>
      <c r="C2688" s="59">
        <v>530</v>
      </c>
      <c r="D2688" s="51">
        <v>1196</v>
      </c>
      <c r="E2688" s="51">
        <f t="shared" si="41"/>
        <v>1</v>
      </c>
    </row>
    <row r="2689" spans="1:5">
      <c r="A2689" s="59">
        <v>5</v>
      </c>
      <c r="B2689" s="59">
        <v>44</v>
      </c>
      <c r="C2689" s="59">
        <v>610</v>
      </c>
      <c r="D2689" s="51">
        <v>1181</v>
      </c>
      <c r="E2689" s="51">
        <f t="shared" si="41"/>
        <v>1</v>
      </c>
    </row>
    <row r="2690" spans="1:5">
      <c r="A2690" s="59">
        <v>5</v>
      </c>
      <c r="B2690" s="59">
        <v>43</v>
      </c>
      <c r="C2690" s="59">
        <v>210</v>
      </c>
      <c r="D2690" s="51">
        <v>1138</v>
      </c>
      <c r="E2690" s="51">
        <f t="shared" ref="E2690:E2753" si="42">IF(OR(A2690=6,A2690=7,A2690=14,A2690=15,A2690=16,A2690=17,A2690=18,A2690=19,A2690=20,A2690=21,A2690=22,A2690=23,A2690=25,A2690=26,A2690=27,A2690=28,B2690=41,B2690=44,B2690=62),1,0)</f>
        <v>0</v>
      </c>
    </row>
    <row r="2691" spans="1:5">
      <c r="A2691" s="59">
        <v>5</v>
      </c>
      <c r="B2691" s="59">
        <v>64</v>
      </c>
      <c r="C2691" s="59">
        <v>230</v>
      </c>
      <c r="D2691" s="51">
        <v>1119</v>
      </c>
      <c r="E2691" s="51">
        <f t="shared" si="42"/>
        <v>0</v>
      </c>
    </row>
    <row r="2692" spans="1:5">
      <c r="A2692" s="59">
        <v>5</v>
      </c>
      <c r="B2692" s="59">
        <v>81</v>
      </c>
      <c r="C2692" s="59">
        <v>530</v>
      </c>
      <c r="D2692" s="51">
        <v>1116</v>
      </c>
      <c r="E2692" s="51">
        <f t="shared" si="42"/>
        <v>0</v>
      </c>
    </row>
    <row r="2693" spans="1:5">
      <c r="A2693" s="59">
        <v>5</v>
      </c>
      <c r="B2693" s="59">
        <v>41</v>
      </c>
      <c r="C2693" s="59">
        <v>150</v>
      </c>
      <c r="D2693" s="51">
        <v>1100</v>
      </c>
      <c r="E2693" s="51">
        <f t="shared" si="42"/>
        <v>1</v>
      </c>
    </row>
    <row r="2694" spans="1:5">
      <c r="A2694" s="59">
        <v>5</v>
      </c>
      <c r="B2694" s="59">
        <v>63</v>
      </c>
      <c r="C2694" s="59">
        <v>150</v>
      </c>
      <c r="D2694" s="51">
        <v>1062</v>
      </c>
      <c r="E2694" s="51">
        <f t="shared" si="42"/>
        <v>0</v>
      </c>
    </row>
    <row r="2695" spans="1:5">
      <c r="A2695" s="59">
        <v>5</v>
      </c>
      <c r="B2695" s="59">
        <v>15</v>
      </c>
      <c r="C2695" s="59">
        <v>150</v>
      </c>
      <c r="D2695" s="51">
        <v>1041</v>
      </c>
      <c r="E2695" s="51">
        <f t="shared" si="42"/>
        <v>0</v>
      </c>
    </row>
    <row r="2696" spans="1:5">
      <c r="A2696" s="59">
        <v>5</v>
      </c>
      <c r="B2696" s="59">
        <v>43</v>
      </c>
      <c r="C2696" s="59">
        <v>620</v>
      </c>
      <c r="D2696" s="51">
        <v>996</v>
      </c>
      <c r="E2696" s="51">
        <f t="shared" si="42"/>
        <v>0</v>
      </c>
    </row>
    <row r="2697" spans="1:5">
      <c r="A2697" s="59">
        <v>5</v>
      </c>
      <c r="B2697" s="59">
        <v>42</v>
      </c>
      <c r="C2697" s="59">
        <v>610</v>
      </c>
      <c r="D2697" s="51">
        <v>978</v>
      </c>
      <c r="E2697" s="51">
        <f t="shared" si="42"/>
        <v>0</v>
      </c>
    </row>
    <row r="2698" spans="1:5">
      <c r="A2698" s="59">
        <v>5</v>
      </c>
      <c r="B2698" s="59">
        <v>22</v>
      </c>
      <c r="C2698" s="59">
        <v>720</v>
      </c>
      <c r="D2698" s="51">
        <v>969</v>
      </c>
      <c r="E2698" s="51">
        <f t="shared" si="42"/>
        <v>0</v>
      </c>
    </row>
    <row r="2699" spans="1:5">
      <c r="A2699" s="59">
        <v>5</v>
      </c>
      <c r="B2699" s="59">
        <v>43</v>
      </c>
      <c r="C2699" s="59">
        <v>940</v>
      </c>
      <c r="D2699" s="51">
        <v>952</v>
      </c>
      <c r="E2699" s="51">
        <f t="shared" si="42"/>
        <v>0</v>
      </c>
    </row>
    <row r="2700" spans="1:5">
      <c r="A2700" s="59">
        <v>5</v>
      </c>
      <c r="B2700" s="59">
        <v>32</v>
      </c>
      <c r="C2700" s="59">
        <v>410</v>
      </c>
      <c r="D2700" s="51">
        <v>944</v>
      </c>
      <c r="E2700" s="51">
        <f t="shared" si="42"/>
        <v>0</v>
      </c>
    </row>
    <row r="2701" spans="1:5">
      <c r="A2701" s="59">
        <v>5</v>
      </c>
      <c r="B2701" s="59">
        <v>71</v>
      </c>
      <c r="C2701" s="59">
        <v>740</v>
      </c>
      <c r="D2701" s="51">
        <v>917</v>
      </c>
      <c r="E2701" s="51">
        <f t="shared" si="42"/>
        <v>0</v>
      </c>
    </row>
    <row r="2702" spans="1:5">
      <c r="A2702" s="59">
        <v>5</v>
      </c>
      <c r="B2702" s="59">
        <v>71</v>
      </c>
      <c r="C2702" s="59">
        <v>160</v>
      </c>
      <c r="D2702" s="51">
        <v>909</v>
      </c>
      <c r="E2702" s="51">
        <f t="shared" si="42"/>
        <v>0</v>
      </c>
    </row>
    <row r="2703" spans="1:5">
      <c r="A2703" s="59">
        <v>5</v>
      </c>
      <c r="B2703" s="59">
        <v>16</v>
      </c>
      <c r="C2703" s="59">
        <v>720</v>
      </c>
      <c r="D2703" s="51">
        <v>890</v>
      </c>
      <c r="E2703" s="51">
        <f t="shared" si="42"/>
        <v>0</v>
      </c>
    </row>
    <row r="2704" spans="1:5">
      <c r="A2704" s="59">
        <v>5</v>
      </c>
      <c r="B2704" s="59">
        <v>64</v>
      </c>
      <c r="C2704" s="59">
        <v>430</v>
      </c>
      <c r="D2704" s="51">
        <v>875</v>
      </c>
      <c r="E2704" s="51">
        <f t="shared" si="42"/>
        <v>0</v>
      </c>
    </row>
    <row r="2705" spans="1:5">
      <c r="A2705" s="59">
        <v>5</v>
      </c>
      <c r="B2705" s="59">
        <v>71</v>
      </c>
      <c r="C2705" s="59">
        <v>990</v>
      </c>
      <c r="D2705" s="51">
        <v>867</v>
      </c>
      <c r="E2705" s="51">
        <f t="shared" si="42"/>
        <v>0</v>
      </c>
    </row>
    <row r="2706" spans="1:5">
      <c r="A2706" s="59">
        <v>5</v>
      </c>
      <c r="B2706" s="59">
        <v>63</v>
      </c>
      <c r="C2706" s="59">
        <v>440</v>
      </c>
      <c r="D2706" s="51">
        <v>850</v>
      </c>
      <c r="E2706" s="51">
        <f t="shared" si="42"/>
        <v>0</v>
      </c>
    </row>
    <row r="2707" spans="1:5">
      <c r="A2707" s="59">
        <v>5</v>
      </c>
      <c r="B2707" s="59">
        <v>41</v>
      </c>
      <c r="C2707" s="59">
        <v>920</v>
      </c>
      <c r="D2707" s="51">
        <v>829</v>
      </c>
      <c r="E2707" s="51">
        <f t="shared" si="42"/>
        <v>1</v>
      </c>
    </row>
    <row r="2708" spans="1:5">
      <c r="A2708" s="59">
        <v>5</v>
      </c>
      <c r="B2708" s="59">
        <v>13</v>
      </c>
      <c r="C2708" s="59">
        <v>750</v>
      </c>
      <c r="D2708" s="51">
        <v>822</v>
      </c>
      <c r="E2708" s="51">
        <f t="shared" si="42"/>
        <v>0</v>
      </c>
    </row>
    <row r="2709" spans="1:5">
      <c r="A2709" s="59">
        <v>5</v>
      </c>
      <c r="B2709" s="59">
        <v>71</v>
      </c>
      <c r="C2709" s="59">
        <v>620</v>
      </c>
      <c r="D2709" s="51">
        <v>800</v>
      </c>
      <c r="E2709" s="51">
        <f t="shared" si="42"/>
        <v>0</v>
      </c>
    </row>
    <row r="2710" spans="1:5">
      <c r="A2710" s="59">
        <v>5</v>
      </c>
      <c r="B2710" s="59">
        <v>32</v>
      </c>
      <c r="C2710" s="59">
        <v>510</v>
      </c>
      <c r="D2710" s="51">
        <v>797</v>
      </c>
      <c r="E2710" s="51">
        <f t="shared" si="42"/>
        <v>0</v>
      </c>
    </row>
    <row r="2711" spans="1:5">
      <c r="A2711" s="59">
        <v>5</v>
      </c>
      <c r="B2711" s="59">
        <v>43</v>
      </c>
      <c r="C2711" s="59">
        <v>410</v>
      </c>
      <c r="D2711" s="51">
        <v>794</v>
      </c>
      <c r="E2711" s="51">
        <f t="shared" si="42"/>
        <v>0</v>
      </c>
    </row>
    <row r="2712" spans="1:5">
      <c r="A2712" s="59">
        <v>5</v>
      </c>
      <c r="B2712" s="59">
        <v>64</v>
      </c>
      <c r="C2712" s="59">
        <v>970</v>
      </c>
      <c r="D2712" s="51">
        <v>793</v>
      </c>
      <c r="E2712" s="51">
        <f t="shared" si="42"/>
        <v>0</v>
      </c>
    </row>
    <row r="2713" spans="1:5">
      <c r="A2713" s="59">
        <v>5</v>
      </c>
      <c r="B2713" s="59">
        <v>15</v>
      </c>
      <c r="C2713" s="59">
        <v>140</v>
      </c>
      <c r="D2713" s="51">
        <v>754</v>
      </c>
      <c r="E2713" s="51">
        <f t="shared" si="42"/>
        <v>0</v>
      </c>
    </row>
    <row r="2714" spans="1:5">
      <c r="A2714" s="59">
        <v>5</v>
      </c>
      <c r="B2714" s="59">
        <v>63</v>
      </c>
      <c r="C2714" s="59">
        <v>160</v>
      </c>
      <c r="D2714" s="51">
        <v>754</v>
      </c>
      <c r="E2714" s="51">
        <f t="shared" si="42"/>
        <v>0</v>
      </c>
    </row>
    <row r="2715" spans="1:5">
      <c r="A2715" s="59">
        <v>5</v>
      </c>
      <c r="B2715" s="59">
        <v>64</v>
      </c>
      <c r="C2715" s="59">
        <v>930</v>
      </c>
      <c r="D2715" s="51">
        <v>743</v>
      </c>
      <c r="E2715" s="51">
        <f t="shared" si="42"/>
        <v>0</v>
      </c>
    </row>
    <row r="2716" spans="1:5">
      <c r="A2716" s="59">
        <v>5</v>
      </c>
      <c r="B2716" s="59">
        <v>62</v>
      </c>
      <c r="C2716" s="59">
        <v>440</v>
      </c>
      <c r="D2716" s="51">
        <v>731</v>
      </c>
      <c r="E2716" s="51">
        <f t="shared" si="42"/>
        <v>1</v>
      </c>
    </row>
    <row r="2717" spans="1:5">
      <c r="A2717" s="59">
        <v>5</v>
      </c>
      <c r="B2717" s="59">
        <v>43</v>
      </c>
      <c r="C2717" s="59">
        <v>420</v>
      </c>
      <c r="D2717" s="51">
        <v>730</v>
      </c>
      <c r="E2717" s="51">
        <f t="shared" si="42"/>
        <v>0</v>
      </c>
    </row>
    <row r="2718" spans="1:5">
      <c r="A2718" s="59">
        <v>5</v>
      </c>
      <c r="B2718" s="59">
        <v>64</v>
      </c>
      <c r="C2718" s="59">
        <v>540</v>
      </c>
      <c r="D2718" s="51">
        <v>728</v>
      </c>
      <c r="E2718" s="51">
        <f t="shared" si="42"/>
        <v>0</v>
      </c>
    </row>
    <row r="2719" spans="1:5">
      <c r="A2719" s="59">
        <v>5</v>
      </c>
      <c r="B2719" s="59">
        <v>43</v>
      </c>
      <c r="C2719" s="59">
        <v>230</v>
      </c>
      <c r="D2719" s="51">
        <v>725</v>
      </c>
      <c r="E2719" s="51">
        <f t="shared" si="42"/>
        <v>0</v>
      </c>
    </row>
    <row r="2720" spans="1:5">
      <c r="A2720" s="59">
        <v>5</v>
      </c>
      <c r="B2720" s="59">
        <v>43</v>
      </c>
      <c r="C2720" s="59">
        <v>840</v>
      </c>
      <c r="D2720" s="51">
        <v>708</v>
      </c>
      <c r="E2720" s="51">
        <f t="shared" si="42"/>
        <v>0</v>
      </c>
    </row>
    <row r="2721" spans="1:5">
      <c r="A2721" s="59">
        <v>5</v>
      </c>
      <c r="B2721" s="59">
        <v>43</v>
      </c>
      <c r="C2721" s="59">
        <v>970</v>
      </c>
      <c r="D2721" s="51">
        <v>684</v>
      </c>
      <c r="E2721" s="51">
        <f t="shared" si="42"/>
        <v>0</v>
      </c>
    </row>
    <row r="2722" spans="1:5">
      <c r="A2722" s="59">
        <v>5</v>
      </c>
      <c r="B2722" s="59">
        <v>41</v>
      </c>
      <c r="C2722" s="59">
        <v>520</v>
      </c>
      <c r="D2722" s="51">
        <v>681</v>
      </c>
      <c r="E2722" s="51">
        <f t="shared" si="42"/>
        <v>1</v>
      </c>
    </row>
    <row r="2723" spans="1:5">
      <c r="A2723" s="59">
        <v>5</v>
      </c>
      <c r="B2723" s="59">
        <v>43</v>
      </c>
      <c r="C2723" s="59">
        <v>430</v>
      </c>
      <c r="D2723" s="51">
        <v>675</v>
      </c>
      <c r="E2723" s="51">
        <f t="shared" si="42"/>
        <v>0</v>
      </c>
    </row>
    <row r="2724" spans="1:5">
      <c r="A2724" s="59">
        <v>5</v>
      </c>
      <c r="B2724" s="59">
        <v>43</v>
      </c>
      <c r="C2724" s="59">
        <v>740</v>
      </c>
      <c r="D2724" s="51">
        <v>667</v>
      </c>
      <c r="E2724" s="51">
        <f t="shared" si="42"/>
        <v>0</v>
      </c>
    </row>
    <row r="2725" spans="1:5">
      <c r="A2725" s="59">
        <v>5</v>
      </c>
      <c r="B2725" s="59">
        <v>14</v>
      </c>
      <c r="C2725" s="59">
        <v>750</v>
      </c>
      <c r="D2725" s="51">
        <v>660</v>
      </c>
      <c r="E2725" s="51">
        <f t="shared" si="42"/>
        <v>0</v>
      </c>
    </row>
    <row r="2726" spans="1:5">
      <c r="A2726" s="59">
        <v>5</v>
      </c>
      <c r="B2726" s="59">
        <v>62</v>
      </c>
      <c r="C2726" s="59">
        <v>620</v>
      </c>
      <c r="D2726" s="51">
        <v>649</v>
      </c>
      <c r="E2726" s="51">
        <f t="shared" si="42"/>
        <v>1</v>
      </c>
    </row>
    <row r="2727" spans="1:5">
      <c r="A2727" s="59">
        <v>5</v>
      </c>
      <c r="B2727" s="59">
        <v>63</v>
      </c>
      <c r="C2727" s="59">
        <v>620</v>
      </c>
      <c r="D2727" s="51">
        <v>633</v>
      </c>
      <c r="E2727" s="51">
        <f t="shared" si="42"/>
        <v>0</v>
      </c>
    </row>
    <row r="2728" spans="1:5">
      <c r="A2728" s="59">
        <v>5</v>
      </c>
      <c r="B2728" s="59">
        <v>42</v>
      </c>
      <c r="C2728" s="59">
        <v>910</v>
      </c>
      <c r="D2728" s="51">
        <v>631</v>
      </c>
      <c r="E2728" s="51">
        <f t="shared" si="42"/>
        <v>0</v>
      </c>
    </row>
    <row r="2729" spans="1:5">
      <c r="A2729" s="59">
        <v>5</v>
      </c>
      <c r="B2729" s="59">
        <v>71</v>
      </c>
      <c r="C2729" s="59">
        <v>440</v>
      </c>
      <c r="D2729" s="51">
        <v>617</v>
      </c>
      <c r="E2729" s="51">
        <f t="shared" si="42"/>
        <v>0</v>
      </c>
    </row>
    <row r="2730" spans="1:5">
      <c r="A2730" s="59">
        <v>5</v>
      </c>
      <c r="B2730" s="59">
        <v>64</v>
      </c>
      <c r="C2730" s="59">
        <v>820</v>
      </c>
      <c r="D2730" s="51">
        <v>610</v>
      </c>
      <c r="E2730" s="51">
        <f t="shared" si="42"/>
        <v>0</v>
      </c>
    </row>
    <row r="2731" spans="1:5">
      <c r="A2731" s="59">
        <v>5</v>
      </c>
      <c r="B2731" s="59">
        <v>63</v>
      </c>
      <c r="C2731" s="59">
        <v>550</v>
      </c>
      <c r="D2731" s="51">
        <v>600</v>
      </c>
      <c r="E2731" s="51">
        <f t="shared" si="42"/>
        <v>0</v>
      </c>
    </row>
    <row r="2732" spans="1:5">
      <c r="A2732" s="59">
        <v>5</v>
      </c>
      <c r="B2732" s="59">
        <v>44</v>
      </c>
      <c r="C2732" s="59">
        <v>930</v>
      </c>
      <c r="D2732" s="51">
        <v>594</v>
      </c>
      <c r="E2732" s="51">
        <f t="shared" si="42"/>
        <v>1</v>
      </c>
    </row>
    <row r="2733" spans="1:5">
      <c r="A2733" s="59">
        <v>5</v>
      </c>
      <c r="B2733" s="59">
        <v>64</v>
      </c>
      <c r="C2733" s="59">
        <v>990</v>
      </c>
      <c r="D2733" s="51">
        <v>592</v>
      </c>
      <c r="E2733" s="51">
        <f t="shared" si="42"/>
        <v>0</v>
      </c>
    </row>
    <row r="2734" spans="1:5">
      <c r="A2734" s="59">
        <v>5</v>
      </c>
      <c r="B2734" s="59">
        <v>71</v>
      </c>
      <c r="C2734" s="59">
        <v>150</v>
      </c>
      <c r="D2734" s="51">
        <v>579</v>
      </c>
      <c r="E2734" s="51">
        <f t="shared" si="42"/>
        <v>0</v>
      </c>
    </row>
    <row r="2735" spans="1:5">
      <c r="A2735" s="59">
        <v>5</v>
      </c>
      <c r="B2735" s="59">
        <v>81</v>
      </c>
      <c r="C2735" s="59">
        <v>610</v>
      </c>
      <c r="D2735" s="51">
        <v>564</v>
      </c>
      <c r="E2735" s="51">
        <f t="shared" si="42"/>
        <v>0</v>
      </c>
    </row>
    <row r="2736" spans="1:5">
      <c r="A2736" s="59">
        <v>5</v>
      </c>
      <c r="B2736" s="59">
        <v>43</v>
      </c>
      <c r="C2736" s="59">
        <v>240</v>
      </c>
      <c r="D2736" s="51">
        <v>559</v>
      </c>
      <c r="E2736" s="51">
        <f t="shared" si="42"/>
        <v>0</v>
      </c>
    </row>
    <row r="2737" spans="1:5">
      <c r="A2737" s="59">
        <v>5</v>
      </c>
      <c r="B2737" s="59">
        <v>16</v>
      </c>
      <c r="C2737" s="59">
        <v>150</v>
      </c>
      <c r="D2737" s="51">
        <v>557</v>
      </c>
      <c r="E2737" s="51">
        <f t="shared" si="42"/>
        <v>0</v>
      </c>
    </row>
    <row r="2738" spans="1:5">
      <c r="A2738" s="59">
        <v>5</v>
      </c>
      <c r="B2738" s="59">
        <v>44</v>
      </c>
      <c r="C2738" s="59">
        <v>990</v>
      </c>
      <c r="D2738" s="51">
        <v>553</v>
      </c>
      <c r="E2738" s="51">
        <f t="shared" si="42"/>
        <v>1</v>
      </c>
    </row>
    <row r="2739" spans="1:5">
      <c r="A2739" s="59">
        <v>5</v>
      </c>
      <c r="B2739" s="59">
        <v>16</v>
      </c>
      <c r="C2739" s="59">
        <v>910</v>
      </c>
      <c r="D2739" s="51">
        <v>539</v>
      </c>
      <c r="E2739" s="51">
        <f t="shared" si="42"/>
        <v>0</v>
      </c>
    </row>
    <row r="2740" spans="1:5">
      <c r="A2740" s="59">
        <v>5</v>
      </c>
      <c r="B2740" s="59">
        <v>22</v>
      </c>
      <c r="C2740" s="59">
        <v>910</v>
      </c>
      <c r="D2740" s="51">
        <v>523</v>
      </c>
      <c r="E2740" s="51">
        <f t="shared" si="42"/>
        <v>0</v>
      </c>
    </row>
    <row r="2741" spans="1:5">
      <c r="A2741" s="59">
        <v>5</v>
      </c>
      <c r="B2741" s="59">
        <v>43</v>
      </c>
      <c r="C2741" s="59">
        <v>990</v>
      </c>
      <c r="D2741" s="51">
        <v>507</v>
      </c>
      <c r="E2741" s="51">
        <f t="shared" si="42"/>
        <v>0</v>
      </c>
    </row>
    <row r="2742" spans="1:5">
      <c r="A2742" s="59">
        <v>5</v>
      </c>
      <c r="B2742" s="59">
        <v>41</v>
      </c>
      <c r="C2742" s="59">
        <v>110</v>
      </c>
      <c r="D2742" s="51">
        <v>505</v>
      </c>
      <c r="E2742" s="51">
        <f t="shared" si="42"/>
        <v>1</v>
      </c>
    </row>
    <row r="2743" spans="1:5">
      <c r="A2743" s="59">
        <v>5</v>
      </c>
      <c r="B2743" s="59">
        <v>33</v>
      </c>
      <c r="C2743" s="59">
        <v>420</v>
      </c>
      <c r="D2743" s="51">
        <v>502</v>
      </c>
      <c r="E2743" s="51">
        <f t="shared" si="42"/>
        <v>0</v>
      </c>
    </row>
    <row r="2744" spans="1:5">
      <c r="A2744" s="59">
        <v>5</v>
      </c>
      <c r="B2744" s="59">
        <v>51</v>
      </c>
      <c r="C2744" s="59">
        <v>720</v>
      </c>
      <c r="D2744" s="51">
        <v>500</v>
      </c>
      <c r="E2744" s="51">
        <f t="shared" si="42"/>
        <v>0</v>
      </c>
    </row>
    <row r="2745" spans="1:5">
      <c r="A2745" s="59">
        <v>5</v>
      </c>
      <c r="B2745" s="59">
        <v>33</v>
      </c>
      <c r="C2745" s="59">
        <v>910</v>
      </c>
      <c r="D2745" s="51">
        <v>498</v>
      </c>
      <c r="E2745" s="51">
        <f t="shared" si="42"/>
        <v>0</v>
      </c>
    </row>
    <row r="2746" spans="1:5">
      <c r="A2746" s="59">
        <v>5</v>
      </c>
      <c r="B2746" s="59">
        <v>11</v>
      </c>
      <c r="C2746" s="59">
        <v>720</v>
      </c>
      <c r="D2746" s="51">
        <v>497</v>
      </c>
      <c r="E2746" s="51">
        <f t="shared" si="42"/>
        <v>0</v>
      </c>
    </row>
    <row r="2747" spans="1:5">
      <c r="A2747" s="59">
        <v>5</v>
      </c>
      <c r="B2747" s="59">
        <v>71</v>
      </c>
      <c r="C2747" s="59">
        <v>960</v>
      </c>
      <c r="D2747" s="51">
        <v>488</v>
      </c>
      <c r="E2747" s="51">
        <f t="shared" si="42"/>
        <v>0</v>
      </c>
    </row>
    <row r="2748" spans="1:5">
      <c r="A2748" s="59">
        <v>5</v>
      </c>
      <c r="B2748" s="59">
        <v>13</v>
      </c>
      <c r="C2748" s="59">
        <v>930</v>
      </c>
      <c r="D2748" s="51">
        <v>487</v>
      </c>
      <c r="E2748" s="51">
        <f t="shared" si="42"/>
        <v>0</v>
      </c>
    </row>
    <row r="2749" spans="1:5">
      <c r="A2749" s="59">
        <v>5</v>
      </c>
      <c r="B2749" s="59">
        <v>41</v>
      </c>
      <c r="C2749" s="59">
        <v>610</v>
      </c>
      <c r="D2749" s="51">
        <v>469</v>
      </c>
      <c r="E2749" s="51">
        <f t="shared" si="42"/>
        <v>1</v>
      </c>
    </row>
    <row r="2750" spans="1:5">
      <c r="A2750" s="59">
        <v>5</v>
      </c>
      <c r="B2750" s="59">
        <v>64</v>
      </c>
      <c r="C2750" s="59">
        <v>310</v>
      </c>
      <c r="D2750" s="51">
        <v>445</v>
      </c>
      <c r="E2750" s="51">
        <f t="shared" si="42"/>
        <v>0</v>
      </c>
    </row>
    <row r="2751" spans="1:5">
      <c r="A2751" s="59">
        <v>5</v>
      </c>
      <c r="B2751" s="59">
        <v>44</v>
      </c>
      <c r="C2751" s="59">
        <v>160</v>
      </c>
      <c r="D2751" s="51">
        <v>444</v>
      </c>
      <c r="E2751" s="51">
        <f t="shared" si="42"/>
        <v>1</v>
      </c>
    </row>
    <row r="2752" spans="1:5">
      <c r="A2752" s="59">
        <v>5</v>
      </c>
      <c r="B2752" s="59">
        <v>62</v>
      </c>
      <c r="C2752" s="59">
        <v>550</v>
      </c>
      <c r="D2752" s="51">
        <v>443</v>
      </c>
      <c r="E2752" s="51">
        <f t="shared" si="42"/>
        <v>1</v>
      </c>
    </row>
    <row r="2753" spans="1:5">
      <c r="A2753" s="59">
        <v>5</v>
      </c>
      <c r="B2753" s="59">
        <v>41</v>
      </c>
      <c r="C2753" s="59">
        <v>160</v>
      </c>
      <c r="D2753" s="51">
        <v>429</v>
      </c>
      <c r="E2753" s="51">
        <f t="shared" si="42"/>
        <v>1</v>
      </c>
    </row>
    <row r="2754" spans="1:5">
      <c r="A2754" s="59">
        <v>5</v>
      </c>
      <c r="B2754" s="59">
        <v>43</v>
      </c>
      <c r="C2754" s="59">
        <v>850</v>
      </c>
      <c r="D2754" s="51">
        <v>394</v>
      </c>
      <c r="E2754" s="51">
        <f t="shared" ref="E2754:E2817" si="43">IF(OR(A2754=6,A2754=7,A2754=14,A2754=15,A2754=16,A2754=17,A2754=18,A2754=19,A2754=20,A2754=21,A2754=22,A2754=23,A2754=25,A2754=26,A2754=27,A2754=28,B2754=41,B2754=44,B2754=62),1,0)</f>
        <v>0</v>
      </c>
    </row>
    <row r="2755" spans="1:5">
      <c r="A2755" s="59">
        <v>5</v>
      </c>
      <c r="B2755" s="59">
        <v>63</v>
      </c>
      <c r="C2755" s="59">
        <v>970</v>
      </c>
      <c r="D2755" s="51">
        <v>393</v>
      </c>
      <c r="E2755" s="51">
        <f t="shared" si="43"/>
        <v>0</v>
      </c>
    </row>
    <row r="2756" spans="1:5">
      <c r="A2756" s="59">
        <v>5</v>
      </c>
      <c r="B2756" s="59">
        <v>32</v>
      </c>
      <c r="C2756" s="59">
        <v>530</v>
      </c>
      <c r="D2756" s="51">
        <v>390</v>
      </c>
      <c r="E2756" s="51">
        <f t="shared" si="43"/>
        <v>0</v>
      </c>
    </row>
    <row r="2757" spans="1:5">
      <c r="A2757" s="59">
        <v>5</v>
      </c>
      <c r="B2757" s="59">
        <v>32</v>
      </c>
      <c r="C2757" s="59">
        <v>430</v>
      </c>
      <c r="D2757" s="51">
        <v>388</v>
      </c>
      <c r="E2757" s="51">
        <f t="shared" si="43"/>
        <v>0</v>
      </c>
    </row>
    <row r="2758" spans="1:5">
      <c r="A2758" s="59">
        <v>5</v>
      </c>
      <c r="B2758" s="59">
        <v>14</v>
      </c>
      <c r="C2758" s="59">
        <v>520</v>
      </c>
      <c r="D2758" s="51">
        <v>379</v>
      </c>
      <c r="E2758" s="51">
        <f t="shared" si="43"/>
        <v>0</v>
      </c>
    </row>
    <row r="2759" spans="1:5">
      <c r="A2759" s="59">
        <v>5</v>
      </c>
      <c r="B2759" s="59">
        <v>14</v>
      </c>
      <c r="C2759" s="59">
        <v>710</v>
      </c>
      <c r="D2759" s="51">
        <v>379</v>
      </c>
      <c r="E2759" s="51">
        <f t="shared" si="43"/>
        <v>0</v>
      </c>
    </row>
    <row r="2760" spans="1:5">
      <c r="A2760" s="59">
        <v>5</v>
      </c>
      <c r="B2760" s="59">
        <v>15</v>
      </c>
      <c r="C2760" s="59">
        <v>110</v>
      </c>
      <c r="D2760" s="51">
        <v>376</v>
      </c>
      <c r="E2760" s="51">
        <f t="shared" si="43"/>
        <v>0</v>
      </c>
    </row>
    <row r="2761" spans="1:5">
      <c r="A2761" s="59">
        <v>5</v>
      </c>
      <c r="B2761" s="59">
        <v>33</v>
      </c>
      <c r="C2761" s="59">
        <v>730</v>
      </c>
      <c r="D2761" s="51">
        <v>374</v>
      </c>
      <c r="E2761" s="51">
        <f t="shared" si="43"/>
        <v>0</v>
      </c>
    </row>
    <row r="2762" spans="1:5">
      <c r="A2762" s="59">
        <v>5</v>
      </c>
      <c r="B2762" s="59">
        <v>42</v>
      </c>
      <c r="C2762" s="59">
        <v>920</v>
      </c>
      <c r="D2762" s="51">
        <v>373</v>
      </c>
      <c r="E2762" s="51">
        <f t="shared" si="43"/>
        <v>0</v>
      </c>
    </row>
    <row r="2763" spans="1:5">
      <c r="A2763" s="59">
        <v>5</v>
      </c>
      <c r="B2763" s="59">
        <v>13</v>
      </c>
      <c r="C2763" s="59">
        <v>710</v>
      </c>
      <c r="D2763" s="51">
        <v>367</v>
      </c>
      <c r="E2763" s="51">
        <f t="shared" si="43"/>
        <v>0</v>
      </c>
    </row>
    <row r="2764" spans="1:5">
      <c r="A2764" s="59">
        <v>5</v>
      </c>
      <c r="B2764" s="59">
        <v>43</v>
      </c>
      <c r="C2764" s="59">
        <v>895</v>
      </c>
      <c r="D2764" s="51">
        <v>358</v>
      </c>
      <c r="E2764" s="51">
        <f t="shared" si="43"/>
        <v>0</v>
      </c>
    </row>
    <row r="2765" spans="1:5">
      <c r="A2765" s="59">
        <v>5</v>
      </c>
      <c r="B2765" s="59">
        <v>13</v>
      </c>
      <c r="C2765" s="59">
        <v>610</v>
      </c>
      <c r="D2765" s="51">
        <v>356</v>
      </c>
      <c r="E2765" s="51">
        <f t="shared" si="43"/>
        <v>0</v>
      </c>
    </row>
    <row r="2766" spans="1:5">
      <c r="A2766" s="59">
        <v>5</v>
      </c>
      <c r="B2766" s="59">
        <v>14</v>
      </c>
      <c r="C2766" s="59">
        <v>210</v>
      </c>
      <c r="D2766" s="51">
        <v>346</v>
      </c>
      <c r="E2766" s="51">
        <f t="shared" si="43"/>
        <v>0</v>
      </c>
    </row>
    <row r="2767" spans="1:5">
      <c r="A2767" s="59">
        <v>5</v>
      </c>
      <c r="B2767" s="59">
        <v>81</v>
      </c>
      <c r="C2767" s="59">
        <v>110</v>
      </c>
      <c r="D2767" s="51">
        <v>344</v>
      </c>
      <c r="E2767" s="51">
        <f t="shared" si="43"/>
        <v>0</v>
      </c>
    </row>
    <row r="2768" spans="1:5">
      <c r="A2768" s="59">
        <v>5</v>
      </c>
      <c r="B2768" s="59">
        <v>63</v>
      </c>
      <c r="C2768" s="59">
        <v>990</v>
      </c>
      <c r="D2768" s="51">
        <v>340</v>
      </c>
      <c r="E2768" s="51">
        <f t="shared" si="43"/>
        <v>0</v>
      </c>
    </row>
    <row r="2769" spans="1:5">
      <c r="A2769" s="59">
        <v>5</v>
      </c>
      <c r="B2769" s="59">
        <v>64</v>
      </c>
      <c r="C2769" s="59">
        <v>870</v>
      </c>
      <c r="D2769" s="51">
        <v>336</v>
      </c>
      <c r="E2769" s="51">
        <f t="shared" si="43"/>
        <v>0</v>
      </c>
    </row>
    <row r="2770" spans="1:5">
      <c r="A2770" s="59">
        <v>5</v>
      </c>
      <c r="B2770" s="59">
        <v>13</v>
      </c>
      <c r="C2770" s="59">
        <v>520</v>
      </c>
      <c r="D2770" s="51">
        <v>334</v>
      </c>
      <c r="E2770" s="51">
        <f t="shared" si="43"/>
        <v>0</v>
      </c>
    </row>
    <row r="2771" spans="1:5">
      <c r="A2771" s="59">
        <v>5</v>
      </c>
      <c r="B2771" s="59">
        <v>42</v>
      </c>
      <c r="C2771" s="59">
        <v>530</v>
      </c>
      <c r="D2771" s="51">
        <v>330</v>
      </c>
      <c r="E2771" s="51">
        <f t="shared" si="43"/>
        <v>0</v>
      </c>
    </row>
    <row r="2772" spans="1:5">
      <c r="A2772" s="59">
        <v>5</v>
      </c>
      <c r="B2772" s="59">
        <v>14</v>
      </c>
      <c r="C2772" s="59">
        <v>130</v>
      </c>
      <c r="D2772" s="51">
        <v>320</v>
      </c>
      <c r="E2772" s="51">
        <f t="shared" si="43"/>
        <v>0</v>
      </c>
    </row>
    <row r="2773" spans="1:5">
      <c r="A2773" s="59">
        <v>5</v>
      </c>
      <c r="B2773" s="59">
        <v>71</v>
      </c>
      <c r="C2773" s="59">
        <v>550</v>
      </c>
      <c r="D2773" s="51">
        <v>319</v>
      </c>
      <c r="E2773" s="51">
        <f t="shared" si="43"/>
        <v>0</v>
      </c>
    </row>
    <row r="2774" spans="1:5">
      <c r="A2774" s="59">
        <v>5</v>
      </c>
      <c r="B2774" s="59">
        <v>14</v>
      </c>
      <c r="C2774" s="59">
        <v>320</v>
      </c>
      <c r="D2774" s="51">
        <v>318</v>
      </c>
      <c r="E2774" s="51">
        <f t="shared" si="43"/>
        <v>0</v>
      </c>
    </row>
    <row r="2775" spans="1:5">
      <c r="A2775" s="59">
        <v>5</v>
      </c>
      <c r="B2775" s="59">
        <v>33</v>
      </c>
      <c r="C2775" s="59">
        <v>510</v>
      </c>
      <c r="D2775" s="51">
        <v>314</v>
      </c>
      <c r="E2775" s="51">
        <f t="shared" si="43"/>
        <v>0</v>
      </c>
    </row>
    <row r="2776" spans="1:5">
      <c r="A2776" s="59">
        <v>5</v>
      </c>
      <c r="B2776" s="59">
        <v>32</v>
      </c>
      <c r="C2776" s="59">
        <v>750</v>
      </c>
      <c r="D2776" s="51">
        <v>313</v>
      </c>
      <c r="E2776" s="51">
        <f t="shared" si="43"/>
        <v>0</v>
      </c>
    </row>
    <row r="2777" spans="1:5">
      <c r="A2777" s="59">
        <v>5</v>
      </c>
      <c r="B2777" s="59">
        <v>22</v>
      </c>
      <c r="C2777" s="59">
        <v>150</v>
      </c>
      <c r="D2777" s="51">
        <v>308</v>
      </c>
      <c r="E2777" s="51">
        <f t="shared" si="43"/>
        <v>0</v>
      </c>
    </row>
    <row r="2778" spans="1:5">
      <c r="A2778" s="59">
        <v>5</v>
      </c>
      <c r="B2778" s="59">
        <v>64</v>
      </c>
      <c r="C2778" s="59">
        <v>850</v>
      </c>
      <c r="D2778" s="51">
        <v>304</v>
      </c>
      <c r="E2778" s="51">
        <f t="shared" si="43"/>
        <v>0</v>
      </c>
    </row>
    <row r="2779" spans="1:5">
      <c r="A2779" s="59">
        <v>5</v>
      </c>
      <c r="B2779" s="59">
        <v>44</v>
      </c>
      <c r="C2779" s="59">
        <v>970</v>
      </c>
      <c r="D2779" s="51">
        <v>296</v>
      </c>
      <c r="E2779" s="51">
        <f t="shared" si="43"/>
        <v>1</v>
      </c>
    </row>
    <row r="2780" spans="1:5">
      <c r="A2780" s="59">
        <v>5</v>
      </c>
      <c r="B2780" s="59">
        <v>15</v>
      </c>
      <c r="C2780" s="59">
        <v>160</v>
      </c>
      <c r="D2780" s="51">
        <v>295</v>
      </c>
      <c r="E2780" s="51">
        <f t="shared" si="43"/>
        <v>0</v>
      </c>
    </row>
    <row r="2781" spans="1:5">
      <c r="A2781" s="59">
        <v>5</v>
      </c>
      <c r="B2781" s="59">
        <v>81</v>
      </c>
      <c r="C2781" s="59">
        <v>160</v>
      </c>
      <c r="D2781" s="51">
        <v>295</v>
      </c>
      <c r="E2781" s="51">
        <f t="shared" si="43"/>
        <v>0</v>
      </c>
    </row>
    <row r="2782" spans="1:5">
      <c r="A2782" s="59">
        <v>5</v>
      </c>
      <c r="B2782" s="59">
        <v>43</v>
      </c>
      <c r="C2782" s="59">
        <v>960</v>
      </c>
      <c r="D2782" s="51">
        <v>283</v>
      </c>
      <c r="E2782" s="51">
        <f t="shared" si="43"/>
        <v>0</v>
      </c>
    </row>
    <row r="2783" spans="1:5">
      <c r="A2783" s="59">
        <v>5</v>
      </c>
      <c r="B2783" s="59">
        <v>64</v>
      </c>
      <c r="C2783" s="59">
        <v>320</v>
      </c>
      <c r="D2783" s="51">
        <v>283</v>
      </c>
      <c r="E2783" s="51">
        <f t="shared" si="43"/>
        <v>0</v>
      </c>
    </row>
    <row r="2784" spans="1:5">
      <c r="A2784" s="59">
        <v>5</v>
      </c>
      <c r="B2784" s="59">
        <v>13</v>
      </c>
      <c r="C2784" s="59">
        <v>410</v>
      </c>
      <c r="D2784" s="51">
        <v>278</v>
      </c>
      <c r="E2784" s="51">
        <f t="shared" si="43"/>
        <v>0</v>
      </c>
    </row>
    <row r="2785" spans="1:5">
      <c r="A2785" s="59">
        <v>5</v>
      </c>
      <c r="B2785" s="59">
        <v>14</v>
      </c>
      <c r="C2785" s="59">
        <v>310</v>
      </c>
      <c r="D2785" s="51">
        <v>278</v>
      </c>
      <c r="E2785" s="51">
        <f t="shared" si="43"/>
        <v>0</v>
      </c>
    </row>
    <row r="2786" spans="1:5">
      <c r="A2786" s="59">
        <v>5</v>
      </c>
      <c r="B2786" s="59">
        <v>31</v>
      </c>
      <c r="C2786" s="59">
        <v>720</v>
      </c>
      <c r="D2786" s="51">
        <v>276</v>
      </c>
      <c r="E2786" s="51">
        <f t="shared" si="43"/>
        <v>0</v>
      </c>
    </row>
    <row r="2787" spans="1:5">
      <c r="A2787" s="59">
        <v>5</v>
      </c>
      <c r="B2787" s="59">
        <v>32</v>
      </c>
      <c r="C2787" s="59">
        <v>895</v>
      </c>
      <c r="D2787" s="51">
        <v>274</v>
      </c>
      <c r="E2787" s="51">
        <f t="shared" si="43"/>
        <v>0</v>
      </c>
    </row>
    <row r="2788" spans="1:5">
      <c r="A2788" s="59">
        <v>5</v>
      </c>
      <c r="B2788" s="59">
        <v>64</v>
      </c>
      <c r="C2788" s="59">
        <v>240</v>
      </c>
      <c r="D2788" s="51">
        <v>271</v>
      </c>
      <c r="E2788" s="51">
        <f t="shared" si="43"/>
        <v>0</v>
      </c>
    </row>
    <row r="2789" spans="1:5">
      <c r="A2789" s="59">
        <v>5</v>
      </c>
      <c r="B2789" s="59">
        <v>43</v>
      </c>
      <c r="C2789" s="59">
        <v>220</v>
      </c>
      <c r="D2789" s="51">
        <v>267</v>
      </c>
      <c r="E2789" s="51">
        <f t="shared" si="43"/>
        <v>0</v>
      </c>
    </row>
    <row r="2790" spans="1:5">
      <c r="A2790" s="59">
        <v>5</v>
      </c>
      <c r="B2790" s="59">
        <v>64</v>
      </c>
      <c r="C2790" s="59">
        <v>950</v>
      </c>
      <c r="D2790" s="51">
        <v>267</v>
      </c>
      <c r="E2790" s="51">
        <f t="shared" si="43"/>
        <v>0</v>
      </c>
    </row>
    <row r="2791" spans="1:5">
      <c r="A2791" s="59">
        <v>5</v>
      </c>
      <c r="B2791" s="59">
        <v>14</v>
      </c>
      <c r="C2791" s="59">
        <v>930</v>
      </c>
      <c r="D2791" s="51">
        <v>265</v>
      </c>
      <c r="E2791" s="51">
        <f t="shared" si="43"/>
        <v>0</v>
      </c>
    </row>
    <row r="2792" spans="1:5">
      <c r="A2792" s="59">
        <v>5</v>
      </c>
      <c r="B2792" s="59">
        <v>13</v>
      </c>
      <c r="C2792" s="59">
        <v>210</v>
      </c>
      <c r="D2792" s="51">
        <v>260</v>
      </c>
      <c r="E2792" s="51">
        <f t="shared" si="43"/>
        <v>0</v>
      </c>
    </row>
    <row r="2793" spans="1:5">
      <c r="A2793" s="59">
        <v>5</v>
      </c>
      <c r="B2793" s="59">
        <v>44</v>
      </c>
      <c r="C2793" s="59">
        <v>960</v>
      </c>
      <c r="D2793" s="51">
        <v>259</v>
      </c>
      <c r="E2793" s="51">
        <f t="shared" si="43"/>
        <v>1</v>
      </c>
    </row>
    <row r="2794" spans="1:5">
      <c r="A2794" s="59">
        <v>5</v>
      </c>
      <c r="B2794" s="59">
        <v>81</v>
      </c>
      <c r="C2794" s="59">
        <v>520</v>
      </c>
      <c r="D2794" s="51">
        <v>259</v>
      </c>
      <c r="E2794" s="51">
        <f t="shared" si="43"/>
        <v>0</v>
      </c>
    </row>
    <row r="2795" spans="1:5">
      <c r="A2795" s="59">
        <v>5</v>
      </c>
      <c r="B2795" s="59">
        <v>63</v>
      </c>
      <c r="C2795" s="59">
        <v>540</v>
      </c>
      <c r="D2795" s="51">
        <v>258</v>
      </c>
      <c r="E2795" s="51">
        <f t="shared" si="43"/>
        <v>0</v>
      </c>
    </row>
    <row r="2796" spans="1:5">
      <c r="A2796" s="59">
        <v>5</v>
      </c>
      <c r="B2796" s="59">
        <v>44</v>
      </c>
      <c r="C2796" s="59">
        <v>620</v>
      </c>
      <c r="D2796" s="51">
        <v>256</v>
      </c>
      <c r="E2796" s="51">
        <f t="shared" si="43"/>
        <v>1</v>
      </c>
    </row>
    <row r="2797" spans="1:5">
      <c r="A2797" s="59">
        <v>5</v>
      </c>
      <c r="B2797" s="59">
        <v>64</v>
      </c>
      <c r="C2797" s="59">
        <v>130</v>
      </c>
      <c r="D2797" s="51">
        <v>256</v>
      </c>
      <c r="E2797" s="51">
        <f t="shared" si="43"/>
        <v>0</v>
      </c>
    </row>
    <row r="2798" spans="1:5">
      <c r="A2798" s="59">
        <v>5</v>
      </c>
      <c r="B2798" s="59">
        <v>64</v>
      </c>
      <c r="C2798" s="59">
        <v>640</v>
      </c>
      <c r="D2798" s="51">
        <v>254</v>
      </c>
      <c r="E2798" s="51">
        <f t="shared" si="43"/>
        <v>0</v>
      </c>
    </row>
    <row r="2799" spans="1:5">
      <c r="A2799" s="59">
        <v>5</v>
      </c>
      <c r="B2799" s="59">
        <v>32</v>
      </c>
      <c r="C2799" s="59">
        <v>710</v>
      </c>
      <c r="D2799" s="51">
        <v>252</v>
      </c>
      <c r="E2799" s="51">
        <f t="shared" si="43"/>
        <v>0</v>
      </c>
    </row>
    <row r="2800" spans="1:5">
      <c r="A2800" s="59">
        <v>5</v>
      </c>
      <c r="B2800" s="59">
        <v>22</v>
      </c>
      <c r="C2800" s="59">
        <v>110</v>
      </c>
      <c r="D2800" s="51">
        <v>250</v>
      </c>
      <c r="E2800" s="51">
        <f t="shared" si="43"/>
        <v>0</v>
      </c>
    </row>
    <row r="2801" spans="1:5">
      <c r="A2801" s="59">
        <v>5</v>
      </c>
      <c r="B2801" s="59">
        <v>14</v>
      </c>
      <c r="C2801" s="59">
        <v>610</v>
      </c>
      <c r="D2801" s="51">
        <v>247</v>
      </c>
      <c r="E2801" s="51">
        <f t="shared" si="43"/>
        <v>0</v>
      </c>
    </row>
    <row r="2802" spans="1:5">
      <c r="A2802" s="59">
        <v>5</v>
      </c>
      <c r="B2802" s="59">
        <v>64</v>
      </c>
      <c r="C2802" s="59">
        <v>891</v>
      </c>
      <c r="D2802" s="51">
        <v>247</v>
      </c>
      <c r="E2802" s="51">
        <f t="shared" si="43"/>
        <v>0</v>
      </c>
    </row>
    <row r="2803" spans="1:5">
      <c r="A2803" s="59">
        <v>5</v>
      </c>
      <c r="B2803" s="59">
        <v>13</v>
      </c>
      <c r="C2803" s="59">
        <v>130</v>
      </c>
      <c r="D2803" s="51">
        <v>246</v>
      </c>
      <c r="E2803" s="51">
        <f t="shared" si="43"/>
        <v>0</v>
      </c>
    </row>
    <row r="2804" spans="1:5">
      <c r="A2804" s="59">
        <v>5</v>
      </c>
      <c r="B2804" s="59">
        <v>16</v>
      </c>
      <c r="C2804" s="59">
        <v>730</v>
      </c>
      <c r="D2804" s="51">
        <v>245</v>
      </c>
      <c r="E2804" s="51">
        <f t="shared" si="43"/>
        <v>0</v>
      </c>
    </row>
    <row r="2805" spans="1:5">
      <c r="A2805" s="59">
        <v>5</v>
      </c>
      <c r="B2805" s="59">
        <v>22</v>
      </c>
      <c r="C2805" s="59">
        <v>730</v>
      </c>
      <c r="D2805" s="51">
        <v>244</v>
      </c>
      <c r="E2805" s="51">
        <f t="shared" si="43"/>
        <v>0</v>
      </c>
    </row>
    <row r="2806" spans="1:5">
      <c r="A2806" s="59">
        <v>5</v>
      </c>
      <c r="B2806" s="59">
        <v>11</v>
      </c>
      <c r="C2806" s="59">
        <v>730</v>
      </c>
      <c r="D2806" s="51">
        <v>240</v>
      </c>
      <c r="E2806" s="51">
        <f t="shared" si="43"/>
        <v>0</v>
      </c>
    </row>
    <row r="2807" spans="1:5">
      <c r="A2807" s="59">
        <v>5</v>
      </c>
      <c r="B2807" s="59">
        <v>71</v>
      </c>
      <c r="C2807" s="59">
        <v>410</v>
      </c>
      <c r="D2807" s="51">
        <v>240</v>
      </c>
      <c r="E2807" s="51">
        <f t="shared" si="43"/>
        <v>0</v>
      </c>
    </row>
    <row r="2808" spans="1:5">
      <c r="A2808" s="59">
        <v>5</v>
      </c>
      <c r="B2808" s="59">
        <v>64</v>
      </c>
      <c r="C2808" s="59">
        <v>140</v>
      </c>
      <c r="D2808" s="51">
        <v>236</v>
      </c>
      <c r="E2808" s="51">
        <f t="shared" si="43"/>
        <v>0</v>
      </c>
    </row>
    <row r="2809" spans="1:5">
      <c r="A2809" s="59">
        <v>5</v>
      </c>
      <c r="B2809" s="59">
        <v>71</v>
      </c>
      <c r="C2809" s="59">
        <v>970</v>
      </c>
      <c r="D2809" s="51">
        <v>236</v>
      </c>
      <c r="E2809" s="51">
        <f t="shared" si="43"/>
        <v>0</v>
      </c>
    </row>
    <row r="2810" spans="1:5">
      <c r="A2810" s="59">
        <v>5</v>
      </c>
      <c r="B2810" s="59">
        <v>14</v>
      </c>
      <c r="C2810" s="59">
        <v>230</v>
      </c>
      <c r="D2810" s="51">
        <v>235</v>
      </c>
      <c r="E2810" s="51">
        <f t="shared" si="43"/>
        <v>0</v>
      </c>
    </row>
    <row r="2811" spans="1:5">
      <c r="A2811" s="59">
        <v>5</v>
      </c>
      <c r="B2811" s="59">
        <v>64</v>
      </c>
      <c r="C2811" s="59">
        <v>840</v>
      </c>
      <c r="D2811" s="51">
        <v>234</v>
      </c>
      <c r="E2811" s="51">
        <f t="shared" si="43"/>
        <v>0</v>
      </c>
    </row>
    <row r="2812" spans="1:5">
      <c r="A2812" s="59">
        <v>5</v>
      </c>
      <c r="B2812" s="59">
        <v>62</v>
      </c>
      <c r="C2812" s="59">
        <v>970</v>
      </c>
      <c r="D2812" s="51">
        <v>233</v>
      </c>
      <c r="E2812" s="51">
        <f t="shared" si="43"/>
        <v>1</v>
      </c>
    </row>
    <row r="2813" spans="1:5">
      <c r="A2813" s="59">
        <v>5</v>
      </c>
      <c r="B2813" s="59">
        <v>13</v>
      </c>
      <c r="C2813" s="59">
        <v>920</v>
      </c>
      <c r="D2813" s="51">
        <v>232</v>
      </c>
      <c r="E2813" s="51">
        <f t="shared" si="43"/>
        <v>0</v>
      </c>
    </row>
    <row r="2814" spans="1:5">
      <c r="A2814" s="59">
        <v>5</v>
      </c>
      <c r="B2814" s="59">
        <v>22</v>
      </c>
      <c r="C2814" s="59">
        <v>230</v>
      </c>
      <c r="D2814" s="51">
        <v>230</v>
      </c>
      <c r="E2814" s="51">
        <f t="shared" si="43"/>
        <v>0</v>
      </c>
    </row>
    <row r="2815" spans="1:5">
      <c r="A2815" s="59">
        <v>5</v>
      </c>
      <c r="B2815" s="59">
        <v>15</v>
      </c>
      <c r="C2815" s="59">
        <v>730</v>
      </c>
      <c r="D2815" s="51">
        <v>229</v>
      </c>
      <c r="E2815" s="51">
        <f t="shared" si="43"/>
        <v>0</v>
      </c>
    </row>
    <row r="2816" spans="1:5">
      <c r="A2816" s="59">
        <v>5</v>
      </c>
      <c r="B2816" s="59">
        <v>64</v>
      </c>
      <c r="C2816" s="59">
        <v>220</v>
      </c>
      <c r="D2816" s="51">
        <v>229</v>
      </c>
      <c r="E2816" s="51">
        <f t="shared" si="43"/>
        <v>0</v>
      </c>
    </row>
    <row r="2817" spans="1:5">
      <c r="A2817" s="59">
        <v>5</v>
      </c>
      <c r="B2817" s="59">
        <v>43</v>
      </c>
      <c r="C2817" s="59">
        <v>950</v>
      </c>
      <c r="D2817" s="51">
        <v>228</v>
      </c>
      <c r="E2817" s="51">
        <f t="shared" si="43"/>
        <v>0</v>
      </c>
    </row>
    <row r="2818" spans="1:5">
      <c r="A2818" s="59">
        <v>5</v>
      </c>
      <c r="B2818" s="59">
        <v>44</v>
      </c>
      <c r="C2818" s="59">
        <v>110</v>
      </c>
      <c r="D2818" s="51">
        <v>222</v>
      </c>
      <c r="E2818" s="51">
        <f t="shared" ref="E2818:E2881" si="44">IF(OR(A2818=6,A2818=7,A2818=14,A2818=15,A2818=16,A2818=17,A2818=18,A2818=19,A2818=20,A2818=21,A2818=22,A2818=23,A2818=25,A2818=26,A2818=27,A2818=28,B2818=41,B2818=44,B2818=62),1,0)</f>
        <v>1</v>
      </c>
    </row>
    <row r="2819" spans="1:5">
      <c r="A2819" s="59">
        <v>5</v>
      </c>
      <c r="B2819" s="59">
        <v>64</v>
      </c>
      <c r="C2819" s="59">
        <v>960</v>
      </c>
      <c r="D2819" s="51">
        <v>222</v>
      </c>
      <c r="E2819" s="51">
        <f t="shared" si="44"/>
        <v>0</v>
      </c>
    </row>
    <row r="2820" spans="1:5">
      <c r="A2820" s="59">
        <v>5</v>
      </c>
      <c r="B2820" s="59">
        <v>41</v>
      </c>
      <c r="C2820" s="59">
        <v>930</v>
      </c>
      <c r="D2820" s="51">
        <v>220</v>
      </c>
      <c r="E2820" s="51">
        <f t="shared" si="44"/>
        <v>1</v>
      </c>
    </row>
    <row r="2821" spans="1:5">
      <c r="A2821" s="59">
        <v>5</v>
      </c>
      <c r="B2821" s="59">
        <v>64</v>
      </c>
      <c r="C2821" s="59">
        <v>330</v>
      </c>
      <c r="D2821" s="51">
        <v>217</v>
      </c>
      <c r="E2821" s="51">
        <f t="shared" si="44"/>
        <v>0</v>
      </c>
    </row>
    <row r="2822" spans="1:5">
      <c r="A2822" s="59">
        <v>5</v>
      </c>
      <c r="B2822" s="59">
        <v>62</v>
      </c>
      <c r="C2822" s="59">
        <v>540</v>
      </c>
      <c r="D2822" s="51">
        <v>214</v>
      </c>
      <c r="E2822" s="51">
        <f t="shared" si="44"/>
        <v>1</v>
      </c>
    </row>
    <row r="2823" spans="1:5">
      <c r="A2823" s="59">
        <v>5</v>
      </c>
      <c r="B2823" s="59">
        <v>14</v>
      </c>
      <c r="C2823" s="59">
        <v>330</v>
      </c>
      <c r="D2823" s="51">
        <v>213</v>
      </c>
      <c r="E2823" s="51">
        <f t="shared" si="44"/>
        <v>0</v>
      </c>
    </row>
    <row r="2824" spans="1:5">
      <c r="A2824" s="59">
        <v>5</v>
      </c>
      <c r="B2824" s="59">
        <v>42</v>
      </c>
      <c r="C2824" s="59">
        <v>520</v>
      </c>
      <c r="D2824" s="51">
        <v>213</v>
      </c>
      <c r="E2824" s="51">
        <f t="shared" si="44"/>
        <v>0</v>
      </c>
    </row>
    <row r="2825" spans="1:5">
      <c r="A2825" s="59">
        <v>5</v>
      </c>
      <c r="B2825" s="59">
        <v>43</v>
      </c>
      <c r="C2825" s="59">
        <v>310</v>
      </c>
      <c r="D2825" s="51">
        <v>211</v>
      </c>
      <c r="E2825" s="51">
        <f t="shared" si="44"/>
        <v>0</v>
      </c>
    </row>
    <row r="2826" spans="1:5">
      <c r="A2826" s="59">
        <v>5</v>
      </c>
      <c r="B2826" s="59">
        <v>64</v>
      </c>
      <c r="C2826" s="59">
        <v>940</v>
      </c>
      <c r="D2826" s="51">
        <v>210</v>
      </c>
      <c r="E2826" s="51">
        <f t="shared" si="44"/>
        <v>0</v>
      </c>
    </row>
    <row r="2827" spans="1:5">
      <c r="A2827" s="59">
        <v>5</v>
      </c>
      <c r="B2827" s="59">
        <v>62</v>
      </c>
      <c r="C2827" s="59">
        <v>850</v>
      </c>
      <c r="D2827" s="51">
        <v>207</v>
      </c>
      <c r="E2827" s="51">
        <f t="shared" si="44"/>
        <v>1</v>
      </c>
    </row>
    <row r="2828" spans="1:5">
      <c r="A2828" s="59">
        <v>5</v>
      </c>
      <c r="B2828" s="59">
        <v>62</v>
      </c>
      <c r="C2828" s="59">
        <v>230</v>
      </c>
      <c r="D2828" s="51">
        <v>199</v>
      </c>
      <c r="E2828" s="51">
        <f t="shared" si="44"/>
        <v>1</v>
      </c>
    </row>
    <row r="2829" spans="1:5">
      <c r="A2829" s="59">
        <v>5</v>
      </c>
      <c r="B2829" s="59">
        <v>32</v>
      </c>
      <c r="C2829" s="59">
        <v>520</v>
      </c>
      <c r="D2829" s="51">
        <v>193</v>
      </c>
      <c r="E2829" s="51">
        <f t="shared" si="44"/>
        <v>0</v>
      </c>
    </row>
    <row r="2830" spans="1:5">
      <c r="A2830" s="59">
        <v>5</v>
      </c>
      <c r="B2830" s="59">
        <v>81</v>
      </c>
      <c r="C2830" s="59">
        <v>150</v>
      </c>
      <c r="D2830" s="51">
        <v>193</v>
      </c>
      <c r="E2830" s="51">
        <f t="shared" si="44"/>
        <v>0</v>
      </c>
    </row>
    <row r="2831" spans="1:5">
      <c r="A2831" s="59">
        <v>5</v>
      </c>
      <c r="B2831" s="59">
        <v>16</v>
      </c>
      <c r="C2831" s="59">
        <v>110</v>
      </c>
      <c r="D2831" s="51">
        <v>192</v>
      </c>
      <c r="E2831" s="51">
        <f t="shared" si="44"/>
        <v>0</v>
      </c>
    </row>
    <row r="2832" spans="1:5">
      <c r="A2832" s="59">
        <v>5</v>
      </c>
      <c r="B2832" s="59">
        <v>11</v>
      </c>
      <c r="C2832" s="59">
        <v>510</v>
      </c>
      <c r="D2832" s="51">
        <v>191</v>
      </c>
      <c r="E2832" s="51">
        <f t="shared" si="44"/>
        <v>0</v>
      </c>
    </row>
    <row r="2833" spans="1:5">
      <c r="A2833" s="59">
        <v>5</v>
      </c>
      <c r="B2833" s="59">
        <v>16</v>
      </c>
      <c r="C2833" s="59">
        <v>510</v>
      </c>
      <c r="D2833" s="51">
        <v>189</v>
      </c>
      <c r="E2833" s="51">
        <f t="shared" si="44"/>
        <v>0</v>
      </c>
    </row>
    <row r="2834" spans="1:5">
      <c r="A2834" s="59">
        <v>5</v>
      </c>
      <c r="B2834" s="59">
        <v>13</v>
      </c>
      <c r="C2834" s="59">
        <v>320</v>
      </c>
      <c r="D2834" s="51">
        <v>181</v>
      </c>
      <c r="E2834" s="51">
        <f t="shared" si="44"/>
        <v>0</v>
      </c>
    </row>
    <row r="2835" spans="1:5">
      <c r="A2835" s="59">
        <v>5</v>
      </c>
      <c r="B2835" s="59">
        <v>22</v>
      </c>
      <c r="C2835" s="59">
        <v>510</v>
      </c>
      <c r="D2835" s="51">
        <v>178</v>
      </c>
      <c r="E2835" s="51">
        <f t="shared" si="44"/>
        <v>0</v>
      </c>
    </row>
    <row r="2836" spans="1:5">
      <c r="A2836" s="59">
        <v>5</v>
      </c>
      <c r="B2836" s="59">
        <v>24</v>
      </c>
      <c r="C2836" s="59">
        <v>720</v>
      </c>
      <c r="D2836" s="51">
        <v>178</v>
      </c>
      <c r="E2836" s="51">
        <f t="shared" si="44"/>
        <v>0</v>
      </c>
    </row>
    <row r="2837" spans="1:5">
      <c r="A2837" s="59">
        <v>5</v>
      </c>
      <c r="B2837" s="59">
        <v>44</v>
      </c>
      <c r="C2837" s="59">
        <v>861</v>
      </c>
      <c r="D2837" s="51">
        <v>178</v>
      </c>
      <c r="E2837" s="51">
        <f t="shared" si="44"/>
        <v>1</v>
      </c>
    </row>
    <row r="2838" spans="1:5">
      <c r="A2838" s="59">
        <v>5</v>
      </c>
      <c r="B2838" s="59">
        <v>81</v>
      </c>
      <c r="C2838" s="59">
        <v>620</v>
      </c>
      <c r="D2838" s="51">
        <v>173</v>
      </c>
      <c r="E2838" s="51">
        <f t="shared" si="44"/>
        <v>0</v>
      </c>
    </row>
    <row r="2839" spans="1:5">
      <c r="A2839" s="59">
        <v>5</v>
      </c>
      <c r="B2839" s="59">
        <v>13</v>
      </c>
      <c r="C2839" s="59">
        <v>310</v>
      </c>
      <c r="D2839" s="51">
        <v>172</v>
      </c>
      <c r="E2839" s="51">
        <f t="shared" si="44"/>
        <v>0</v>
      </c>
    </row>
    <row r="2840" spans="1:5">
      <c r="A2840" s="59">
        <v>5</v>
      </c>
      <c r="B2840" s="59">
        <v>44</v>
      </c>
      <c r="C2840" s="59">
        <v>940</v>
      </c>
      <c r="D2840" s="51">
        <v>172</v>
      </c>
      <c r="E2840" s="51">
        <f t="shared" si="44"/>
        <v>1</v>
      </c>
    </row>
    <row r="2841" spans="1:5">
      <c r="A2841" s="59">
        <v>5</v>
      </c>
      <c r="B2841" s="59">
        <v>33</v>
      </c>
      <c r="C2841" s="59">
        <v>410</v>
      </c>
      <c r="D2841" s="51">
        <v>170</v>
      </c>
      <c r="E2841" s="51">
        <f t="shared" si="44"/>
        <v>0</v>
      </c>
    </row>
    <row r="2842" spans="1:5">
      <c r="A2842" s="59">
        <v>5</v>
      </c>
      <c r="B2842" s="59">
        <v>43</v>
      </c>
      <c r="C2842" s="59">
        <v>540</v>
      </c>
      <c r="D2842" s="51">
        <v>170</v>
      </c>
      <c r="E2842" s="51">
        <f t="shared" si="44"/>
        <v>0</v>
      </c>
    </row>
    <row r="2843" spans="1:5">
      <c r="A2843" s="59">
        <v>5</v>
      </c>
      <c r="B2843" s="59">
        <v>14</v>
      </c>
      <c r="C2843" s="59">
        <v>120</v>
      </c>
      <c r="D2843" s="51">
        <v>167</v>
      </c>
      <c r="E2843" s="51">
        <f t="shared" si="44"/>
        <v>0</v>
      </c>
    </row>
    <row r="2844" spans="1:5">
      <c r="A2844" s="59">
        <v>5</v>
      </c>
      <c r="B2844" s="59">
        <v>62</v>
      </c>
      <c r="C2844" s="59">
        <v>960</v>
      </c>
      <c r="D2844" s="51">
        <v>167</v>
      </c>
      <c r="E2844" s="51">
        <f t="shared" si="44"/>
        <v>1</v>
      </c>
    </row>
    <row r="2845" spans="1:5">
      <c r="A2845" s="59">
        <v>5</v>
      </c>
      <c r="B2845" s="59">
        <v>71</v>
      </c>
      <c r="C2845" s="59">
        <v>420</v>
      </c>
      <c r="D2845" s="51">
        <v>167</v>
      </c>
      <c r="E2845" s="51">
        <f t="shared" si="44"/>
        <v>0</v>
      </c>
    </row>
    <row r="2846" spans="1:5">
      <c r="A2846" s="59">
        <v>5</v>
      </c>
      <c r="B2846" s="59">
        <v>11</v>
      </c>
      <c r="C2846" s="59">
        <v>150</v>
      </c>
      <c r="D2846" s="51">
        <v>165</v>
      </c>
      <c r="E2846" s="51">
        <f t="shared" si="44"/>
        <v>0</v>
      </c>
    </row>
    <row r="2847" spans="1:5">
      <c r="A2847" s="59">
        <v>5</v>
      </c>
      <c r="B2847" s="59">
        <v>33</v>
      </c>
      <c r="C2847" s="59">
        <v>530</v>
      </c>
      <c r="D2847" s="51">
        <v>165</v>
      </c>
      <c r="E2847" s="51">
        <f t="shared" si="44"/>
        <v>0</v>
      </c>
    </row>
    <row r="2848" spans="1:5">
      <c r="A2848" s="59">
        <v>5</v>
      </c>
      <c r="B2848" s="59">
        <v>64</v>
      </c>
      <c r="C2848" s="59">
        <v>893</v>
      </c>
      <c r="D2848" s="51">
        <v>163</v>
      </c>
      <c r="E2848" s="51">
        <f t="shared" si="44"/>
        <v>0</v>
      </c>
    </row>
    <row r="2849" spans="1:5">
      <c r="A2849" s="59">
        <v>5</v>
      </c>
      <c r="B2849" s="59">
        <v>62</v>
      </c>
      <c r="C2849" s="59">
        <v>420</v>
      </c>
      <c r="D2849" s="51">
        <v>160</v>
      </c>
      <c r="E2849" s="51">
        <f t="shared" si="44"/>
        <v>1</v>
      </c>
    </row>
    <row r="2850" spans="1:5">
      <c r="A2850" s="59">
        <v>5</v>
      </c>
      <c r="B2850" s="59">
        <v>71</v>
      </c>
      <c r="C2850" s="59">
        <v>820</v>
      </c>
      <c r="D2850" s="51">
        <v>160</v>
      </c>
      <c r="E2850" s="51">
        <f t="shared" si="44"/>
        <v>0</v>
      </c>
    </row>
    <row r="2851" spans="1:5">
      <c r="A2851" s="59">
        <v>5</v>
      </c>
      <c r="B2851" s="59">
        <v>71</v>
      </c>
      <c r="C2851" s="59">
        <v>540</v>
      </c>
      <c r="D2851" s="51">
        <v>157</v>
      </c>
      <c r="E2851" s="51">
        <f t="shared" si="44"/>
        <v>0</v>
      </c>
    </row>
    <row r="2852" spans="1:5">
      <c r="A2852" s="59">
        <v>5</v>
      </c>
      <c r="B2852" s="59">
        <v>14</v>
      </c>
      <c r="C2852" s="59">
        <v>920</v>
      </c>
      <c r="D2852" s="51">
        <v>155</v>
      </c>
      <c r="E2852" s="51">
        <f t="shared" si="44"/>
        <v>0</v>
      </c>
    </row>
    <row r="2853" spans="1:5">
      <c r="A2853" s="59">
        <v>5</v>
      </c>
      <c r="B2853" s="59">
        <v>71</v>
      </c>
      <c r="C2853" s="59">
        <v>930</v>
      </c>
      <c r="D2853" s="51">
        <v>155</v>
      </c>
      <c r="E2853" s="51">
        <f t="shared" si="44"/>
        <v>0</v>
      </c>
    </row>
    <row r="2854" spans="1:5">
      <c r="A2854" s="59">
        <v>5</v>
      </c>
      <c r="B2854" s="59">
        <v>43</v>
      </c>
      <c r="C2854" s="59">
        <v>320</v>
      </c>
      <c r="D2854" s="51">
        <v>153</v>
      </c>
      <c r="E2854" s="51">
        <f t="shared" si="44"/>
        <v>0</v>
      </c>
    </row>
    <row r="2855" spans="1:5">
      <c r="A2855" s="59">
        <v>5</v>
      </c>
      <c r="B2855" s="59">
        <v>62</v>
      </c>
      <c r="C2855" s="59">
        <v>210</v>
      </c>
      <c r="D2855" s="51">
        <v>152</v>
      </c>
      <c r="E2855" s="51">
        <f t="shared" si="44"/>
        <v>1</v>
      </c>
    </row>
    <row r="2856" spans="1:5">
      <c r="A2856" s="59">
        <v>5</v>
      </c>
      <c r="B2856" s="59">
        <v>13</v>
      </c>
      <c r="C2856" s="59">
        <v>120</v>
      </c>
      <c r="D2856" s="51">
        <v>150</v>
      </c>
      <c r="E2856" s="51">
        <f t="shared" si="44"/>
        <v>0</v>
      </c>
    </row>
    <row r="2857" spans="1:5">
      <c r="A2857" s="59">
        <v>5</v>
      </c>
      <c r="B2857" s="59">
        <v>64</v>
      </c>
      <c r="C2857" s="59">
        <v>831</v>
      </c>
      <c r="D2857" s="51">
        <v>150</v>
      </c>
      <c r="E2857" s="51">
        <f t="shared" si="44"/>
        <v>0</v>
      </c>
    </row>
    <row r="2858" spans="1:5">
      <c r="A2858" s="59">
        <v>5</v>
      </c>
      <c r="B2858" s="59">
        <v>62</v>
      </c>
      <c r="C2858" s="59">
        <v>410</v>
      </c>
      <c r="D2858" s="51">
        <v>149</v>
      </c>
      <c r="E2858" s="51">
        <f t="shared" si="44"/>
        <v>1</v>
      </c>
    </row>
    <row r="2859" spans="1:5">
      <c r="A2859" s="59">
        <v>5</v>
      </c>
      <c r="B2859" s="59">
        <v>81</v>
      </c>
      <c r="C2859" s="59">
        <v>740</v>
      </c>
      <c r="D2859" s="51">
        <v>148</v>
      </c>
      <c r="E2859" s="51">
        <f t="shared" si="44"/>
        <v>0</v>
      </c>
    </row>
    <row r="2860" spans="1:5">
      <c r="A2860" s="59">
        <v>5</v>
      </c>
      <c r="B2860" s="59">
        <v>32</v>
      </c>
      <c r="C2860" s="59">
        <v>610</v>
      </c>
      <c r="D2860" s="51">
        <v>144</v>
      </c>
      <c r="E2860" s="51">
        <f t="shared" si="44"/>
        <v>0</v>
      </c>
    </row>
    <row r="2861" spans="1:5">
      <c r="A2861" s="59">
        <v>5</v>
      </c>
      <c r="B2861" s="59">
        <v>33</v>
      </c>
      <c r="C2861" s="59">
        <v>430</v>
      </c>
      <c r="D2861" s="51">
        <v>144</v>
      </c>
      <c r="E2861" s="51">
        <f t="shared" si="44"/>
        <v>0</v>
      </c>
    </row>
    <row r="2862" spans="1:5">
      <c r="A2862" s="59">
        <v>5</v>
      </c>
      <c r="B2862" s="59">
        <v>43</v>
      </c>
      <c r="C2862" s="59">
        <v>440</v>
      </c>
      <c r="D2862" s="51">
        <v>142</v>
      </c>
      <c r="E2862" s="51">
        <f t="shared" si="44"/>
        <v>0</v>
      </c>
    </row>
    <row r="2863" spans="1:5">
      <c r="A2863" s="59">
        <v>5</v>
      </c>
      <c r="B2863" s="59">
        <v>44</v>
      </c>
      <c r="C2863" s="59">
        <v>150</v>
      </c>
      <c r="D2863" s="51">
        <v>139</v>
      </c>
      <c r="E2863" s="51">
        <f t="shared" si="44"/>
        <v>1</v>
      </c>
    </row>
    <row r="2864" spans="1:5">
      <c r="A2864" s="59">
        <v>5</v>
      </c>
      <c r="B2864" s="59">
        <v>13</v>
      </c>
      <c r="C2864" s="59">
        <v>230</v>
      </c>
      <c r="D2864" s="51">
        <v>136</v>
      </c>
      <c r="E2864" s="51">
        <f t="shared" si="44"/>
        <v>0</v>
      </c>
    </row>
    <row r="2865" spans="1:5">
      <c r="A2865" s="59">
        <v>5</v>
      </c>
      <c r="B2865" s="59">
        <v>15</v>
      </c>
      <c r="C2865" s="59">
        <v>510</v>
      </c>
      <c r="D2865" s="51">
        <v>136</v>
      </c>
      <c r="E2865" s="51">
        <f t="shared" si="44"/>
        <v>0</v>
      </c>
    </row>
    <row r="2866" spans="1:5">
      <c r="A2866" s="59">
        <v>5</v>
      </c>
      <c r="B2866" s="59">
        <v>42</v>
      </c>
      <c r="C2866" s="59">
        <v>750</v>
      </c>
      <c r="D2866" s="51">
        <v>135</v>
      </c>
      <c r="E2866" s="51">
        <f t="shared" si="44"/>
        <v>0</v>
      </c>
    </row>
    <row r="2867" spans="1:5">
      <c r="A2867" s="59">
        <v>5</v>
      </c>
      <c r="B2867" s="59">
        <v>41</v>
      </c>
      <c r="C2867" s="59">
        <v>740</v>
      </c>
      <c r="D2867" s="51">
        <v>131</v>
      </c>
      <c r="E2867" s="51">
        <f t="shared" si="44"/>
        <v>1</v>
      </c>
    </row>
    <row r="2868" spans="1:5">
      <c r="A2868" s="59">
        <v>5</v>
      </c>
      <c r="B2868" s="59">
        <v>44</v>
      </c>
      <c r="C2868" s="59">
        <v>740</v>
      </c>
      <c r="D2868" s="51">
        <v>128</v>
      </c>
      <c r="E2868" s="51">
        <f t="shared" si="44"/>
        <v>1</v>
      </c>
    </row>
    <row r="2869" spans="1:5">
      <c r="A2869" s="59">
        <v>5</v>
      </c>
      <c r="B2869" s="59">
        <v>11</v>
      </c>
      <c r="C2869" s="59">
        <v>910</v>
      </c>
      <c r="D2869" s="51">
        <v>125</v>
      </c>
      <c r="E2869" s="51">
        <f t="shared" si="44"/>
        <v>0</v>
      </c>
    </row>
    <row r="2870" spans="1:5">
      <c r="A2870" s="59">
        <v>5</v>
      </c>
      <c r="B2870" s="59">
        <v>16</v>
      </c>
      <c r="C2870" s="59">
        <v>160</v>
      </c>
      <c r="D2870" s="51">
        <v>125</v>
      </c>
      <c r="E2870" s="51">
        <f t="shared" si="44"/>
        <v>0</v>
      </c>
    </row>
    <row r="2871" spans="1:5">
      <c r="A2871" s="59">
        <v>5</v>
      </c>
      <c r="B2871" s="59">
        <v>43</v>
      </c>
      <c r="C2871" s="59">
        <v>550</v>
      </c>
      <c r="D2871" s="51">
        <v>122</v>
      </c>
      <c r="E2871" s="51">
        <f t="shared" si="44"/>
        <v>0</v>
      </c>
    </row>
    <row r="2872" spans="1:5">
      <c r="A2872" s="59">
        <v>5</v>
      </c>
      <c r="B2872" s="59">
        <v>71</v>
      </c>
      <c r="C2872" s="59">
        <v>640</v>
      </c>
      <c r="D2872" s="51">
        <v>120</v>
      </c>
      <c r="E2872" s="51">
        <f t="shared" si="44"/>
        <v>0</v>
      </c>
    </row>
    <row r="2873" spans="1:5">
      <c r="A2873" s="59">
        <v>5</v>
      </c>
      <c r="B2873" s="59">
        <v>11</v>
      </c>
      <c r="C2873" s="59">
        <v>110</v>
      </c>
      <c r="D2873" s="51">
        <v>118</v>
      </c>
      <c r="E2873" s="51">
        <f t="shared" si="44"/>
        <v>0</v>
      </c>
    </row>
    <row r="2874" spans="1:5">
      <c r="A2874" s="59">
        <v>5</v>
      </c>
      <c r="B2874" s="59">
        <v>62</v>
      </c>
      <c r="C2874" s="59">
        <v>930</v>
      </c>
      <c r="D2874" s="51">
        <v>118</v>
      </c>
      <c r="E2874" s="51">
        <f t="shared" si="44"/>
        <v>1</v>
      </c>
    </row>
    <row r="2875" spans="1:5">
      <c r="A2875" s="59">
        <v>5</v>
      </c>
      <c r="B2875" s="59">
        <v>22</v>
      </c>
      <c r="C2875" s="59">
        <v>210</v>
      </c>
      <c r="D2875" s="51">
        <v>116</v>
      </c>
      <c r="E2875" s="51">
        <f t="shared" si="44"/>
        <v>0</v>
      </c>
    </row>
    <row r="2876" spans="1:5">
      <c r="A2876" s="59">
        <v>5</v>
      </c>
      <c r="B2876" s="59">
        <v>32</v>
      </c>
      <c r="C2876" s="59">
        <v>920</v>
      </c>
      <c r="D2876" s="51">
        <v>116</v>
      </c>
      <c r="E2876" s="51">
        <f t="shared" si="44"/>
        <v>0</v>
      </c>
    </row>
    <row r="2877" spans="1:5">
      <c r="A2877" s="59">
        <v>5</v>
      </c>
      <c r="B2877" s="59">
        <v>43</v>
      </c>
      <c r="C2877" s="59">
        <v>130</v>
      </c>
      <c r="D2877" s="51">
        <v>116</v>
      </c>
      <c r="E2877" s="51">
        <f t="shared" si="44"/>
        <v>0</v>
      </c>
    </row>
    <row r="2878" spans="1:5">
      <c r="A2878" s="59">
        <v>5</v>
      </c>
      <c r="B2878" s="59">
        <v>33</v>
      </c>
      <c r="C2878" s="59">
        <v>750</v>
      </c>
      <c r="D2878" s="51">
        <v>115</v>
      </c>
      <c r="E2878" s="51">
        <f t="shared" si="44"/>
        <v>0</v>
      </c>
    </row>
    <row r="2879" spans="1:5">
      <c r="A2879" s="59">
        <v>5</v>
      </c>
      <c r="B2879" s="59">
        <v>13</v>
      </c>
      <c r="C2879" s="59">
        <v>330</v>
      </c>
      <c r="D2879" s="51">
        <v>114</v>
      </c>
      <c r="E2879" s="51">
        <f t="shared" si="44"/>
        <v>0</v>
      </c>
    </row>
    <row r="2880" spans="1:5">
      <c r="A2880" s="59">
        <v>5</v>
      </c>
      <c r="B2880" s="59">
        <v>12</v>
      </c>
      <c r="C2880" s="59">
        <v>720</v>
      </c>
      <c r="D2880" s="51">
        <v>111</v>
      </c>
      <c r="E2880" s="51">
        <f t="shared" si="44"/>
        <v>0</v>
      </c>
    </row>
    <row r="2881" spans="1:5">
      <c r="A2881" s="59">
        <v>5</v>
      </c>
      <c r="B2881" s="59">
        <v>61</v>
      </c>
      <c r="C2881" s="59">
        <v>730</v>
      </c>
      <c r="D2881" s="51">
        <v>111</v>
      </c>
      <c r="E2881" s="51">
        <f t="shared" si="44"/>
        <v>0</v>
      </c>
    </row>
    <row r="2882" spans="1:5">
      <c r="A2882" s="59">
        <v>5</v>
      </c>
      <c r="B2882" s="59">
        <v>13</v>
      </c>
      <c r="C2882" s="59">
        <v>140</v>
      </c>
      <c r="D2882" s="51">
        <v>109</v>
      </c>
      <c r="E2882" s="51">
        <f t="shared" ref="E2882:E2945" si="45">IF(OR(A2882=6,A2882=7,A2882=14,A2882=15,A2882=16,A2882=17,A2882=18,A2882=19,A2882=20,A2882=21,A2882=22,A2882=23,A2882=25,A2882=26,A2882=27,A2882=28,B2882=41,B2882=44,B2882=62),1,0)</f>
        <v>0</v>
      </c>
    </row>
    <row r="2883" spans="1:5">
      <c r="A2883" s="59">
        <v>5</v>
      </c>
      <c r="B2883" s="59">
        <v>62</v>
      </c>
      <c r="C2883" s="59">
        <v>430</v>
      </c>
      <c r="D2883" s="51">
        <v>108</v>
      </c>
      <c r="E2883" s="51">
        <f t="shared" si="45"/>
        <v>1</v>
      </c>
    </row>
    <row r="2884" spans="1:5">
      <c r="A2884" s="59">
        <v>5</v>
      </c>
      <c r="B2884" s="59">
        <v>63</v>
      </c>
      <c r="C2884" s="59">
        <v>420</v>
      </c>
      <c r="D2884" s="51">
        <v>107</v>
      </c>
      <c r="E2884" s="51">
        <f t="shared" si="45"/>
        <v>0</v>
      </c>
    </row>
    <row r="2885" spans="1:5">
      <c r="A2885" s="59">
        <v>5</v>
      </c>
      <c r="B2885" s="59">
        <v>43</v>
      </c>
      <c r="C2885" s="59">
        <v>140</v>
      </c>
      <c r="D2885" s="51">
        <v>106</v>
      </c>
      <c r="E2885" s="51">
        <f t="shared" si="45"/>
        <v>0</v>
      </c>
    </row>
    <row r="2886" spans="1:5">
      <c r="A2886" s="59">
        <v>5</v>
      </c>
      <c r="B2886" s="59">
        <v>71</v>
      </c>
      <c r="C2886" s="59">
        <v>210</v>
      </c>
      <c r="D2886" s="51">
        <v>106</v>
      </c>
      <c r="E2886" s="51">
        <f t="shared" si="45"/>
        <v>0</v>
      </c>
    </row>
    <row r="2887" spans="1:5">
      <c r="A2887" s="59">
        <v>5</v>
      </c>
      <c r="B2887" s="59">
        <v>14</v>
      </c>
      <c r="C2887" s="59">
        <v>240</v>
      </c>
      <c r="D2887" s="51">
        <v>103</v>
      </c>
      <c r="E2887" s="51">
        <f t="shared" si="45"/>
        <v>0</v>
      </c>
    </row>
    <row r="2888" spans="1:5">
      <c r="A2888" s="59">
        <v>5</v>
      </c>
      <c r="B2888" s="59">
        <v>41</v>
      </c>
      <c r="C2888" s="59">
        <v>210</v>
      </c>
      <c r="D2888" s="51">
        <v>103</v>
      </c>
      <c r="E2888" s="51">
        <f t="shared" si="45"/>
        <v>1</v>
      </c>
    </row>
    <row r="2889" spans="1:5">
      <c r="A2889" s="59">
        <v>5</v>
      </c>
      <c r="B2889" s="59">
        <v>44</v>
      </c>
      <c r="C2889" s="59">
        <v>850</v>
      </c>
      <c r="D2889" s="51">
        <v>103</v>
      </c>
      <c r="E2889" s="51">
        <f t="shared" si="45"/>
        <v>1</v>
      </c>
    </row>
    <row r="2890" spans="1:5">
      <c r="A2890" s="59">
        <v>5</v>
      </c>
      <c r="B2890" s="59">
        <v>14</v>
      </c>
      <c r="C2890" s="59">
        <v>620</v>
      </c>
      <c r="D2890" s="51">
        <v>102</v>
      </c>
      <c r="E2890" s="51">
        <f t="shared" si="45"/>
        <v>0</v>
      </c>
    </row>
    <row r="2891" spans="1:5">
      <c r="A2891" s="59">
        <v>5</v>
      </c>
      <c r="B2891" s="59">
        <v>22</v>
      </c>
      <c r="C2891" s="59">
        <v>530</v>
      </c>
      <c r="D2891" s="51">
        <v>102</v>
      </c>
      <c r="E2891" s="51">
        <f t="shared" si="45"/>
        <v>0</v>
      </c>
    </row>
    <row r="2892" spans="1:5">
      <c r="A2892" s="59">
        <v>5</v>
      </c>
      <c r="B2892" s="59">
        <v>43</v>
      </c>
      <c r="C2892" s="59">
        <v>120</v>
      </c>
      <c r="D2892" s="51">
        <v>101</v>
      </c>
      <c r="E2892" s="51">
        <f t="shared" si="45"/>
        <v>0</v>
      </c>
    </row>
    <row r="2893" spans="1:5">
      <c r="A2893" s="59">
        <v>5</v>
      </c>
      <c r="B2893" s="59">
        <v>42</v>
      </c>
      <c r="C2893" s="59">
        <v>620</v>
      </c>
      <c r="D2893" s="51">
        <v>99</v>
      </c>
      <c r="E2893" s="51">
        <f t="shared" si="45"/>
        <v>0</v>
      </c>
    </row>
    <row r="2894" spans="1:5">
      <c r="A2894" s="59">
        <v>5</v>
      </c>
      <c r="B2894" s="59">
        <v>43</v>
      </c>
      <c r="C2894" s="59">
        <v>330</v>
      </c>
      <c r="D2894" s="51">
        <v>96</v>
      </c>
      <c r="E2894" s="51">
        <f t="shared" si="45"/>
        <v>0</v>
      </c>
    </row>
    <row r="2895" spans="1:5">
      <c r="A2895" s="59">
        <v>5</v>
      </c>
      <c r="B2895" s="59">
        <v>16</v>
      </c>
      <c r="C2895" s="59">
        <v>210</v>
      </c>
      <c r="D2895" s="51">
        <v>95</v>
      </c>
      <c r="E2895" s="51">
        <f t="shared" si="45"/>
        <v>0</v>
      </c>
    </row>
    <row r="2896" spans="1:5">
      <c r="A2896" s="59">
        <v>5</v>
      </c>
      <c r="B2896" s="59">
        <v>44</v>
      </c>
      <c r="C2896" s="59">
        <v>840</v>
      </c>
      <c r="D2896" s="51">
        <v>95</v>
      </c>
      <c r="E2896" s="51">
        <f t="shared" si="45"/>
        <v>1</v>
      </c>
    </row>
    <row r="2897" spans="1:5">
      <c r="A2897" s="59">
        <v>5</v>
      </c>
      <c r="B2897" s="59">
        <v>62</v>
      </c>
      <c r="C2897" s="59">
        <v>640</v>
      </c>
      <c r="D2897" s="51">
        <v>94</v>
      </c>
      <c r="E2897" s="51">
        <f t="shared" si="45"/>
        <v>1</v>
      </c>
    </row>
    <row r="2898" spans="1:5">
      <c r="A2898" s="59">
        <v>5</v>
      </c>
      <c r="B2898" s="59">
        <v>62</v>
      </c>
      <c r="C2898" s="59">
        <v>899</v>
      </c>
      <c r="D2898" s="51">
        <v>93</v>
      </c>
      <c r="E2898" s="51">
        <f t="shared" si="45"/>
        <v>1</v>
      </c>
    </row>
    <row r="2899" spans="1:5">
      <c r="A2899" s="59">
        <v>5</v>
      </c>
      <c r="B2899" s="59">
        <v>63</v>
      </c>
      <c r="C2899" s="59">
        <v>640</v>
      </c>
      <c r="D2899" s="51">
        <v>93</v>
      </c>
      <c r="E2899" s="51">
        <f t="shared" si="45"/>
        <v>0</v>
      </c>
    </row>
    <row r="2900" spans="1:5">
      <c r="A2900" s="59">
        <v>5</v>
      </c>
      <c r="B2900" s="59">
        <v>31</v>
      </c>
      <c r="C2900" s="59">
        <v>895</v>
      </c>
      <c r="D2900" s="51">
        <v>92</v>
      </c>
      <c r="E2900" s="51">
        <f t="shared" si="45"/>
        <v>0</v>
      </c>
    </row>
    <row r="2901" spans="1:5">
      <c r="A2901" s="59">
        <v>5</v>
      </c>
      <c r="B2901" s="59">
        <v>31</v>
      </c>
      <c r="C2901" s="59">
        <v>530</v>
      </c>
      <c r="D2901" s="51">
        <v>89</v>
      </c>
      <c r="E2901" s="51">
        <f t="shared" si="45"/>
        <v>0</v>
      </c>
    </row>
    <row r="2902" spans="1:5">
      <c r="A2902" s="59">
        <v>5</v>
      </c>
      <c r="B2902" s="59">
        <v>22</v>
      </c>
      <c r="C2902" s="59">
        <v>160</v>
      </c>
      <c r="D2902" s="51">
        <v>88</v>
      </c>
      <c r="E2902" s="51">
        <f t="shared" si="45"/>
        <v>0</v>
      </c>
    </row>
    <row r="2903" spans="1:5">
      <c r="A2903" s="59">
        <v>5</v>
      </c>
      <c r="B2903" s="59">
        <v>42</v>
      </c>
      <c r="C2903" s="59">
        <v>710</v>
      </c>
      <c r="D2903" s="51">
        <v>88</v>
      </c>
      <c r="E2903" s="51">
        <f t="shared" si="45"/>
        <v>0</v>
      </c>
    </row>
    <row r="2904" spans="1:5">
      <c r="A2904" s="59">
        <v>5</v>
      </c>
      <c r="B2904" s="59">
        <v>13</v>
      </c>
      <c r="C2904" s="59">
        <v>430</v>
      </c>
      <c r="D2904" s="51">
        <v>87</v>
      </c>
      <c r="E2904" s="51">
        <f t="shared" si="45"/>
        <v>0</v>
      </c>
    </row>
    <row r="2905" spans="1:5">
      <c r="A2905" s="59">
        <v>5</v>
      </c>
      <c r="B2905" s="59">
        <v>61</v>
      </c>
      <c r="C2905" s="59">
        <v>510</v>
      </c>
      <c r="D2905" s="51">
        <v>87</v>
      </c>
      <c r="E2905" s="51">
        <f t="shared" si="45"/>
        <v>0</v>
      </c>
    </row>
    <row r="2906" spans="1:5">
      <c r="A2906" s="59">
        <v>5</v>
      </c>
      <c r="B2906" s="59">
        <v>32</v>
      </c>
      <c r="C2906" s="59">
        <v>110</v>
      </c>
      <c r="D2906" s="51">
        <v>86</v>
      </c>
      <c r="E2906" s="51">
        <f t="shared" si="45"/>
        <v>0</v>
      </c>
    </row>
    <row r="2907" spans="1:5">
      <c r="A2907" s="59">
        <v>5</v>
      </c>
      <c r="B2907" s="59">
        <v>63</v>
      </c>
      <c r="C2907" s="59">
        <v>410</v>
      </c>
      <c r="D2907" s="51">
        <v>86</v>
      </c>
      <c r="E2907" s="51">
        <f t="shared" si="45"/>
        <v>0</v>
      </c>
    </row>
    <row r="2908" spans="1:5">
      <c r="A2908" s="59">
        <v>5</v>
      </c>
      <c r="B2908" s="59">
        <v>44</v>
      </c>
      <c r="C2908" s="59">
        <v>892</v>
      </c>
      <c r="D2908" s="51">
        <v>85</v>
      </c>
      <c r="E2908" s="51">
        <f t="shared" si="45"/>
        <v>1</v>
      </c>
    </row>
    <row r="2909" spans="1:5">
      <c r="A2909" s="59">
        <v>5</v>
      </c>
      <c r="B2909" s="59">
        <v>44</v>
      </c>
      <c r="C2909" s="59">
        <v>950</v>
      </c>
      <c r="D2909" s="51">
        <v>85</v>
      </c>
      <c r="E2909" s="51">
        <f t="shared" si="45"/>
        <v>1</v>
      </c>
    </row>
    <row r="2910" spans="1:5">
      <c r="A2910" s="59">
        <v>5</v>
      </c>
      <c r="B2910" s="59">
        <v>81</v>
      </c>
      <c r="C2910" s="59">
        <v>860</v>
      </c>
      <c r="D2910" s="51">
        <v>85</v>
      </c>
      <c r="E2910" s="51">
        <f t="shared" si="45"/>
        <v>0</v>
      </c>
    </row>
    <row r="2911" spans="1:5">
      <c r="A2911" s="59">
        <v>5</v>
      </c>
      <c r="B2911" s="59">
        <v>41</v>
      </c>
      <c r="C2911" s="59">
        <v>960</v>
      </c>
      <c r="D2911" s="51">
        <v>84</v>
      </c>
      <c r="E2911" s="51">
        <f t="shared" si="45"/>
        <v>1</v>
      </c>
    </row>
    <row r="2912" spans="1:5">
      <c r="A2912" s="59">
        <v>5</v>
      </c>
      <c r="B2912" s="59">
        <v>81</v>
      </c>
      <c r="C2912" s="59">
        <v>950</v>
      </c>
      <c r="D2912" s="51">
        <v>84</v>
      </c>
      <c r="E2912" s="51">
        <f t="shared" si="45"/>
        <v>0</v>
      </c>
    </row>
    <row r="2913" spans="1:5">
      <c r="A2913" s="59">
        <v>5</v>
      </c>
      <c r="B2913" s="59">
        <v>16</v>
      </c>
      <c r="C2913" s="59">
        <v>140</v>
      </c>
      <c r="D2913" s="51">
        <v>83</v>
      </c>
      <c r="E2913" s="51">
        <f t="shared" si="45"/>
        <v>0</v>
      </c>
    </row>
    <row r="2914" spans="1:5">
      <c r="A2914" s="59">
        <v>5</v>
      </c>
      <c r="B2914" s="59">
        <v>71</v>
      </c>
      <c r="C2914" s="59">
        <v>430</v>
      </c>
      <c r="D2914" s="51">
        <v>82</v>
      </c>
      <c r="E2914" s="51">
        <f t="shared" si="45"/>
        <v>0</v>
      </c>
    </row>
    <row r="2915" spans="1:5">
      <c r="A2915" s="59">
        <v>5</v>
      </c>
      <c r="B2915" s="59">
        <v>13</v>
      </c>
      <c r="C2915" s="59">
        <v>420</v>
      </c>
      <c r="D2915" s="51">
        <v>81</v>
      </c>
      <c r="E2915" s="51">
        <f t="shared" si="45"/>
        <v>0</v>
      </c>
    </row>
    <row r="2916" spans="1:5">
      <c r="A2916" s="59">
        <v>5</v>
      </c>
      <c r="B2916" s="59">
        <v>13</v>
      </c>
      <c r="C2916" s="59">
        <v>950</v>
      </c>
      <c r="D2916" s="51">
        <v>80</v>
      </c>
      <c r="E2916" s="51">
        <f t="shared" si="45"/>
        <v>0</v>
      </c>
    </row>
    <row r="2917" spans="1:5">
      <c r="A2917" s="59">
        <v>5</v>
      </c>
      <c r="B2917" s="59">
        <v>42</v>
      </c>
      <c r="C2917" s="59">
        <v>150</v>
      </c>
      <c r="D2917" s="51">
        <v>79</v>
      </c>
      <c r="E2917" s="51">
        <f t="shared" si="45"/>
        <v>0</v>
      </c>
    </row>
    <row r="2918" spans="1:5">
      <c r="A2918" s="59">
        <v>5</v>
      </c>
      <c r="B2918" s="59">
        <v>43</v>
      </c>
      <c r="C2918" s="59">
        <v>891</v>
      </c>
      <c r="D2918" s="51">
        <v>79</v>
      </c>
      <c r="E2918" s="51">
        <f t="shared" si="45"/>
        <v>0</v>
      </c>
    </row>
    <row r="2919" spans="1:5">
      <c r="A2919" s="59">
        <v>5</v>
      </c>
      <c r="B2919" s="59">
        <v>32</v>
      </c>
      <c r="C2919" s="59">
        <v>150</v>
      </c>
      <c r="D2919" s="51">
        <v>77</v>
      </c>
      <c r="E2919" s="51">
        <f t="shared" si="45"/>
        <v>0</v>
      </c>
    </row>
    <row r="2920" spans="1:5">
      <c r="A2920" s="59">
        <v>5</v>
      </c>
      <c r="B2920" s="59">
        <v>32</v>
      </c>
      <c r="C2920" s="59">
        <v>970</v>
      </c>
      <c r="D2920" s="51">
        <v>77</v>
      </c>
      <c r="E2920" s="51">
        <f t="shared" si="45"/>
        <v>0</v>
      </c>
    </row>
    <row r="2921" spans="1:5">
      <c r="A2921" s="59">
        <v>5</v>
      </c>
      <c r="B2921" s="59">
        <v>64</v>
      </c>
      <c r="C2921" s="59">
        <v>899</v>
      </c>
      <c r="D2921" s="51">
        <v>77</v>
      </c>
      <c r="E2921" s="51">
        <f t="shared" si="45"/>
        <v>0</v>
      </c>
    </row>
    <row r="2922" spans="1:5">
      <c r="A2922" s="59">
        <v>5</v>
      </c>
      <c r="B2922" s="59">
        <v>14</v>
      </c>
      <c r="C2922" s="59">
        <v>950</v>
      </c>
      <c r="D2922" s="51">
        <v>75</v>
      </c>
      <c r="E2922" s="51">
        <f t="shared" si="45"/>
        <v>0</v>
      </c>
    </row>
    <row r="2923" spans="1:5">
      <c r="A2923" s="59">
        <v>5</v>
      </c>
      <c r="B2923" s="59">
        <v>43</v>
      </c>
      <c r="C2923" s="59">
        <v>899</v>
      </c>
      <c r="D2923" s="51">
        <v>75</v>
      </c>
      <c r="E2923" s="51">
        <f t="shared" si="45"/>
        <v>0</v>
      </c>
    </row>
    <row r="2924" spans="1:5">
      <c r="A2924" s="59">
        <v>5</v>
      </c>
      <c r="B2924" s="59">
        <v>44</v>
      </c>
      <c r="C2924" s="59">
        <v>220</v>
      </c>
      <c r="D2924" s="51">
        <v>74</v>
      </c>
      <c r="E2924" s="51">
        <f t="shared" si="45"/>
        <v>1</v>
      </c>
    </row>
    <row r="2925" spans="1:5">
      <c r="A2925" s="59">
        <v>5</v>
      </c>
      <c r="B2925" s="59">
        <v>62</v>
      </c>
      <c r="C2925" s="59">
        <v>950</v>
      </c>
      <c r="D2925" s="51">
        <v>72</v>
      </c>
      <c r="E2925" s="51">
        <f t="shared" si="45"/>
        <v>1</v>
      </c>
    </row>
    <row r="2926" spans="1:5">
      <c r="A2926" s="59">
        <v>5</v>
      </c>
      <c r="B2926" s="59">
        <v>43</v>
      </c>
      <c r="C2926" s="59">
        <v>820</v>
      </c>
      <c r="D2926" s="51">
        <v>71</v>
      </c>
      <c r="E2926" s="51">
        <f t="shared" si="45"/>
        <v>0</v>
      </c>
    </row>
    <row r="2927" spans="1:5">
      <c r="A2927" s="59">
        <v>5</v>
      </c>
      <c r="B2927" s="59">
        <v>32</v>
      </c>
      <c r="C2927" s="59">
        <v>930</v>
      </c>
      <c r="D2927" s="51">
        <v>70</v>
      </c>
      <c r="E2927" s="51">
        <f t="shared" si="45"/>
        <v>0</v>
      </c>
    </row>
    <row r="2928" spans="1:5">
      <c r="A2928" s="59">
        <v>5</v>
      </c>
      <c r="B2928" s="59">
        <v>33</v>
      </c>
      <c r="C2928" s="59">
        <v>110</v>
      </c>
      <c r="D2928" s="51">
        <v>70</v>
      </c>
      <c r="E2928" s="51">
        <f t="shared" si="45"/>
        <v>0</v>
      </c>
    </row>
    <row r="2929" spans="1:5">
      <c r="A2929" s="59">
        <v>5</v>
      </c>
      <c r="B2929" s="59">
        <v>33</v>
      </c>
      <c r="C2929" s="59">
        <v>150</v>
      </c>
      <c r="D2929" s="51">
        <v>70</v>
      </c>
      <c r="E2929" s="51">
        <f t="shared" si="45"/>
        <v>0</v>
      </c>
    </row>
    <row r="2930" spans="1:5">
      <c r="A2930" s="59">
        <v>5</v>
      </c>
      <c r="B2930" s="59">
        <v>16</v>
      </c>
      <c r="C2930" s="59">
        <v>530</v>
      </c>
      <c r="D2930" s="51">
        <v>68</v>
      </c>
      <c r="E2930" s="51">
        <f t="shared" si="45"/>
        <v>0</v>
      </c>
    </row>
    <row r="2931" spans="1:5">
      <c r="A2931" s="59">
        <v>5</v>
      </c>
      <c r="B2931" s="59">
        <v>61</v>
      </c>
      <c r="C2931" s="59">
        <v>910</v>
      </c>
      <c r="D2931" s="51">
        <v>67</v>
      </c>
      <c r="E2931" s="51">
        <f t="shared" si="45"/>
        <v>0</v>
      </c>
    </row>
    <row r="2932" spans="1:5">
      <c r="A2932" s="59">
        <v>5</v>
      </c>
      <c r="B2932" s="59">
        <v>62</v>
      </c>
      <c r="C2932" s="59">
        <v>310</v>
      </c>
      <c r="D2932" s="51">
        <v>65</v>
      </c>
      <c r="E2932" s="51">
        <f t="shared" si="45"/>
        <v>1</v>
      </c>
    </row>
    <row r="2933" spans="1:5">
      <c r="A2933" s="59">
        <v>5</v>
      </c>
      <c r="B2933" s="59">
        <v>31</v>
      </c>
      <c r="C2933" s="59">
        <v>910</v>
      </c>
      <c r="D2933" s="51">
        <v>64</v>
      </c>
      <c r="E2933" s="51">
        <f t="shared" si="45"/>
        <v>0</v>
      </c>
    </row>
    <row r="2934" spans="1:5">
      <c r="A2934" s="59">
        <v>5</v>
      </c>
      <c r="B2934" s="59">
        <v>81</v>
      </c>
      <c r="C2934" s="59">
        <v>930</v>
      </c>
      <c r="D2934" s="51">
        <v>64</v>
      </c>
      <c r="E2934" s="51">
        <f t="shared" si="45"/>
        <v>0</v>
      </c>
    </row>
    <row r="2935" spans="1:5">
      <c r="A2935" s="59">
        <v>5</v>
      </c>
      <c r="B2935" s="59">
        <v>14</v>
      </c>
      <c r="C2935" s="59">
        <v>410</v>
      </c>
      <c r="D2935" s="51">
        <v>63</v>
      </c>
      <c r="E2935" s="51">
        <f t="shared" si="45"/>
        <v>0</v>
      </c>
    </row>
    <row r="2936" spans="1:5">
      <c r="A2936" s="59">
        <v>5</v>
      </c>
      <c r="B2936" s="59">
        <v>15</v>
      </c>
      <c r="C2936" s="59">
        <v>530</v>
      </c>
      <c r="D2936" s="51">
        <v>63</v>
      </c>
      <c r="E2936" s="51">
        <f t="shared" si="45"/>
        <v>0</v>
      </c>
    </row>
    <row r="2937" spans="1:5">
      <c r="A2937" s="59">
        <v>5</v>
      </c>
      <c r="B2937" s="59">
        <v>32</v>
      </c>
      <c r="C2937" s="59">
        <v>160</v>
      </c>
      <c r="D2937" s="51">
        <v>63</v>
      </c>
      <c r="E2937" s="51">
        <f t="shared" si="45"/>
        <v>0</v>
      </c>
    </row>
    <row r="2938" spans="1:5">
      <c r="A2938" s="59">
        <v>5</v>
      </c>
      <c r="B2938" s="59">
        <v>14</v>
      </c>
      <c r="C2938" s="59">
        <v>220</v>
      </c>
      <c r="D2938" s="51">
        <v>62</v>
      </c>
      <c r="E2938" s="51">
        <f t="shared" si="45"/>
        <v>0</v>
      </c>
    </row>
    <row r="2939" spans="1:5">
      <c r="A2939" s="59">
        <v>5</v>
      </c>
      <c r="B2939" s="59">
        <v>15</v>
      </c>
      <c r="C2939" s="59">
        <v>930</v>
      </c>
      <c r="D2939" s="51">
        <v>62</v>
      </c>
      <c r="E2939" s="51">
        <f t="shared" si="45"/>
        <v>0</v>
      </c>
    </row>
    <row r="2940" spans="1:5">
      <c r="A2940" s="59">
        <v>5</v>
      </c>
      <c r="B2940" s="59">
        <v>16</v>
      </c>
      <c r="C2940" s="59">
        <v>750</v>
      </c>
      <c r="D2940" s="51">
        <v>62</v>
      </c>
      <c r="E2940" s="51">
        <f t="shared" si="45"/>
        <v>0</v>
      </c>
    </row>
    <row r="2941" spans="1:5">
      <c r="A2941" s="59">
        <v>5</v>
      </c>
      <c r="B2941" s="59">
        <v>15</v>
      </c>
      <c r="C2941" s="59">
        <v>210</v>
      </c>
      <c r="D2941" s="51">
        <v>59</v>
      </c>
      <c r="E2941" s="51">
        <f t="shared" si="45"/>
        <v>0</v>
      </c>
    </row>
    <row r="2942" spans="1:5">
      <c r="A2942" s="59">
        <v>5</v>
      </c>
      <c r="B2942" s="59">
        <v>22</v>
      </c>
      <c r="C2942" s="59">
        <v>320</v>
      </c>
      <c r="D2942" s="51">
        <v>58</v>
      </c>
      <c r="E2942" s="51">
        <f t="shared" si="45"/>
        <v>0</v>
      </c>
    </row>
    <row r="2943" spans="1:5">
      <c r="A2943" s="59">
        <v>5</v>
      </c>
      <c r="B2943" s="59">
        <v>23</v>
      </c>
      <c r="C2943" s="59">
        <v>720</v>
      </c>
      <c r="D2943" s="51">
        <v>58</v>
      </c>
      <c r="E2943" s="51">
        <f t="shared" si="45"/>
        <v>0</v>
      </c>
    </row>
    <row r="2944" spans="1:5">
      <c r="A2944" s="59">
        <v>5</v>
      </c>
      <c r="B2944" s="59">
        <v>51</v>
      </c>
      <c r="C2944" s="59">
        <v>910</v>
      </c>
      <c r="D2944" s="51">
        <v>58</v>
      </c>
      <c r="E2944" s="51">
        <f t="shared" si="45"/>
        <v>0</v>
      </c>
    </row>
    <row r="2945" spans="1:5">
      <c r="A2945" s="59">
        <v>5</v>
      </c>
      <c r="B2945" s="59">
        <v>64</v>
      </c>
      <c r="C2945" s="59">
        <v>120</v>
      </c>
      <c r="D2945" s="51">
        <v>58</v>
      </c>
      <c r="E2945" s="51">
        <f t="shared" si="45"/>
        <v>0</v>
      </c>
    </row>
    <row r="2946" spans="1:5">
      <c r="A2946" s="59">
        <v>5</v>
      </c>
      <c r="B2946" s="59">
        <v>42</v>
      </c>
      <c r="C2946" s="59">
        <v>110</v>
      </c>
      <c r="D2946" s="51">
        <v>57</v>
      </c>
      <c r="E2946" s="51">
        <f t="shared" ref="E2946:E3009" si="46">IF(OR(A2946=6,A2946=7,A2946=14,A2946=15,A2946=16,A2946=17,A2946=18,A2946=19,A2946=20,A2946=21,A2946=22,A2946=23,A2946=25,A2946=26,A2946=27,A2946=28,B2946=41,B2946=44,B2946=62),1,0)</f>
        <v>0</v>
      </c>
    </row>
    <row r="2947" spans="1:5">
      <c r="A2947" s="59">
        <v>5</v>
      </c>
      <c r="B2947" s="59">
        <v>44</v>
      </c>
      <c r="C2947" s="59">
        <v>430</v>
      </c>
      <c r="D2947" s="51">
        <v>57</v>
      </c>
      <c r="E2947" s="51">
        <f t="shared" si="46"/>
        <v>1</v>
      </c>
    </row>
    <row r="2948" spans="1:5">
      <c r="A2948" s="59">
        <v>5</v>
      </c>
      <c r="B2948" s="59">
        <v>12</v>
      </c>
      <c r="C2948" s="59">
        <v>750</v>
      </c>
      <c r="D2948" s="51">
        <v>56</v>
      </c>
      <c r="E2948" s="51">
        <f t="shared" si="46"/>
        <v>0</v>
      </c>
    </row>
    <row r="2949" spans="1:5">
      <c r="A2949" s="59">
        <v>5</v>
      </c>
      <c r="B2949" s="59">
        <v>22</v>
      </c>
      <c r="C2949" s="59">
        <v>240</v>
      </c>
      <c r="D2949" s="51">
        <v>56</v>
      </c>
      <c r="E2949" s="51">
        <f t="shared" si="46"/>
        <v>0</v>
      </c>
    </row>
    <row r="2950" spans="1:5">
      <c r="A2950" s="59">
        <v>5</v>
      </c>
      <c r="B2950" s="59">
        <v>81</v>
      </c>
      <c r="C2950" s="59">
        <v>210</v>
      </c>
      <c r="D2950" s="51">
        <v>56</v>
      </c>
      <c r="E2950" s="51">
        <f t="shared" si="46"/>
        <v>0</v>
      </c>
    </row>
    <row r="2951" spans="1:5">
      <c r="A2951" s="59">
        <v>5</v>
      </c>
      <c r="B2951" s="59">
        <v>81</v>
      </c>
      <c r="C2951" s="59">
        <v>230</v>
      </c>
      <c r="D2951" s="51">
        <v>56</v>
      </c>
      <c r="E2951" s="51">
        <f t="shared" si="46"/>
        <v>0</v>
      </c>
    </row>
    <row r="2952" spans="1:5">
      <c r="A2952" s="59">
        <v>5</v>
      </c>
      <c r="B2952" s="59">
        <v>81</v>
      </c>
      <c r="C2952" s="59">
        <v>831</v>
      </c>
      <c r="D2952" s="51">
        <v>56</v>
      </c>
      <c r="E2952" s="51">
        <f t="shared" si="46"/>
        <v>0</v>
      </c>
    </row>
    <row r="2953" spans="1:5">
      <c r="A2953" s="59">
        <v>5</v>
      </c>
      <c r="B2953" s="59">
        <v>14</v>
      </c>
      <c r="C2953" s="59">
        <v>420</v>
      </c>
      <c r="D2953" s="51">
        <v>55</v>
      </c>
      <c r="E2953" s="51">
        <f t="shared" si="46"/>
        <v>0</v>
      </c>
    </row>
    <row r="2954" spans="1:5">
      <c r="A2954" s="59">
        <v>5</v>
      </c>
      <c r="B2954" s="59">
        <v>24</v>
      </c>
      <c r="C2954" s="59">
        <v>710</v>
      </c>
      <c r="D2954" s="51">
        <v>55</v>
      </c>
      <c r="E2954" s="51">
        <f t="shared" si="46"/>
        <v>0</v>
      </c>
    </row>
    <row r="2955" spans="1:5">
      <c r="A2955" s="59">
        <v>5</v>
      </c>
      <c r="B2955" s="59">
        <v>43</v>
      </c>
      <c r="C2955" s="59">
        <v>862</v>
      </c>
      <c r="D2955" s="51">
        <v>55</v>
      </c>
      <c r="E2955" s="51">
        <f t="shared" si="46"/>
        <v>0</v>
      </c>
    </row>
    <row r="2956" spans="1:5">
      <c r="A2956" s="59">
        <v>5</v>
      </c>
      <c r="B2956" s="59">
        <v>42</v>
      </c>
      <c r="C2956" s="59">
        <v>160</v>
      </c>
      <c r="D2956" s="51">
        <v>54</v>
      </c>
      <c r="E2956" s="51">
        <f t="shared" si="46"/>
        <v>0</v>
      </c>
    </row>
    <row r="2957" spans="1:5">
      <c r="A2957" s="59">
        <v>5</v>
      </c>
      <c r="B2957" s="59">
        <v>62</v>
      </c>
      <c r="C2957" s="59">
        <v>320</v>
      </c>
      <c r="D2957" s="51">
        <v>54</v>
      </c>
      <c r="E2957" s="51">
        <f t="shared" si="46"/>
        <v>1</v>
      </c>
    </row>
    <row r="2958" spans="1:5">
      <c r="A2958" s="59">
        <v>5</v>
      </c>
      <c r="B2958" s="59">
        <v>33</v>
      </c>
      <c r="C2958" s="59">
        <v>610</v>
      </c>
      <c r="D2958" s="51">
        <v>53</v>
      </c>
      <c r="E2958" s="51">
        <f t="shared" si="46"/>
        <v>0</v>
      </c>
    </row>
    <row r="2959" spans="1:5">
      <c r="A2959" s="59">
        <v>5</v>
      </c>
      <c r="B2959" s="59">
        <v>63</v>
      </c>
      <c r="C2959" s="59">
        <v>210</v>
      </c>
      <c r="D2959" s="51">
        <v>53</v>
      </c>
      <c r="E2959" s="51">
        <f t="shared" si="46"/>
        <v>0</v>
      </c>
    </row>
    <row r="2960" spans="1:5">
      <c r="A2960" s="59">
        <v>5</v>
      </c>
      <c r="B2960" s="59">
        <v>64</v>
      </c>
      <c r="C2960" s="59">
        <v>630</v>
      </c>
      <c r="D2960" s="51">
        <v>53</v>
      </c>
      <c r="E2960" s="51">
        <f t="shared" si="46"/>
        <v>0</v>
      </c>
    </row>
    <row r="2961" spans="1:5">
      <c r="A2961" s="59">
        <v>5</v>
      </c>
      <c r="B2961" s="59">
        <v>13</v>
      </c>
      <c r="C2961" s="59">
        <v>220</v>
      </c>
      <c r="D2961" s="51">
        <v>52</v>
      </c>
      <c r="E2961" s="51">
        <f t="shared" si="46"/>
        <v>0</v>
      </c>
    </row>
    <row r="2962" spans="1:5">
      <c r="A2962" s="59">
        <v>5</v>
      </c>
      <c r="B2962" s="59">
        <v>41</v>
      </c>
      <c r="C2962" s="59">
        <v>990</v>
      </c>
      <c r="D2962" s="51">
        <v>52</v>
      </c>
      <c r="E2962" s="51">
        <f t="shared" si="46"/>
        <v>1</v>
      </c>
    </row>
    <row r="2963" spans="1:5">
      <c r="A2963" s="59">
        <v>5</v>
      </c>
      <c r="B2963" s="59">
        <v>42</v>
      </c>
      <c r="C2963" s="59">
        <v>740</v>
      </c>
      <c r="D2963" s="51">
        <v>52</v>
      </c>
      <c r="E2963" s="51">
        <f t="shared" si="46"/>
        <v>0</v>
      </c>
    </row>
    <row r="2964" spans="1:5">
      <c r="A2964" s="59">
        <v>5</v>
      </c>
      <c r="B2964" s="59">
        <v>12</v>
      </c>
      <c r="C2964" s="59">
        <v>150</v>
      </c>
      <c r="D2964" s="51">
        <v>51</v>
      </c>
      <c r="E2964" s="51">
        <f t="shared" si="46"/>
        <v>0</v>
      </c>
    </row>
    <row r="2965" spans="1:5">
      <c r="A2965" s="59">
        <v>5</v>
      </c>
      <c r="B2965" s="59">
        <v>13</v>
      </c>
      <c r="C2965" s="59">
        <v>620</v>
      </c>
      <c r="D2965" s="51">
        <v>51</v>
      </c>
      <c r="E2965" s="51">
        <f t="shared" si="46"/>
        <v>0</v>
      </c>
    </row>
    <row r="2966" spans="1:5">
      <c r="A2966" s="59">
        <v>5</v>
      </c>
      <c r="B2966" s="59">
        <v>81</v>
      </c>
      <c r="C2966" s="59">
        <v>960</v>
      </c>
      <c r="D2966" s="51">
        <v>51</v>
      </c>
      <c r="E2966" s="51">
        <f t="shared" si="46"/>
        <v>0</v>
      </c>
    </row>
    <row r="2967" spans="1:5">
      <c r="A2967" s="59">
        <v>5</v>
      </c>
      <c r="B2967" s="59">
        <v>16</v>
      </c>
      <c r="C2967" s="59">
        <v>310</v>
      </c>
      <c r="D2967" s="51">
        <v>50</v>
      </c>
      <c r="E2967" s="51">
        <f t="shared" si="46"/>
        <v>0</v>
      </c>
    </row>
    <row r="2968" spans="1:5">
      <c r="A2968" s="59">
        <v>5</v>
      </c>
      <c r="B2968" s="59">
        <v>51</v>
      </c>
      <c r="C2968" s="59">
        <v>730</v>
      </c>
      <c r="D2968" s="51">
        <v>50</v>
      </c>
      <c r="E2968" s="51">
        <f t="shared" si="46"/>
        <v>0</v>
      </c>
    </row>
    <row r="2969" spans="1:5">
      <c r="A2969" s="59">
        <v>5</v>
      </c>
      <c r="B2969" s="59">
        <v>44</v>
      </c>
      <c r="C2969" s="59">
        <v>210</v>
      </c>
      <c r="D2969" s="51">
        <v>49</v>
      </c>
      <c r="E2969" s="51">
        <f t="shared" si="46"/>
        <v>1</v>
      </c>
    </row>
    <row r="2970" spans="1:5">
      <c r="A2970" s="59">
        <v>5</v>
      </c>
      <c r="B2970" s="59">
        <v>13</v>
      </c>
      <c r="C2970" s="59">
        <v>240</v>
      </c>
      <c r="D2970" s="51">
        <v>48</v>
      </c>
      <c r="E2970" s="51">
        <f t="shared" si="46"/>
        <v>0</v>
      </c>
    </row>
    <row r="2971" spans="1:5">
      <c r="A2971" s="59">
        <v>5</v>
      </c>
      <c r="B2971" s="59">
        <v>31</v>
      </c>
      <c r="C2971" s="59">
        <v>420</v>
      </c>
      <c r="D2971" s="51">
        <v>47</v>
      </c>
      <c r="E2971" s="51">
        <f t="shared" si="46"/>
        <v>0</v>
      </c>
    </row>
    <row r="2972" spans="1:5">
      <c r="A2972" s="59">
        <v>5</v>
      </c>
      <c r="B2972" s="59">
        <v>15</v>
      </c>
      <c r="C2972" s="59">
        <v>750</v>
      </c>
      <c r="D2972" s="51">
        <v>46</v>
      </c>
      <c r="E2972" s="51">
        <f t="shared" si="46"/>
        <v>0</v>
      </c>
    </row>
    <row r="2973" spans="1:5">
      <c r="A2973" s="59">
        <v>5</v>
      </c>
      <c r="B2973" s="59">
        <v>33</v>
      </c>
      <c r="C2973" s="59">
        <v>520</v>
      </c>
      <c r="D2973" s="51">
        <v>46</v>
      </c>
      <c r="E2973" s="51">
        <f t="shared" si="46"/>
        <v>0</v>
      </c>
    </row>
    <row r="2974" spans="1:5">
      <c r="A2974" s="59">
        <v>5</v>
      </c>
      <c r="B2974" s="59">
        <v>41</v>
      </c>
      <c r="C2974" s="59">
        <v>620</v>
      </c>
      <c r="D2974" s="51">
        <v>46</v>
      </c>
      <c r="E2974" s="51">
        <f t="shared" si="46"/>
        <v>1</v>
      </c>
    </row>
    <row r="2975" spans="1:5">
      <c r="A2975" s="59">
        <v>5</v>
      </c>
      <c r="B2975" s="59">
        <v>63</v>
      </c>
      <c r="C2975" s="59">
        <v>960</v>
      </c>
      <c r="D2975" s="51">
        <v>46</v>
      </c>
      <c r="E2975" s="51">
        <f t="shared" si="46"/>
        <v>0</v>
      </c>
    </row>
    <row r="2976" spans="1:5">
      <c r="A2976" s="59">
        <v>5</v>
      </c>
      <c r="B2976" s="59">
        <v>63</v>
      </c>
      <c r="C2976" s="59">
        <v>230</v>
      </c>
      <c r="D2976" s="51">
        <v>45</v>
      </c>
      <c r="E2976" s="51">
        <f t="shared" si="46"/>
        <v>0</v>
      </c>
    </row>
    <row r="2977" spans="1:5">
      <c r="A2977" s="59">
        <v>5</v>
      </c>
      <c r="B2977" s="59">
        <v>71</v>
      </c>
      <c r="C2977" s="59">
        <v>230</v>
      </c>
      <c r="D2977" s="51">
        <v>45</v>
      </c>
      <c r="E2977" s="51">
        <f t="shared" si="46"/>
        <v>0</v>
      </c>
    </row>
    <row r="2978" spans="1:5">
      <c r="A2978" s="59">
        <v>5</v>
      </c>
      <c r="B2978" s="59">
        <v>16</v>
      </c>
      <c r="C2978" s="59">
        <v>230</v>
      </c>
      <c r="D2978" s="51">
        <v>44</v>
      </c>
      <c r="E2978" s="51">
        <f t="shared" si="46"/>
        <v>0</v>
      </c>
    </row>
    <row r="2979" spans="1:5">
      <c r="A2979" s="59">
        <v>5</v>
      </c>
      <c r="B2979" s="59">
        <v>16</v>
      </c>
      <c r="C2979" s="59">
        <v>320</v>
      </c>
      <c r="D2979" s="51">
        <v>44</v>
      </c>
      <c r="E2979" s="51">
        <f t="shared" si="46"/>
        <v>0</v>
      </c>
    </row>
    <row r="2980" spans="1:5">
      <c r="A2980" s="59">
        <v>5</v>
      </c>
      <c r="B2980" s="59">
        <v>22</v>
      </c>
      <c r="C2980" s="59">
        <v>310</v>
      </c>
      <c r="D2980" s="51">
        <v>44</v>
      </c>
      <c r="E2980" s="51">
        <f t="shared" si="46"/>
        <v>0</v>
      </c>
    </row>
    <row r="2981" spans="1:5">
      <c r="A2981" s="59">
        <v>5</v>
      </c>
      <c r="B2981" s="59">
        <v>16</v>
      </c>
      <c r="C2981" s="59">
        <v>420</v>
      </c>
      <c r="D2981" s="51">
        <v>43</v>
      </c>
      <c r="E2981" s="51">
        <f t="shared" si="46"/>
        <v>0</v>
      </c>
    </row>
    <row r="2982" spans="1:5">
      <c r="A2982" s="59">
        <v>5</v>
      </c>
      <c r="B2982" s="59">
        <v>63</v>
      </c>
      <c r="C2982" s="59">
        <v>930</v>
      </c>
      <c r="D2982" s="51">
        <v>42</v>
      </c>
      <c r="E2982" s="51">
        <f t="shared" si="46"/>
        <v>0</v>
      </c>
    </row>
    <row r="2983" spans="1:5">
      <c r="A2983" s="59">
        <v>5</v>
      </c>
      <c r="B2983" s="59">
        <v>15</v>
      </c>
      <c r="C2983" s="59">
        <v>130</v>
      </c>
      <c r="D2983" s="51">
        <v>41</v>
      </c>
      <c r="E2983" s="51">
        <f t="shared" si="46"/>
        <v>0</v>
      </c>
    </row>
    <row r="2984" spans="1:5">
      <c r="A2984" s="59">
        <v>5</v>
      </c>
      <c r="B2984" s="59">
        <v>23</v>
      </c>
      <c r="C2984" s="59">
        <v>160</v>
      </c>
      <c r="D2984" s="51">
        <v>41</v>
      </c>
      <c r="E2984" s="51">
        <f t="shared" si="46"/>
        <v>0</v>
      </c>
    </row>
    <row r="2985" spans="1:5">
      <c r="A2985" s="59">
        <v>5</v>
      </c>
      <c r="B2985" s="59">
        <v>32</v>
      </c>
      <c r="C2985" s="59">
        <v>960</v>
      </c>
      <c r="D2985" s="51">
        <v>41</v>
      </c>
      <c r="E2985" s="51">
        <f t="shared" si="46"/>
        <v>0</v>
      </c>
    </row>
    <row r="2986" spans="1:5">
      <c r="A2986" s="59">
        <v>5</v>
      </c>
      <c r="B2986" s="59">
        <v>71</v>
      </c>
      <c r="C2986" s="59">
        <v>220</v>
      </c>
      <c r="D2986" s="51">
        <v>41</v>
      </c>
      <c r="E2986" s="51">
        <f t="shared" si="46"/>
        <v>0</v>
      </c>
    </row>
    <row r="2987" spans="1:5">
      <c r="A2987" s="59">
        <v>5</v>
      </c>
      <c r="B2987" s="59">
        <v>44</v>
      </c>
      <c r="C2987" s="59">
        <v>860</v>
      </c>
      <c r="D2987" s="51">
        <v>40</v>
      </c>
      <c r="E2987" s="51">
        <f t="shared" si="46"/>
        <v>1</v>
      </c>
    </row>
    <row r="2988" spans="1:5">
      <c r="A2988" s="59">
        <v>5</v>
      </c>
      <c r="B2988" s="59">
        <v>44</v>
      </c>
      <c r="C2988" s="59">
        <v>540</v>
      </c>
      <c r="D2988" s="51">
        <v>39</v>
      </c>
      <c r="E2988" s="51">
        <f t="shared" si="46"/>
        <v>1</v>
      </c>
    </row>
    <row r="2989" spans="1:5">
      <c r="A2989" s="59">
        <v>5</v>
      </c>
      <c r="B2989" s="59">
        <v>71</v>
      </c>
      <c r="C2989" s="59">
        <v>240</v>
      </c>
      <c r="D2989" s="51">
        <v>39</v>
      </c>
      <c r="E2989" s="51">
        <f t="shared" si="46"/>
        <v>0</v>
      </c>
    </row>
    <row r="2990" spans="1:5">
      <c r="A2990" s="59">
        <v>5</v>
      </c>
      <c r="B2990" s="59">
        <v>43</v>
      </c>
      <c r="C2990" s="59">
        <v>892</v>
      </c>
      <c r="D2990" s="51">
        <v>38</v>
      </c>
      <c r="E2990" s="51">
        <f t="shared" si="46"/>
        <v>0</v>
      </c>
    </row>
    <row r="2991" spans="1:5">
      <c r="A2991" s="59">
        <v>5</v>
      </c>
      <c r="B2991" s="59">
        <v>62</v>
      </c>
      <c r="C2991" s="59">
        <v>220</v>
      </c>
      <c r="D2991" s="51">
        <v>38</v>
      </c>
      <c r="E2991" s="51">
        <f t="shared" si="46"/>
        <v>1</v>
      </c>
    </row>
    <row r="2992" spans="1:5">
      <c r="A2992" s="59">
        <v>5</v>
      </c>
      <c r="B2992" s="59">
        <v>62</v>
      </c>
      <c r="C2992" s="59">
        <v>940</v>
      </c>
      <c r="D2992" s="51">
        <v>38</v>
      </c>
      <c r="E2992" s="51">
        <f t="shared" si="46"/>
        <v>1</v>
      </c>
    </row>
    <row r="2993" spans="1:5">
      <c r="A2993" s="59">
        <v>5</v>
      </c>
      <c r="B2993" s="59">
        <v>71</v>
      </c>
      <c r="C2993" s="59">
        <v>630</v>
      </c>
      <c r="D2993" s="51">
        <v>37</v>
      </c>
      <c r="E2993" s="51">
        <f t="shared" si="46"/>
        <v>0</v>
      </c>
    </row>
    <row r="2994" spans="1:5">
      <c r="A2994" s="59">
        <v>5</v>
      </c>
      <c r="B2994" s="59">
        <v>71</v>
      </c>
      <c r="C2994" s="59">
        <v>950</v>
      </c>
      <c r="D2994" s="51">
        <v>37</v>
      </c>
      <c r="E2994" s="51">
        <f t="shared" si="46"/>
        <v>0</v>
      </c>
    </row>
    <row r="2995" spans="1:5">
      <c r="A2995" s="59">
        <v>5</v>
      </c>
      <c r="B2995" s="59">
        <v>15</v>
      </c>
      <c r="C2995" s="59">
        <v>230</v>
      </c>
      <c r="D2995" s="51">
        <v>36</v>
      </c>
      <c r="E2995" s="51">
        <f t="shared" si="46"/>
        <v>0</v>
      </c>
    </row>
    <row r="2996" spans="1:5">
      <c r="A2996" s="59">
        <v>5</v>
      </c>
      <c r="B2996" s="59">
        <v>22</v>
      </c>
      <c r="C2996" s="59">
        <v>330</v>
      </c>
      <c r="D2996" s="51">
        <v>36</v>
      </c>
      <c r="E2996" s="51">
        <f t="shared" si="46"/>
        <v>0</v>
      </c>
    </row>
    <row r="2997" spans="1:5">
      <c r="A2997" s="59">
        <v>5</v>
      </c>
      <c r="B2997" s="59">
        <v>61</v>
      </c>
      <c r="C2997" s="59">
        <v>530</v>
      </c>
      <c r="D2997" s="51">
        <v>36</v>
      </c>
      <c r="E2997" s="51">
        <f t="shared" si="46"/>
        <v>0</v>
      </c>
    </row>
    <row r="2998" spans="1:5">
      <c r="A2998" s="59">
        <v>5</v>
      </c>
      <c r="B2998" s="59">
        <v>16</v>
      </c>
      <c r="C2998" s="59">
        <v>940</v>
      </c>
      <c r="D2998" s="51">
        <v>35</v>
      </c>
      <c r="E2998" s="51">
        <f t="shared" si="46"/>
        <v>0</v>
      </c>
    </row>
    <row r="2999" spans="1:5">
      <c r="A2999" s="59">
        <v>5</v>
      </c>
      <c r="B2999" s="59">
        <v>32</v>
      </c>
      <c r="C2999" s="59">
        <v>230</v>
      </c>
      <c r="D2999" s="51">
        <v>35</v>
      </c>
      <c r="E2999" s="51">
        <f t="shared" si="46"/>
        <v>0</v>
      </c>
    </row>
    <row r="3000" spans="1:5">
      <c r="A3000" s="59">
        <v>5</v>
      </c>
      <c r="B3000" s="59">
        <v>32</v>
      </c>
      <c r="C3000" s="59">
        <v>620</v>
      </c>
      <c r="D3000" s="51">
        <v>35</v>
      </c>
      <c r="E3000" s="51">
        <f t="shared" si="46"/>
        <v>0</v>
      </c>
    </row>
    <row r="3001" spans="1:5">
      <c r="A3001" s="59">
        <v>5</v>
      </c>
      <c r="B3001" s="59">
        <v>33</v>
      </c>
      <c r="C3001" s="59">
        <v>230</v>
      </c>
      <c r="D3001" s="51">
        <v>35</v>
      </c>
      <c r="E3001" s="51">
        <f t="shared" si="46"/>
        <v>0</v>
      </c>
    </row>
    <row r="3002" spans="1:5">
      <c r="A3002" s="59">
        <v>5</v>
      </c>
      <c r="B3002" s="59">
        <v>43</v>
      </c>
      <c r="C3002" s="59">
        <v>640</v>
      </c>
      <c r="D3002" s="51">
        <v>35</v>
      </c>
      <c r="E3002" s="51">
        <f t="shared" si="46"/>
        <v>0</v>
      </c>
    </row>
    <row r="3003" spans="1:5">
      <c r="A3003" s="59">
        <v>5</v>
      </c>
      <c r="B3003" s="59">
        <v>44</v>
      </c>
      <c r="C3003" s="59">
        <v>899</v>
      </c>
      <c r="D3003" s="51">
        <v>35</v>
      </c>
      <c r="E3003" s="51">
        <f t="shared" si="46"/>
        <v>1</v>
      </c>
    </row>
    <row r="3004" spans="1:5">
      <c r="A3004" s="59">
        <v>5</v>
      </c>
      <c r="B3004" s="59">
        <v>62</v>
      </c>
      <c r="C3004" s="59">
        <v>820</v>
      </c>
      <c r="D3004" s="51">
        <v>35</v>
      </c>
      <c r="E3004" s="51">
        <f t="shared" si="46"/>
        <v>1</v>
      </c>
    </row>
    <row r="3005" spans="1:5">
      <c r="A3005" s="59">
        <v>5</v>
      </c>
      <c r="B3005" s="59">
        <v>81</v>
      </c>
      <c r="C3005" s="59">
        <v>440</v>
      </c>
      <c r="D3005" s="51">
        <v>35</v>
      </c>
      <c r="E3005" s="51">
        <f t="shared" si="46"/>
        <v>0</v>
      </c>
    </row>
    <row r="3006" spans="1:5">
      <c r="A3006" s="59">
        <v>5</v>
      </c>
      <c r="B3006" s="59">
        <v>15</v>
      </c>
      <c r="C3006" s="59">
        <v>320</v>
      </c>
      <c r="D3006" s="51">
        <v>34</v>
      </c>
      <c r="E3006" s="51">
        <f t="shared" si="46"/>
        <v>0</v>
      </c>
    </row>
    <row r="3007" spans="1:5">
      <c r="A3007" s="59">
        <v>5</v>
      </c>
      <c r="B3007" s="59">
        <v>31</v>
      </c>
      <c r="C3007" s="59">
        <v>510</v>
      </c>
      <c r="D3007" s="51">
        <v>34</v>
      </c>
      <c r="E3007" s="51">
        <f t="shared" si="46"/>
        <v>0</v>
      </c>
    </row>
    <row r="3008" spans="1:5">
      <c r="A3008" s="59">
        <v>5</v>
      </c>
      <c r="B3008" s="59">
        <v>33</v>
      </c>
      <c r="C3008" s="59">
        <v>210</v>
      </c>
      <c r="D3008" s="51">
        <v>34</v>
      </c>
      <c r="E3008" s="51">
        <f t="shared" si="46"/>
        <v>0</v>
      </c>
    </row>
    <row r="3009" spans="1:5">
      <c r="A3009" s="59">
        <v>5</v>
      </c>
      <c r="B3009" s="59">
        <v>44</v>
      </c>
      <c r="C3009" s="59">
        <v>550</v>
      </c>
      <c r="D3009" s="51">
        <v>34</v>
      </c>
      <c r="E3009" s="51">
        <f t="shared" si="46"/>
        <v>1</v>
      </c>
    </row>
    <row r="3010" spans="1:5">
      <c r="A3010" s="59">
        <v>5</v>
      </c>
      <c r="B3010" s="59">
        <v>51</v>
      </c>
      <c r="C3010" s="59">
        <v>610</v>
      </c>
      <c r="D3010" s="51">
        <v>34</v>
      </c>
      <c r="E3010" s="51">
        <f t="shared" ref="E3010:E3073" si="47">IF(OR(A3010=6,A3010=7,A3010=14,A3010=15,A3010=16,A3010=17,A3010=18,A3010=19,A3010=20,A3010=21,A3010=22,A3010=23,A3010=25,A3010=26,A3010=27,A3010=28,B3010=41,B3010=44,B3010=62),1,0)</f>
        <v>0</v>
      </c>
    </row>
    <row r="3011" spans="1:5">
      <c r="A3011" s="59">
        <v>5</v>
      </c>
      <c r="B3011" s="59">
        <v>61</v>
      </c>
      <c r="C3011" s="59">
        <v>710</v>
      </c>
      <c r="D3011" s="51">
        <v>34</v>
      </c>
      <c r="E3011" s="51">
        <f t="shared" si="47"/>
        <v>0</v>
      </c>
    </row>
    <row r="3012" spans="1:5">
      <c r="A3012" s="59">
        <v>5</v>
      </c>
      <c r="B3012" s="59">
        <v>61</v>
      </c>
      <c r="C3012" s="59">
        <v>740</v>
      </c>
      <c r="D3012" s="51">
        <v>34</v>
      </c>
      <c r="E3012" s="51">
        <f t="shared" si="47"/>
        <v>0</v>
      </c>
    </row>
    <row r="3013" spans="1:5">
      <c r="A3013" s="59">
        <v>5</v>
      </c>
      <c r="B3013" s="59">
        <v>63</v>
      </c>
      <c r="C3013" s="59">
        <v>310</v>
      </c>
      <c r="D3013" s="51">
        <v>34</v>
      </c>
      <c r="E3013" s="51">
        <f t="shared" si="47"/>
        <v>0</v>
      </c>
    </row>
    <row r="3014" spans="1:5">
      <c r="A3014" s="59">
        <v>5</v>
      </c>
      <c r="B3014" s="59">
        <v>63</v>
      </c>
      <c r="C3014" s="59">
        <v>430</v>
      </c>
      <c r="D3014" s="51">
        <v>34</v>
      </c>
      <c r="E3014" s="51">
        <f t="shared" si="47"/>
        <v>0</v>
      </c>
    </row>
    <row r="3015" spans="1:5">
      <c r="A3015" s="59">
        <v>5</v>
      </c>
      <c r="B3015" s="59">
        <v>14</v>
      </c>
      <c r="C3015" s="59">
        <v>430</v>
      </c>
      <c r="D3015" s="51">
        <v>33</v>
      </c>
      <c r="E3015" s="51">
        <f t="shared" si="47"/>
        <v>0</v>
      </c>
    </row>
    <row r="3016" spans="1:5">
      <c r="A3016" s="59">
        <v>5</v>
      </c>
      <c r="B3016" s="59">
        <v>14</v>
      </c>
      <c r="C3016" s="59">
        <v>940</v>
      </c>
      <c r="D3016" s="51">
        <v>33</v>
      </c>
      <c r="E3016" s="51">
        <f t="shared" si="47"/>
        <v>0</v>
      </c>
    </row>
    <row r="3017" spans="1:5">
      <c r="A3017" s="59">
        <v>5</v>
      </c>
      <c r="B3017" s="59">
        <v>22</v>
      </c>
      <c r="C3017" s="59">
        <v>840</v>
      </c>
      <c r="D3017" s="51">
        <v>33</v>
      </c>
      <c r="E3017" s="51">
        <f t="shared" si="47"/>
        <v>0</v>
      </c>
    </row>
    <row r="3018" spans="1:5">
      <c r="A3018" s="59">
        <v>5</v>
      </c>
      <c r="B3018" s="59">
        <v>23</v>
      </c>
      <c r="C3018" s="59">
        <v>910</v>
      </c>
      <c r="D3018" s="51">
        <v>33</v>
      </c>
      <c r="E3018" s="51">
        <f t="shared" si="47"/>
        <v>0</v>
      </c>
    </row>
    <row r="3019" spans="1:5">
      <c r="A3019" s="59">
        <v>5</v>
      </c>
      <c r="B3019" s="59">
        <v>16</v>
      </c>
      <c r="C3019" s="59">
        <v>410</v>
      </c>
      <c r="D3019" s="51">
        <v>32</v>
      </c>
      <c r="E3019" s="51">
        <f t="shared" si="47"/>
        <v>0</v>
      </c>
    </row>
    <row r="3020" spans="1:5">
      <c r="A3020" s="59">
        <v>5</v>
      </c>
      <c r="B3020" s="59">
        <v>31</v>
      </c>
      <c r="C3020" s="59">
        <v>410</v>
      </c>
      <c r="D3020" s="51">
        <v>32</v>
      </c>
      <c r="E3020" s="51">
        <f t="shared" si="47"/>
        <v>0</v>
      </c>
    </row>
    <row r="3021" spans="1:5">
      <c r="A3021" s="59">
        <v>5</v>
      </c>
      <c r="B3021" s="59">
        <v>15</v>
      </c>
      <c r="C3021" s="59">
        <v>310</v>
      </c>
      <c r="D3021" s="51">
        <v>31</v>
      </c>
      <c r="E3021" s="51">
        <f t="shared" si="47"/>
        <v>0</v>
      </c>
    </row>
    <row r="3022" spans="1:5">
      <c r="A3022" s="59">
        <v>5</v>
      </c>
      <c r="B3022" s="59">
        <v>15</v>
      </c>
      <c r="C3022" s="59">
        <v>920</v>
      </c>
      <c r="D3022" s="51">
        <v>31</v>
      </c>
      <c r="E3022" s="51">
        <f t="shared" si="47"/>
        <v>0</v>
      </c>
    </row>
    <row r="3023" spans="1:5">
      <c r="A3023" s="59">
        <v>5</v>
      </c>
      <c r="B3023" s="59">
        <v>33</v>
      </c>
      <c r="C3023" s="59">
        <v>160</v>
      </c>
      <c r="D3023" s="51">
        <v>31</v>
      </c>
      <c r="E3023" s="51">
        <f t="shared" si="47"/>
        <v>0</v>
      </c>
    </row>
    <row r="3024" spans="1:5">
      <c r="A3024" s="59">
        <v>5</v>
      </c>
      <c r="B3024" s="59">
        <v>62</v>
      </c>
      <c r="C3024" s="59">
        <v>861</v>
      </c>
      <c r="D3024" s="51">
        <v>31</v>
      </c>
      <c r="E3024" s="51">
        <f t="shared" si="47"/>
        <v>1</v>
      </c>
    </row>
    <row r="3025" spans="1:5">
      <c r="A3025" s="59">
        <v>5</v>
      </c>
      <c r="B3025" s="59">
        <v>71</v>
      </c>
      <c r="C3025" s="59">
        <v>310</v>
      </c>
      <c r="D3025" s="51">
        <v>31</v>
      </c>
      <c r="E3025" s="51">
        <f t="shared" si="47"/>
        <v>0</v>
      </c>
    </row>
    <row r="3026" spans="1:5">
      <c r="A3026" s="59">
        <v>5</v>
      </c>
      <c r="B3026" s="59">
        <v>81</v>
      </c>
      <c r="C3026" s="59">
        <v>870</v>
      </c>
      <c r="D3026" s="51">
        <v>31</v>
      </c>
      <c r="E3026" s="51">
        <f t="shared" si="47"/>
        <v>0</v>
      </c>
    </row>
    <row r="3027" spans="1:5">
      <c r="A3027" s="59">
        <v>5</v>
      </c>
      <c r="B3027" s="59">
        <v>13</v>
      </c>
      <c r="C3027" s="59">
        <v>940</v>
      </c>
      <c r="D3027" s="51">
        <v>30</v>
      </c>
      <c r="E3027" s="51">
        <f t="shared" si="47"/>
        <v>0</v>
      </c>
    </row>
    <row r="3028" spans="1:5">
      <c r="A3028" s="59">
        <v>5</v>
      </c>
      <c r="B3028" s="59">
        <v>41</v>
      </c>
      <c r="C3028" s="59">
        <v>420</v>
      </c>
      <c r="D3028" s="51">
        <v>30</v>
      </c>
      <c r="E3028" s="51">
        <f t="shared" si="47"/>
        <v>1</v>
      </c>
    </row>
    <row r="3029" spans="1:5">
      <c r="A3029" s="59">
        <v>5</v>
      </c>
      <c r="B3029" s="59">
        <v>51</v>
      </c>
      <c r="C3029" s="59">
        <v>510</v>
      </c>
      <c r="D3029" s="51">
        <v>30</v>
      </c>
      <c r="E3029" s="51">
        <f t="shared" si="47"/>
        <v>0</v>
      </c>
    </row>
    <row r="3030" spans="1:5">
      <c r="A3030" s="59">
        <v>5</v>
      </c>
      <c r="B3030" s="59">
        <v>15</v>
      </c>
      <c r="C3030" s="59">
        <v>330</v>
      </c>
      <c r="D3030" s="51">
        <v>29</v>
      </c>
      <c r="E3030" s="51">
        <f t="shared" si="47"/>
        <v>0</v>
      </c>
    </row>
    <row r="3031" spans="1:5">
      <c r="A3031" s="59">
        <v>5</v>
      </c>
      <c r="B3031" s="59">
        <v>16</v>
      </c>
      <c r="C3031" s="59">
        <v>220</v>
      </c>
      <c r="D3031" s="51">
        <v>29</v>
      </c>
      <c r="E3031" s="51">
        <f t="shared" si="47"/>
        <v>0</v>
      </c>
    </row>
    <row r="3032" spans="1:5">
      <c r="A3032" s="59">
        <v>5</v>
      </c>
      <c r="B3032" s="59">
        <v>22</v>
      </c>
      <c r="C3032" s="59">
        <v>930</v>
      </c>
      <c r="D3032" s="51">
        <v>29</v>
      </c>
      <c r="E3032" s="51">
        <f t="shared" si="47"/>
        <v>0</v>
      </c>
    </row>
    <row r="3033" spans="1:5">
      <c r="A3033" s="59">
        <v>5</v>
      </c>
      <c r="B3033" s="59">
        <v>31</v>
      </c>
      <c r="C3033" s="59">
        <v>150</v>
      </c>
      <c r="D3033" s="51">
        <v>29</v>
      </c>
      <c r="E3033" s="51">
        <f t="shared" si="47"/>
        <v>0</v>
      </c>
    </row>
    <row r="3034" spans="1:5">
      <c r="A3034" s="59">
        <v>5</v>
      </c>
      <c r="B3034" s="59">
        <v>31</v>
      </c>
      <c r="C3034" s="59">
        <v>430</v>
      </c>
      <c r="D3034" s="51">
        <v>29</v>
      </c>
      <c r="E3034" s="51">
        <f t="shared" si="47"/>
        <v>0</v>
      </c>
    </row>
    <row r="3035" spans="1:5">
      <c r="A3035" s="59">
        <v>5</v>
      </c>
      <c r="B3035" s="59">
        <v>42</v>
      </c>
      <c r="C3035" s="59">
        <v>940</v>
      </c>
      <c r="D3035" s="51">
        <v>29</v>
      </c>
      <c r="E3035" s="51">
        <f t="shared" si="47"/>
        <v>0</v>
      </c>
    </row>
    <row r="3036" spans="1:5">
      <c r="A3036" s="59">
        <v>5</v>
      </c>
      <c r="B3036" s="59">
        <v>44</v>
      </c>
      <c r="C3036" s="59">
        <v>410</v>
      </c>
      <c r="D3036" s="51">
        <v>29</v>
      </c>
      <c r="E3036" s="51">
        <f t="shared" si="47"/>
        <v>1</v>
      </c>
    </row>
    <row r="3037" spans="1:5">
      <c r="A3037" s="59">
        <v>5</v>
      </c>
      <c r="B3037" s="59">
        <v>81</v>
      </c>
      <c r="C3037" s="59">
        <v>320</v>
      </c>
      <c r="D3037" s="51">
        <v>29</v>
      </c>
      <c r="E3037" s="51">
        <f t="shared" si="47"/>
        <v>0</v>
      </c>
    </row>
    <row r="3038" spans="1:5">
      <c r="A3038" s="59">
        <v>5</v>
      </c>
      <c r="B3038" s="59">
        <v>11</v>
      </c>
      <c r="C3038" s="59">
        <v>530</v>
      </c>
      <c r="D3038" s="51">
        <v>28</v>
      </c>
      <c r="E3038" s="51">
        <f t="shared" si="47"/>
        <v>0</v>
      </c>
    </row>
    <row r="3039" spans="1:5">
      <c r="A3039" s="59">
        <v>5</v>
      </c>
      <c r="B3039" s="59">
        <v>13</v>
      </c>
      <c r="C3039" s="59">
        <v>740</v>
      </c>
      <c r="D3039" s="51">
        <v>28</v>
      </c>
      <c r="E3039" s="51">
        <f t="shared" si="47"/>
        <v>0</v>
      </c>
    </row>
    <row r="3040" spans="1:5">
      <c r="A3040" s="59">
        <v>5</v>
      </c>
      <c r="B3040" s="59">
        <v>41</v>
      </c>
      <c r="C3040" s="59">
        <v>970</v>
      </c>
      <c r="D3040" s="51">
        <v>28</v>
      </c>
      <c r="E3040" s="51">
        <f t="shared" si="47"/>
        <v>1</v>
      </c>
    </row>
    <row r="3041" spans="1:5">
      <c r="A3041" s="59">
        <v>5</v>
      </c>
      <c r="B3041" s="59">
        <v>11</v>
      </c>
      <c r="C3041" s="59">
        <v>160</v>
      </c>
      <c r="D3041" s="51">
        <v>27</v>
      </c>
      <c r="E3041" s="51">
        <f t="shared" si="47"/>
        <v>0</v>
      </c>
    </row>
    <row r="3042" spans="1:5">
      <c r="A3042" s="59">
        <v>5</v>
      </c>
      <c r="B3042" s="59">
        <v>16</v>
      </c>
      <c r="C3042" s="59">
        <v>240</v>
      </c>
      <c r="D3042" s="51">
        <v>27</v>
      </c>
      <c r="E3042" s="51">
        <f t="shared" si="47"/>
        <v>0</v>
      </c>
    </row>
    <row r="3043" spans="1:5">
      <c r="A3043" s="59">
        <v>5</v>
      </c>
      <c r="B3043" s="59">
        <v>33</v>
      </c>
      <c r="C3043" s="59">
        <v>920</v>
      </c>
      <c r="D3043" s="51">
        <v>27</v>
      </c>
      <c r="E3043" s="51">
        <f t="shared" si="47"/>
        <v>0</v>
      </c>
    </row>
    <row r="3044" spans="1:5">
      <c r="A3044" s="59">
        <v>5</v>
      </c>
      <c r="B3044" s="59">
        <v>41</v>
      </c>
      <c r="C3044" s="59">
        <v>230</v>
      </c>
      <c r="D3044" s="51">
        <v>27</v>
      </c>
      <c r="E3044" s="51">
        <f t="shared" si="47"/>
        <v>1</v>
      </c>
    </row>
    <row r="3045" spans="1:5">
      <c r="A3045" s="59">
        <v>5</v>
      </c>
      <c r="B3045" s="59">
        <v>41</v>
      </c>
      <c r="C3045" s="59">
        <v>860</v>
      </c>
      <c r="D3045" s="51">
        <v>27</v>
      </c>
      <c r="E3045" s="51">
        <f t="shared" si="47"/>
        <v>1</v>
      </c>
    </row>
    <row r="3046" spans="1:5">
      <c r="A3046" s="59">
        <v>5</v>
      </c>
      <c r="B3046" s="59">
        <v>63</v>
      </c>
      <c r="C3046" s="59">
        <v>850</v>
      </c>
      <c r="D3046" s="51">
        <v>27</v>
      </c>
      <c r="E3046" s="51">
        <f t="shared" si="47"/>
        <v>0</v>
      </c>
    </row>
    <row r="3047" spans="1:5">
      <c r="A3047" s="59">
        <v>5</v>
      </c>
      <c r="B3047" s="59">
        <v>63</v>
      </c>
      <c r="C3047" s="59">
        <v>950</v>
      </c>
      <c r="D3047" s="51">
        <v>27</v>
      </c>
      <c r="E3047" s="51">
        <f t="shared" si="47"/>
        <v>0</v>
      </c>
    </row>
    <row r="3048" spans="1:5">
      <c r="A3048" s="59">
        <v>5</v>
      </c>
      <c r="B3048" s="59">
        <v>12</v>
      </c>
      <c r="C3048" s="59">
        <v>910</v>
      </c>
      <c r="D3048" s="51">
        <v>26</v>
      </c>
      <c r="E3048" s="51">
        <f t="shared" si="47"/>
        <v>0</v>
      </c>
    </row>
    <row r="3049" spans="1:5">
      <c r="A3049" s="59">
        <v>5</v>
      </c>
      <c r="B3049" s="59">
        <v>16</v>
      </c>
      <c r="C3049" s="59">
        <v>610</v>
      </c>
      <c r="D3049" s="51">
        <v>26</v>
      </c>
      <c r="E3049" s="51">
        <f t="shared" si="47"/>
        <v>0</v>
      </c>
    </row>
    <row r="3050" spans="1:5">
      <c r="A3050" s="59">
        <v>5</v>
      </c>
      <c r="B3050" s="59">
        <v>22</v>
      </c>
      <c r="C3050" s="59">
        <v>610</v>
      </c>
      <c r="D3050" s="51">
        <v>26</v>
      </c>
      <c r="E3050" s="51">
        <f t="shared" si="47"/>
        <v>0</v>
      </c>
    </row>
    <row r="3051" spans="1:5">
      <c r="A3051" s="59">
        <v>5</v>
      </c>
      <c r="B3051" s="59">
        <v>33</v>
      </c>
      <c r="C3051" s="59">
        <v>710</v>
      </c>
      <c r="D3051" s="51">
        <v>25</v>
      </c>
      <c r="E3051" s="51">
        <f t="shared" si="47"/>
        <v>0</v>
      </c>
    </row>
    <row r="3052" spans="1:5">
      <c r="A3052" s="59">
        <v>5</v>
      </c>
      <c r="B3052" s="59">
        <v>44</v>
      </c>
      <c r="C3052" s="59">
        <v>310</v>
      </c>
      <c r="D3052" s="51">
        <v>25</v>
      </c>
      <c r="E3052" s="51">
        <f t="shared" si="47"/>
        <v>1</v>
      </c>
    </row>
    <row r="3053" spans="1:5">
      <c r="A3053" s="59">
        <v>5</v>
      </c>
      <c r="B3053" s="59">
        <v>64</v>
      </c>
      <c r="C3053" s="59">
        <v>892</v>
      </c>
      <c r="D3053" s="51">
        <v>25</v>
      </c>
      <c r="E3053" s="51">
        <f t="shared" si="47"/>
        <v>0</v>
      </c>
    </row>
    <row r="3054" spans="1:5">
      <c r="A3054" s="59">
        <v>5</v>
      </c>
      <c r="B3054" s="59">
        <v>81</v>
      </c>
      <c r="C3054" s="59">
        <v>550</v>
      </c>
      <c r="D3054" s="51">
        <v>25</v>
      </c>
      <c r="E3054" s="51">
        <f t="shared" si="47"/>
        <v>0</v>
      </c>
    </row>
    <row r="3055" spans="1:5">
      <c r="A3055" s="59">
        <v>5</v>
      </c>
      <c r="B3055" s="59">
        <v>14</v>
      </c>
      <c r="C3055" s="59">
        <v>860</v>
      </c>
      <c r="D3055" s="51">
        <v>24</v>
      </c>
      <c r="E3055" s="51">
        <f t="shared" si="47"/>
        <v>0</v>
      </c>
    </row>
    <row r="3056" spans="1:5">
      <c r="A3056" s="59">
        <v>5</v>
      </c>
      <c r="B3056" s="59">
        <v>14</v>
      </c>
      <c r="C3056" s="59">
        <v>990</v>
      </c>
      <c r="D3056" s="51">
        <v>24</v>
      </c>
      <c r="E3056" s="51">
        <f t="shared" si="47"/>
        <v>0</v>
      </c>
    </row>
    <row r="3057" spans="1:5">
      <c r="A3057" s="59">
        <v>5</v>
      </c>
      <c r="B3057" s="59">
        <v>15</v>
      </c>
      <c r="C3057" s="59">
        <v>240</v>
      </c>
      <c r="D3057" s="51">
        <v>24</v>
      </c>
      <c r="E3057" s="51">
        <f t="shared" si="47"/>
        <v>0</v>
      </c>
    </row>
    <row r="3058" spans="1:5">
      <c r="A3058" s="59">
        <v>5</v>
      </c>
      <c r="B3058" s="59">
        <v>16</v>
      </c>
      <c r="C3058" s="59">
        <v>520</v>
      </c>
      <c r="D3058" s="51">
        <v>24</v>
      </c>
      <c r="E3058" s="51">
        <f t="shared" si="47"/>
        <v>0</v>
      </c>
    </row>
    <row r="3059" spans="1:5">
      <c r="A3059" s="59">
        <v>5</v>
      </c>
      <c r="B3059" s="59">
        <v>41</v>
      </c>
      <c r="C3059" s="59">
        <v>240</v>
      </c>
      <c r="D3059" s="51">
        <v>24</v>
      </c>
      <c r="E3059" s="51">
        <f t="shared" si="47"/>
        <v>1</v>
      </c>
    </row>
    <row r="3060" spans="1:5">
      <c r="A3060" s="59">
        <v>5</v>
      </c>
      <c r="B3060" s="59">
        <v>41</v>
      </c>
      <c r="C3060" s="59">
        <v>950</v>
      </c>
      <c r="D3060" s="51">
        <v>24</v>
      </c>
      <c r="E3060" s="51">
        <f t="shared" si="47"/>
        <v>1</v>
      </c>
    </row>
    <row r="3061" spans="1:5">
      <c r="A3061" s="59">
        <v>5</v>
      </c>
      <c r="B3061" s="59">
        <v>71</v>
      </c>
      <c r="C3061" s="59">
        <v>861</v>
      </c>
      <c r="D3061" s="51">
        <v>24</v>
      </c>
      <c r="E3061" s="51">
        <f t="shared" si="47"/>
        <v>0</v>
      </c>
    </row>
    <row r="3062" spans="1:5">
      <c r="A3062" s="59">
        <v>5</v>
      </c>
      <c r="B3062" s="59">
        <v>13</v>
      </c>
      <c r="C3062" s="59">
        <v>960</v>
      </c>
      <c r="D3062" s="51">
        <v>23</v>
      </c>
      <c r="E3062" s="51">
        <f t="shared" si="47"/>
        <v>0</v>
      </c>
    </row>
    <row r="3063" spans="1:5">
      <c r="A3063" s="59">
        <v>5</v>
      </c>
      <c r="B3063" s="59">
        <v>16</v>
      </c>
      <c r="C3063" s="59">
        <v>430</v>
      </c>
      <c r="D3063" s="51">
        <v>23</v>
      </c>
      <c r="E3063" s="51">
        <f t="shared" si="47"/>
        <v>0</v>
      </c>
    </row>
    <row r="3064" spans="1:5">
      <c r="A3064" s="59">
        <v>5</v>
      </c>
      <c r="B3064" s="59">
        <v>42</v>
      </c>
      <c r="C3064" s="59">
        <v>550</v>
      </c>
      <c r="D3064" s="51">
        <v>23</v>
      </c>
      <c r="E3064" s="51">
        <f t="shared" si="47"/>
        <v>0</v>
      </c>
    </row>
    <row r="3065" spans="1:5">
      <c r="A3065" s="59">
        <v>5</v>
      </c>
      <c r="B3065" s="59">
        <v>71</v>
      </c>
      <c r="C3065" s="59">
        <v>860</v>
      </c>
      <c r="D3065" s="51">
        <v>23</v>
      </c>
      <c r="E3065" s="51">
        <f t="shared" si="47"/>
        <v>0</v>
      </c>
    </row>
    <row r="3066" spans="1:5">
      <c r="A3066" s="59">
        <v>5</v>
      </c>
      <c r="B3066" s="59">
        <v>71</v>
      </c>
      <c r="C3066" s="59">
        <v>899</v>
      </c>
      <c r="D3066" s="51">
        <v>23</v>
      </c>
      <c r="E3066" s="51">
        <f t="shared" si="47"/>
        <v>0</v>
      </c>
    </row>
    <row r="3067" spans="1:5">
      <c r="A3067" s="59">
        <v>5</v>
      </c>
      <c r="B3067" s="59">
        <v>14</v>
      </c>
      <c r="C3067" s="59">
        <v>540</v>
      </c>
      <c r="D3067" s="51">
        <v>22</v>
      </c>
      <c r="E3067" s="51">
        <f t="shared" si="47"/>
        <v>0</v>
      </c>
    </row>
    <row r="3068" spans="1:5">
      <c r="A3068" s="59">
        <v>5</v>
      </c>
      <c r="B3068" s="59">
        <v>22</v>
      </c>
      <c r="C3068" s="59">
        <v>920</v>
      </c>
      <c r="D3068" s="51">
        <v>22</v>
      </c>
      <c r="E3068" s="51">
        <f t="shared" si="47"/>
        <v>0</v>
      </c>
    </row>
    <row r="3069" spans="1:5">
      <c r="A3069" s="59">
        <v>5</v>
      </c>
      <c r="B3069" s="59">
        <v>31</v>
      </c>
      <c r="C3069" s="59">
        <v>970</v>
      </c>
      <c r="D3069" s="51">
        <v>22</v>
      </c>
      <c r="E3069" s="51">
        <f t="shared" si="47"/>
        <v>0</v>
      </c>
    </row>
    <row r="3070" spans="1:5">
      <c r="A3070" s="59">
        <v>5</v>
      </c>
      <c r="B3070" s="59">
        <v>33</v>
      </c>
      <c r="C3070" s="59">
        <v>930</v>
      </c>
      <c r="D3070" s="51">
        <v>22</v>
      </c>
      <c r="E3070" s="51">
        <f t="shared" si="47"/>
        <v>0</v>
      </c>
    </row>
    <row r="3071" spans="1:5">
      <c r="A3071" s="59">
        <v>5</v>
      </c>
      <c r="B3071" s="59">
        <v>62</v>
      </c>
      <c r="C3071" s="59">
        <v>240</v>
      </c>
      <c r="D3071" s="51">
        <v>22</v>
      </c>
      <c r="E3071" s="51">
        <f t="shared" si="47"/>
        <v>1</v>
      </c>
    </row>
    <row r="3072" spans="1:5">
      <c r="A3072" s="59">
        <v>5</v>
      </c>
      <c r="B3072" s="59">
        <v>63</v>
      </c>
      <c r="C3072" s="59">
        <v>630</v>
      </c>
      <c r="D3072" s="51">
        <v>22</v>
      </c>
      <c r="E3072" s="51">
        <f t="shared" si="47"/>
        <v>0</v>
      </c>
    </row>
    <row r="3073" spans="1:5">
      <c r="A3073" s="59">
        <v>5</v>
      </c>
      <c r="B3073" s="59">
        <v>11</v>
      </c>
      <c r="C3073" s="59">
        <v>750</v>
      </c>
      <c r="D3073" s="51">
        <v>21</v>
      </c>
      <c r="E3073" s="51">
        <f t="shared" si="47"/>
        <v>0</v>
      </c>
    </row>
    <row r="3074" spans="1:5">
      <c r="A3074" s="59">
        <v>5</v>
      </c>
      <c r="B3074" s="59">
        <v>23</v>
      </c>
      <c r="C3074" s="59">
        <v>610</v>
      </c>
      <c r="D3074" s="51">
        <v>21</v>
      </c>
      <c r="E3074" s="51">
        <f t="shared" ref="E3074:E3137" si="48">IF(OR(A3074=6,A3074=7,A3074=14,A3074=15,A3074=16,A3074=17,A3074=18,A3074=19,A3074=20,A3074=21,A3074=22,A3074=23,A3074=25,A3074=26,A3074=27,A3074=28,B3074=41,B3074=44,B3074=62),1,0)</f>
        <v>0</v>
      </c>
    </row>
    <row r="3075" spans="1:5">
      <c r="A3075" s="59">
        <v>5</v>
      </c>
      <c r="B3075" s="59">
        <v>33</v>
      </c>
      <c r="C3075" s="59">
        <v>970</v>
      </c>
      <c r="D3075" s="51">
        <v>21</v>
      </c>
      <c r="E3075" s="51">
        <f t="shared" si="48"/>
        <v>0</v>
      </c>
    </row>
    <row r="3076" spans="1:5">
      <c r="A3076" s="59">
        <v>5</v>
      </c>
      <c r="B3076" s="59">
        <v>63</v>
      </c>
      <c r="C3076" s="59">
        <v>220</v>
      </c>
      <c r="D3076" s="51">
        <v>21</v>
      </c>
      <c r="E3076" s="51">
        <f t="shared" si="48"/>
        <v>0</v>
      </c>
    </row>
    <row r="3077" spans="1:5">
      <c r="A3077" s="59">
        <v>5</v>
      </c>
      <c r="B3077" s="59">
        <v>81</v>
      </c>
      <c r="C3077" s="59">
        <v>540</v>
      </c>
      <c r="D3077" s="51">
        <v>21</v>
      </c>
      <c r="E3077" s="51">
        <f t="shared" si="48"/>
        <v>0</v>
      </c>
    </row>
    <row r="3078" spans="1:5">
      <c r="A3078" s="59">
        <v>5</v>
      </c>
      <c r="B3078" s="59">
        <v>81</v>
      </c>
      <c r="C3078" s="59">
        <v>970</v>
      </c>
      <c r="D3078" s="51">
        <v>21</v>
      </c>
      <c r="E3078" s="51">
        <f t="shared" si="48"/>
        <v>0</v>
      </c>
    </row>
    <row r="3079" spans="1:5">
      <c r="A3079" s="59">
        <v>5</v>
      </c>
      <c r="B3079" s="59">
        <v>13</v>
      </c>
      <c r="C3079" s="59">
        <v>540</v>
      </c>
      <c r="D3079" s="51">
        <v>20</v>
      </c>
      <c r="E3079" s="51">
        <f t="shared" si="48"/>
        <v>0</v>
      </c>
    </row>
    <row r="3080" spans="1:5">
      <c r="A3080" s="59">
        <v>5</v>
      </c>
      <c r="B3080" s="59">
        <v>41</v>
      </c>
      <c r="C3080" s="59">
        <v>410</v>
      </c>
      <c r="D3080" s="51">
        <v>20</v>
      </c>
      <c r="E3080" s="51">
        <f t="shared" si="48"/>
        <v>1</v>
      </c>
    </row>
    <row r="3081" spans="1:5">
      <c r="A3081" s="59">
        <v>5</v>
      </c>
      <c r="B3081" s="59">
        <v>41</v>
      </c>
      <c r="C3081" s="59">
        <v>850</v>
      </c>
      <c r="D3081" s="51">
        <v>20</v>
      </c>
      <c r="E3081" s="51">
        <f t="shared" si="48"/>
        <v>1</v>
      </c>
    </row>
    <row r="3082" spans="1:5">
      <c r="A3082" s="59">
        <v>5</v>
      </c>
      <c r="B3082" s="59">
        <v>62</v>
      </c>
      <c r="C3082" s="59">
        <v>630</v>
      </c>
      <c r="D3082" s="51">
        <v>20</v>
      </c>
      <c r="E3082" s="51">
        <f t="shared" si="48"/>
        <v>1</v>
      </c>
    </row>
    <row r="3083" spans="1:5">
      <c r="A3083" s="59">
        <v>5</v>
      </c>
      <c r="B3083" s="59">
        <v>81</v>
      </c>
      <c r="C3083" s="59">
        <v>220</v>
      </c>
      <c r="D3083" s="51">
        <v>20</v>
      </c>
      <c r="E3083" s="51">
        <f t="shared" si="48"/>
        <v>0</v>
      </c>
    </row>
    <row r="3084" spans="1:5">
      <c r="A3084" s="59">
        <v>5</v>
      </c>
      <c r="B3084" s="59">
        <v>15</v>
      </c>
      <c r="C3084" s="59">
        <v>710</v>
      </c>
      <c r="D3084" s="51">
        <v>19</v>
      </c>
      <c r="E3084" s="51">
        <f t="shared" si="48"/>
        <v>0</v>
      </c>
    </row>
    <row r="3085" spans="1:5">
      <c r="A3085" s="59">
        <v>5</v>
      </c>
      <c r="B3085" s="59">
        <v>32</v>
      </c>
      <c r="C3085" s="59">
        <v>820</v>
      </c>
      <c r="D3085" s="51">
        <v>19</v>
      </c>
      <c r="E3085" s="51">
        <f t="shared" si="48"/>
        <v>0</v>
      </c>
    </row>
    <row r="3086" spans="1:5">
      <c r="A3086" s="59">
        <v>5</v>
      </c>
      <c r="B3086" s="59">
        <v>33</v>
      </c>
      <c r="C3086" s="59">
        <v>140</v>
      </c>
      <c r="D3086" s="51">
        <v>19</v>
      </c>
      <c r="E3086" s="51">
        <f t="shared" si="48"/>
        <v>0</v>
      </c>
    </row>
    <row r="3087" spans="1:5">
      <c r="A3087" s="59">
        <v>5</v>
      </c>
      <c r="B3087" s="59">
        <v>51</v>
      </c>
      <c r="C3087" s="59">
        <v>530</v>
      </c>
      <c r="D3087" s="51">
        <v>19</v>
      </c>
      <c r="E3087" s="51">
        <f t="shared" si="48"/>
        <v>0</v>
      </c>
    </row>
    <row r="3088" spans="1:5">
      <c r="A3088" s="59">
        <v>5</v>
      </c>
      <c r="B3088" s="59">
        <v>71</v>
      </c>
      <c r="C3088" s="59">
        <v>850</v>
      </c>
      <c r="D3088" s="51">
        <v>19</v>
      </c>
      <c r="E3088" s="51">
        <f t="shared" si="48"/>
        <v>0</v>
      </c>
    </row>
    <row r="3089" spans="1:5">
      <c r="A3089" s="59">
        <v>5</v>
      </c>
      <c r="B3089" s="59">
        <v>62</v>
      </c>
      <c r="C3089" s="59">
        <v>330</v>
      </c>
      <c r="D3089" s="51">
        <v>18</v>
      </c>
      <c r="E3089" s="51">
        <f t="shared" si="48"/>
        <v>1</v>
      </c>
    </row>
    <row r="3090" spans="1:5">
      <c r="A3090" s="59">
        <v>5</v>
      </c>
      <c r="B3090" s="59">
        <v>64</v>
      </c>
      <c r="C3090" s="59">
        <v>881</v>
      </c>
      <c r="D3090" s="51">
        <v>18</v>
      </c>
      <c r="E3090" s="51">
        <f t="shared" si="48"/>
        <v>0</v>
      </c>
    </row>
    <row r="3091" spans="1:5">
      <c r="A3091" s="59">
        <v>5</v>
      </c>
      <c r="B3091" s="59">
        <v>15</v>
      </c>
      <c r="C3091" s="59">
        <v>520</v>
      </c>
      <c r="D3091" s="51">
        <v>17</v>
      </c>
      <c r="E3091" s="51">
        <f t="shared" si="48"/>
        <v>0</v>
      </c>
    </row>
    <row r="3092" spans="1:5">
      <c r="A3092" s="59">
        <v>5</v>
      </c>
      <c r="B3092" s="59">
        <v>15</v>
      </c>
      <c r="C3092" s="59">
        <v>610</v>
      </c>
      <c r="D3092" s="51">
        <v>17</v>
      </c>
      <c r="E3092" s="51">
        <f t="shared" si="48"/>
        <v>0</v>
      </c>
    </row>
    <row r="3093" spans="1:5">
      <c r="A3093" s="59">
        <v>5</v>
      </c>
      <c r="B3093" s="59">
        <v>21</v>
      </c>
      <c r="C3093" s="59">
        <v>910</v>
      </c>
      <c r="D3093" s="51">
        <v>17</v>
      </c>
      <c r="E3093" s="51">
        <f t="shared" si="48"/>
        <v>0</v>
      </c>
    </row>
    <row r="3094" spans="1:5">
      <c r="A3094" s="59">
        <v>5</v>
      </c>
      <c r="B3094" s="59">
        <v>43</v>
      </c>
      <c r="C3094" s="59">
        <v>630</v>
      </c>
      <c r="D3094" s="51">
        <v>17</v>
      </c>
      <c r="E3094" s="51">
        <f t="shared" si="48"/>
        <v>0</v>
      </c>
    </row>
    <row r="3095" spans="1:5">
      <c r="A3095" s="59">
        <v>5</v>
      </c>
      <c r="B3095" s="59">
        <v>61</v>
      </c>
      <c r="C3095" s="59">
        <v>750</v>
      </c>
      <c r="D3095" s="51">
        <v>17</v>
      </c>
      <c r="E3095" s="51">
        <f t="shared" si="48"/>
        <v>0</v>
      </c>
    </row>
    <row r="3096" spans="1:5">
      <c r="A3096" s="59">
        <v>5</v>
      </c>
      <c r="B3096" s="59">
        <v>81</v>
      </c>
      <c r="C3096" s="59">
        <v>330</v>
      </c>
      <c r="D3096" s="51">
        <v>17</v>
      </c>
      <c r="E3096" s="51">
        <f t="shared" si="48"/>
        <v>0</v>
      </c>
    </row>
    <row r="3097" spans="1:5">
      <c r="A3097" s="59">
        <v>5</v>
      </c>
      <c r="B3097" s="59">
        <v>11</v>
      </c>
      <c r="C3097" s="59">
        <v>520</v>
      </c>
      <c r="D3097" s="51">
        <v>16</v>
      </c>
      <c r="E3097" s="51">
        <f t="shared" si="48"/>
        <v>0</v>
      </c>
    </row>
    <row r="3098" spans="1:5">
      <c r="A3098" s="59">
        <v>5</v>
      </c>
      <c r="B3098" s="59">
        <v>14</v>
      </c>
      <c r="C3098" s="59">
        <v>960</v>
      </c>
      <c r="D3098" s="51">
        <v>16</v>
      </c>
      <c r="E3098" s="51">
        <f t="shared" si="48"/>
        <v>0</v>
      </c>
    </row>
    <row r="3099" spans="1:5">
      <c r="A3099" s="59">
        <v>5</v>
      </c>
      <c r="B3099" s="59">
        <v>16</v>
      </c>
      <c r="C3099" s="59">
        <v>330</v>
      </c>
      <c r="D3099" s="51">
        <v>16</v>
      </c>
      <c r="E3099" s="51">
        <f t="shared" si="48"/>
        <v>0</v>
      </c>
    </row>
    <row r="3100" spans="1:5">
      <c r="A3100" s="59">
        <v>5</v>
      </c>
      <c r="B3100" s="59">
        <v>22</v>
      </c>
      <c r="C3100" s="59">
        <v>710</v>
      </c>
      <c r="D3100" s="51">
        <v>16</v>
      </c>
      <c r="E3100" s="51">
        <f t="shared" si="48"/>
        <v>0</v>
      </c>
    </row>
    <row r="3101" spans="1:5">
      <c r="A3101" s="59">
        <v>5</v>
      </c>
      <c r="B3101" s="59">
        <v>24</v>
      </c>
      <c r="C3101" s="59">
        <v>730</v>
      </c>
      <c r="D3101" s="51">
        <v>16</v>
      </c>
      <c r="E3101" s="51">
        <f t="shared" si="48"/>
        <v>0</v>
      </c>
    </row>
    <row r="3102" spans="1:5">
      <c r="A3102" s="59">
        <v>5</v>
      </c>
      <c r="B3102" s="59">
        <v>31</v>
      </c>
      <c r="C3102" s="59">
        <v>930</v>
      </c>
      <c r="D3102" s="51">
        <v>16</v>
      </c>
      <c r="E3102" s="51">
        <f t="shared" si="48"/>
        <v>0</v>
      </c>
    </row>
    <row r="3103" spans="1:5">
      <c r="A3103" s="59">
        <v>5</v>
      </c>
      <c r="B3103" s="59">
        <v>32</v>
      </c>
      <c r="C3103" s="59">
        <v>210</v>
      </c>
      <c r="D3103" s="51">
        <v>16</v>
      </c>
      <c r="E3103" s="51">
        <f t="shared" si="48"/>
        <v>0</v>
      </c>
    </row>
    <row r="3104" spans="1:5">
      <c r="A3104" s="59">
        <v>5</v>
      </c>
      <c r="B3104" s="59">
        <v>62</v>
      </c>
      <c r="C3104" s="59">
        <v>893</v>
      </c>
      <c r="D3104" s="51">
        <v>16</v>
      </c>
      <c r="E3104" s="51">
        <f t="shared" si="48"/>
        <v>1</v>
      </c>
    </row>
    <row r="3105" spans="1:5">
      <c r="A3105" s="59">
        <v>5</v>
      </c>
      <c r="B3105" s="59">
        <v>81</v>
      </c>
      <c r="C3105" s="59">
        <v>240</v>
      </c>
      <c r="D3105" s="51">
        <v>16</v>
      </c>
      <c r="E3105" s="51">
        <f t="shared" si="48"/>
        <v>0</v>
      </c>
    </row>
    <row r="3106" spans="1:5">
      <c r="A3106" s="59">
        <v>5</v>
      </c>
      <c r="B3106" s="59">
        <v>12</v>
      </c>
      <c r="C3106" s="59">
        <v>730</v>
      </c>
      <c r="D3106" s="51">
        <v>15</v>
      </c>
      <c r="E3106" s="51">
        <f t="shared" si="48"/>
        <v>0</v>
      </c>
    </row>
    <row r="3107" spans="1:5">
      <c r="A3107" s="59">
        <v>5</v>
      </c>
      <c r="B3107" s="59">
        <v>15</v>
      </c>
      <c r="C3107" s="59">
        <v>950</v>
      </c>
      <c r="D3107" s="51">
        <v>15</v>
      </c>
      <c r="E3107" s="51">
        <f t="shared" si="48"/>
        <v>0</v>
      </c>
    </row>
    <row r="3108" spans="1:5">
      <c r="A3108" s="59">
        <v>5</v>
      </c>
      <c r="B3108" s="59">
        <v>16</v>
      </c>
      <c r="C3108" s="59">
        <v>920</v>
      </c>
      <c r="D3108" s="51">
        <v>15</v>
      </c>
      <c r="E3108" s="51">
        <f t="shared" si="48"/>
        <v>0</v>
      </c>
    </row>
    <row r="3109" spans="1:5">
      <c r="A3109" s="59">
        <v>5</v>
      </c>
      <c r="B3109" s="59">
        <v>16</v>
      </c>
      <c r="C3109" s="59">
        <v>930</v>
      </c>
      <c r="D3109" s="51">
        <v>15</v>
      </c>
      <c r="E3109" s="51">
        <f t="shared" si="48"/>
        <v>0</v>
      </c>
    </row>
    <row r="3110" spans="1:5">
      <c r="A3110" s="59">
        <v>5</v>
      </c>
      <c r="B3110" s="59">
        <v>22</v>
      </c>
      <c r="C3110" s="59">
        <v>520</v>
      </c>
      <c r="D3110" s="51">
        <v>15</v>
      </c>
      <c r="E3110" s="51">
        <f t="shared" si="48"/>
        <v>0</v>
      </c>
    </row>
    <row r="3111" spans="1:5">
      <c r="A3111" s="59">
        <v>5</v>
      </c>
      <c r="B3111" s="59">
        <v>22</v>
      </c>
      <c r="C3111" s="59">
        <v>750</v>
      </c>
      <c r="D3111" s="51">
        <v>15</v>
      </c>
      <c r="E3111" s="51">
        <f t="shared" si="48"/>
        <v>0</v>
      </c>
    </row>
    <row r="3112" spans="1:5">
      <c r="A3112" s="59">
        <v>5</v>
      </c>
      <c r="B3112" s="59">
        <v>81</v>
      </c>
      <c r="C3112" s="59">
        <v>310</v>
      </c>
      <c r="D3112" s="51">
        <v>15</v>
      </c>
      <c r="E3112" s="51">
        <f t="shared" si="48"/>
        <v>0</v>
      </c>
    </row>
    <row r="3113" spans="1:5">
      <c r="A3113" s="59">
        <v>5</v>
      </c>
      <c r="B3113" s="59">
        <v>24</v>
      </c>
      <c r="C3113" s="59">
        <v>910</v>
      </c>
      <c r="D3113" s="51">
        <v>14</v>
      </c>
      <c r="E3113" s="51">
        <f t="shared" si="48"/>
        <v>0</v>
      </c>
    </row>
    <row r="3114" spans="1:5">
      <c r="A3114" s="59">
        <v>5</v>
      </c>
      <c r="B3114" s="59">
        <v>31</v>
      </c>
      <c r="C3114" s="59">
        <v>620</v>
      </c>
      <c r="D3114" s="51">
        <v>14</v>
      </c>
      <c r="E3114" s="51">
        <f t="shared" si="48"/>
        <v>0</v>
      </c>
    </row>
    <row r="3115" spans="1:5">
      <c r="A3115" s="59">
        <v>5</v>
      </c>
      <c r="B3115" s="59">
        <v>31</v>
      </c>
      <c r="C3115" s="59">
        <v>730</v>
      </c>
      <c r="D3115" s="51">
        <v>14</v>
      </c>
      <c r="E3115" s="51">
        <f t="shared" si="48"/>
        <v>0</v>
      </c>
    </row>
    <row r="3116" spans="1:5">
      <c r="A3116" s="59">
        <v>5</v>
      </c>
      <c r="B3116" s="59">
        <v>41</v>
      </c>
      <c r="C3116" s="59">
        <v>540</v>
      </c>
      <c r="D3116" s="51">
        <v>14</v>
      </c>
      <c r="E3116" s="51">
        <f t="shared" si="48"/>
        <v>1</v>
      </c>
    </row>
    <row r="3117" spans="1:5">
      <c r="A3117" s="59">
        <v>5</v>
      </c>
      <c r="B3117" s="59">
        <v>41</v>
      </c>
      <c r="C3117" s="59">
        <v>940</v>
      </c>
      <c r="D3117" s="51">
        <v>14</v>
      </c>
      <c r="E3117" s="51">
        <f t="shared" si="48"/>
        <v>1</v>
      </c>
    </row>
    <row r="3118" spans="1:5">
      <c r="A3118" s="59">
        <v>5</v>
      </c>
      <c r="B3118" s="59">
        <v>43</v>
      </c>
      <c r="C3118" s="59">
        <v>870</v>
      </c>
      <c r="D3118" s="51">
        <v>14</v>
      </c>
      <c r="E3118" s="51">
        <f t="shared" si="48"/>
        <v>0</v>
      </c>
    </row>
    <row r="3119" spans="1:5">
      <c r="A3119" s="59">
        <v>5</v>
      </c>
      <c r="B3119" s="59">
        <v>44</v>
      </c>
      <c r="C3119" s="59">
        <v>893</v>
      </c>
      <c r="D3119" s="51">
        <v>14</v>
      </c>
      <c r="E3119" s="51">
        <f t="shared" si="48"/>
        <v>1</v>
      </c>
    </row>
    <row r="3120" spans="1:5">
      <c r="A3120" s="59">
        <v>5</v>
      </c>
      <c r="B3120" s="59">
        <v>51</v>
      </c>
      <c r="C3120" s="59">
        <v>750</v>
      </c>
      <c r="D3120" s="51">
        <v>14</v>
      </c>
      <c r="E3120" s="51">
        <f t="shared" si="48"/>
        <v>0</v>
      </c>
    </row>
    <row r="3121" spans="1:5">
      <c r="A3121" s="59">
        <v>5</v>
      </c>
      <c r="B3121" s="59">
        <v>63</v>
      </c>
      <c r="C3121" s="59">
        <v>330</v>
      </c>
      <c r="D3121" s="51">
        <v>14</v>
      </c>
      <c r="E3121" s="51">
        <f t="shared" si="48"/>
        <v>0</v>
      </c>
    </row>
    <row r="3122" spans="1:5">
      <c r="A3122" s="59">
        <v>5</v>
      </c>
      <c r="B3122" s="59">
        <v>63</v>
      </c>
      <c r="C3122" s="59">
        <v>940</v>
      </c>
      <c r="D3122" s="51">
        <v>14</v>
      </c>
      <c r="E3122" s="51">
        <f t="shared" si="48"/>
        <v>0</v>
      </c>
    </row>
    <row r="3123" spans="1:5">
      <c r="A3123" s="59">
        <v>5</v>
      </c>
      <c r="B3123" s="59">
        <v>23</v>
      </c>
      <c r="C3123" s="59">
        <v>230</v>
      </c>
      <c r="D3123" s="51">
        <v>13</v>
      </c>
      <c r="E3123" s="51">
        <f t="shared" si="48"/>
        <v>0</v>
      </c>
    </row>
    <row r="3124" spans="1:5">
      <c r="A3124" s="59">
        <v>5</v>
      </c>
      <c r="B3124" s="59">
        <v>31</v>
      </c>
      <c r="C3124" s="59">
        <v>230</v>
      </c>
      <c r="D3124" s="51">
        <v>13</v>
      </c>
      <c r="E3124" s="51">
        <f t="shared" si="48"/>
        <v>0</v>
      </c>
    </row>
    <row r="3125" spans="1:5">
      <c r="A3125" s="59">
        <v>5</v>
      </c>
      <c r="B3125" s="59">
        <v>33</v>
      </c>
      <c r="C3125" s="59">
        <v>620</v>
      </c>
      <c r="D3125" s="51">
        <v>13</v>
      </c>
      <c r="E3125" s="51">
        <f t="shared" si="48"/>
        <v>0</v>
      </c>
    </row>
    <row r="3126" spans="1:5">
      <c r="A3126" s="59">
        <v>5</v>
      </c>
      <c r="B3126" s="59">
        <v>41</v>
      </c>
      <c r="C3126" s="59">
        <v>550</v>
      </c>
      <c r="D3126" s="51">
        <v>13</v>
      </c>
      <c r="E3126" s="51">
        <f t="shared" si="48"/>
        <v>1</v>
      </c>
    </row>
    <row r="3127" spans="1:5">
      <c r="A3127" s="59">
        <v>5</v>
      </c>
      <c r="B3127" s="59">
        <v>42</v>
      </c>
      <c r="C3127" s="59">
        <v>930</v>
      </c>
      <c r="D3127" s="51">
        <v>13</v>
      </c>
      <c r="E3127" s="51">
        <f t="shared" si="48"/>
        <v>0</v>
      </c>
    </row>
    <row r="3128" spans="1:5">
      <c r="A3128" s="59">
        <v>5</v>
      </c>
      <c r="B3128" s="59">
        <v>63</v>
      </c>
      <c r="C3128" s="59">
        <v>240</v>
      </c>
      <c r="D3128" s="51">
        <v>13</v>
      </c>
      <c r="E3128" s="51">
        <f t="shared" si="48"/>
        <v>0</v>
      </c>
    </row>
    <row r="3129" spans="1:5">
      <c r="A3129" s="59">
        <v>5</v>
      </c>
      <c r="B3129" s="59">
        <v>63</v>
      </c>
      <c r="C3129" s="59">
        <v>831</v>
      </c>
      <c r="D3129" s="51">
        <v>13</v>
      </c>
      <c r="E3129" s="51">
        <f t="shared" si="48"/>
        <v>0</v>
      </c>
    </row>
    <row r="3130" spans="1:5">
      <c r="A3130" s="59">
        <v>5</v>
      </c>
      <c r="B3130" s="59">
        <v>64</v>
      </c>
      <c r="C3130" s="59">
        <v>862</v>
      </c>
      <c r="D3130" s="51">
        <v>13</v>
      </c>
      <c r="E3130" s="51">
        <f t="shared" si="48"/>
        <v>0</v>
      </c>
    </row>
    <row r="3131" spans="1:5">
      <c r="A3131" s="59">
        <v>5</v>
      </c>
      <c r="B3131" s="59">
        <v>13</v>
      </c>
      <c r="C3131" s="59">
        <v>990</v>
      </c>
      <c r="D3131" s="51">
        <v>12</v>
      </c>
      <c r="E3131" s="51">
        <f t="shared" si="48"/>
        <v>0</v>
      </c>
    </row>
    <row r="3132" spans="1:5">
      <c r="A3132" s="59">
        <v>5</v>
      </c>
      <c r="B3132" s="59">
        <v>15</v>
      </c>
      <c r="C3132" s="59">
        <v>120</v>
      </c>
      <c r="D3132" s="51">
        <v>12</v>
      </c>
      <c r="E3132" s="51">
        <f t="shared" si="48"/>
        <v>0</v>
      </c>
    </row>
    <row r="3133" spans="1:5">
      <c r="A3133" s="59">
        <v>5</v>
      </c>
      <c r="B3133" s="59">
        <v>33</v>
      </c>
      <c r="C3133" s="59">
        <v>320</v>
      </c>
      <c r="D3133" s="51">
        <v>12</v>
      </c>
      <c r="E3133" s="51">
        <f t="shared" si="48"/>
        <v>0</v>
      </c>
    </row>
    <row r="3134" spans="1:5">
      <c r="A3134" s="59">
        <v>5</v>
      </c>
      <c r="B3134" s="59">
        <v>33</v>
      </c>
      <c r="C3134" s="59">
        <v>740</v>
      </c>
      <c r="D3134" s="51">
        <v>12</v>
      </c>
      <c r="E3134" s="51">
        <f t="shared" si="48"/>
        <v>0</v>
      </c>
    </row>
    <row r="3135" spans="1:5">
      <c r="A3135" s="59">
        <v>5</v>
      </c>
      <c r="B3135" s="59">
        <v>61</v>
      </c>
      <c r="C3135" s="59">
        <v>610</v>
      </c>
      <c r="D3135" s="51">
        <v>12</v>
      </c>
      <c r="E3135" s="51">
        <f t="shared" si="48"/>
        <v>0</v>
      </c>
    </row>
    <row r="3136" spans="1:5">
      <c r="A3136" s="59">
        <v>5</v>
      </c>
      <c r="B3136" s="59">
        <v>71</v>
      </c>
      <c r="C3136" s="59">
        <v>330</v>
      </c>
      <c r="D3136" s="51">
        <v>12</v>
      </c>
      <c r="E3136" s="51">
        <f t="shared" si="48"/>
        <v>0</v>
      </c>
    </row>
    <row r="3137" spans="1:5">
      <c r="A3137" s="59">
        <v>5</v>
      </c>
      <c r="B3137" s="59">
        <v>71</v>
      </c>
      <c r="C3137" s="59">
        <v>831</v>
      </c>
      <c r="D3137" s="51">
        <v>12</v>
      </c>
      <c r="E3137" s="51">
        <f t="shared" si="48"/>
        <v>0</v>
      </c>
    </row>
    <row r="3138" spans="1:5">
      <c r="A3138" s="59">
        <v>5</v>
      </c>
      <c r="B3138" s="59">
        <v>81</v>
      </c>
      <c r="C3138" s="59">
        <v>840</v>
      </c>
      <c r="D3138" s="51">
        <v>12</v>
      </c>
      <c r="E3138" s="51">
        <f t="shared" ref="E3138:E3201" si="49">IF(OR(A3138=6,A3138=7,A3138=14,A3138=15,A3138=16,A3138=17,A3138=18,A3138=19,A3138=20,A3138=21,A3138=22,A3138=23,A3138=25,A3138=26,A3138=27,A3138=28,B3138=41,B3138=44,B3138=62),1,0)</f>
        <v>0</v>
      </c>
    </row>
    <row r="3139" spans="1:5">
      <c r="A3139" s="59">
        <v>5</v>
      </c>
      <c r="B3139" s="59">
        <v>11</v>
      </c>
      <c r="C3139" s="59">
        <v>930</v>
      </c>
      <c r="D3139" s="51">
        <v>11</v>
      </c>
      <c r="E3139" s="51">
        <f t="shared" si="49"/>
        <v>0</v>
      </c>
    </row>
    <row r="3140" spans="1:5">
      <c r="A3140" s="59">
        <v>5</v>
      </c>
      <c r="B3140" s="59">
        <v>12</v>
      </c>
      <c r="C3140" s="59">
        <v>530</v>
      </c>
      <c r="D3140" s="51">
        <v>11</v>
      </c>
      <c r="E3140" s="51">
        <f t="shared" si="49"/>
        <v>0</v>
      </c>
    </row>
    <row r="3141" spans="1:5">
      <c r="A3141" s="59">
        <v>5</v>
      </c>
      <c r="B3141" s="59">
        <v>16</v>
      </c>
      <c r="C3141" s="59">
        <v>130</v>
      </c>
      <c r="D3141" s="51">
        <v>11</v>
      </c>
      <c r="E3141" s="51">
        <f t="shared" si="49"/>
        <v>0</v>
      </c>
    </row>
    <row r="3142" spans="1:5">
      <c r="A3142" s="59">
        <v>5</v>
      </c>
      <c r="B3142" s="59">
        <v>33</v>
      </c>
      <c r="C3142" s="59">
        <v>240</v>
      </c>
      <c r="D3142" s="51">
        <v>11</v>
      </c>
      <c r="E3142" s="51">
        <f t="shared" si="49"/>
        <v>0</v>
      </c>
    </row>
    <row r="3143" spans="1:5">
      <c r="A3143" s="59">
        <v>5</v>
      </c>
      <c r="B3143" s="59">
        <v>41</v>
      </c>
      <c r="C3143" s="59">
        <v>310</v>
      </c>
      <c r="D3143" s="51">
        <v>11</v>
      </c>
      <c r="E3143" s="51">
        <f t="shared" si="49"/>
        <v>1</v>
      </c>
    </row>
    <row r="3144" spans="1:5">
      <c r="A3144" s="59">
        <v>5</v>
      </c>
      <c r="B3144" s="59">
        <v>42</v>
      </c>
      <c r="C3144" s="59">
        <v>410</v>
      </c>
      <c r="D3144" s="51">
        <v>11</v>
      </c>
      <c r="E3144" s="51">
        <f t="shared" si="49"/>
        <v>0</v>
      </c>
    </row>
    <row r="3145" spans="1:5">
      <c r="A3145" s="59">
        <v>5</v>
      </c>
      <c r="B3145" s="59">
        <v>44</v>
      </c>
      <c r="C3145" s="59">
        <v>230</v>
      </c>
      <c r="D3145" s="51">
        <v>11</v>
      </c>
      <c r="E3145" s="51">
        <f t="shared" si="49"/>
        <v>1</v>
      </c>
    </row>
    <row r="3146" spans="1:5">
      <c r="A3146" s="59">
        <v>5</v>
      </c>
      <c r="B3146" s="59">
        <v>51</v>
      </c>
      <c r="C3146" s="59">
        <v>150</v>
      </c>
      <c r="D3146" s="51">
        <v>11</v>
      </c>
      <c r="E3146" s="51">
        <f t="shared" si="49"/>
        <v>0</v>
      </c>
    </row>
    <row r="3147" spans="1:5">
      <c r="A3147" s="59">
        <v>5</v>
      </c>
      <c r="B3147" s="59">
        <v>71</v>
      </c>
      <c r="C3147" s="59">
        <v>940</v>
      </c>
      <c r="D3147" s="51">
        <v>11</v>
      </c>
      <c r="E3147" s="51">
        <f t="shared" si="49"/>
        <v>0</v>
      </c>
    </row>
    <row r="3148" spans="1:5">
      <c r="A3148" s="59">
        <v>5</v>
      </c>
      <c r="B3148" s="59">
        <v>13</v>
      </c>
      <c r="C3148" s="59">
        <v>630</v>
      </c>
      <c r="D3148" s="51">
        <v>10</v>
      </c>
      <c r="E3148" s="51">
        <f t="shared" si="49"/>
        <v>0</v>
      </c>
    </row>
    <row r="3149" spans="1:5">
      <c r="A3149" s="59">
        <v>5</v>
      </c>
      <c r="B3149" s="59">
        <v>22</v>
      </c>
      <c r="C3149" s="59">
        <v>950</v>
      </c>
      <c r="D3149" s="51">
        <v>10</v>
      </c>
      <c r="E3149" s="51">
        <f t="shared" si="49"/>
        <v>0</v>
      </c>
    </row>
    <row r="3150" spans="1:5">
      <c r="A3150" s="59">
        <v>5</v>
      </c>
      <c r="B3150" s="59">
        <v>41</v>
      </c>
      <c r="C3150" s="59">
        <v>899</v>
      </c>
      <c r="D3150" s="51">
        <v>10</v>
      </c>
      <c r="E3150" s="51">
        <f t="shared" si="49"/>
        <v>1</v>
      </c>
    </row>
    <row r="3151" spans="1:5">
      <c r="A3151" s="59">
        <v>5</v>
      </c>
      <c r="B3151" s="59">
        <v>42</v>
      </c>
      <c r="C3151" s="59">
        <v>210</v>
      </c>
      <c r="D3151" s="51">
        <v>10</v>
      </c>
      <c r="E3151" s="51">
        <f t="shared" si="49"/>
        <v>0</v>
      </c>
    </row>
    <row r="3152" spans="1:5">
      <c r="A3152" s="59">
        <v>5</v>
      </c>
      <c r="B3152" s="59">
        <v>44</v>
      </c>
      <c r="C3152" s="59">
        <v>420</v>
      </c>
      <c r="D3152" s="51">
        <v>10</v>
      </c>
      <c r="E3152" s="51">
        <f t="shared" si="49"/>
        <v>1</v>
      </c>
    </row>
    <row r="3153" spans="1:5">
      <c r="A3153" s="59">
        <v>5</v>
      </c>
      <c r="B3153" s="59">
        <v>61</v>
      </c>
      <c r="C3153" s="59">
        <v>920</v>
      </c>
      <c r="D3153" s="51">
        <v>10</v>
      </c>
      <c r="E3153" s="51">
        <f t="shared" si="49"/>
        <v>0</v>
      </c>
    </row>
    <row r="3154" spans="1:5">
      <c r="A3154" s="59">
        <v>5</v>
      </c>
      <c r="B3154" s="59">
        <v>62</v>
      </c>
      <c r="C3154" s="59">
        <v>860</v>
      </c>
      <c r="D3154" s="51">
        <v>10</v>
      </c>
      <c r="E3154" s="51">
        <f t="shared" si="49"/>
        <v>1</v>
      </c>
    </row>
    <row r="3155" spans="1:5">
      <c r="A3155" s="59">
        <v>5</v>
      </c>
      <c r="B3155" s="59">
        <v>63</v>
      </c>
      <c r="C3155" s="59">
        <v>891</v>
      </c>
      <c r="D3155" s="51">
        <v>10</v>
      </c>
      <c r="E3155" s="51">
        <f t="shared" si="49"/>
        <v>0</v>
      </c>
    </row>
    <row r="3156" spans="1:5">
      <c r="A3156" s="59">
        <v>5</v>
      </c>
      <c r="B3156" s="59">
        <v>71</v>
      </c>
      <c r="C3156" s="59">
        <v>893</v>
      </c>
      <c r="D3156" s="51">
        <v>10</v>
      </c>
      <c r="E3156" s="51">
        <f t="shared" si="49"/>
        <v>0</v>
      </c>
    </row>
    <row r="3157" spans="1:5">
      <c r="A3157" s="59">
        <v>5</v>
      </c>
      <c r="B3157" s="59">
        <v>12</v>
      </c>
      <c r="C3157" s="59">
        <v>510</v>
      </c>
      <c r="D3157" s="51">
        <v>9</v>
      </c>
      <c r="E3157" s="51">
        <f t="shared" si="49"/>
        <v>0</v>
      </c>
    </row>
    <row r="3158" spans="1:5">
      <c r="A3158" s="59">
        <v>5</v>
      </c>
      <c r="B3158" s="59">
        <v>13</v>
      </c>
      <c r="C3158" s="59">
        <v>640</v>
      </c>
      <c r="D3158" s="51">
        <v>9</v>
      </c>
      <c r="E3158" s="51">
        <f t="shared" si="49"/>
        <v>0</v>
      </c>
    </row>
    <row r="3159" spans="1:5">
      <c r="A3159" s="59">
        <v>5</v>
      </c>
      <c r="B3159" s="59">
        <v>22</v>
      </c>
      <c r="C3159" s="59">
        <v>620</v>
      </c>
      <c r="D3159" s="51">
        <v>9</v>
      </c>
      <c r="E3159" s="51">
        <f t="shared" si="49"/>
        <v>0</v>
      </c>
    </row>
    <row r="3160" spans="1:5">
      <c r="A3160" s="59">
        <v>5</v>
      </c>
      <c r="B3160" s="59">
        <v>24</v>
      </c>
      <c r="C3160" s="59">
        <v>510</v>
      </c>
      <c r="D3160" s="51">
        <v>9</v>
      </c>
      <c r="E3160" s="51">
        <f t="shared" si="49"/>
        <v>0</v>
      </c>
    </row>
    <row r="3161" spans="1:5">
      <c r="A3161" s="59">
        <v>5</v>
      </c>
      <c r="B3161" s="59">
        <v>41</v>
      </c>
      <c r="C3161" s="59">
        <v>220</v>
      </c>
      <c r="D3161" s="51">
        <v>9</v>
      </c>
      <c r="E3161" s="51">
        <f t="shared" si="49"/>
        <v>1</v>
      </c>
    </row>
    <row r="3162" spans="1:5">
      <c r="A3162" s="59">
        <v>5</v>
      </c>
      <c r="B3162" s="59">
        <v>41</v>
      </c>
      <c r="C3162" s="59">
        <v>430</v>
      </c>
      <c r="D3162" s="51">
        <v>9</v>
      </c>
      <c r="E3162" s="51">
        <f t="shared" si="49"/>
        <v>1</v>
      </c>
    </row>
    <row r="3163" spans="1:5">
      <c r="A3163" s="59">
        <v>5</v>
      </c>
      <c r="B3163" s="59">
        <v>41</v>
      </c>
      <c r="C3163" s="59">
        <v>893</v>
      </c>
      <c r="D3163" s="51">
        <v>9</v>
      </c>
      <c r="E3163" s="51">
        <f t="shared" si="49"/>
        <v>1</v>
      </c>
    </row>
    <row r="3164" spans="1:5">
      <c r="A3164" s="59">
        <v>5</v>
      </c>
      <c r="B3164" s="59">
        <v>43</v>
      </c>
      <c r="C3164" s="59">
        <v>831</v>
      </c>
      <c r="D3164" s="51">
        <v>9</v>
      </c>
      <c r="E3164" s="51">
        <f t="shared" si="49"/>
        <v>0</v>
      </c>
    </row>
    <row r="3165" spans="1:5">
      <c r="A3165" s="59">
        <v>5</v>
      </c>
      <c r="B3165" s="59">
        <v>44</v>
      </c>
      <c r="C3165" s="59">
        <v>140</v>
      </c>
      <c r="D3165" s="51">
        <v>9</v>
      </c>
      <c r="E3165" s="51">
        <f t="shared" si="49"/>
        <v>1</v>
      </c>
    </row>
    <row r="3166" spans="1:5">
      <c r="A3166" s="59">
        <v>5</v>
      </c>
      <c r="B3166" s="59">
        <v>51</v>
      </c>
      <c r="C3166" s="59">
        <v>710</v>
      </c>
      <c r="D3166" s="51">
        <v>9</v>
      </c>
      <c r="E3166" s="51">
        <f t="shared" si="49"/>
        <v>0</v>
      </c>
    </row>
    <row r="3167" spans="1:5">
      <c r="A3167" s="59">
        <v>5</v>
      </c>
      <c r="B3167" s="59">
        <v>63</v>
      </c>
      <c r="C3167" s="59">
        <v>830</v>
      </c>
      <c r="D3167" s="51">
        <v>9</v>
      </c>
      <c r="E3167" s="51">
        <f t="shared" si="49"/>
        <v>0</v>
      </c>
    </row>
    <row r="3168" spans="1:5">
      <c r="A3168" s="59">
        <v>5</v>
      </c>
      <c r="B3168" s="59">
        <v>63</v>
      </c>
      <c r="C3168" s="59">
        <v>861</v>
      </c>
      <c r="D3168" s="51">
        <v>9</v>
      </c>
      <c r="E3168" s="51">
        <f t="shared" si="49"/>
        <v>0</v>
      </c>
    </row>
    <row r="3169" spans="1:5">
      <c r="A3169" s="59">
        <v>5</v>
      </c>
      <c r="B3169" s="59">
        <v>71</v>
      </c>
      <c r="C3169" s="59">
        <v>840</v>
      </c>
      <c r="D3169" s="51">
        <v>9</v>
      </c>
      <c r="E3169" s="51">
        <f t="shared" si="49"/>
        <v>0</v>
      </c>
    </row>
    <row r="3170" spans="1:5">
      <c r="A3170" s="59">
        <v>5</v>
      </c>
      <c r="B3170" s="59">
        <v>81</v>
      </c>
      <c r="C3170" s="59">
        <v>410</v>
      </c>
      <c r="D3170" s="51">
        <v>9</v>
      </c>
      <c r="E3170" s="51">
        <f t="shared" si="49"/>
        <v>0</v>
      </c>
    </row>
    <row r="3171" spans="1:5">
      <c r="A3171" s="59">
        <v>5</v>
      </c>
      <c r="B3171" s="59">
        <v>12</v>
      </c>
      <c r="C3171" s="59">
        <v>110</v>
      </c>
      <c r="D3171" s="51">
        <v>8</v>
      </c>
      <c r="E3171" s="51">
        <f t="shared" si="49"/>
        <v>0</v>
      </c>
    </row>
    <row r="3172" spans="1:5">
      <c r="A3172" s="59">
        <v>5</v>
      </c>
      <c r="B3172" s="59">
        <v>12</v>
      </c>
      <c r="C3172" s="59">
        <v>520</v>
      </c>
      <c r="D3172" s="51">
        <v>8</v>
      </c>
      <c r="E3172" s="51">
        <f t="shared" si="49"/>
        <v>0</v>
      </c>
    </row>
    <row r="3173" spans="1:5">
      <c r="A3173" s="59">
        <v>5</v>
      </c>
      <c r="B3173" s="59">
        <v>13</v>
      </c>
      <c r="C3173" s="59">
        <v>550</v>
      </c>
      <c r="D3173" s="51">
        <v>8</v>
      </c>
      <c r="E3173" s="51">
        <f t="shared" si="49"/>
        <v>0</v>
      </c>
    </row>
    <row r="3174" spans="1:5">
      <c r="A3174" s="59">
        <v>5</v>
      </c>
      <c r="B3174" s="59">
        <v>23</v>
      </c>
      <c r="C3174" s="59">
        <v>150</v>
      </c>
      <c r="D3174" s="51">
        <v>8</v>
      </c>
      <c r="E3174" s="51">
        <f t="shared" si="49"/>
        <v>0</v>
      </c>
    </row>
    <row r="3175" spans="1:5">
      <c r="A3175" s="59">
        <v>5</v>
      </c>
      <c r="B3175" s="59">
        <v>31</v>
      </c>
      <c r="C3175" s="59">
        <v>750</v>
      </c>
      <c r="D3175" s="51">
        <v>8</v>
      </c>
      <c r="E3175" s="51">
        <f t="shared" si="49"/>
        <v>0</v>
      </c>
    </row>
    <row r="3176" spans="1:5">
      <c r="A3176" s="59">
        <v>5</v>
      </c>
      <c r="B3176" s="59">
        <v>32</v>
      </c>
      <c r="C3176" s="59">
        <v>740</v>
      </c>
      <c r="D3176" s="51">
        <v>8</v>
      </c>
      <c r="E3176" s="51">
        <f t="shared" si="49"/>
        <v>0</v>
      </c>
    </row>
    <row r="3177" spans="1:5">
      <c r="A3177" s="59">
        <v>5</v>
      </c>
      <c r="B3177" s="59">
        <v>15</v>
      </c>
      <c r="C3177" s="59">
        <v>420</v>
      </c>
      <c r="D3177" s="51">
        <v>7</v>
      </c>
      <c r="E3177" s="51">
        <f t="shared" si="49"/>
        <v>0</v>
      </c>
    </row>
    <row r="3178" spans="1:5">
      <c r="A3178" s="59">
        <v>5</v>
      </c>
      <c r="B3178" s="59">
        <v>16</v>
      </c>
      <c r="C3178" s="59">
        <v>950</v>
      </c>
      <c r="D3178" s="51">
        <v>7</v>
      </c>
      <c r="E3178" s="51">
        <f t="shared" si="49"/>
        <v>0</v>
      </c>
    </row>
    <row r="3179" spans="1:5">
      <c r="A3179" s="59">
        <v>5</v>
      </c>
      <c r="B3179" s="59">
        <v>22</v>
      </c>
      <c r="C3179" s="59">
        <v>140</v>
      </c>
      <c r="D3179" s="51">
        <v>7</v>
      </c>
      <c r="E3179" s="51">
        <f t="shared" si="49"/>
        <v>0</v>
      </c>
    </row>
    <row r="3180" spans="1:5">
      <c r="A3180" s="59">
        <v>5</v>
      </c>
      <c r="B3180" s="59">
        <v>22</v>
      </c>
      <c r="C3180" s="59">
        <v>220</v>
      </c>
      <c r="D3180" s="51">
        <v>7</v>
      </c>
      <c r="E3180" s="51">
        <f t="shared" si="49"/>
        <v>0</v>
      </c>
    </row>
    <row r="3181" spans="1:5">
      <c r="A3181" s="59">
        <v>5</v>
      </c>
      <c r="B3181" s="59">
        <v>23</v>
      </c>
      <c r="C3181" s="59">
        <v>210</v>
      </c>
      <c r="D3181" s="51">
        <v>7</v>
      </c>
      <c r="E3181" s="51">
        <f t="shared" si="49"/>
        <v>0</v>
      </c>
    </row>
    <row r="3182" spans="1:5">
      <c r="A3182" s="59">
        <v>5</v>
      </c>
      <c r="B3182" s="59">
        <v>41</v>
      </c>
      <c r="C3182" s="59">
        <v>840</v>
      </c>
      <c r="D3182" s="51">
        <v>7</v>
      </c>
      <c r="E3182" s="51">
        <f t="shared" si="49"/>
        <v>1</v>
      </c>
    </row>
    <row r="3183" spans="1:5">
      <c r="A3183" s="59">
        <v>5</v>
      </c>
      <c r="B3183" s="59">
        <v>42</v>
      </c>
      <c r="C3183" s="59">
        <v>220</v>
      </c>
      <c r="D3183" s="51">
        <v>7</v>
      </c>
      <c r="E3183" s="51">
        <f t="shared" si="49"/>
        <v>0</v>
      </c>
    </row>
    <row r="3184" spans="1:5">
      <c r="A3184" s="59">
        <v>5</v>
      </c>
      <c r="B3184" s="59">
        <v>44</v>
      </c>
      <c r="C3184" s="59">
        <v>320</v>
      </c>
      <c r="D3184" s="51">
        <v>7</v>
      </c>
      <c r="E3184" s="51">
        <f t="shared" si="49"/>
        <v>1</v>
      </c>
    </row>
    <row r="3185" spans="1:5">
      <c r="A3185" s="59">
        <v>5</v>
      </c>
      <c r="B3185" s="59">
        <v>51</v>
      </c>
      <c r="C3185" s="59">
        <v>520</v>
      </c>
      <c r="D3185" s="51">
        <v>7</v>
      </c>
      <c r="E3185" s="51">
        <f t="shared" si="49"/>
        <v>0</v>
      </c>
    </row>
    <row r="3186" spans="1:5">
      <c r="A3186" s="59">
        <v>5</v>
      </c>
      <c r="B3186" s="59">
        <v>63</v>
      </c>
      <c r="C3186" s="59">
        <v>893</v>
      </c>
      <c r="D3186" s="51">
        <v>7</v>
      </c>
      <c r="E3186" s="51">
        <f t="shared" si="49"/>
        <v>0</v>
      </c>
    </row>
    <row r="3187" spans="1:5">
      <c r="A3187" s="59">
        <v>5</v>
      </c>
      <c r="B3187" s="59">
        <v>64</v>
      </c>
      <c r="C3187" s="59">
        <v>830</v>
      </c>
      <c r="D3187" s="51">
        <v>7</v>
      </c>
      <c r="E3187" s="51">
        <f t="shared" si="49"/>
        <v>0</v>
      </c>
    </row>
    <row r="3188" spans="1:5">
      <c r="A3188" s="59">
        <v>5</v>
      </c>
      <c r="B3188" s="59">
        <v>15</v>
      </c>
      <c r="C3188" s="59">
        <v>220</v>
      </c>
      <c r="D3188" s="51">
        <v>6</v>
      </c>
      <c r="E3188" s="51">
        <f t="shared" si="49"/>
        <v>0</v>
      </c>
    </row>
    <row r="3189" spans="1:5">
      <c r="A3189" s="59">
        <v>5</v>
      </c>
      <c r="B3189" s="59">
        <v>15</v>
      </c>
      <c r="C3189" s="59">
        <v>410</v>
      </c>
      <c r="D3189" s="51">
        <v>6</v>
      </c>
      <c r="E3189" s="51">
        <f t="shared" si="49"/>
        <v>0</v>
      </c>
    </row>
    <row r="3190" spans="1:5">
      <c r="A3190" s="59">
        <v>5</v>
      </c>
      <c r="B3190" s="59">
        <v>16</v>
      </c>
      <c r="C3190" s="59">
        <v>840</v>
      </c>
      <c r="D3190" s="51">
        <v>6</v>
      </c>
      <c r="E3190" s="51">
        <f t="shared" si="49"/>
        <v>0</v>
      </c>
    </row>
    <row r="3191" spans="1:5">
      <c r="A3191" s="59">
        <v>5</v>
      </c>
      <c r="B3191" s="59">
        <v>22</v>
      </c>
      <c r="C3191" s="59">
        <v>130</v>
      </c>
      <c r="D3191" s="51">
        <v>6</v>
      </c>
      <c r="E3191" s="51">
        <f t="shared" si="49"/>
        <v>0</v>
      </c>
    </row>
    <row r="3192" spans="1:5">
      <c r="A3192" s="59">
        <v>5</v>
      </c>
      <c r="B3192" s="59">
        <v>23</v>
      </c>
      <c r="C3192" s="59">
        <v>420</v>
      </c>
      <c r="D3192" s="51">
        <v>6</v>
      </c>
      <c r="E3192" s="51">
        <f t="shared" si="49"/>
        <v>0</v>
      </c>
    </row>
    <row r="3193" spans="1:5">
      <c r="A3193" s="59">
        <v>5</v>
      </c>
      <c r="B3193" s="59">
        <v>23</v>
      </c>
      <c r="C3193" s="59">
        <v>730</v>
      </c>
      <c r="D3193" s="51">
        <v>6</v>
      </c>
      <c r="E3193" s="51">
        <f t="shared" si="49"/>
        <v>0</v>
      </c>
    </row>
    <row r="3194" spans="1:5">
      <c r="A3194" s="59">
        <v>5</v>
      </c>
      <c r="B3194" s="59">
        <v>24</v>
      </c>
      <c r="C3194" s="59">
        <v>750</v>
      </c>
      <c r="D3194" s="51">
        <v>6</v>
      </c>
      <c r="E3194" s="51">
        <f t="shared" si="49"/>
        <v>0</v>
      </c>
    </row>
    <row r="3195" spans="1:5">
      <c r="A3195" s="59">
        <v>5</v>
      </c>
      <c r="B3195" s="59">
        <v>31</v>
      </c>
      <c r="C3195" s="59">
        <v>610</v>
      </c>
      <c r="D3195" s="51">
        <v>6</v>
      </c>
      <c r="E3195" s="51">
        <f t="shared" si="49"/>
        <v>0</v>
      </c>
    </row>
    <row r="3196" spans="1:5">
      <c r="A3196" s="59">
        <v>5</v>
      </c>
      <c r="B3196" s="59">
        <v>33</v>
      </c>
      <c r="C3196" s="59">
        <v>220</v>
      </c>
      <c r="D3196" s="51">
        <v>6</v>
      </c>
      <c r="E3196" s="51">
        <f t="shared" si="49"/>
        <v>0</v>
      </c>
    </row>
    <row r="3197" spans="1:5">
      <c r="A3197" s="59">
        <v>5</v>
      </c>
      <c r="B3197" s="59">
        <v>42</v>
      </c>
      <c r="C3197" s="59">
        <v>420</v>
      </c>
      <c r="D3197" s="51">
        <v>6</v>
      </c>
      <c r="E3197" s="51">
        <f t="shared" si="49"/>
        <v>0</v>
      </c>
    </row>
    <row r="3198" spans="1:5">
      <c r="A3198" s="59">
        <v>5</v>
      </c>
      <c r="B3198" s="59">
        <v>44</v>
      </c>
      <c r="C3198" s="59">
        <v>240</v>
      </c>
      <c r="D3198" s="51">
        <v>6</v>
      </c>
      <c r="E3198" s="51">
        <f t="shared" si="49"/>
        <v>1</v>
      </c>
    </row>
    <row r="3199" spans="1:5">
      <c r="A3199" s="59">
        <v>5</v>
      </c>
      <c r="B3199" s="59">
        <v>63</v>
      </c>
      <c r="C3199" s="59">
        <v>320</v>
      </c>
      <c r="D3199" s="51">
        <v>6</v>
      </c>
      <c r="E3199" s="51">
        <f t="shared" si="49"/>
        <v>0</v>
      </c>
    </row>
    <row r="3200" spans="1:5">
      <c r="A3200" s="59">
        <v>5</v>
      </c>
      <c r="B3200" s="59">
        <v>71</v>
      </c>
      <c r="C3200" s="59">
        <v>320</v>
      </c>
      <c r="D3200" s="51">
        <v>6</v>
      </c>
      <c r="E3200" s="51">
        <f t="shared" si="49"/>
        <v>0</v>
      </c>
    </row>
    <row r="3201" spans="1:5">
      <c r="A3201" s="59">
        <v>5</v>
      </c>
      <c r="B3201" s="59">
        <v>14</v>
      </c>
      <c r="C3201" s="59">
        <v>550</v>
      </c>
      <c r="D3201" s="51">
        <v>5</v>
      </c>
      <c r="E3201" s="51">
        <f t="shared" si="49"/>
        <v>0</v>
      </c>
    </row>
    <row r="3202" spans="1:5">
      <c r="A3202" s="59">
        <v>5</v>
      </c>
      <c r="B3202" s="59">
        <v>15</v>
      </c>
      <c r="C3202" s="59">
        <v>620</v>
      </c>
      <c r="D3202" s="51">
        <v>5</v>
      </c>
      <c r="E3202" s="51">
        <f t="shared" ref="E3202:E3265" si="50">IF(OR(A3202=6,A3202=7,A3202=14,A3202=15,A3202=16,A3202=17,A3202=18,A3202=19,A3202=20,A3202=21,A3202=22,A3202=23,A3202=25,A3202=26,A3202=27,A3202=28,B3202=41,B3202=44,B3202=62),1,0)</f>
        <v>0</v>
      </c>
    </row>
    <row r="3203" spans="1:5">
      <c r="A3203" s="59">
        <v>5</v>
      </c>
      <c r="B3203" s="59">
        <v>16</v>
      </c>
      <c r="C3203" s="59">
        <v>620</v>
      </c>
      <c r="D3203" s="51">
        <v>5</v>
      </c>
      <c r="E3203" s="51">
        <f t="shared" si="50"/>
        <v>0</v>
      </c>
    </row>
    <row r="3204" spans="1:5">
      <c r="A3204" s="59">
        <v>5</v>
      </c>
      <c r="B3204" s="59">
        <v>23</v>
      </c>
      <c r="C3204" s="59">
        <v>110</v>
      </c>
      <c r="D3204" s="51">
        <v>5</v>
      </c>
      <c r="E3204" s="51">
        <f t="shared" si="50"/>
        <v>0</v>
      </c>
    </row>
    <row r="3205" spans="1:5">
      <c r="A3205" s="59">
        <v>5</v>
      </c>
      <c r="B3205" s="59">
        <v>23</v>
      </c>
      <c r="C3205" s="59">
        <v>840</v>
      </c>
      <c r="D3205" s="51">
        <v>5</v>
      </c>
      <c r="E3205" s="51">
        <f t="shared" si="50"/>
        <v>0</v>
      </c>
    </row>
    <row r="3206" spans="1:5">
      <c r="A3206" s="59">
        <v>5</v>
      </c>
      <c r="B3206" s="59">
        <v>33</v>
      </c>
      <c r="C3206" s="59">
        <v>330</v>
      </c>
      <c r="D3206" s="51">
        <v>5</v>
      </c>
      <c r="E3206" s="51">
        <f t="shared" si="50"/>
        <v>0</v>
      </c>
    </row>
    <row r="3207" spans="1:5">
      <c r="A3207" s="59">
        <v>5</v>
      </c>
      <c r="B3207" s="59">
        <v>41</v>
      </c>
      <c r="C3207" s="59">
        <v>140</v>
      </c>
      <c r="D3207" s="51">
        <v>5</v>
      </c>
      <c r="E3207" s="51">
        <f t="shared" si="50"/>
        <v>1</v>
      </c>
    </row>
    <row r="3208" spans="1:5">
      <c r="A3208" s="59">
        <v>5</v>
      </c>
      <c r="B3208" s="59">
        <v>41</v>
      </c>
      <c r="C3208" s="59">
        <v>831</v>
      </c>
      <c r="D3208" s="51">
        <v>5</v>
      </c>
      <c r="E3208" s="51">
        <f t="shared" si="50"/>
        <v>1</v>
      </c>
    </row>
    <row r="3209" spans="1:5">
      <c r="A3209" s="59">
        <v>5</v>
      </c>
      <c r="B3209" s="59">
        <v>42</v>
      </c>
      <c r="C3209" s="59">
        <v>230</v>
      </c>
      <c r="D3209" s="51">
        <v>5</v>
      </c>
      <c r="E3209" s="51">
        <f t="shared" si="50"/>
        <v>0</v>
      </c>
    </row>
    <row r="3210" spans="1:5">
      <c r="A3210" s="59">
        <v>5</v>
      </c>
      <c r="B3210" s="59">
        <v>42</v>
      </c>
      <c r="C3210" s="59">
        <v>440</v>
      </c>
      <c r="D3210" s="51">
        <v>5</v>
      </c>
      <c r="E3210" s="51">
        <f t="shared" si="50"/>
        <v>0</v>
      </c>
    </row>
    <row r="3211" spans="1:5">
      <c r="A3211" s="59">
        <v>5</v>
      </c>
      <c r="B3211" s="59">
        <v>42</v>
      </c>
      <c r="C3211" s="59">
        <v>540</v>
      </c>
      <c r="D3211" s="51">
        <v>5</v>
      </c>
      <c r="E3211" s="51">
        <f t="shared" si="50"/>
        <v>0</v>
      </c>
    </row>
    <row r="3212" spans="1:5">
      <c r="A3212" s="59">
        <v>5</v>
      </c>
      <c r="B3212" s="59">
        <v>42</v>
      </c>
      <c r="C3212" s="59">
        <v>630</v>
      </c>
      <c r="D3212" s="51">
        <v>5</v>
      </c>
      <c r="E3212" s="51">
        <f t="shared" si="50"/>
        <v>0</v>
      </c>
    </row>
    <row r="3213" spans="1:5">
      <c r="A3213" s="59">
        <v>5</v>
      </c>
      <c r="B3213" s="59">
        <v>42</v>
      </c>
      <c r="C3213" s="59">
        <v>640</v>
      </c>
      <c r="D3213" s="51">
        <v>5</v>
      </c>
      <c r="E3213" s="51">
        <f t="shared" si="50"/>
        <v>0</v>
      </c>
    </row>
    <row r="3214" spans="1:5">
      <c r="A3214" s="59">
        <v>5</v>
      </c>
      <c r="B3214" s="59">
        <v>44</v>
      </c>
      <c r="C3214" s="59">
        <v>640</v>
      </c>
      <c r="D3214" s="51">
        <v>5</v>
      </c>
      <c r="E3214" s="51">
        <f t="shared" si="50"/>
        <v>1</v>
      </c>
    </row>
    <row r="3215" spans="1:5">
      <c r="A3215" s="59">
        <v>5</v>
      </c>
      <c r="B3215" s="59">
        <v>44</v>
      </c>
      <c r="C3215" s="59">
        <v>862</v>
      </c>
      <c r="D3215" s="51">
        <v>5</v>
      </c>
      <c r="E3215" s="51">
        <f t="shared" si="50"/>
        <v>1</v>
      </c>
    </row>
    <row r="3216" spans="1:5">
      <c r="A3216" s="59">
        <v>5</v>
      </c>
      <c r="B3216" s="59">
        <v>62</v>
      </c>
      <c r="C3216" s="59">
        <v>891</v>
      </c>
      <c r="D3216" s="51">
        <v>5</v>
      </c>
      <c r="E3216" s="51">
        <f t="shared" si="50"/>
        <v>1</v>
      </c>
    </row>
    <row r="3217" spans="1:5">
      <c r="A3217" s="59">
        <v>5</v>
      </c>
      <c r="B3217" s="59">
        <v>71</v>
      </c>
      <c r="C3217" s="59">
        <v>895</v>
      </c>
      <c r="D3217" s="51">
        <v>5</v>
      </c>
      <c r="E3217" s="51">
        <f t="shared" si="50"/>
        <v>0</v>
      </c>
    </row>
    <row r="3218" spans="1:5">
      <c r="A3218" s="59">
        <v>5</v>
      </c>
      <c r="B3218" s="59">
        <v>81</v>
      </c>
      <c r="C3218" s="59">
        <v>630</v>
      </c>
      <c r="D3218" s="51">
        <v>5</v>
      </c>
      <c r="E3218" s="51">
        <f t="shared" si="50"/>
        <v>0</v>
      </c>
    </row>
    <row r="3219" spans="1:5">
      <c r="A3219" s="59">
        <v>5</v>
      </c>
      <c r="B3219" s="59">
        <v>11</v>
      </c>
      <c r="C3219" s="59">
        <v>210</v>
      </c>
      <c r="D3219" s="51">
        <v>4</v>
      </c>
      <c r="E3219" s="51">
        <f t="shared" si="50"/>
        <v>0</v>
      </c>
    </row>
    <row r="3220" spans="1:5">
      <c r="A3220" s="59">
        <v>5</v>
      </c>
      <c r="B3220" s="59">
        <v>11</v>
      </c>
      <c r="C3220" s="59">
        <v>550</v>
      </c>
      <c r="D3220" s="51">
        <v>4</v>
      </c>
      <c r="E3220" s="51">
        <f t="shared" si="50"/>
        <v>0</v>
      </c>
    </row>
    <row r="3221" spans="1:5">
      <c r="A3221" s="59">
        <v>5</v>
      </c>
      <c r="B3221" s="59">
        <v>14</v>
      </c>
      <c r="C3221" s="59">
        <v>740</v>
      </c>
      <c r="D3221" s="51">
        <v>4</v>
      </c>
      <c r="E3221" s="51">
        <f t="shared" si="50"/>
        <v>0</v>
      </c>
    </row>
    <row r="3222" spans="1:5">
      <c r="A3222" s="59">
        <v>5</v>
      </c>
      <c r="B3222" s="59">
        <v>15</v>
      </c>
      <c r="C3222" s="59">
        <v>430</v>
      </c>
      <c r="D3222" s="51">
        <v>4</v>
      </c>
      <c r="E3222" s="51">
        <f t="shared" si="50"/>
        <v>0</v>
      </c>
    </row>
    <row r="3223" spans="1:5">
      <c r="A3223" s="59">
        <v>5</v>
      </c>
      <c r="B3223" s="59">
        <v>15</v>
      </c>
      <c r="C3223" s="59">
        <v>940</v>
      </c>
      <c r="D3223" s="51">
        <v>4</v>
      </c>
      <c r="E3223" s="51">
        <f t="shared" si="50"/>
        <v>0</v>
      </c>
    </row>
    <row r="3224" spans="1:5">
      <c r="A3224" s="59">
        <v>5</v>
      </c>
      <c r="B3224" s="59">
        <v>15</v>
      </c>
      <c r="C3224" s="59">
        <v>960</v>
      </c>
      <c r="D3224" s="51">
        <v>4</v>
      </c>
      <c r="E3224" s="51">
        <f t="shared" si="50"/>
        <v>0</v>
      </c>
    </row>
    <row r="3225" spans="1:5">
      <c r="A3225" s="59">
        <v>5</v>
      </c>
      <c r="B3225" s="59">
        <v>16</v>
      </c>
      <c r="C3225" s="59">
        <v>120</v>
      </c>
      <c r="D3225" s="51">
        <v>4</v>
      </c>
      <c r="E3225" s="51">
        <f t="shared" si="50"/>
        <v>0</v>
      </c>
    </row>
    <row r="3226" spans="1:5">
      <c r="A3226" s="59">
        <v>5</v>
      </c>
      <c r="B3226" s="59">
        <v>16</v>
      </c>
      <c r="C3226" s="59">
        <v>710</v>
      </c>
      <c r="D3226" s="51">
        <v>4</v>
      </c>
      <c r="E3226" s="51">
        <f t="shared" si="50"/>
        <v>0</v>
      </c>
    </row>
    <row r="3227" spans="1:5">
      <c r="A3227" s="59">
        <v>5</v>
      </c>
      <c r="B3227" s="59">
        <v>21</v>
      </c>
      <c r="C3227" s="59">
        <v>110</v>
      </c>
      <c r="D3227" s="51">
        <v>4</v>
      </c>
      <c r="E3227" s="51">
        <f t="shared" si="50"/>
        <v>0</v>
      </c>
    </row>
    <row r="3228" spans="1:5">
      <c r="A3228" s="59">
        <v>5</v>
      </c>
      <c r="B3228" s="59">
        <v>22</v>
      </c>
      <c r="C3228" s="59">
        <v>420</v>
      </c>
      <c r="D3228" s="51">
        <v>4</v>
      </c>
      <c r="E3228" s="51">
        <f t="shared" si="50"/>
        <v>0</v>
      </c>
    </row>
    <row r="3229" spans="1:5">
      <c r="A3229" s="59">
        <v>5</v>
      </c>
      <c r="B3229" s="59">
        <v>22</v>
      </c>
      <c r="C3229" s="59">
        <v>990</v>
      </c>
      <c r="D3229" s="51">
        <v>4</v>
      </c>
      <c r="E3229" s="51">
        <f t="shared" si="50"/>
        <v>0</v>
      </c>
    </row>
    <row r="3230" spans="1:5">
      <c r="A3230" s="59">
        <v>5</v>
      </c>
      <c r="B3230" s="59">
        <v>23</v>
      </c>
      <c r="C3230" s="59">
        <v>510</v>
      </c>
      <c r="D3230" s="51">
        <v>4</v>
      </c>
      <c r="E3230" s="51">
        <f t="shared" si="50"/>
        <v>0</v>
      </c>
    </row>
    <row r="3231" spans="1:5">
      <c r="A3231" s="59">
        <v>5</v>
      </c>
      <c r="B3231" s="59">
        <v>31</v>
      </c>
      <c r="C3231" s="59">
        <v>320</v>
      </c>
      <c r="D3231" s="51">
        <v>4</v>
      </c>
      <c r="E3231" s="51">
        <f t="shared" si="50"/>
        <v>0</v>
      </c>
    </row>
    <row r="3232" spans="1:5">
      <c r="A3232" s="59">
        <v>5</v>
      </c>
      <c r="B3232" s="59">
        <v>32</v>
      </c>
      <c r="C3232" s="59">
        <v>440</v>
      </c>
      <c r="D3232" s="51">
        <v>4</v>
      </c>
      <c r="E3232" s="51">
        <f t="shared" si="50"/>
        <v>0</v>
      </c>
    </row>
    <row r="3233" spans="1:5">
      <c r="A3233" s="59">
        <v>5</v>
      </c>
      <c r="B3233" s="59">
        <v>32</v>
      </c>
      <c r="C3233" s="59">
        <v>990</v>
      </c>
      <c r="D3233" s="51">
        <v>4</v>
      </c>
      <c r="E3233" s="51">
        <f t="shared" si="50"/>
        <v>0</v>
      </c>
    </row>
    <row r="3234" spans="1:5">
      <c r="A3234" s="59">
        <v>5</v>
      </c>
      <c r="B3234" s="59">
        <v>33</v>
      </c>
      <c r="C3234" s="59">
        <v>310</v>
      </c>
      <c r="D3234" s="51">
        <v>4</v>
      </c>
      <c r="E3234" s="51">
        <f t="shared" si="50"/>
        <v>0</v>
      </c>
    </row>
    <row r="3235" spans="1:5">
      <c r="A3235" s="59">
        <v>5</v>
      </c>
      <c r="B3235" s="59">
        <v>41</v>
      </c>
      <c r="C3235" s="59">
        <v>330</v>
      </c>
      <c r="D3235" s="51">
        <v>4</v>
      </c>
      <c r="E3235" s="51">
        <f t="shared" si="50"/>
        <v>1</v>
      </c>
    </row>
    <row r="3236" spans="1:5">
      <c r="A3236" s="59">
        <v>5</v>
      </c>
      <c r="B3236" s="59">
        <v>42</v>
      </c>
      <c r="C3236" s="59">
        <v>130</v>
      </c>
      <c r="D3236" s="51">
        <v>4</v>
      </c>
      <c r="E3236" s="51">
        <f t="shared" si="50"/>
        <v>0</v>
      </c>
    </row>
    <row r="3237" spans="1:5">
      <c r="A3237" s="59">
        <v>5</v>
      </c>
      <c r="B3237" s="59">
        <v>42</v>
      </c>
      <c r="C3237" s="59">
        <v>960</v>
      </c>
      <c r="D3237" s="51">
        <v>4</v>
      </c>
      <c r="E3237" s="51">
        <f t="shared" si="50"/>
        <v>0</v>
      </c>
    </row>
    <row r="3238" spans="1:5">
      <c r="A3238" s="59">
        <v>5</v>
      </c>
      <c r="B3238" s="59">
        <v>43</v>
      </c>
      <c r="C3238" s="59">
        <v>893</v>
      </c>
      <c r="D3238" s="51">
        <v>4</v>
      </c>
      <c r="E3238" s="51">
        <f t="shared" si="50"/>
        <v>0</v>
      </c>
    </row>
    <row r="3239" spans="1:5">
      <c r="A3239" s="59">
        <v>5</v>
      </c>
      <c r="B3239" s="59">
        <v>44</v>
      </c>
      <c r="C3239" s="59">
        <v>330</v>
      </c>
      <c r="D3239" s="51">
        <v>4</v>
      </c>
      <c r="E3239" s="51">
        <f t="shared" si="50"/>
        <v>1</v>
      </c>
    </row>
    <row r="3240" spans="1:5">
      <c r="A3240" s="59">
        <v>5</v>
      </c>
      <c r="B3240" s="59">
        <v>51</v>
      </c>
      <c r="C3240" s="59">
        <v>620</v>
      </c>
      <c r="D3240" s="51">
        <v>4</v>
      </c>
      <c r="E3240" s="51">
        <f t="shared" si="50"/>
        <v>0</v>
      </c>
    </row>
    <row r="3241" spans="1:5">
      <c r="A3241" s="59">
        <v>5</v>
      </c>
      <c r="B3241" s="59">
        <v>51</v>
      </c>
      <c r="C3241" s="59">
        <v>920</v>
      </c>
      <c r="D3241" s="51">
        <v>4</v>
      </c>
      <c r="E3241" s="51">
        <f t="shared" si="50"/>
        <v>0</v>
      </c>
    </row>
    <row r="3242" spans="1:5">
      <c r="A3242" s="59">
        <v>5</v>
      </c>
      <c r="B3242" s="59">
        <v>61</v>
      </c>
      <c r="C3242" s="59">
        <v>150</v>
      </c>
      <c r="D3242" s="51">
        <v>4</v>
      </c>
      <c r="E3242" s="51">
        <f t="shared" si="50"/>
        <v>0</v>
      </c>
    </row>
    <row r="3243" spans="1:5">
      <c r="A3243" s="59">
        <v>5</v>
      </c>
      <c r="B3243" s="59">
        <v>61</v>
      </c>
      <c r="C3243" s="59">
        <v>990</v>
      </c>
      <c r="D3243" s="51">
        <v>4</v>
      </c>
      <c r="E3243" s="51">
        <f t="shared" si="50"/>
        <v>0</v>
      </c>
    </row>
    <row r="3244" spans="1:5">
      <c r="A3244" s="59">
        <v>5</v>
      </c>
      <c r="B3244" s="59">
        <v>62</v>
      </c>
      <c r="C3244" s="59">
        <v>831</v>
      </c>
      <c r="D3244" s="51">
        <v>4</v>
      </c>
      <c r="E3244" s="51">
        <f t="shared" si="50"/>
        <v>1</v>
      </c>
    </row>
    <row r="3245" spans="1:5">
      <c r="A3245" s="59">
        <v>5</v>
      </c>
      <c r="B3245" s="59">
        <v>63</v>
      </c>
      <c r="C3245" s="59">
        <v>899</v>
      </c>
      <c r="D3245" s="51">
        <v>4</v>
      </c>
      <c r="E3245" s="51">
        <f t="shared" si="50"/>
        <v>0</v>
      </c>
    </row>
    <row r="3246" spans="1:5">
      <c r="A3246" s="59">
        <v>5</v>
      </c>
      <c r="B3246" s="59">
        <v>71</v>
      </c>
      <c r="C3246" s="59">
        <v>881</v>
      </c>
      <c r="D3246" s="51">
        <v>4</v>
      </c>
      <c r="E3246" s="51">
        <f t="shared" si="50"/>
        <v>0</v>
      </c>
    </row>
    <row r="3247" spans="1:5">
      <c r="A3247" s="59">
        <v>5</v>
      </c>
      <c r="B3247" s="59">
        <v>11</v>
      </c>
      <c r="C3247" s="59">
        <v>610</v>
      </c>
      <c r="D3247" s="51">
        <v>3</v>
      </c>
      <c r="E3247" s="51">
        <f t="shared" si="50"/>
        <v>0</v>
      </c>
    </row>
    <row r="3248" spans="1:5">
      <c r="A3248" s="59">
        <v>5</v>
      </c>
      <c r="B3248" s="59">
        <v>11</v>
      </c>
      <c r="C3248" s="59">
        <v>620</v>
      </c>
      <c r="D3248" s="51">
        <v>3</v>
      </c>
      <c r="E3248" s="51">
        <f t="shared" si="50"/>
        <v>0</v>
      </c>
    </row>
    <row r="3249" spans="1:5">
      <c r="A3249" s="59">
        <v>5</v>
      </c>
      <c r="B3249" s="59">
        <v>11</v>
      </c>
      <c r="C3249" s="59">
        <v>920</v>
      </c>
      <c r="D3249" s="51">
        <v>3</v>
      </c>
      <c r="E3249" s="51">
        <f t="shared" si="50"/>
        <v>0</v>
      </c>
    </row>
    <row r="3250" spans="1:5">
      <c r="A3250" s="59">
        <v>5</v>
      </c>
      <c r="B3250" s="59">
        <v>14</v>
      </c>
      <c r="C3250" s="59">
        <v>970</v>
      </c>
      <c r="D3250" s="51">
        <v>3</v>
      </c>
      <c r="E3250" s="51">
        <f t="shared" si="50"/>
        <v>0</v>
      </c>
    </row>
    <row r="3251" spans="1:5">
      <c r="A3251" s="59">
        <v>5</v>
      </c>
      <c r="B3251" s="59">
        <v>21</v>
      </c>
      <c r="C3251" s="59">
        <v>720</v>
      </c>
      <c r="D3251" s="51">
        <v>3</v>
      </c>
      <c r="E3251" s="51">
        <f t="shared" si="50"/>
        <v>0</v>
      </c>
    </row>
    <row r="3252" spans="1:5">
      <c r="A3252" s="59">
        <v>5</v>
      </c>
      <c r="B3252" s="59">
        <v>22</v>
      </c>
      <c r="C3252" s="59">
        <v>120</v>
      </c>
      <c r="D3252" s="51">
        <v>3</v>
      </c>
      <c r="E3252" s="51">
        <f t="shared" si="50"/>
        <v>0</v>
      </c>
    </row>
    <row r="3253" spans="1:5">
      <c r="A3253" s="59">
        <v>5</v>
      </c>
      <c r="B3253" s="59">
        <v>22</v>
      </c>
      <c r="C3253" s="59">
        <v>890</v>
      </c>
      <c r="D3253" s="51">
        <v>3</v>
      </c>
      <c r="E3253" s="51">
        <f t="shared" si="50"/>
        <v>0</v>
      </c>
    </row>
    <row r="3254" spans="1:5">
      <c r="A3254" s="59">
        <v>5</v>
      </c>
      <c r="B3254" s="59">
        <v>23</v>
      </c>
      <c r="C3254" s="59">
        <v>320</v>
      </c>
      <c r="D3254" s="51">
        <v>3</v>
      </c>
      <c r="E3254" s="51">
        <f t="shared" si="50"/>
        <v>0</v>
      </c>
    </row>
    <row r="3255" spans="1:5">
      <c r="A3255" s="59">
        <v>5</v>
      </c>
      <c r="B3255" s="59">
        <v>24</v>
      </c>
      <c r="C3255" s="59">
        <v>230</v>
      </c>
      <c r="D3255" s="51">
        <v>3</v>
      </c>
      <c r="E3255" s="51">
        <f t="shared" si="50"/>
        <v>0</v>
      </c>
    </row>
    <row r="3256" spans="1:5">
      <c r="A3256" s="59">
        <v>5</v>
      </c>
      <c r="B3256" s="59">
        <v>24</v>
      </c>
      <c r="C3256" s="59">
        <v>610</v>
      </c>
      <c r="D3256" s="51">
        <v>3</v>
      </c>
      <c r="E3256" s="51">
        <f t="shared" si="50"/>
        <v>0</v>
      </c>
    </row>
    <row r="3257" spans="1:5">
      <c r="A3257" s="59">
        <v>5</v>
      </c>
      <c r="B3257" s="59">
        <v>31</v>
      </c>
      <c r="C3257" s="59">
        <v>110</v>
      </c>
      <c r="D3257" s="51">
        <v>3</v>
      </c>
      <c r="E3257" s="51">
        <f t="shared" si="50"/>
        <v>0</v>
      </c>
    </row>
    <row r="3258" spans="1:5">
      <c r="A3258" s="59">
        <v>5</v>
      </c>
      <c r="B3258" s="59">
        <v>31</v>
      </c>
      <c r="C3258" s="59">
        <v>710</v>
      </c>
      <c r="D3258" s="51">
        <v>3</v>
      </c>
      <c r="E3258" s="51">
        <f t="shared" si="50"/>
        <v>0</v>
      </c>
    </row>
    <row r="3259" spans="1:5">
      <c r="A3259" s="59">
        <v>5</v>
      </c>
      <c r="B3259" s="59">
        <v>32</v>
      </c>
      <c r="C3259" s="59">
        <v>140</v>
      </c>
      <c r="D3259" s="51">
        <v>3</v>
      </c>
      <c r="E3259" s="51">
        <f t="shared" si="50"/>
        <v>0</v>
      </c>
    </row>
    <row r="3260" spans="1:5">
      <c r="A3260" s="59">
        <v>5</v>
      </c>
      <c r="B3260" s="59">
        <v>32</v>
      </c>
      <c r="C3260" s="59">
        <v>320</v>
      </c>
      <c r="D3260" s="51">
        <v>3</v>
      </c>
      <c r="E3260" s="51">
        <f t="shared" si="50"/>
        <v>0</v>
      </c>
    </row>
    <row r="3261" spans="1:5">
      <c r="A3261" s="59">
        <v>5</v>
      </c>
      <c r="B3261" s="59">
        <v>32</v>
      </c>
      <c r="C3261" s="59">
        <v>550</v>
      </c>
      <c r="D3261" s="51">
        <v>3</v>
      </c>
      <c r="E3261" s="51">
        <f t="shared" si="50"/>
        <v>0</v>
      </c>
    </row>
    <row r="3262" spans="1:5">
      <c r="A3262" s="59">
        <v>5</v>
      </c>
      <c r="B3262" s="59">
        <v>33</v>
      </c>
      <c r="C3262" s="59">
        <v>950</v>
      </c>
      <c r="D3262" s="51">
        <v>3</v>
      </c>
      <c r="E3262" s="51">
        <f t="shared" si="50"/>
        <v>0</v>
      </c>
    </row>
    <row r="3263" spans="1:5">
      <c r="A3263" s="59">
        <v>5</v>
      </c>
      <c r="B3263" s="59">
        <v>33</v>
      </c>
      <c r="C3263" s="59">
        <v>990</v>
      </c>
      <c r="D3263" s="51">
        <v>3</v>
      </c>
      <c r="E3263" s="51">
        <f t="shared" si="50"/>
        <v>0</v>
      </c>
    </row>
    <row r="3264" spans="1:5">
      <c r="A3264" s="59">
        <v>5</v>
      </c>
      <c r="B3264" s="59">
        <v>42</v>
      </c>
      <c r="C3264" s="59">
        <v>970</v>
      </c>
      <c r="D3264" s="51">
        <v>3</v>
      </c>
      <c r="E3264" s="51">
        <f t="shared" si="50"/>
        <v>0</v>
      </c>
    </row>
    <row r="3265" spans="1:5">
      <c r="A3265" s="59">
        <v>5</v>
      </c>
      <c r="B3265" s="59">
        <v>44</v>
      </c>
      <c r="C3265" s="59">
        <v>120</v>
      </c>
      <c r="D3265" s="51">
        <v>3</v>
      </c>
      <c r="E3265" s="51">
        <f t="shared" si="50"/>
        <v>1</v>
      </c>
    </row>
    <row r="3266" spans="1:5">
      <c r="A3266" s="59">
        <v>5</v>
      </c>
      <c r="B3266" s="59">
        <v>44</v>
      </c>
      <c r="C3266" s="59">
        <v>880</v>
      </c>
      <c r="D3266" s="51">
        <v>3</v>
      </c>
      <c r="E3266" s="51">
        <f t="shared" ref="E3266:E3329" si="51">IF(OR(A3266=6,A3266=7,A3266=14,A3266=15,A3266=16,A3266=17,A3266=18,A3266=19,A3266=20,A3266=21,A3266=22,A3266=23,A3266=25,A3266=26,A3266=27,A3266=28,B3266=41,B3266=44,B3266=62),1,0)</f>
        <v>1</v>
      </c>
    </row>
    <row r="3267" spans="1:5">
      <c r="A3267" s="59">
        <v>5</v>
      </c>
      <c r="B3267" s="59">
        <v>51</v>
      </c>
      <c r="C3267" s="59">
        <v>110</v>
      </c>
      <c r="D3267" s="51">
        <v>3</v>
      </c>
      <c r="E3267" s="51">
        <f t="shared" si="51"/>
        <v>0</v>
      </c>
    </row>
    <row r="3268" spans="1:5">
      <c r="A3268" s="59">
        <v>5</v>
      </c>
      <c r="B3268" s="59">
        <v>62</v>
      </c>
      <c r="C3268" s="59">
        <v>120</v>
      </c>
      <c r="D3268" s="51">
        <v>3</v>
      </c>
      <c r="E3268" s="51">
        <f t="shared" si="51"/>
        <v>1</v>
      </c>
    </row>
    <row r="3269" spans="1:5">
      <c r="A3269" s="59">
        <v>5</v>
      </c>
      <c r="B3269" s="59">
        <v>62</v>
      </c>
      <c r="C3269" s="59">
        <v>140</v>
      </c>
      <c r="D3269" s="51">
        <v>3</v>
      </c>
      <c r="E3269" s="51">
        <f t="shared" si="51"/>
        <v>1</v>
      </c>
    </row>
    <row r="3270" spans="1:5">
      <c r="A3270" s="59">
        <v>5</v>
      </c>
      <c r="B3270" s="59">
        <v>62</v>
      </c>
      <c r="C3270" s="59">
        <v>892</v>
      </c>
      <c r="D3270" s="51">
        <v>3</v>
      </c>
      <c r="E3270" s="51">
        <f t="shared" si="51"/>
        <v>1</v>
      </c>
    </row>
    <row r="3271" spans="1:5">
      <c r="A3271" s="59">
        <v>5</v>
      </c>
      <c r="B3271" s="59">
        <v>71</v>
      </c>
      <c r="C3271" s="59">
        <v>120</v>
      </c>
      <c r="D3271" s="51">
        <v>3</v>
      </c>
      <c r="E3271" s="51">
        <f t="shared" si="51"/>
        <v>0</v>
      </c>
    </row>
    <row r="3272" spans="1:5">
      <c r="A3272" s="59">
        <v>5</v>
      </c>
      <c r="B3272" s="59">
        <v>81</v>
      </c>
      <c r="C3272" s="59">
        <v>420</v>
      </c>
      <c r="D3272" s="51">
        <v>3</v>
      </c>
      <c r="E3272" s="51">
        <f t="shared" si="51"/>
        <v>0</v>
      </c>
    </row>
    <row r="3273" spans="1:5">
      <c r="A3273" s="59">
        <v>5</v>
      </c>
      <c r="B3273" s="59">
        <v>81</v>
      </c>
      <c r="C3273" s="59">
        <v>430</v>
      </c>
      <c r="D3273" s="51">
        <v>3</v>
      </c>
      <c r="E3273" s="51">
        <f t="shared" si="51"/>
        <v>0</v>
      </c>
    </row>
    <row r="3274" spans="1:5">
      <c r="A3274" s="59">
        <v>5</v>
      </c>
      <c r="B3274" s="59">
        <v>11</v>
      </c>
      <c r="C3274" s="59">
        <v>410</v>
      </c>
      <c r="D3274" s="51">
        <v>2</v>
      </c>
      <c r="E3274" s="51">
        <f t="shared" si="51"/>
        <v>0</v>
      </c>
    </row>
    <row r="3275" spans="1:5">
      <c r="A3275" s="59">
        <v>5</v>
      </c>
      <c r="B3275" s="59">
        <v>11</v>
      </c>
      <c r="C3275" s="59">
        <v>710</v>
      </c>
      <c r="D3275" s="51">
        <v>2</v>
      </c>
      <c r="E3275" s="51">
        <f t="shared" si="51"/>
        <v>0</v>
      </c>
    </row>
    <row r="3276" spans="1:5">
      <c r="A3276" s="59">
        <v>5</v>
      </c>
      <c r="B3276" s="59">
        <v>13</v>
      </c>
      <c r="C3276" s="59">
        <v>970</v>
      </c>
      <c r="D3276" s="51">
        <v>2</v>
      </c>
      <c r="E3276" s="51">
        <f t="shared" si="51"/>
        <v>0</v>
      </c>
    </row>
    <row r="3277" spans="1:5">
      <c r="A3277" s="59">
        <v>5</v>
      </c>
      <c r="B3277" s="59">
        <v>15</v>
      </c>
      <c r="C3277" s="59">
        <v>740</v>
      </c>
      <c r="D3277" s="51">
        <v>2</v>
      </c>
      <c r="E3277" s="51">
        <f t="shared" si="51"/>
        <v>0</v>
      </c>
    </row>
    <row r="3278" spans="1:5">
      <c r="A3278" s="59">
        <v>5</v>
      </c>
      <c r="B3278" s="59">
        <v>15</v>
      </c>
      <c r="C3278" s="59">
        <v>970</v>
      </c>
      <c r="D3278" s="51">
        <v>2</v>
      </c>
      <c r="E3278" s="51">
        <f t="shared" si="51"/>
        <v>0</v>
      </c>
    </row>
    <row r="3279" spans="1:5">
      <c r="A3279" s="59">
        <v>5</v>
      </c>
      <c r="B3279" s="59">
        <v>15</v>
      </c>
      <c r="C3279" s="59">
        <v>990</v>
      </c>
      <c r="D3279" s="51">
        <v>2</v>
      </c>
      <c r="E3279" s="51">
        <f t="shared" si="51"/>
        <v>0</v>
      </c>
    </row>
    <row r="3280" spans="1:5">
      <c r="A3280" s="59">
        <v>5</v>
      </c>
      <c r="B3280" s="59">
        <v>16</v>
      </c>
      <c r="C3280" s="59">
        <v>740</v>
      </c>
      <c r="D3280" s="51">
        <v>2</v>
      </c>
      <c r="E3280" s="51">
        <f t="shared" si="51"/>
        <v>0</v>
      </c>
    </row>
    <row r="3281" spans="1:5">
      <c r="A3281" s="59">
        <v>5</v>
      </c>
      <c r="B3281" s="59">
        <v>21</v>
      </c>
      <c r="C3281" s="59">
        <v>330</v>
      </c>
      <c r="D3281" s="51">
        <v>2</v>
      </c>
      <c r="E3281" s="51">
        <f t="shared" si="51"/>
        <v>0</v>
      </c>
    </row>
    <row r="3282" spans="1:5">
      <c r="A3282" s="59">
        <v>5</v>
      </c>
      <c r="B3282" s="59">
        <v>23</v>
      </c>
      <c r="C3282" s="59">
        <v>530</v>
      </c>
      <c r="D3282" s="51">
        <v>2</v>
      </c>
      <c r="E3282" s="51">
        <f t="shared" si="51"/>
        <v>0</v>
      </c>
    </row>
    <row r="3283" spans="1:5">
      <c r="A3283" s="59">
        <v>5</v>
      </c>
      <c r="B3283" s="59">
        <v>24</v>
      </c>
      <c r="C3283" s="59">
        <v>930</v>
      </c>
      <c r="D3283" s="51">
        <v>2</v>
      </c>
      <c r="E3283" s="51">
        <f t="shared" si="51"/>
        <v>0</v>
      </c>
    </row>
    <row r="3284" spans="1:5">
      <c r="A3284" s="59">
        <v>5</v>
      </c>
      <c r="B3284" s="59">
        <v>31</v>
      </c>
      <c r="C3284" s="59">
        <v>330</v>
      </c>
      <c r="D3284" s="51">
        <v>2</v>
      </c>
      <c r="E3284" s="51">
        <f t="shared" si="51"/>
        <v>0</v>
      </c>
    </row>
    <row r="3285" spans="1:5">
      <c r="A3285" s="59">
        <v>5</v>
      </c>
      <c r="B3285" s="59">
        <v>31</v>
      </c>
      <c r="C3285" s="59">
        <v>440</v>
      </c>
      <c r="D3285" s="51">
        <v>2</v>
      </c>
      <c r="E3285" s="51">
        <f t="shared" si="51"/>
        <v>0</v>
      </c>
    </row>
    <row r="3286" spans="1:5">
      <c r="A3286" s="59">
        <v>5</v>
      </c>
      <c r="B3286" s="59">
        <v>31</v>
      </c>
      <c r="C3286" s="59">
        <v>960</v>
      </c>
      <c r="D3286" s="51">
        <v>2</v>
      </c>
      <c r="E3286" s="51">
        <f t="shared" si="51"/>
        <v>0</v>
      </c>
    </row>
    <row r="3287" spans="1:5">
      <c r="A3287" s="59">
        <v>5</v>
      </c>
      <c r="B3287" s="59">
        <v>32</v>
      </c>
      <c r="C3287" s="59">
        <v>220</v>
      </c>
      <c r="D3287" s="51">
        <v>2</v>
      </c>
      <c r="E3287" s="51">
        <f t="shared" si="51"/>
        <v>0</v>
      </c>
    </row>
    <row r="3288" spans="1:5">
      <c r="A3288" s="59">
        <v>5</v>
      </c>
      <c r="B3288" s="59">
        <v>32</v>
      </c>
      <c r="C3288" s="59">
        <v>240</v>
      </c>
      <c r="D3288" s="51">
        <v>2</v>
      </c>
      <c r="E3288" s="51">
        <f t="shared" si="51"/>
        <v>0</v>
      </c>
    </row>
    <row r="3289" spans="1:5">
      <c r="A3289" s="59">
        <v>5</v>
      </c>
      <c r="B3289" s="59">
        <v>32</v>
      </c>
      <c r="C3289" s="59">
        <v>950</v>
      </c>
      <c r="D3289" s="51">
        <v>2</v>
      </c>
      <c r="E3289" s="51">
        <f t="shared" si="51"/>
        <v>0</v>
      </c>
    </row>
    <row r="3290" spans="1:5">
      <c r="A3290" s="59">
        <v>5</v>
      </c>
      <c r="B3290" s="59">
        <v>33</v>
      </c>
      <c r="C3290" s="59">
        <v>120</v>
      </c>
      <c r="D3290" s="51">
        <v>2</v>
      </c>
      <c r="E3290" s="51">
        <f t="shared" si="51"/>
        <v>0</v>
      </c>
    </row>
    <row r="3291" spans="1:5">
      <c r="A3291" s="59">
        <v>5</v>
      </c>
      <c r="B3291" s="59">
        <v>33</v>
      </c>
      <c r="C3291" s="59">
        <v>130</v>
      </c>
      <c r="D3291" s="51">
        <v>2</v>
      </c>
      <c r="E3291" s="51">
        <f t="shared" si="51"/>
        <v>0</v>
      </c>
    </row>
    <row r="3292" spans="1:5">
      <c r="A3292" s="59">
        <v>5</v>
      </c>
      <c r="B3292" s="59">
        <v>33</v>
      </c>
      <c r="C3292" s="59">
        <v>540</v>
      </c>
      <c r="D3292" s="51">
        <v>2</v>
      </c>
      <c r="E3292" s="51">
        <f t="shared" si="51"/>
        <v>0</v>
      </c>
    </row>
    <row r="3293" spans="1:5">
      <c r="A3293" s="59">
        <v>5</v>
      </c>
      <c r="B3293" s="59">
        <v>33</v>
      </c>
      <c r="C3293" s="59">
        <v>630</v>
      </c>
      <c r="D3293" s="51">
        <v>2</v>
      </c>
      <c r="E3293" s="51">
        <f t="shared" si="51"/>
        <v>0</v>
      </c>
    </row>
    <row r="3294" spans="1:5">
      <c r="A3294" s="59">
        <v>5</v>
      </c>
      <c r="B3294" s="59">
        <v>33</v>
      </c>
      <c r="C3294" s="59">
        <v>960</v>
      </c>
      <c r="D3294" s="51">
        <v>2</v>
      </c>
      <c r="E3294" s="51">
        <f t="shared" si="51"/>
        <v>0</v>
      </c>
    </row>
    <row r="3295" spans="1:5">
      <c r="A3295" s="59">
        <v>5</v>
      </c>
      <c r="B3295" s="59">
        <v>41</v>
      </c>
      <c r="C3295" s="59">
        <v>130</v>
      </c>
      <c r="D3295" s="51">
        <v>2</v>
      </c>
      <c r="E3295" s="51">
        <f t="shared" si="51"/>
        <v>1</v>
      </c>
    </row>
    <row r="3296" spans="1:5">
      <c r="A3296" s="59">
        <v>5</v>
      </c>
      <c r="B3296" s="59">
        <v>42</v>
      </c>
      <c r="C3296" s="59">
        <v>990</v>
      </c>
      <c r="D3296" s="51">
        <v>2</v>
      </c>
      <c r="E3296" s="51">
        <f t="shared" si="51"/>
        <v>0</v>
      </c>
    </row>
    <row r="3297" spans="1:5">
      <c r="A3297" s="59">
        <v>5</v>
      </c>
      <c r="B3297" s="59">
        <v>44</v>
      </c>
      <c r="C3297" s="59">
        <v>630</v>
      </c>
      <c r="D3297" s="51">
        <v>2</v>
      </c>
      <c r="E3297" s="51">
        <f t="shared" si="51"/>
        <v>1</v>
      </c>
    </row>
    <row r="3298" spans="1:5">
      <c r="A3298" s="59">
        <v>5</v>
      </c>
      <c r="B3298" s="59">
        <v>61</v>
      </c>
      <c r="C3298" s="59">
        <v>110</v>
      </c>
      <c r="D3298" s="51">
        <v>2</v>
      </c>
      <c r="E3298" s="51">
        <f t="shared" si="51"/>
        <v>0</v>
      </c>
    </row>
    <row r="3299" spans="1:5">
      <c r="A3299" s="59">
        <v>5</v>
      </c>
      <c r="B3299" s="59">
        <v>61</v>
      </c>
      <c r="C3299" s="59">
        <v>160</v>
      </c>
      <c r="D3299" s="51">
        <v>2</v>
      </c>
      <c r="E3299" s="51">
        <f t="shared" si="51"/>
        <v>0</v>
      </c>
    </row>
    <row r="3300" spans="1:5">
      <c r="A3300" s="59">
        <v>5</v>
      </c>
      <c r="B3300" s="59">
        <v>61</v>
      </c>
      <c r="C3300" s="59">
        <v>410</v>
      </c>
      <c r="D3300" s="51">
        <v>2</v>
      </c>
      <c r="E3300" s="51">
        <f t="shared" si="51"/>
        <v>0</v>
      </c>
    </row>
    <row r="3301" spans="1:5">
      <c r="A3301" s="59">
        <v>5</v>
      </c>
      <c r="B3301" s="59">
        <v>61</v>
      </c>
      <c r="C3301" s="59">
        <v>420</v>
      </c>
      <c r="D3301" s="51">
        <v>2</v>
      </c>
      <c r="E3301" s="51">
        <f t="shared" si="51"/>
        <v>0</v>
      </c>
    </row>
    <row r="3302" spans="1:5">
      <c r="A3302" s="59">
        <v>5</v>
      </c>
      <c r="B3302" s="59">
        <v>61</v>
      </c>
      <c r="C3302" s="59">
        <v>520</v>
      </c>
      <c r="D3302" s="51">
        <v>2</v>
      </c>
      <c r="E3302" s="51">
        <f t="shared" si="51"/>
        <v>0</v>
      </c>
    </row>
    <row r="3303" spans="1:5">
      <c r="A3303" s="59">
        <v>5</v>
      </c>
      <c r="B3303" s="59">
        <v>61</v>
      </c>
      <c r="C3303" s="59">
        <v>861</v>
      </c>
      <c r="D3303" s="51">
        <v>2</v>
      </c>
      <c r="E3303" s="51">
        <f t="shared" si="51"/>
        <v>0</v>
      </c>
    </row>
    <row r="3304" spans="1:5">
      <c r="A3304" s="59">
        <v>5</v>
      </c>
      <c r="B3304" s="59">
        <v>62</v>
      </c>
      <c r="C3304" s="59">
        <v>130</v>
      </c>
      <c r="D3304" s="51">
        <v>2</v>
      </c>
      <c r="E3304" s="51">
        <f t="shared" si="51"/>
        <v>1</v>
      </c>
    </row>
    <row r="3305" spans="1:5">
      <c r="A3305" s="59">
        <v>5</v>
      </c>
      <c r="B3305" s="59">
        <v>63</v>
      </c>
      <c r="C3305" s="59">
        <v>130</v>
      </c>
      <c r="D3305" s="51">
        <v>2</v>
      </c>
      <c r="E3305" s="51">
        <f t="shared" si="51"/>
        <v>0</v>
      </c>
    </row>
    <row r="3306" spans="1:5">
      <c r="A3306" s="59">
        <v>5</v>
      </c>
      <c r="B3306" s="59">
        <v>71</v>
      </c>
      <c r="C3306" s="59">
        <v>891</v>
      </c>
      <c r="D3306" s="51">
        <v>2</v>
      </c>
      <c r="E3306" s="51">
        <f t="shared" si="51"/>
        <v>0</v>
      </c>
    </row>
    <row r="3307" spans="1:5">
      <c r="A3307" s="59">
        <v>5</v>
      </c>
      <c r="B3307" s="59">
        <v>81</v>
      </c>
      <c r="C3307" s="59">
        <v>640</v>
      </c>
      <c r="D3307" s="51">
        <v>2</v>
      </c>
      <c r="E3307" s="51">
        <f t="shared" si="51"/>
        <v>0</v>
      </c>
    </row>
    <row r="3308" spans="1:5">
      <c r="A3308" s="59">
        <v>5</v>
      </c>
      <c r="B3308" s="59">
        <v>81</v>
      </c>
      <c r="C3308" s="59">
        <v>940</v>
      </c>
      <c r="D3308" s="51">
        <v>2</v>
      </c>
      <c r="E3308" s="51">
        <f t="shared" si="51"/>
        <v>0</v>
      </c>
    </row>
    <row r="3309" spans="1:5">
      <c r="A3309" s="59">
        <v>5</v>
      </c>
      <c r="B3309" s="59">
        <v>11</v>
      </c>
      <c r="C3309" s="59">
        <v>330</v>
      </c>
      <c r="D3309" s="51">
        <v>1</v>
      </c>
      <c r="E3309" s="51">
        <f t="shared" si="51"/>
        <v>0</v>
      </c>
    </row>
    <row r="3310" spans="1:5">
      <c r="A3310" s="59">
        <v>5</v>
      </c>
      <c r="B3310" s="59">
        <v>12</v>
      </c>
      <c r="C3310" s="59">
        <v>210</v>
      </c>
      <c r="D3310" s="51">
        <v>1</v>
      </c>
      <c r="E3310" s="51">
        <f t="shared" si="51"/>
        <v>0</v>
      </c>
    </row>
    <row r="3311" spans="1:5">
      <c r="A3311" s="59">
        <v>5</v>
      </c>
      <c r="B3311" s="59">
        <v>12</v>
      </c>
      <c r="C3311" s="59">
        <v>550</v>
      </c>
      <c r="D3311" s="51">
        <v>1</v>
      </c>
      <c r="E3311" s="51">
        <f t="shared" si="51"/>
        <v>0</v>
      </c>
    </row>
    <row r="3312" spans="1:5">
      <c r="A3312" s="59">
        <v>5</v>
      </c>
      <c r="B3312" s="59">
        <v>12</v>
      </c>
      <c r="C3312" s="59">
        <v>710</v>
      </c>
      <c r="D3312" s="51">
        <v>1</v>
      </c>
      <c r="E3312" s="51">
        <f t="shared" si="51"/>
        <v>0</v>
      </c>
    </row>
    <row r="3313" spans="1:5">
      <c r="A3313" s="59">
        <v>5</v>
      </c>
      <c r="B3313" s="59">
        <v>13</v>
      </c>
      <c r="C3313" s="59">
        <v>440</v>
      </c>
      <c r="D3313" s="51">
        <v>1</v>
      </c>
      <c r="E3313" s="51">
        <f t="shared" si="51"/>
        <v>0</v>
      </c>
    </row>
    <row r="3314" spans="1:5">
      <c r="A3314" s="59">
        <v>5</v>
      </c>
      <c r="B3314" s="59">
        <v>13</v>
      </c>
      <c r="C3314" s="59">
        <v>861</v>
      </c>
      <c r="D3314" s="51">
        <v>1</v>
      </c>
      <c r="E3314" s="51">
        <f t="shared" si="51"/>
        <v>0</v>
      </c>
    </row>
    <row r="3315" spans="1:5">
      <c r="A3315" s="59">
        <v>5</v>
      </c>
      <c r="B3315" s="59">
        <v>14</v>
      </c>
      <c r="C3315" s="59">
        <v>630</v>
      </c>
      <c r="D3315" s="51">
        <v>1</v>
      </c>
      <c r="E3315" s="51">
        <f t="shared" si="51"/>
        <v>0</v>
      </c>
    </row>
    <row r="3316" spans="1:5">
      <c r="A3316" s="59">
        <v>5</v>
      </c>
      <c r="B3316" s="59">
        <v>14</v>
      </c>
      <c r="C3316" s="59">
        <v>861</v>
      </c>
      <c r="D3316" s="51">
        <v>1</v>
      </c>
      <c r="E3316" s="51">
        <f t="shared" si="51"/>
        <v>0</v>
      </c>
    </row>
    <row r="3317" spans="1:5">
      <c r="A3317" s="59">
        <v>5</v>
      </c>
      <c r="B3317" s="59">
        <v>15</v>
      </c>
      <c r="C3317" s="59">
        <v>540</v>
      </c>
      <c r="D3317" s="51">
        <v>1</v>
      </c>
      <c r="E3317" s="51">
        <f t="shared" si="51"/>
        <v>0</v>
      </c>
    </row>
    <row r="3318" spans="1:5">
      <c r="A3318" s="59">
        <v>5</v>
      </c>
      <c r="B3318" s="59">
        <v>16</v>
      </c>
      <c r="C3318" s="59">
        <v>550</v>
      </c>
      <c r="D3318" s="51">
        <v>1</v>
      </c>
      <c r="E3318" s="51">
        <f t="shared" si="51"/>
        <v>0</v>
      </c>
    </row>
    <row r="3319" spans="1:5">
      <c r="A3319" s="59">
        <v>5</v>
      </c>
      <c r="B3319" s="59">
        <v>16</v>
      </c>
      <c r="C3319" s="59">
        <v>990</v>
      </c>
      <c r="D3319" s="51">
        <v>1</v>
      </c>
      <c r="E3319" s="51">
        <f t="shared" si="51"/>
        <v>0</v>
      </c>
    </row>
    <row r="3320" spans="1:5">
      <c r="A3320" s="59">
        <v>5</v>
      </c>
      <c r="B3320" s="59">
        <v>21</v>
      </c>
      <c r="C3320" s="59">
        <v>150</v>
      </c>
      <c r="D3320" s="51">
        <v>1</v>
      </c>
      <c r="E3320" s="51">
        <f t="shared" si="51"/>
        <v>0</v>
      </c>
    </row>
    <row r="3321" spans="1:5">
      <c r="A3321" s="59">
        <v>5</v>
      </c>
      <c r="B3321" s="59">
        <v>21</v>
      </c>
      <c r="C3321" s="59">
        <v>160</v>
      </c>
      <c r="D3321" s="51">
        <v>1</v>
      </c>
      <c r="E3321" s="51">
        <f t="shared" si="51"/>
        <v>0</v>
      </c>
    </row>
    <row r="3322" spans="1:5">
      <c r="A3322" s="59">
        <v>5</v>
      </c>
      <c r="B3322" s="59">
        <v>21</v>
      </c>
      <c r="C3322" s="59">
        <v>320</v>
      </c>
      <c r="D3322" s="51">
        <v>1</v>
      </c>
      <c r="E3322" s="51">
        <f t="shared" si="51"/>
        <v>0</v>
      </c>
    </row>
    <row r="3323" spans="1:5">
      <c r="A3323" s="59">
        <v>5</v>
      </c>
      <c r="B3323" s="59">
        <v>21</v>
      </c>
      <c r="C3323" s="59">
        <v>730</v>
      </c>
      <c r="D3323" s="51">
        <v>1</v>
      </c>
      <c r="E3323" s="51">
        <f t="shared" si="51"/>
        <v>0</v>
      </c>
    </row>
    <row r="3324" spans="1:5">
      <c r="A3324" s="59">
        <v>5</v>
      </c>
      <c r="B3324" s="59">
        <v>21</v>
      </c>
      <c r="C3324" s="59">
        <v>930</v>
      </c>
      <c r="D3324" s="51">
        <v>1</v>
      </c>
      <c r="E3324" s="51">
        <f t="shared" si="51"/>
        <v>0</v>
      </c>
    </row>
    <row r="3325" spans="1:5">
      <c r="A3325" s="59">
        <v>5</v>
      </c>
      <c r="B3325" s="59">
        <v>22</v>
      </c>
      <c r="C3325" s="59">
        <v>430</v>
      </c>
      <c r="D3325" s="51">
        <v>1</v>
      </c>
      <c r="E3325" s="51">
        <f t="shared" si="51"/>
        <v>0</v>
      </c>
    </row>
    <row r="3326" spans="1:5">
      <c r="A3326" s="59">
        <v>5</v>
      </c>
      <c r="B3326" s="59">
        <v>22</v>
      </c>
      <c r="C3326" s="59">
        <v>891</v>
      </c>
      <c r="D3326" s="51">
        <v>1</v>
      </c>
      <c r="E3326" s="51">
        <f t="shared" si="51"/>
        <v>0</v>
      </c>
    </row>
    <row r="3327" spans="1:5">
      <c r="A3327" s="59">
        <v>5</v>
      </c>
      <c r="B3327" s="59">
        <v>22</v>
      </c>
      <c r="C3327" s="59">
        <v>940</v>
      </c>
      <c r="D3327" s="51">
        <v>1</v>
      </c>
      <c r="E3327" s="51">
        <f t="shared" si="51"/>
        <v>0</v>
      </c>
    </row>
    <row r="3328" spans="1:5">
      <c r="A3328" s="59">
        <v>5</v>
      </c>
      <c r="B3328" s="59">
        <v>23</v>
      </c>
      <c r="C3328" s="59">
        <v>220</v>
      </c>
      <c r="D3328" s="51">
        <v>1</v>
      </c>
      <c r="E3328" s="51">
        <f t="shared" si="51"/>
        <v>0</v>
      </c>
    </row>
    <row r="3329" spans="1:5">
      <c r="A3329" s="59">
        <v>5</v>
      </c>
      <c r="B3329" s="59">
        <v>23</v>
      </c>
      <c r="C3329" s="59">
        <v>240</v>
      </c>
      <c r="D3329" s="51">
        <v>1</v>
      </c>
      <c r="E3329" s="51">
        <f t="shared" si="51"/>
        <v>0</v>
      </c>
    </row>
    <row r="3330" spans="1:5">
      <c r="A3330" s="59">
        <v>5</v>
      </c>
      <c r="B3330" s="59">
        <v>23</v>
      </c>
      <c r="C3330" s="59">
        <v>330</v>
      </c>
      <c r="D3330" s="51">
        <v>1</v>
      </c>
      <c r="E3330" s="51">
        <f t="shared" ref="E3330:E3393" si="52">IF(OR(A3330=6,A3330=7,A3330=14,A3330=15,A3330=16,A3330=17,A3330=18,A3330=19,A3330=20,A3330=21,A3330=22,A3330=23,A3330=25,A3330=26,A3330=27,A3330=28,B3330=41,B3330=44,B3330=62),1,0)</f>
        <v>0</v>
      </c>
    </row>
    <row r="3331" spans="1:5">
      <c r="A3331" s="59">
        <v>5</v>
      </c>
      <c r="B3331" s="59">
        <v>23</v>
      </c>
      <c r="C3331" s="59">
        <v>710</v>
      </c>
      <c r="D3331" s="51">
        <v>1</v>
      </c>
      <c r="E3331" s="51">
        <f t="shared" si="52"/>
        <v>0</v>
      </c>
    </row>
    <row r="3332" spans="1:5">
      <c r="A3332" s="59">
        <v>5</v>
      </c>
      <c r="B3332" s="59">
        <v>23</v>
      </c>
      <c r="C3332" s="59">
        <v>950</v>
      </c>
      <c r="D3332" s="51">
        <v>1</v>
      </c>
      <c r="E3332" s="51">
        <f t="shared" si="52"/>
        <v>0</v>
      </c>
    </row>
    <row r="3333" spans="1:5">
      <c r="A3333" s="59">
        <v>5</v>
      </c>
      <c r="B3333" s="59">
        <v>24</v>
      </c>
      <c r="C3333" s="59">
        <v>530</v>
      </c>
      <c r="D3333" s="51">
        <v>1</v>
      </c>
      <c r="E3333" s="51">
        <f t="shared" si="52"/>
        <v>0</v>
      </c>
    </row>
    <row r="3334" spans="1:5">
      <c r="A3334" s="59">
        <v>5</v>
      </c>
      <c r="B3334" s="59">
        <v>31</v>
      </c>
      <c r="C3334" s="59">
        <v>160</v>
      </c>
      <c r="D3334" s="51">
        <v>1</v>
      </c>
      <c r="E3334" s="51">
        <f t="shared" si="52"/>
        <v>0</v>
      </c>
    </row>
    <row r="3335" spans="1:5">
      <c r="A3335" s="59">
        <v>5</v>
      </c>
      <c r="B3335" s="59">
        <v>31</v>
      </c>
      <c r="C3335" s="59">
        <v>240</v>
      </c>
      <c r="D3335" s="51">
        <v>1</v>
      </c>
      <c r="E3335" s="51">
        <f t="shared" si="52"/>
        <v>0</v>
      </c>
    </row>
    <row r="3336" spans="1:5">
      <c r="A3336" s="59">
        <v>5</v>
      </c>
      <c r="B3336" s="59">
        <v>31</v>
      </c>
      <c r="C3336" s="59">
        <v>820</v>
      </c>
      <c r="D3336" s="51">
        <v>1</v>
      </c>
      <c r="E3336" s="51">
        <f t="shared" si="52"/>
        <v>0</v>
      </c>
    </row>
    <row r="3337" spans="1:5">
      <c r="A3337" s="59">
        <v>5</v>
      </c>
      <c r="B3337" s="59">
        <v>32</v>
      </c>
      <c r="C3337" s="59">
        <v>310</v>
      </c>
      <c r="D3337" s="51">
        <v>1</v>
      </c>
      <c r="E3337" s="51">
        <f t="shared" si="52"/>
        <v>0</v>
      </c>
    </row>
    <row r="3338" spans="1:5">
      <c r="A3338" s="59">
        <v>5</v>
      </c>
      <c r="B3338" s="59">
        <v>32</v>
      </c>
      <c r="C3338" s="59">
        <v>330</v>
      </c>
      <c r="D3338" s="51">
        <v>1</v>
      </c>
      <c r="E3338" s="51">
        <f t="shared" si="52"/>
        <v>0</v>
      </c>
    </row>
    <row r="3339" spans="1:5">
      <c r="A3339" s="59">
        <v>5</v>
      </c>
      <c r="B3339" s="59">
        <v>32</v>
      </c>
      <c r="C3339" s="59">
        <v>540</v>
      </c>
      <c r="D3339" s="51">
        <v>1</v>
      </c>
      <c r="E3339" s="51">
        <f t="shared" si="52"/>
        <v>0</v>
      </c>
    </row>
    <row r="3340" spans="1:5">
      <c r="A3340" s="59">
        <v>5</v>
      </c>
      <c r="B3340" s="59">
        <v>32</v>
      </c>
      <c r="C3340" s="59">
        <v>630</v>
      </c>
      <c r="D3340" s="51">
        <v>1</v>
      </c>
      <c r="E3340" s="51">
        <f t="shared" si="52"/>
        <v>0</v>
      </c>
    </row>
    <row r="3341" spans="1:5">
      <c r="A3341" s="59">
        <v>5</v>
      </c>
      <c r="B3341" s="59">
        <v>33</v>
      </c>
      <c r="C3341" s="59">
        <v>640</v>
      </c>
      <c r="D3341" s="51">
        <v>1</v>
      </c>
      <c r="E3341" s="51">
        <f t="shared" si="52"/>
        <v>0</v>
      </c>
    </row>
    <row r="3342" spans="1:5">
      <c r="A3342" s="59">
        <v>5</v>
      </c>
      <c r="B3342" s="59">
        <v>41</v>
      </c>
      <c r="C3342" s="59">
        <v>120</v>
      </c>
      <c r="D3342" s="51">
        <v>1</v>
      </c>
      <c r="E3342" s="51">
        <f t="shared" si="52"/>
        <v>1</v>
      </c>
    </row>
    <row r="3343" spans="1:5">
      <c r="A3343" s="59">
        <v>5</v>
      </c>
      <c r="B3343" s="59">
        <v>41</v>
      </c>
      <c r="C3343" s="59">
        <v>320</v>
      </c>
      <c r="D3343" s="51">
        <v>1</v>
      </c>
      <c r="E3343" s="51">
        <f t="shared" si="52"/>
        <v>1</v>
      </c>
    </row>
    <row r="3344" spans="1:5">
      <c r="A3344" s="59">
        <v>5</v>
      </c>
      <c r="B3344" s="59">
        <v>41</v>
      </c>
      <c r="C3344" s="59">
        <v>861</v>
      </c>
      <c r="D3344" s="51">
        <v>1</v>
      </c>
      <c r="E3344" s="51">
        <f t="shared" si="52"/>
        <v>1</v>
      </c>
    </row>
    <row r="3345" spans="1:5">
      <c r="A3345" s="59">
        <v>5</v>
      </c>
      <c r="B3345" s="59">
        <v>41</v>
      </c>
      <c r="C3345" s="59">
        <v>892</v>
      </c>
      <c r="D3345" s="51">
        <v>1</v>
      </c>
      <c r="E3345" s="51">
        <f t="shared" si="52"/>
        <v>1</v>
      </c>
    </row>
    <row r="3346" spans="1:5">
      <c r="A3346" s="59">
        <v>5</v>
      </c>
      <c r="B3346" s="59">
        <v>42</v>
      </c>
      <c r="C3346" s="59">
        <v>240</v>
      </c>
      <c r="D3346" s="51">
        <v>1</v>
      </c>
      <c r="E3346" s="51">
        <f t="shared" si="52"/>
        <v>0</v>
      </c>
    </row>
    <row r="3347" spans="1:5">
      <c r="A3347" s="59">
        <v>5</v>
      </c>
      <c r="B3347" s="59">
        <v>42</v>
      </c>
      <c r="C3347" s="59">
        <v>320</v>
      </c>
      <c r="D3347" s="51">
        <v>1</v>
      </c>
      <c r="E3347" s="51">
        <f t="shared" si="52"/>
        <v>0</v>
      </c>
    </row>
    <row r="3348" spans="1:5">
      <c r="A3348" s="59">
        <v>5</v>
      </c>
      <c r="B3348" s="59">
        <v>42</v>
      </c>
      <c r="C3348" s="59">
        <v>430</v>
      </c>
      <c r="D3348" s="51">
        <v>1</v>
      </c>
      <c r="E3348" s="51">
        <f t="shared" si="52"/>
        <v>0</v>
      </c>
    </row>
    <row r="3349" spans="1:5">
      <c r="A3349" s="59">
        <v>5</v>
      </c>
      <c r="B3349" s="59">
        <v>42</v>
      </c>
      <c r="C3349" s="59">
        <v>831</v>
      </c>
      <c r="D3349" s="51">
        <v>1</v>
      </c>
      <c r="E3349" s="51">
        <f t="shared" si="52"/>
        <v>0</v>
      </c>
    </row>
    <row r="3350" spans="1:5">
      <c r="A3350" s="59">
        <v>5</v>
      </c>
      <c r="B3350" s="59">
        <v>43</v>
      </c>
      <c r="C3350" s="59">
        <v>810</v>
      </c>
      <c r="D3350" s="51">
        <v>1</v>
      </c>
      <c r="E3350" s="51">
        <f t="shared" si="52"/>
        <v>0</v>
      </c>
    </row>
    <row r="3351" spans="1:5">
      <c r="A3351" s="59">
        <v>5</v>
      </c>
      <c r="B3351" s="59">
        <v>43</v>
      </c>
      <c r="C3351" s="59">
        <v>830</v>
      </c>
      <c r="D3351" s="51">
        <v>1</v>
      </c>
      <c r="E3351" s="51">
        <f t="shared" si="52"/>
        <v>0</v>
      </c>
    </row>
    <row r="3352" spans="1:5">
      <c r="A3352" s="59">
        <v>5</v>
      </c>
      <c r="B3352" s="59">
        <v>43</v>
      </c>
      <c r="C3352" s="59">
        <v>896</v>
      </c>
      <c r="D3352" s="51">
        <v>1</v>
      </c>
      <c r="E3352" s="51">
        <f t="shared" si="52"/>
        <v>0</v>
      </c>
    </row>
    <row r="3353" spans="1:5">
      <c r="A3353" s="59">
        <v>5</v>
      </c>
      <c r="B3353" s="59">
        <v>44</v>
      </c>
      <c r="C3353" s="59">
        <v>130</v>
      </c>
      <c r="D3353" s="51">
        <v>1</v>
      </c>
      <c r="E3353" s="51">
        <f t="shared" si="52"/>
        <v>1</v>
      </c>
    </row>
    <row r="3354" spans="1:5">
      <c r="A3354" s="59">
        <v>5</v>
      </c>
      <c r="B3354" s="59">
        <v>44</v>
      </c>
      <c r="C3354" s="59">
        <v>890</v>
      </c>
      <c r="D3354" s="51">
        <v>1</v>
      </c>
      <c r="E3354" s="51">
        <f t="shared" si="52"/>
        <v>1</v>
      </c>
    </row>
    <row r="3355" spans="1:5">
      <c r="A3355" s="59">
        <v>5</v>
      </c>
      <c r="B3355" s="59">
        <v>51</v>
      </c>
      <c r="C3355" s="59">
        <v>160</v>
      </c>
      <c r="D3355" s="51">
        <v>1</v>
      </c>
      <c r="E3355" s="51">
        <f t="shared" si="52"/>
        <v>0</v>
      </c>
    </row>
    <row r="3356" spans="1:5">
      <c r="A3356" s="59">
        <v>5</v>
      </c>
      <c r="B3356" s="59">
        <v>51</v>
      </c>
      <c r="C3356" s="59">
        <v>410</v>
      </c>
      <c r="D3356" s="51">
        <v>1</v>
      </c>
      <c r="E3356" s="51">
        <f t="shared" si="52"/>
        <v>0</v>
      </c>
    </row>
    <row r="3357" spans="1:5">
      <c r="A3357" s="59">
        <v>5</v>
      </c>
      <c r="B3357" s="59">
        <v>51</v>
      </c>
      <c r="C3357" s="59">
        <v>440</v>
      </c>
      <c r="D3357" s="51">
        <v>1</v>
      </c>
      <c r="E3357" s="51">
        <f t="shared" si="52"/>
        <v>0</v>
      </c>
    </row>
    <row r="3358" spans="1:5">
      <c r="A3358" s="59">
        <v>5</v>
      </c>
      <c r="B3358" s="59">
        <v>51</v>
      </c>
      <c r="C3358" s="59">
        <v>990</v>
      </c>
      <c r="D3358" s="51">
        <v>1</v>
      </c>
      <c r="E3358" s="51">
        <f t="shared" si="52"/>
        <v>0</v>
      </c>
    </row>
    <row r="3359" spans="1:5">
      <c r="A3359" s="59">
        <v>5</v>
      </c>
      <c r="B3359" s="59">
        <v>61</v>
      </c>
      <c r="C3359" s="59">
        <v>550</v>
      </c>
      <c r="D3359" s="51">
        <v>1</v>
      </c>
      <c r="E3359" s="51">
        <f t="shared" si="52"/>
        <v>0</v>
      </c>
    </row>
    <row r="3360" spans="1:5">
      <c r="A3360" s="59">
        <v>5</v>
      </c>
      <c r="B3360" s="59">
        <v>61</v>
      </c>
      <c r="C3360" s="59">
        <v>620</v>
      </c>
      <c r="D3360" s="51">
        <v>1</v>
      </c>
      <c r="E3360" s="51">
        <f t="shared" si="52"/>
        <v>0</v>
      </c>
    </row>
    <row r="3361" spans="1:5">
      <c r="A3361" s="59">
        <v>5</v>
      </c>
      <c r="B3361" s="59">
        <v>62</v>
      </c>
      <c r="C3361" s="59">
        <v>840</v>
      </c>
      <c r="D3361" s="51">
        <v>1</v>
      </c>
      <c r="E3361" s="51">
        <f t="shared" si="52"/>
        <v>1</v>
      </c>
    </row>
    <row r="3362" spans="1:5">
      <c r="A3362" s="59">
        <v>5</v>
      </c>
      <c r="B3362" s="59">
        <v>62</v>
      </c>
      <c r="C3362" s="59">
        <v>862</v>
      </c>
      <c r="D3362" s="51">
        <v>1</v>
      </c>
      <c r="E3362" s="51">
        <f t="shared" si="52"/>
        <v>1</v>
      </c>
    </row>
    <row r="3363" spans="1:5">
      <c r="A3363" s="59">
        <v>5</v>
      </c>
      <c r="B3363" s="59">
        <v>62</v>
      </c>
      <c r="C3363" s="59">
        <v>895</v>
      </c>
      <c r="D3363" s="51">
        <v>1</v>
      </c>
      <c r="E3363" s="51">
        <f t="shared" si="52"/>
        <v>1</v>
      </c>
    </row>
    <row r="3364" spans="1:5">
      <c r="A3364" s="59">
        <v>5</v>
      </c>
      <c r="B3364" s="59">
        <v>63</v>
      </c>
      <c r="C3364" s="59">
        <v>820</v>
      </c>
      <c r="D3364" s="51">
        <v>1</v>
      </c>
      <c r="E3364" s="51">
        <f t="shared" si="52"/>
        <v>0</v>
      </c>
    </row>
    <row r="3365" spans="1:5">
      <c r="A3365" s="59">
        <v>5</v>
      </c>
      <c r="B3365" s="59">
        <v>63</v>
      </c>
      <c r="C3365" s="59">
        <v>860</v>
      </c>
      <c r="D3365" s="51">
        <v>1</v>
      </c>
      <c r="E3365" s="51">
        <f t="shared" si="52"/>
        <v>0</v>
      </c>
    </row>
    <row r="3366" spans="1:5">
      <c r="A3366" s="59">
        <v>5</v>
      </c>
      <c r="B3366" s="59">
        <v>63</v>
      </c>
      <c r="C3366" s="59">
        <v>870</v>
      </c>
      <c r="D3366" s="51">
        <v>1</v>
      </c>
      <c r="E3366" s="51">
        <f t="shared" si="52"/>
        <v>0</v>
      </c>
    </row>
    <row r="3367" spans="1:5">
      <c r="A3367" s="59">
        <v>5</v>
      </c>
      <c r="B3367" s="59">
        <v>63</v>
      </c>
      <c r="C3367" s="59">
        <v>881</v>
      </c>
      <c r="D3367" s="51">
        <v>1</v>
      </c>
      <c r="E3367" s="51">
        <f t="shared" si="52"/>
        <v>0</v>
      </c>
    </row>
    <row r="3368" spans="1:5">
      <c r="A3368" s="59">
        <v>5</v>
      </c>
      <c r="B3368" s="59">
        <v>71</v>
      </c>
      <c r="C3368" s="59">
        <v>140</v>
      </c>
      <c r="D3368" s="51">
        <v>1</v>
      </c>
      <c r="E3368" s="51">
        <f t="shared" si="52"/>
        <v>0</v>
      </c>
    </row>
    <row r="3369" spans="1:5">
      <c r="A3369" s="59">
        <v>5</v>
      </c>
      <c r="B3369" s="59">
        <v>71</v>
      </c>
      <c r="C3369" s="59">
        <v>862</v>
      </c>
      <c r="D3369" s="51">
        <v>1</v>
      </c>
      <c r="E3369" s="51">
        <f t="shared" si="52"/>
        <v>0</v>
      </c>
    </row>
    <row r="3370" spans="1:5">
      <c r="A3370" s="59">
        <v>5</v>
      </c>
      <c r="B3370" s="59">
        <v>81</v>
      </c>
      <c r="C3370" s="59">
        <v>850</v>
      </c>
      <c r="D3370" s="51">
        <v>1</v>
      </c>
      <c r="E3370" s="51">
        <f t="shared" si="52"/>
        <v>0</v>
      </c>
    </row>
    <row r="3371" spans="1:5">
      <c r="A3371" s="59">
        <v>5</v>
      </c>
      <c r="B3371" s="59">
        <v>81</v>
      </c>
      <c r="C3371" s="59">
        <v>861</v>
      </c>
      <c r="D3371" s="51">
        <v>1</v>
      </c>
      <c r="E3371" s="51">
        <f t="shared" si="52"/>
        <v>0</v>
      </c>
    </row>
    <row r="3372" spans="1:5">
      <c r="A3372" s="59">
        <v>6</v>
      </c>
      <c r="B3372" s="59">
        <v>22</v>
      </c>
      <c r="C3372" s="59">
        <v>810</v>
      </c>
      <c r="D3372" s="51">
        <v>107</v>
      </c>
      <c r="E3372" s="51">
        <f t="shared" si="52"/>
        <v>1</v>
      </c>
    </row>
    <row r="3373" spans="1:5">
      <c r="A3373" s="59">
        <v>6</v>
      </c>
      <c r="B3373" s="59">
        <v>64</v>
      </c>
      <c r="C3373" s="59">
        <v>810</v>
      </c>
      <c r="D3373" s="51">
        <v>77</v>
      </c>
      <c r="E3373" s="51">
        <f t="shared" si="52"/>
        <v>1</v>
      </c>
    </row>
    <row r="3374" spans="1:5">
      <c r="A3374" s="59">
        <v>6</v>
      </c>
      <c r="B3374" s="59">
        <v>22</v>
      </c>
      <c r="C3374" s="59">
        <v>210</v>
      </c>
      <c r="D3374" s="51">
        <v>15</v>
      </c>
      <c r="E3374" s="51">
        <f t="shared" si="52"/>
        <v>1</v>
      </c>
    </row>
    <row r="3375" spans="1:5">
      <c r="A3375" s="59">
        <v>6</v>
      </c>
      <c r="B3375" s="59">
        <v>22</v>
      </c>
      <c r="C3375" s="59">
        <v>230</v>
      </c>
      <c r="D3375" s="51">
        <v>15</v>
      </c>
      <c r="E3375" s="51">
        <f t="shared" si="52"/>
        <v>1</v>
      </c>
    </row>
    <row r="3376" spans="1:5">
      <c r="A3376" s="59">
        <v>6</v>
      </c>
      <c r="B3376" s="59">
        <v>43</v>
      </c>
      <c r="C3376" s="59">
        <v>810</v>
      </c>
      <c r="D3376" s="51">
        <v>12</v>
      </c>
      <c r="E3376" s="51">
        <f t="shared" si="52"/>
        <v>1</v>
      </c>
    </row>
    <row r="3377" spans="1:5">
      <c r="A3377" s="59">
        <v>6</v>
      </c>
      <c r="B3377" s="59">
        <v>62</v>
      </c>
      <c r="C3377" s="59">
        <v>810</v>
      </c>
      <c r="D3377" s="51">
        <v>11</v>
      </c>
      <c r="E3377" s="51">
        <f t="shared" si="52"/>
        <v>1</v>
      </c>
    </row>
    <row r="3378" spans="1:5">
      <c r="A3378" s="59">
        <v>6</v>
      </c>
      <c r="B3378" s="59">
        <v>22</v>
      </c>
      <c r="C3378" s="59">
        <v>930</v>
      </c>
      <c r="D3378" s="51">
        <v>9</v>
      </c>
      <c r="E3378" s="51">
        <f t="shared" si="52"/>
        <v>1</v>
      </c>
    </row>
    <row r="3379" spans="1:5">
      <c r="A3379" s="59">
        <v>6</v>
      </c>
      <c r="B3379" s="59">
        <v>62</v>
      </c>
      <c r="C3379" s="59">
        <v>430</v>
      </c>
      <c r="D3379" s="51">
        <v>6</v>
      </c>
      <c r="E3379" s="51">
        <f t="shared" si="52"/>
        <v>1</v>
      </c>
    </row>
    <row r="3380" spans="1:5">
      <c r="A3380" s="59">
        <v>6</v>
      </c>
      <c r="B3380" s="59">
        <v>14</v>
      </c>
      <c r="C3380" s="59">
        <v>810</v>
      </c>
      <c r="D3380" s="51">
        <v>5</v>
      </c>
      <c r="E3380" s="51">
        <f t="shared" si="52"/>
        <v>1</v>
      </c>
    </row>
    <row r="3381" spans="1:5">
      <c r="A3381" s="59">
        <v>6</v>
      </c>
      <c r="B3381" s="59">
        <v>15</v>
      </c>
      <c r="C3381" s="59">
        <v>140</v>
      </c>
      <c r="D3381" s="51">
        <v>5</v>
      </c>
      <c r="E3381" s="51">
        <f t="shared" si="52"/>
        <v>1</v>
      </c>
    </row>
    <row r="3382" spans="1:5">
      <c r="A3382" s="59">
        <v>6</v>
      </c>
      <c r="B3382" s="59">
        <v>64</v>
      </c>
      <c r="C3382" s="59">
        <v>861</v>
      </c>
      <c r="D3382" s="51">
        <v>4</v>
      </c>
      <c r="E3382" s="51">
        <f t="shared" si="52"/>
        <v>1</v>
      </c>
    </row>
    <row r="3383" spans="1:5">
      <c r="A3383" s="59">
        <v>6</v>
      </c>
      <c r="B3383" s="59">
        <v>22</v>
      </c>
      <c r="C3383" s="59">
        <v>240</v>
      </c>
      <c r="D3383" s="51">
        <v>3</v>
      </c>
      <c r="E3383" s="51">
        <f t="shared" si="52"/>
        <v>1</v>
      </c>
    </row>
    <row r="3384" spans="1:5">
      <c r="A3384" s="59">
        <v>6</v>
      </c>
      <c r="B3384" s="59">
        <v>64</v>
      </c>
      <c r="C3384" s="59">
        <v>230</v>
      </c>
      <c r="D3384" s="51">
        <v>3</v>
      </c>
      <c r="E3384" s="51">
        <f t="shared" si="52"/>
        <v>1</v>
      </c>
    </row>
    <row r="3385" spans="1:5">
      <c r="A3385" s="59">
        <v>6</v>
      </c>
      <c r="B3385" s="59">
        <v>14</v>
      </c>
      <c r="C3385" s="59">
        <v>210</v>
      </c>
      <c r="D3385" s="51">
        <v>2</v>
      </c>
      <c r="E3385" s="51">
        <f t="shared" si="52"/>
        <v>1</v>
      </c>
    </row>
    <row r="3386" spans="1:5">
      <c r="A3386" s="59">
        <v>6</v>
      </c>
      <c r="B3386" s="59">
        <v>16</v>
      </c>
      <c r="C3386" s="59">
        <v>810</v>
      </c>
      <c r="D3386" s="51">
        <v>2</v>
      </c>
      <c r="E3386" s="51">
        <f t="shared" si="52"/>
        <v>1</v>
      </c>
    </row>
    <row r="3387" spans="1:5">
      <c r="A3387" s="59">
        <v>6</v>
      </c>
      <c r="B3387" s="59">
        <v>43</v>
      </c>
      <c r="C3387" s="59">
        <v>230</v>
      </c>
      <c r="D3387" s="51">
        <v>2</v>
      </c>
      <c r="E3387" s="51">
        <f t="shared" si="52"/>
        <v>1</v>
      </c>
    </row>
    <row r="3388" spans="1:5">
      <c r="A3388" s="59">
        <v>6</v>
      </c>
      <c r="B3388" s="59">
        <v>64</v>
      </c>
      <c r="C3388" s="59">
        <v>910</v>
      </c>
      <c r="D3388" s="51">
        <v>2</v>
      </c>
      <c r="E3388" s="51">
        <f t="shared" si="52"/>
        <v>1</v>
      </c>
    </row>
    <row r="3389" spans="1:5">
      <c r="A3389" s="59">
        <v>6</v>
      </c>
      <c r="B3389" s="59">
        <v>71</v>
      </c>
      <c r="C3389" s="59">
        <v>810</v>
      </c>
      <c r="D3389" s="51">
        <v>2</v>
      </c>
      <c r="E3389" s="51">
        <f t="shared" si="52"/>
        <v>1</v>
      </c>
    </row>
    <row r="3390" spans="1:5">
      <c r="A3390" s="59">
        <v>6</v>
      </c>
      <c r="B3390" s="59">
        <v>71</v>
      </c>
      <c r="C3390" s="59">
        <v>920</v>
      </c>
      <c r="D3390" s="51">
        <v>2</v>
      </c>
      <c r="E3390" s="51">
        <f t="shared" si="52"/>
        <v>1</v>
      </c>
    </row>
    <row r="3391" spans="1:5">
      <c r="A3391" s="59">
        <v>6</v>
      </c>
      <c r="B3391" s="59">
        <v>81</v>
      </c>
      <c r="C3391" s="59">
        <v>240</v>
      </c>
      <c r="D3391" s="51">
        <v>2</v>
      </c>
      <c r="E3391" s="51">
        <f t="shared" si="52"/>
        <v>1</v>
      </c>
    </row>
    <row r="3392" spans="1:5">
      <c r="A3392" s="59">
        <v>6</v>
      </c>
      <c r="B3392" s="59">
        <v>81</v>
      </c>
      <c r="C3392" s="59">
        <v>810</v>
      </c>
      <c r="D3392" s="51">
        <v>2</v>
      </c>
      <c r="E3392" s="51">
        <f t="shared" si="52"/>
        <v>1</v>
      </c>
    </row>
    <row r="3393" spans="1:5">
      <c r="A3393" s="59">
        <v>6</v>
      </c>
      <c r="B3393" s="59">
        <v>13</v>
      </c>
      <c r="C3393" s="59">
        <v>150</v>
      </c>
      <c r="D3393" s="51">
        <v>1</v>
      </c>
      <c r="E3393" s="51">
        <f t="shared" si="52"/>
        <v>1</v>
      </c>
    </row>
    <row r="3394" spans="1:5">
      <c r="A3394" s="59">
        <v>6</v>
      </c>
      <c r="B3394" s="59">
        <v>14</v>
      </c>
      <c r="C3394" s="59">
        <v>150</v>
      </c>
      <c r="D3394" s="51">
        <v>1</v>
      </c>
      <c r="E3394" s="51">
        <f t="shared" ref="E3394:E3457" si="53">IF(OR(A3394=6,A3394=7,A3394=14,A3394=15,A3394=16,A3394=17,A3394=18,A3394=19,A3394=20,A3394=21,A3394=22,A3394=23,A3394=25,A3394=26,A3394=27,A3394=28,B3394=41,B3394=44,B3394=62),1,0)</f>
        <v>1</v>
      </c>
    </row>
    <row r="3395" spans="1:5">
      <c r="A3395" s="59">
        <v>6</v>
      </c>
      <c r="B3395" s="59">
        <v>15</v>
      </c>
      <c r="C3395" s="59">
        <v>160</v>
      </c>
      <c r="D3395" s="51">
        <v>1</v>
      </c>
      <c r="E3395" s="51">
        <f t="shared" si="53"/>
        <v>1</v>
      </c>
    </row>
    <row r="3396" spans="1:5">
      <c r="A3396" s="59">
        <v>6</v>
      </c>
      <c r="B3396" s="59">
        <v>15</v>
      </c>
      <c r="C3396" s="59">
        <v>810</v>
      </c>
      <c r="D3396" s="51">
        <v>1</v>
      </c>
      <c r="E3396" s="51">
        <f t="shared" si="53"/>
        <v>1</v>
      </c>
    </row>
    <row r="3397" spans="1:5">
      <c r="A3397" s="59">
        <v>6</v>
      </c>
      <c r="B3397" s="59">
        <v>16</v>
      </c>
      <c r="C3397" s="59">
        <v>320</v>
      </c>
      <c r="D3397" s="51">
        <v>1</v>
      </c>
      <c r="E3397" s="51">
        <f t="shared" si="53"/>
        <v>1</v>
      </c>
    </row>
    <row r="3398" spans="1:5">
      <c r="A3398" s="59">
        <v>6</v>
      </c>
      <c r="B3398" s="59">
        <v>41</v>
      </c>
      <c r="C3398" s="59">
        <v>510</v>
      </c>
      <c r="D3398" s="51">
        <v>1</v>
      </c>
      <c r="E3398" s="51">
        <f t="shared" si="53"/>
        <v>1</v>
      </c>
    </row>
    <row r="3399" spans="1:5">
      <c r="A3399" s="59">
        <v>6</v>
      </c>
      <c r="B3399" s="59">
        <v>41</v>
      </c>
      <c r="C3399" s="59">
        <v>910</v>
      </c>
      <c r="D3399" s="51">
        <v>1</v>
      </c>
      <c r="E3399" s="51">
        <f t="shared" si="53"/>
        <v>1</v>
      </c>
    </row>
    <row r="3400" spans="1:5">
      <c r="A3400" s="59">
        <v>6</v>
      </c>
      <c r="B3400" s="59">
        <v>43</v>
      </c>
      <c r="C3400" s="59">
        <v>530</v>
      </c>
      <c r="D3400" s="51">
        <v>1</v>
      </c>
      <c r="E3400" s="51">
        <f t="shared" si="53"/>
        <v>1</v>
      </c>
    </row>
    <row r="3401" spans="1:5">
      <c r="A3401" s="59">
        <v>6</v>
      </c>
      <c r="B3401" s="59">
        <v>43</v>
      </c>
      <c r="C3401" s="59">
        <v>720</v>
      </c>
      <c r="D3401" s="51">
        <v>1</v>
      </c>
      <c r="E3401" s="51">
        <f t="shared" si="53"/>
        <v>1</v>
      </c>
    </row>
    <row r="3402" spans="1:5">
      <c r="A3402" s="59">
        <v>6</v>
      </c>
      <c r="B3402" s="59">
        <v>44</v>
      </c>
      <c r="C3402" s="59">
        <v>810</v>
      </c>
      <c r="D3402" s="51">
        <v>1</v>
      </c>
      <c r="E3402" s="51">
        <f t="shared" si="53"/>
        <v>1</v>
      </c>
    </row>
    <row r="3403" spans="1:5">
      <c r="A3403" s="59">
        <v>6</v>
      </c>
      <c r="B3403" s="59">
        <v>62</v>
      </c>
      <c r="C3403" s="59">
        <v>510</v>
      </c>
      <c r="D3403" s="51">
        <v>1</v>
      </c>
      <c r="E3403" s="51">
        <f t="shared" si="53"/>
        <v>1</v>
      </c>
    </row>
    <row r="3404" spans="1:5">
      <c r="A3404" s="59">
        <v>6</v>
      </c>
      <c r="B3404" s="59">
        <v>62</v>
      </c>
      <c r="C3404" s="59">
        <v>530</v>
      </c>
      <c r="D3404" s="51">
        <v>1</v>
      </c>
      <c r="E3404" s="51">
        <f t="shared" si="53"/>
        <v>1</v>
      </c>
    </row>
    <row r="3405" spans="1:5">
      <c r="A3405" s="59">
        <v>6</v>
      </c>
      <c r="B3405" s="59">
        <v>62</v>
      </c>
      <c r="C3405" s="59">
        <v>610</v>
      </c>
      <c r="D3405" s="51">
        <v>1</v>
      </c>
      <c r="E3405" s="51">
        <f t="shared" si="53"/>
        <v>1</v>
      </c>
    </row>
    <row r="3406" spans="1:5">
      <c r="A3406" s="59">
        <v>6</v>
      </c>
      <c r="B3406" s="59">
        <v>62</v>
      </c>
      <c r="C3406" s="59">
        <v>710</v>
      </c>
      <c r="D3406" s="51">
        <v>1</v>
      </c>
      <c r="E3406" s="51">
        <f t="shared" si="53"/>
        <v>1</v>
      </c>
    </row>
    <row r="3407" spans="1:5">
      <c r="A3407" s="59">
        <v>6</v>
      </c>
      <c r="B3407" s="59">
        <v>62</v>
      </c>
      <c r="C3407" s="59">
        <v>750</v>
      </c>
      <c r="D3407" s="51">
        <v>1</v>
      </c>
      <c r="E3407" s="51">
        <f t="shared" si="53"/>
        <v>1</v>
      </c>
    </row>
    <row r="3408" spans="1:5">
      <c r="A3408" s="59">
        <v>6</v>
      </c>
      <c r="B3408" s="59">
        <v>63</v>
      </c>
      <c r="C3408" s="59">
        <v>620</v>
      </c>
      <c r="D3408" s="51">
        <v>1</v>
      </c>
      <c r="E3408" s="51">
        <f t="shared" si="53"/>
        <v>1</v>
      </c>
    </row>
    <row r="3409" spans="1:5">
      <c r="A3409" s="59">
        <v>6</v>
      </c>
      <c r="B3409" s="59">
        <v>63</v>
      </c>
      <c r="C3409" s="59">
        <v>720</v>
      </c>
      <c r="D3409" s="51">
        <v>1</v>
      </c>
      <c r="E3409" s="51">
        <f t="shared" si="53"/>
        <v>1</v>
      </c>
    </row>
    <row r="3410" spans="1:5">
      <c r="A3410" s="59">
        <v>6</v>
      </c>
      <c r="B3410" s="59">
        <v>63</v>
      </c>
      <c r="C3410" s="59">
        <v>910</v>
      </c>
      <c r="D3410" s="51">
        <v>1</v>
      </c>
      <c r="E3410" s="51">
        <f t="shared" si="53"/>
        <v>1</v>
      </c>
    </row>
    <row r="3411" spans="1:5">
      <c r="A3411" s="59">
        <v>6</v>
      </c>
      <c r="B3411" s="59">
        <v>63</v>
      </c>
      <c r="C3411" s="59">
        <v>920</v>
      </c>
      <c r="D3411" s="51">
        <v>1</v>
      </c>
      <c r="E3411" s="51">
        <f t="shared" si="53"/>
        <v>1</v>
      </c>
    </row>
    <row r="3412" spans="1:5">
      <c r="A3412" s="59">
        <v>6</v>
      </c>
      <c r="B3412" s="59">
        <v>64</v>
      </c>
      <c r="C3412" s="59">
        <v>210</v>
      </c>
      <c r="D3412" s="51">
        <v>1</v>
      </c>
      <c r="E3412" s="51">
        <f t="shared" si="53"/>
        <v>1</v>
      </c>
    </row>
    <row r="3413" spans="1:5">
      <c r="A3413" s="59">
        <v>6</v>
      </c>
      <c r="B3413" s="59">
        <v>64</v>
      </c>
      <c r="C3413" s="59">
        <v>610</v>
      </c>
      <c r="D3413" s="51">
        <v>1</v>
      </c>
      <c r="E3413" s="51">
        <f t="shared" si="53"/>
        <v>1</v>
      </c>
    </row>
    <row r="3414" spans="1:5">
      <c r="A3414" s="59">
        <v>6</v>
      </c>
      <c r="B3414" s="59">
        <v>64</v>
      </c>
      <c r="C3414" s="59">
        <v>620</v>
      </c>
      <c r="D3414" s="51">
        <v>1</v>
      </c>
      <c r="E3414" s="51">
        <f t="shared" si="53"/>
        <v>1</v>
      </c>
    </row>
    <row r="3415" spans="1:5">
      <c r="A3415" s="59">
        <v>6</v>
      </c>
      <c r="B3415" s="59">
        <v>64</v>
      </c>
      <c r="C3415" s="59">
        <v>720</v>
      </c>
      <c r="D3415" s="51">
        <v>1</v>
      </c>
      <c r="E3415" s="51">
        <f t="shared" si="53"/>
        <v>1</v>
      </c>
    </row>
    <row r="3416" spans="1:5">
      <c r="A3416" s="59">
        <v>6</v>
      </c>
      <c r="B3416" s="59">
        <v>64</v>
      </c>
      <c r="C3416" s="59">
        <v>920</v>
      </c>
      <c r="D3416" s="51">
        <v>1</v>
      </c>
      <c r="E3416" s="51">
        <f t="shared" si="53"/>
        <v>1</v>
      </c>
    </row>
    <row r="3417" spans="1:5">
      <c r="A3417" s="59">
        <v>6</v>
      </c>
      <c r="B3417" s="59">
        <v>64</v>
      </c>
      <c r="C3417" s="59">
        <v>990</v>
      </c>
      <c r="D3417" s="51">
        <v>1</v>
      </c>
      <c r="E3417" s="51">
        <f t="shared" si="53"/>
        <v>1</v>
      </c>
    </row>
    <row r="3418" spans="1:5">
      <c r="A3418" s="59">
        <v>6</v>
      </c>
      <c r="B3418" s="59">
        <v>71</v>
      </c>
      <c r="C3418" s="59">
        <v>530</v>
      </c>
      <c r="D3418" s="51">
        <v>1</v>
      </c>
      <c r="E3418" s="51">
        <f t="shared" si="53"/>
        <v>1</v>
      </c>
    </row>
    <row r="3419" spans="1:5">
      <c r="A3419" s="59">
        <v>6</v>
      </c>
      <c r="B3419" s="59">
        <v>71</v>
      </c>
      <c r="C3419" s="59">
        <v>910</v>
      </c>
      <c r="D3419" s="51">
        <v>1</v>
      </c>
      <c r="E3419" s="51">
        <f t="shared" si="53"/>
        <v>1</v>
      </c>
    </row>
    <row r="3420" spans="1:5">
      <c r="A3420" s="59">
        <v>6</v>
      </c>
      <c r="B3420" s="59">
        <v>81</v>
      </c>
      <c r="C3420" s="59">
        <v>510</v>
      </c>
      <c r="D3420" s="51">
        <v>1</v>
      </c>
      <c r="E3420" s="51">
        <f t="shared" si="53"/>
        <v>1</v>
      </c>
    </row>
    <row r="3421" spans="1:5">
      <c r="A3421" s="59">
        <v>7</v>
      </c>
      <c r="B3421" s="59">
        <v>63</v>
      </c>
      <c r="C3421" s="59">
        <v>830</v>
      </c>
      <c r="D3421" s="51">
        <v>1447</v>
      </c>
      <c r="E3421" s="51">
        <f t="shared" si="53"/>
        <v>1</v>
      </c>
    </row>
    <row r="3422" spans="1:5">
      <c r="A3422" s="59">
        <v>7</v>
      </c>
      <c r="B3422" s="59">
        <v>64</v>
      </c>
      <c r="C3422" s="59">
        <v>830</v>
      </c>
      <c r="D3422" s="51">
        <v>1089</v>
      </c>
      <c r="E3422" s="51">
        <f t="shared" si="53"/>
        <v>1</v>
      </c>
    </row>
    <row r="3423" spans="1:5">
      <c r="A3423" s="59">
        <v>7</v>
      </c>
      <c r="B3423" s="59">
        <v>63</v>
      </c>
      <c r="C3423" s="59">
        <v>610</v>
      </c>
      <c r="D3423" s="51">
        <v>887</v>
      </c>
      <c r="E3423" s="51">
        <f t="shared" si="53"/>
        <v>1</v>
      </c>
    </row>
    <row r="3424" spans="1:5">
      <c r="A3424" s="59">
        <v>7</v>
      </c>
      <c r="B3424" s="59">
        <v>64</v>
      </c>
      <c r="C3424" s="59">
        <v>620</v>
      </c>
      <c r="D3424" s="51">
        <v>806</v>
      </c>
      <c r="E3424" s="51">
        <f t="shared" si="53"/>
        <v>1</v>
      </c>
    </row>
    <row r="3425" spans="1:5">
      <c r="A3425" s="59">
        <v>7</v>
      </c>
      <c r="B3425" s="59">
        <v>64</v>
      </c>
      <c r="C3425" s="59">
        <v>610</v>
      </c>
      <c r="D3425" s="51">
        <v>770</v>
      </c>
      <c r="E3425" s="51">
        <f t="shared" si="53"/>
        <v>1</v>
      </c>
    </row>
    <row r="3426" spans="1:5">
      <c r="A3426" s="59">
        <v>7</v>
      </c>
      <c r="B3426" s="59">
        <v>63</v>
      </c>
      <c r="C3426" s="59">
        <v>620</v>
      </c>
      <c r="D3426" s="51">
        <v>573</v>
      </c>
      <c r="E3426" s="51">
        <f t="shared" si="53"/>
        <v>1</v>
      </c>
    </row>
    <row r="3427" spans="1:5">
      <c r="A3427" s="59">
        <v>7</v>
      </c>
      <c r="B3427" s="59">
        <v>63</v>
      </c>
      <c r="C3427" s="59">
        <v>831</v>
      </c>
      <c r="D3427" s="51">
        <v>517</v>
      </c>
      <c r="E3427" s="51">
        <f t="shared" si="53"/>
        <v>1</v>
      </c>
    </row>
    <row r="3428" spans="1:5">
      <c r="A3428" s="59">
        <v>7</v>
      </c>
      <c r="B3428" s="59">
        <v>43</v>
      </c>
      <c r="C3428" s="59">
        <v>830</v>
      </c>
      <c r="D3428" s="51">
        <v>495</v>
      </c>
      <c r="E3428" s="51">
        <f t="shared" si="53"/>
        <v>1</v>
      </c>
    </row>
    <row r="3429" spans="1:5">
      <c r="A3429" s="59">
        <v>7</v>
      </c>
      <c r="B3429" s="59">
        <v>64</v>
      </c>
      <c r="C3429" s="59">
        <v>910</v>
      </c>
      <c r="D3429" s="51">
        <v>388</v>
      </c>
      <c r="E3429" s="51">
        <f t="shared" si="53"/>
        <v>1</v>
      </c>
    </row>
    <row r="3430" spans="1:5">
      <c r="A3430" s="59">
        <v>7</v>
      </c>
      <c r="B3430" s="59">
        <v>43</v>
      </c>
      <c r="C3430" s="59">
        <v>610</v>
      </c>
      <c r="D3430" s="51">
        <v>352</v>
      </c>
      <c r="E3430" s="51">
        <f t="shared" si="53"/>
        <v>1</v>
      </c>
    </row>
    <row r="3431" spans="1:5">
      <c r="A3431" s="59">
        <v>7</v>
      </c>
      <c r="B3431" s="59">
        <v>71</v>
      </c>
      <c r="C3431" s="59">
        <v>610</v>
      </c>
      <c r="D3431" s="51">
        <v>351</v>
      </c>
      <c r="E3431" s="51">
        <f t="shared" si="53"/>
        <v>1</v>
      </c>
    </row>
    <row r="3432" spans="1:5">
      <c r="A3432" s="59">
        <v>7</v>
      </c>
      <c r="B3432" s="59">
        <v>43</v>
      </c>
      <c r="C3432" s="59">
        <v>530</v>
      </c>
      <c r="D3432" s="51">
        <v>304</v>
      </c>
      <c r="E3432" s="51">
        <f t="shared" si="53"/>
        <v>1</v>
      </c>
    </row>
    <row r="3433" spans="1:5">
      <c r="A3433" s="59">
        <v>7</v>
      </c>
      <c r="B3433" s="59">
        <v>42</v>
      </c>
      <c r="C3433" s="59">
        <v>530</v>
      </c>
      <c r="D3433" s="51">
        <v>278</v>
      </c>
      <c r="E3433" s="51">
        <f t="shared" si="53"/>
        <v>1</v>
      </c>
    </row>
    <row r="3434" spans="1:5">
      <c r="A3434" s="59">
        <v>7</v>
      </c>
      <c r="B3434" s="59">
        <v>63</v>
      </c>
      <c r="C3434" s="59">
        <v>510</v>
      </c>
      <c r="D3434" s="51">
        <v>222</v>
      </c>
      <c r="E3434" s="51">
        <f t="shared" si="53"/>
        <v>1</v>
      </c>
    </row>
    <row r="3435" spans="1:5">
      <c r="A3435" s="59">
        <v>7</v>
      </c>
      <c r="B3435" s="59">
        <v>64</v>
      </c>
      <c r="C3435" s="59">
        <v>831</v>
      </c>
      <c r="D3435" s="51">
        <v>215</v>
      </c>
      <c r="E3435" s="51">
        <f t="shared" si="53"/>
        <v>1</v>
      </c>
    </row>
    <row r="3436" spans="1:5">
      <c r="A3436" s="59">
        <v>7</v>
      </c>
      <c r="B3436" s="59">
        <v>63</v>
      </c>
      <c r="C3436" s="59">
        <v>910</v>
      </c>
      <c r="D3436" s="51">
        <v>196</v>
      </c>
      <c r="E3436" s="51">
        <f t="shared" si="53"/>
        <v>1</v>
      </c>
    </row>
    <row r="3437" spans="1:5">
      <c r="A3437" s="59">
        <v>7</v>
      </c>
      <c r="B3437" s="59">
        <v>64</v>
      </c>
      <c r="C3437" s="59">
        <v>110</v>
      </c>
      <c r="D3437" s="51">
        <v>194</v>
      </c>
      <c r="E3437" s="51">
        <f t="shared" si="53"/>
        <v>1</v>
      </c>
    </row>
    <row r="3438" spans="1:5">
      <c r="A3438" s="59">
        <v>7</v>
      </c>
      <c r="B3438" s="59">
        <v>63</v>
      </c>
      <c r="C3438" s="59">
        <v>440</v>
      </c>
      <c r="D3438" s="51">
        <v>192</v>
      </c>
      <c r="E3438" s="51">
        <f t="shared" si="53"/>
        <v>1</v>
      </c>
    </row>
    <row r="3439" spans="1:5">
      <c r="A3439" s="59">
        <v>7</v>
      </c>
      <c r="B3439" s="59">
        <v>64</v>
      </c>
      <c r="C3439" s="59">
        <v>440</v>
      </c>
      <c r="D3439" s="51">
        <v>189</v>
      </c>
      <c r="E3439" s="51">
        <f t="shared" si="53"/>
        <v>1</v>
      </c>
    </row>
    <row r="3440" spans="1:5">
      <c r="A3440" s="59">
        <v>7</v>
      </c>
      <c r="B3440" s="59">
        <v>81</v>
      </c>
      <c r="C3440" s="59">
        <v>830</v>
      </c>
      <c r="D3440" s="51">
        <v>189</v>
      </c>
      <c r="E3440" s="51">
        <f t="shared" si="53"/>
        <v>1</v>
      </c>
    </row>
    <row r="3441" spans="1:5">
      <c r="A3441" s="59">
        <v>7</v>
      </c>
      <c r="B3441" s="59">
        <v>64</v>
      </c>
      <c r="C3441" s="59">
        <v>920</v>
      </c>
      <c r="D3441" s="51">
        <v>175</v>
      </c>
      <c r="E3441" s="51">
        <f t="shared" si="53"/>
        <v>1</v>
      </c>
    </row>
    <row r="3442" spans="1:5">
      <c r="A3442" s="59">
        <v>7</v>
      </c>
      <c r="B3442" s="59">
        <v>64</v>
      </c>
      <c r="C3442" s="59">
        <v>530</v>
      </c>
      <c r="D3442" s="51">
        <v>164</v>
      </c>
      <c r="E3442" s="51">
        <f t="shared" si="53"/>
        <v>1</v>
      </c>
    </row>
    <row r="3443" spans="1:5">
      <c r="A3443" s="59">
        <v>7</v>
      </c>
      <c r="B3443" s="59">
        <v>42</v>
      </c>
      <c r="C3443" s="59">
        <v>150</v>
      </c>
      <c r="D3443" s="51">
        <v>134</v>
      </c>
      <c r="E3443" s="51">
        <f t="shared" si="53"/>
        <v>1</v>
      </c>
    </row>
    <row r="3444" spans="1:5">
      <c r="A3444" s="59">
        <v>7</v>
      </c>
      <c r="B3444" s="59">
        <v>44</v>
      </c>
      <c r="C3444" s="59">
        <v>620</v>
      </c>
      <c r="D3444" s="51">
        <v>130</v>
      </c>
      <c r="E3444" s="51">
        <f t="shared" si="53"/>
        <v>1</v>
      </c>
    </row>
    <row r="3445" spans="1:5">
      <c r="A3445" s="59">
        <v>7</v>
      </c>
      <c r="B3445" s="59">
        <v>42</v>
      </c>
      <c r="C3445" s="59">
        <v>910</v>
      </c>
      <c r="D3445" s="51">
        <v>125</v>
      </c>
      <c r="E3445" s="51">
        <f t="shared" si="53"/>
        <v>1</v>
      </c>
    </row>
    <row r="3446" spans="1:5">
      <c r="A3446" s="59">
        <v>7</v>
      </c>
      <c r="B3446" s="59">
        <v>63</v>
      </c>
      <c r="C3446" s="59">
        <v>920</v>
      </c>
      <c r="D3446" s="51">
        <v>114</v>
      </c>
      <c r="E3446" s="51">
        <f t="shared" si="53"/>
        <v>1</v>
      </c>
    </row>
    <row r="3447" spans="1:5">
      <c r="A3447" s="59">
        <v>7</v>
      </c>
      <c r="B3447" s="59">
        <v>42</v>
      </c>
      <c r="C3447" s="59">
        <v>831</v>
      </c>
      <c r="D3447" s="51">
        <v>113</v>
      </c>
      <c r="E3447" s="51">
        <f t="shared" si="53"/>
        <v>1</v>
      </c>
    </row>
    <row r="3448" spans="1:5">
      <c r="A3448" s="59">
        <v>7</v>
      </c>
      <c r="B3448" s="59">
        <v>64</v>
      </c>
      <c r="C3448" s="59">
        <v>510</v>
      </c>
      <c r="D3448" s="51">
        <v>109</v>
      </c>
      <c r="E3448" s="51">
        <f t="shared" si="53"/>
        <v>1</v>
      </c>
    </row>
    <row r="3449" spans="1:5">
      <c r="A3449" s="59">
        <v>7</v>
      </c>
      <c r="B3449" s="59">
        <v>64</v>
      </c>
      <c r="C3449" s="59">
        <v>430</v>
      </c>
      <c r="D3449" s="51">
        <v>107</v>
      </c>
      <c r="E3449" s="51">
        <f t="shared" si="53"/>
        <v>1</v>
      </c>
    </row>
    <row r="3450" spans="1:5">
      <c r="A3450" s="59">
        <v>7</v>
      </c>
      <c r="B3450" s="59">
        <v>64</v>
      </c>
      <c r="C3450" s="59">
        <v>861</v>
      </c>
      <c r="D3450" s="51">
        <v>104</v>
      </c>
      <c r="E3450" s="51">
        <f t="shared" si="53"/>
        <v>1</v>
      </c>
    </row>
    <row r="3451" spans="1:5">
      <c r="A3451" s="59">
        <v>7</v>
      </c>
      <c r="B3451" s="59">
        <v>43</v>
      </c>
      <c r="C3451" s="59">
        <v>910</v>
      </c>
      <c r="D3451" s="51">
        <v>83</v>
      </c>
      <c r="E3451" s="51">
        <f t="shared" si="53"/>
        <v>1</v>
      </c>
    </row>
    <row r="3452" spans="1:5">
      <c r="A3452" s="59">
        <v>7</v>
      </c>
      <c r="B3452" s="59">
        <v>64</v>
      </c>
      <c r="C3452" s="59">
        <v>150</v>
      </c>
      <c r="D3452" s="51">
        <v>80</v>
      </c>
      <c r="E3452" s="51">
        <f t="shared" si="53"/>
        <v>1</v>
      </c>
    </row>
    <row r="3453" spans="1:5">
      <c r="A3453" s="59">
        <v>7</v>
      </c>
      <c r="B3453" s="59">
        <v>63</v>
      </c>
      <c r="C3453" s="59">
        <v>530</v>
      </c>
      <c r="D3453" s="51">
        <v>72</v>
      </c>
      <c r="E3453" s="51">
        <f t="shared" si="53"/>
        <v>1</v>
      </c>
    </row>
    <row r="3454" spans="1:5">
      <c r="A3454" s="59">
        <v>7</v>
      </c>
      <c r="B3454" s="59">
        <v>43</v>
      </c>
      <c r="C3454" s="59">
        <v>831</v>
      </c>
      <c r="D3454" s="51">
        <v>71</v>
      </c>
      <c r="E3454" s="51">
        <f t="shared" si="53"/>
        <v>1</v>
      </c>
    </row>
    <row r="3455" spans="1:5">
      <c r="A3455" s="59">
        <v>7</v>
      </c>
      <c r="B3455" s="59">
        <v>32</v>
      </c>
      <c r="C3455" s="59">
        <v>420</v>
      </c>
      <c r="D3455" s="51">
        <v>68</v>
      </c>
      <c r="E3455" s="51">
        <f t="shared" si="53"/>
        <v>1</v>
      </c>
    </row>
    <row r="3456" spans="1:5">
      <c r="A3456" s="59">
        <v>7</v>
      </c>
      <c r="B3456" s="59">
        <v>42</v>
      </c>
      <c r="C3456" s="59">
        <v>110</v>
      </c>
      <c r="D3456" s="51">
        <v>68</v>
      </c>
      <c r="E3456" s="51">
        <f t="shared" si="53"/>
        <v>1</v>
      </c>
    </row>
    <row r="3457" spans="1:5">
      <c r="A3457" s="59">
        <v>7</v>
      </c>
      <c r="B3457" s="59">
        <v>43</v>
      </c>
      <c r="C3457" s="59">
        <v>620</v>
      </c>
      <c r="D3457" s="51">
        <v>68</v>
      </c>
      <c r="E3457" s="51">
        <f t="shared" si="53"/>
        <v>1</v>
      </c>
    </row>
    <row r="3458" spans="1:5">
      <c r="A3458" s="59">
        <v>7</v>
      </c>
      <c r="B3458" s="59">
        <v>44</v>
      </c>
      <c r="C3458" s="59">
        <v>990</v>
      </c>
      <c r="D3458" s="51">
        <v>65</v>
      </c>
      <c r="E3458" s="51">
        <f t="shared" ref="E3458:E3521" si="54">IF(OR(A3458=6,A3458=7,A3458=14,A3458=15,A3458=16,A3458=17,A3458=18,A3458=19,A3458=20,A3458=21,A3458=22,A3458=23,A3458=25,A3458=26,A3458=27,A3458=28,B3458=41,B3458=44,B3458=62),1,0)</f>
        <v>1</v>
      </c>
    </row>
    <row r="3459" spans="1:5">
      <c r="A3459" s="59">
        <v>7</v>
      </c>
      <c r="B3459" s="59">
        <v>71</v>
      </c>
      <c r="C3459" s="59">
        <v>620</v>
      </c>
      <c r="D3459" s="51">
        <v>65</v>
      </c>
      <c r="E3459" s="51">
        <f t="shared" si="54"/>
        <v>1</v>
      </c>
    </row>
    <row r="3460" spans="1:5">
      <c r="A3460" s="59">
        <v>7</v>
      </c>
      <c r="B3460" s="59">
        <v>42</v>
      </c>
      <c r="C3460" s="59">
        <v>620</v>
      </c>
      <c r="D3460" s="51">
        <v>60</v>
      </c>
      <c r="E3460" s="51">
        <f t="shared" si="54"/>
        <v>1</v>
      </c>
    </row>
    <row r="3461" spans="1:5">
      <c r="A3461" s="59">
        <v>7</v>
      </c>
      <c r="B3461" s="59">
        <v>43</v>
      </c>
      <c r="C3461" s="59">
        <v>440</v>
      </c>
      <c r="D3461" s="51">
        <v>56</v>
      </c>
      <c r="E3461" s="51">
        <f t="shared" si="54"/>
        <v>1</v>
      </c>
    </row>
    <row r="3462" spans="1:5">
      <c r="A3462" s="59">
        <v>7</v>
      </c>
      <c r="B3462" s="59">
        <v>32</v>
      </c>
      <c r="C3462" s="59">
        <v>610</v>
      </c>
      <c r="D3462" s="51">
        <v>47</v>
      </c>
      <c r="E3462" s="51">
        <f t="shared" si="54"/>
        <v>1</v>
      </c>
    </row>
    <row r="3463" spans="1:5">
      <c r="A3463" s="59">
        <v>7</v>
      </c>
      <c r="B3463" s="59">
        <v>33</v>
      </c>
      <c r="C3463" s="59">
        <v>610</v>
      </c>
      <c r="D3463" s="51">
        <v>47</v>
      </c>
      <c r="E3463" s="51">
        <f t="shared" si="54"/>
        <v>1</v>
      </c>
    </row>
    <row r="3464" spans="1:5">
      <c r="A3464" s="59">
        <v>7</v>
      </c>
      <c r="B3464" s="59">
        <v>62</v>
      </c>
      <c r="C3464" s="59">
        <v>610</v>
      </c>
      <c r="D3464" s="51">
        <v>45</v>
      </c>
      <c r="E3464" s="51">
        <f t="shared" si="54"/>
        <v>1</v>
      </c>
    </row>
    <row r="3465" spans="1:5">
      <c r="A3465" s="59">
        <v>7</v>
      </c>
      <c r="B3465" s="59">
        <v>62</v>
      </c>
      <c r="C3465" s="59">
        <v>620</v>
      </c>
      <c r="D3465" s="51">
        <v>44</v>
      </c>
      <c r="E3465" s="51">
        <f t="shared" si="54"/>
        <v>1</v>
      </c>
    </row>
    <row r="3466" spans="1:5">
      <c r="A3466" s="59">
        <v>7</v>
      </c>
      <c r="B3466" s="59">
        <v>64</v>
      </c>
      <c r="C3466" s="59">
        <v>420</v>
      </c>
      <c r="D3466" s="51">
        <v>42</v>
      </c>
      <c r="E3466" s="51">
        <f t="shared" si="54"/>
        <v>1</v>
      </c>
    </row>
    <row r="3467" spans="1:5">
      <c r="A3467" s="59">
        <v>7</v>
      </c>
      <c r="B3467" s="59">
        <v>44</v>
      </c>
      <c r="C3467" s="59">
        <v>910</v>
      </c>
      <c r="D3467" s="51">
        <v>37</v>
      </c>
      <c r="E3467" s="51">
        <f t="shared" si="54"/>
        <v>1</v>
      </c>
    </row>
    <row r="3468" spans="1:5">
      <c r="A3468" s="59">
        <v>7</v>
      </c>
      <c r="B3468" s="59">
        <v>81</v>
      </c>
      <c r="C3468" s="59">
        <v>620</v>
      </c>
      <c r="D3468" s="51">
        <v>37</v>
      </c>
      <c r="E3468" s="51">
        <f t="shared" si="54"/>
        <v>1</v>
      </c>
    </row>
    <row r="3469" spans="1:5">
      <c r="A3469" s="59">
        <v>7</v>
      </c>
      <c r="B3469" s="59">
        <v>63</v>
      </c>
      <c r="C3469" s="59">
        <v>899</v>
      </c>
      <c r="D3469" s="51">
        <v>34</v>
      </c>
      <c r="E3469" s="51">
        <f t="shared" si="54"/>
        <v>1</v>
      </c>
    </row>
    <row r="3470" spans="1:5">
      <c r="A3470" s="59">
        <v>7</v>
      </c>
      <c r="B3470" s="59">
        <v>64</v>
      </c>
      <c r="C3470" s="59">
        <v>160</v>
      </c>
      <c r="D3470" s="51">
        <v>34</v>
      </c>
      <c r="E3470" s="51">
        <f t="shared" si="54"/>
        <v>1</v>
      </c>
    </row>
    <row r="3471" spans="1:5">
      <c r="A3471" s="59">
        <v>7</v>
      </c>
      <c r="B3471" s="59">
        <v>64</v>
      </c>
      <c r="C3471" s="59">
        <v>310</v>
      </c>
      <c r="D3471" s="51">
        <v>34</v>
      </c>
      <c r="E3471" s="51">
        <f t="shared" si="54"/>
        <v>1</v>
      </c>
    </row>
    <row r="3472" spans="1:5">
      <c r="A3472" s="59">
        <v>7</v>
      </c>
      <c r="B3472" s="59">
        <v>81</v>
      </c>
      <c r="C3472" s="59">
        <v>610</v>
      </c>
      <c r="D3472" s="51">
        <v>34</v>
      </c>
      <c r="E3472" s="51">
        <f t="shared" si="54"/>
        <v>1</v>
      </c>
    </row>
    <row r="3473" spans="1:5">
      <c r="A3473" s="59">
        <v>7</v>
      </c>
      <c r="B3473" s="59">
        <v>71</v>
      </c>
      <c r="C3473" s="59">
        <v>920</v>
      </c>
      <c r="D3473" s="51">
        <v>33</v>
      </c>
      <c r="E3473" s="51">
        <f t="shared" si="54"/>
        <v>1</v>
      </c>
    </row>
    <row r="3474" spans="1:5">
      <c r="A3474" s="59">
        <v>7</v>
      </c>
      <c r="B3474" s="59">
        <v>71</v>
      </c>
      <c r="C3474" s="59">
        <v>910</v>
      </c>
      <c r="D3474" s="51">
        <v>31</v>
      </c>
      <c r="E3474" s="51">
        <f t="shared" si="54"/>
        <v>1</v>
      </c>
    </row>
    <row r="3475" spans="1:5">
      <c r="A3475" s="59">
        <v>7</v>
      </c>
      <c r="B3475" s="59">
        <v>62</v>
      </c>
      <c r="C3475" s="59">
        <v>830</v>
      </c>
      <c r="D3475" s="51">
        <v>29</v>
      </c>
      <c r="E3475" s="51">
        <f t="shared" si="54"/>
        <v>1</v>
      </c>
    </row>
    <row r="3476" spans="1:5">
      <c r="A3476" s="59">
        <v>7</v>
      </c>
      <c r="B3476" s="59">
        <v>42</v>
      </c>
      <c r="C3476" s="59">
        <v>610</v>
      </c>
      <c r="D3476" s="51">
        <v>26</v>
      </c>
      <c r="E3476" s="51">
        <f t="shared" si="54"/>
        <v>1</v>
      </c>
    </row>
    <row r="3477" spans="1:5">
      <c r="A3477" s="59">
        <v>7</v>
      </c>
      <c r="B3477" s="59">
        <v>32</v>
      </c>
      <c r="C3477" s="59">
        <v>620</v>
      </c>
      <c r="D3477" s="51">
        <v>25</v>
      </c>
      <c r="E3477" s="51">
        <f t="shared" si="54"/>
        <v>1</v>
      </c>
    </row>
    <row r="3478" spans="1:5">
      <c r="A3478" s="59">
        <v>7</v>
      </c>
      <c r="B3478" s="59">
        <v>62</v>
      </c>
      <c r="C3478" s="59">
        <v>831</v>
      </c>
      <c r="D3478" s="51">
        <v>25</v>
      </c>
      <c r="E3478" s="51">
        <f t="shared" si="54"/>
        <v>1</v>
      </c>
    </row>
    <row r="3479" spans="1:5">
      <c r="A3479" s="59">
        <v>7</v>
      </c>
      <c r="B3479" s="59">
        <v>14</v>
      </c>
      <c r="C3479" s="59">
        <v>610</v>
      </c>
      <c r="D3479" s="51">
        <v>24</v>
      </c>
      <c r="E3479" s="51">
        <f t="shared" si="54"/>
        <v>1</v>
      </c>
    </row>
    <row r="3480" spans="1:5">
      <c r="A3480" s="59">
        <v>7</v>
      </c>
      <c r="B3480" s="59">
        <v>42</v>
      </c>
      <c r="C3480" s="59">
        <v>830</v>
      </c>
      <c r="D3480" s="51">
        <v>22</v>
      </c>
      <c r="E3480" s="51">
        <f t="shared" si="54"/>
        <v>1</v>
      </c>
    </row>
    <row r="3481" spans="1:5">
      <c r="A3481" s="59">
        <v>7</v>
      </c>
      <c r="B3481" s="59">
        <v>43</v>
      </c>
      <c r="C3481" s="59">
        <v>899</v>
      </c>
      <c r="D3481" s="51">
        <v>20</v>
      </c>
      <c r="E3481" s="51">
        <f t="shared" si="54"/>
        <v>1</v>
      </c>
    </row>
    <row r="3482" spans="1:5">
      <c r="A3482" s="59">
        <v>7</v>
      </c>
      <c r="B3482" s="59">
        <v>71</v>
      </c>
      <c r="C3482" s="59">
        <v>510</v>
      </c>
      <c r="D3482" s="51">
        <v>19</v>
      </c>
      <c r="E3482" s="51">
        <f t="shared" si="54"/>
        <v>1</v>
      </c>
    </row>
    <row r="3483" spans="1:5">
      <c r="A3483" s="59">
        <v>7</v>
      </c>
      <c r="B3483" s="59">
        <v>15</v>
      </c>
      <c r="C3483" s="59">
        <v>610</v>
      </c>
      <c r="D3483" s="51">
        <v>18</v>
      </c>
      <c r="E3483" s="51">
        <f t="shared" si="54"/>
        <v>1</v>
      </c>
    </row>
    <row r="3484" spans="1:5">
      <c r="A3484" s="59">
        <v>7</v>
      </c>
      <c r="B3484" s="59">
        <v>33</v>
      </c>
      <c r="C3484" s="59">
        <v>910</v>
      </c>
      <c r="D3484" s="51">
        <v>18</v>
      </c>
      <c r="E3484" s="51">
        <f t="shared" si="54"/>
        <v>1</v>
      </c>
    </row>
    <row r="3485" spans="1:5">
      <c r="A3485" s="59">
        <v>7</v>
      </c>
      <c r="B3485" s="59">
        <v>43</v>
      </c>
      <c r="C3485" s="59">
        <v>150</v>
      </c>
      <c r="D3485" s="51">
        <v>17</v>
      </c>
      <c r="E3485" s="51">
        <f t="shared" si="54"/>
        <v>1</v>
      </c>
    </row>
    <row r="3486" spans="1:5">
      <c r="A3486" s="59">
        <v>7</v>
      </c>
      <c r="B3486" s="59">
        <v>43</v>
      </c>
      <c r="C3486" s="59">
        <v>420</v>
      </c>
      <c r="D3486" s="51">
        <v>17</v>
      </c>
      <c r="E3486" s="51">
        <f t="shared" si="54"/>
        <v>1</v>
      </c>
    </row>
    <row r="3487" spans="1:5">
      <c r="A3487" s="59">
        <v>7</v>
      </c>
      <c r="B3487" s="59">
        <v>14</v>
      </c>
      <c r="C3487" s="59">
        <v>150</v>
      </c>
      <c r="D3487" s="51">
        <v>16</v>
      </c>
      <c r="E3487" s="51">
        <f t="shared" si="54"/>
        <v>1</v>
      </c>
    </row>
    <row r="3488" spans="1:5">
      <c r="A3488" s="59">
        <v>7</v>
      </c>
      <c r="B3488" s="59">
        <v>64</v>
      </c>
      <c r="C3488" s="59">
        <v>330</v>
      </c>
      <c r="D3488" s="51">
        <v>15</v>
      </c>
      <c r="E3488" s="51">
        <f t="shared" si="54"/>
        <v>1</v>
      </c>
    </row>
    <row r="3489" spans="1:5">
      <c r="A3489" s="59">
        <v>7</v>
      </c>
      <c r="B3489" s="59">
        <v>32</v>
      </c>
      <c r="C3489" s="59">
        <v>990</v>
      </c>
      <c r="D3489" s="51">
        <v>14</v>
      </c>
      <c r="E3489" s="51">
        <f t="shared" si="54"/>
        <v>1</v>
      </c>
    </row>
    <row r="3490" spans="1:5">
      <c r="A3490" s="59">
        <v>7</v>
      </c>
      <c r="B3490" s="59">
        <v>64</v>
      </c>
      <c r="C3490" s="59">
        <v>630</v>
      </c>
      <c r="D3490" s="51">
        <v>14</v>
      </c>
      <c r="E3490" s="51">
        <f t="shared" si="54"/>
        <v>1</v>
      </c>
    </row>
    <row r="3491" spans="1:5">
      <c r="A3491" s="59">
        <v>7</v>
      </c>
      <c r="B3491" s="59">
        <v>81</v>
      </c>
      <c r="C3491" s="59">
        <v>440</v>
      </c>
      <c r="D3491" s="51">
        <v>14</v>
      </c>
      <c r="E3491" s="51">
        <f t="shared" si="54"/>
        <v>1</v>
      </c>
    </row>
    <row r="3492" spans="1:5">
      <c r="A3492" s="59">
        <v>7</v>
      </c>
      <c r="B3492" s="59">
        <v>33</v>
      </c>
      <c r="C3492" s="59">
        <v>420</v>
      </c>
      <c r="D3492" s="51">
        <v>13</v>
      </c>
      <c r="E3492" s="51">
        <f t="shared" si="54"/>
        <v>1</v>
      </c>
    </row>
    <row r="3493" spans="1:5">
      <c r="A3493" s="59">
        <v>7</v>
      </c>
      <c r="B3493" s="59">
        <v>33</v>
      </c>
      <c r="C3493" s="59">
        <v>620</v>
      </c>
      <c r="D3493" s="51">
        <v>13</v>
      </c>
      <c r="E3493" s="51">
        <f t="shared" si="54"/>
        <v>1</v>
      </c>
    </row>
    <row r="3494" spans="1:5">
      <c r="A3494" s="59">
        <v>7</v>
      </c>
      <c r="B3494" s="59">
        <v>64</v>
      </c>
      <c r="C3494" s="59">
        <v>210</v>
      </c>
      <c r="D3494" s="51">
        <v>13</v>
      </c>
      <c r="E3494" s="51">
        <f t="shared" si="54"/>
        <v>1</v>
      </c>
    </row>
    <row r="3495" spans="1:5">
      <c r="A3495" s="59">
        <v>7</v>
      </c>
      <c r="B3495" s="59">
        <v>71</v>
      </c>
      <c r="C3495" s="59">
        <v>831</v>
      </c>
      <c r="D3495" s="51">
        <v>13</v>
      </c>
      <c r="E3495" s="51">
        <f t="shared" si="54"/>
        <v>1</v>
      </c>
    </row>
    <row r="3496" spans="1:5">
      <c r="A3496" s="59">
        <v>7</v>
      </c>
      <c r="B3496" s="59">
        <v>43</v>
      </c>
      <c r="C3496" s="59">
        <v>990</v>
      </c>
      <c r="D3496" s="51">
        <v>12</v>
      </c>
      <c r="E3496" s="51">
        <f t="shared" si="54"/>
        <v>1</v>
      </c>
    </row>
    <row r="3497" spans="1:5">
      <c r="A3497" s="59">
        <v>7</v>
      </c>
      <c r="B3497" s="59">
        <v>64</v>
      </c>
      <c r="C3497" s="59">
        <v>320</v>
      </c>
      <c r="D3497" s="51">
        <v>12</v>
      </c>
      <c r="E3497" s="51">
        <f t="shared" si="54"/>
        <v>1</v>
      </c>
    </row>
    <row r="3498" spans="1:5">
      <c r="A3498" s="59">
        <v>7</v>
      </c>
      <c r="B3498" s="59">
        <v>64</v>
      </c>
      <c r="C3498" s="59">
        <v>410</v>
      </c>
      <c r="D3498" s="51">
        <v>12</v>
      </c>
      <c r="E3498" s="51">
        <f t="shared" si="54"/>
        <v>1</v>
      </c>
    </row>
    <row r="3499" spans="1:5">
      <c r="A3499" s="59">
        <v>7</v>
      </c>
      <c r="B3499" s="59">
        <v>22</v>
      </c>
      <c r="C3499" s="59">
        <v>990</v>
      </c>
      <c r="D3499" s="51">
        <v>11</v>
      </c>
      <c r="E3499" s="51">
        <f t="shared" si="54"/>
        <v>1</v>
      </c>
    </row>
    <row r="3500" spans="1:5">
      <c r="A3500" s="59">
        <v>7</v>
      </c>
      <c r="B3500" s="59">
        <v>31</v>
      </c>
      <c r="C3500" s="59">
        <v>420</v>
      </c>
      <c r="D3500" s="51">
        <v>11</v>
      </c>
      <c r="E3500" s="51">
        <f t="shared" si="54"/>
        <v>1</v>
      </c>
    </row>
    <row r="3501" spans="1:5">
      <c r="A3501" s="59">
        <v>7</v>
      </c>
      <c r="B3501" s="59">
        <v>64</v>
      </c>
      <c r="C3501" s="59">
        <v>230</v>
      </c>
      <c r="D3501" s="51">
        <v>11</v>
      </c>
      <c r="E3501" s="51">
        <f t="shared" si="54"/>
        <v>1</v>
      </c>
    </row>
    <row r="3502" spans="1:5">
      <c r="A3502" s="59">
        <v>7</v>
      </c>
      <c r="B3502" s="59">
        <v>63</v>
      </c>
      <c r="C3502" s="59">
        <v>160</v>
      </c>
      <c r="D3502" s="51">
        <v>10</v>
      </c>
      <c r="E3502" s="51">
        <f t="shared" si="54"/>
        <v>1</v>
      </c>
    </row>
    <row r="3503" spans="1:5">
      <c r="A3503" s="59">
        <v>7</v>
      </c>
      <c r="B3503" s="59">
        <v>71</v>
      </c>
      <c r="C3503" s="59">
        <v>830</v>
      </c>
      <c r="D3503" s="51">
        <v>10</v>
      </c>
      <c r="E3503" s="51">
        <f t="shared" si="54"/>
        <v>1</v>
      </c>
    </row>
    <row r="3504" spans="1:5">
      <c r="A3504" s="59">
        <v>7</v>
      </c>
      <c r="B3504" s="59">
        <v>31</v>
      </c>
      <c r="C3504" s="59">
        <v>620</v>
      </c>
      <c r="D3504" s="51">
        <v>9</v>
      </c>
      <c r="E3504" s="51">
        <f t="shared" si="54"/>
        <v>1</v>
      </c>
    </row>
    <row r="3505" spans="1:5">
      <c r="A3505" s="59">
        <v>7</v>
      </c>
      <c r="B3505" s="59">
        <v>43</v>
      </c>
      <c r="C3505" s="59">
        <v>510</v>
      </c>
      <c r="D3505" s="51">
        <v>9</v>
      </c>
      <c r="E3505" s="51">
        <f t="shared" si="54"/>
        <v>1</v>
      </c>
    </row>
    <row r="3506" spans="1:5">
      <c r="A3506" s="59">
        <v>7</v>
      </c>
      <c r="B3506" s="59">
        <v>63</v>
      </c>
      <c r="C3506" s="59">
        <v>110</v>
      </c>
      <c r="D3506" s="51">
        <v>9</v>
      </c>
      <c r="E3506" s="51">
        <f t="shared" si="54"/>
        <v>1</v>
      </c>
    </row>
    <row r="3507" spans="1:5">
      <c r="A3507" s="59">
        <v>7</v>
      </c>
      <c r="B3507" s="59">
        <v>63</v>
      </c>
      <c r="C3507" s="59">
        <v>150</v>
      </c>
      <c r="D3507" s="51">
        <v>9</v>
      </c>
      <c r="E3507" s="51">
        <f t="shared" si="54"/>
        <v>1</v>
      </c>
    </row>
    <row r="3508" spans="1:5">
      <c r="A3508" s="59">
        <v>7</v>
      </c>
      <c r="B3508" s="59">
        <v>32</v>
      </c>
      <c r="C3508" s="59">
        <v>910</v>
      </c>
      <c r="D3508" s="51">
        <v>8</v>
      </c>
      <c r="E3508" s="51">
        <f t="shared" si="54"/>
        <v>1</v>
      </c>
    </row>
    <row r="3509" spans="1:5">
      <c r="A3509" s="59">
        <v>7</v>
      </c>
      <c r="B3509" s="59">
        <v>51</v>
      </c>
      <c r="C3509" s="59">
        <v>430</v>
      </c>
      <c r="D3509" s="51">
        <v>8</v>
      </c>
      <c r="E3509" s="51">
        <f t="shared" si="54"/>
        <v>1</v>
      </c>
    </row>
    <row r="3510" spans="1:5">
      <c r="A3510" s="59">
        <v>7</v>
      </c>
      <c r="B3510" s="59">
        <v>62</v>
      </c>
      <c r="C3510" s="59">
        <v>920</v>
      </c>
      <c r="D3510" s="51">
        <v>8</v>
      </c>
      <c r="E3510" s="51">
        <f t="shared" si="54"/>
        <v>1</v>
      </c>
    </row>
    <row r="3511" spans="1:5">
      <c r="A3511" s="59">
        <v>7</v>
      </c>
      <c r="B3511" s="59">
        <v>81</v>
      </c>
      <c r="C3511" s="59">
        <v>910</v>
      </c>
      <c r="D3511" s="51">
        <v>8</v>
      </c>
      <c r="E3511" s="51">
        <f t="shared" si="54"/>
        <v>1</v>
      </c>
    </row>
    <row r="3512" spans="1:5">
      <c r="A3512" s="59">
        <v>7</v>
      </c>
      <c r="B3512" s="59">
        <v>43</v>
      </c>
      <c r="C3512" s="59">
        <v>410</v>
      </c>
      <c r="D3512" s="51">
        <v>7</v>
      </c>
      <c r="E3512" s="51">
        <f t="shared" si="54"/>
        <v>1</v>
      </c>
    </row>
    <row r="3513" spans="1:5">
      <c r="A3513" s="59">
        <v>7</v>
      </c>
      <c r="B3513" s="59">
        <v>62</v>
      </c>
      <c r="C3513" s="59">
        <v>910</v>
      </c>
      <c r="D3513" s="51">
        <v>7</v>
      </c>
      <c r="E3513" s="51">
        <f t="shared" si="54"/>
        <v>1</v>
      </c>
    </row>
    <row r="3514" spans="1:5">
      <c r="A3514" s="59">
        <v>7</v>
      </c>
      <c r="B3514" s="59">
        <v>63</v>
      </c>
      <c r="C3514" s="59">
        <v>230</v>
      </c>
      <c r="D3514" s="51">
        <v>7</v>
      </c>
      <c r="E3514" s="51">
        <f t="shared" si="54"/>
        <v>1</v>
      </c>
    </row>
    <row r="3515" spans="1:5">
      <c r="A3515" s="59">
        <v>7</v>
      </c>
      <c r="B3515" s="59">
        <v>63</v>
      </c>
      <c r="C3515" s="59">
        <v>310</v>
      </c>
      <c r="D3515" s="51">
        <v>7</v>
      </c>
      <c r="E3515" s="51">
        <f t="shared" si="54"/>
        <v>1</v>
      </c>
    </row>
    <row r="3516" spans="1:5">
      <c r="A3516" s="59">
        <v>7</v>
      </c>
      <c r="B3516" s="59">
        <v>71</v>
      </c>
      <c r="C3516" s="59">
        <v>530</v>
      </c>
      <c r="D3516" s="51">
        <v>7</v>
      </c>
      <c r="E3516" s="51">
        <f t="shared" si="54"/>
        <v>1</v>
      </c>
    </row>
    <row r="3517" spans="1:5">
      <c r="A3517" s="59">
        <v>7</v>
      </c>
      <c r="B3517" s="59">
        <v>42</v>
      </c>
      <c r="C3517" s="59">
        <v>160</v>
      </c>
      <c r="D3517" s="51">
        <v>6</v>
      </c>
      <c r="E3517" s="51">
        <f t="shared" si="54"/>
        <v>1</v>
      </c>
    </row>
    <row r="3518" spans="1:5">
      <c r="A3518" s="59">
        <v>7</v>
      </c>
      <c r="B3518" s="59">
        <v>71</v>
      </c>
      <c r="C3518" s="59">
        <v>210</v>
      </c>
      <c r="D3518" s="51">
        <v>6</v>
      </c>
      <c r="E3518" s="51">
        <f t="shared" si="54"/>
        <v>1</v>
      </c>
    </row>
    <row r="3519" spans="1:5">
      <c r="A3519" s="59">
        <v>7</v>
      </c>
      <c r="B3519" s="59">
        <v>13</v>
      </c>
      <c r="C3519" s="59">
        <v>610</v>
      </c>
      <c r="D3519" s="51">
        <v>5</v>
      </c>
      <c r="E3519" s="51">
        <f t="shared" si="54"/>
        <v>1</v>
      </c>
    </row>
    <row r="3520" spans="1:5">
      <c r="A3520" s="59">
        <v>7</v>
      </c>
      <c r="B3520" s="59">
        <v>42</v>
      </c>
      <c r="C3520" s="59">
        <v>520</v>
      </c>
      <c r="D3520" s="51">
        <v>5</v>
      </c>
      <c r="E3520" s="51">
        <f t="shared" si="54"/>
        <v>1</v>
      </c>
    </row>
    <row r="3521" spans="1:5">
      <c r="A3521" s="59">
        <v>7</v>
      </c>
      <c r="B3521" s="59">
        <v>43</v>
      </c>
      <c r="C3521" s="59">
        <v>920</v>
      </c>
      <c r="D3521" s="51">
        <v>5</v>
      </c>
      <c r="E3521" s="51">
        <f t="shared" si="54"/>
        <v>1</v>
      </c>
    </row>
    <row r="3522" spans="1:5">
      <c r="A3522" s="59">
        <v>7</v>
      </c>
      <c r="B3522" s="59">
        <v>44</v>
      </c>
      <c r="C3522" s="59">
        <v>510</v>
      </c>
      <c r="D3522" s="51">
        <v>5</v>
      </c>
      <c r="E3522" s="51">
        <f t="shared" ref="E3522:E3585" si="55">IF(OR(A3522=6,A3522=7,A3522=14,A3522=15,A3522=16,A3522=17,A3522=18,A3522=19,A3522=20,A3522=21,A3522=22,A3522=23,A3522=25,A3522=26,A3522=27,A3522=28,B3522=41,B3522=44,B3522=62),1,0)</f>
        <v>1</v>
      </c>
    </row>
    <row r="3523" spans="1:5">
      <c r="A3523" s="59">
        <v>7</v>
      </c>
      <c r="B3523" s="59">
        <v>63</v>
      </c>
      <c r="C3523" s="59">
        <v>410</v>
      </c>
      <c r="D3523" s="51">
        <v>5</v>
      </c>
      <c r="E3523" s="51">
        <f t="shared" si="55"/>
        <v>1</v>
      </c>
    </row>
    <row r="3524" spans="1:5">
      <c r="A3524" s="59">
        <v>7</v>
      </c>
      <c r="B3524" s="59">
        <v>63</v>
      </c>
      <c r="C3524" s="59">
        <v>430</v>
      </c>
      <c r="D3524" s="51">
        <v>5</v>
      </c>
      <c r="E3524" s="51">
        <f t="shared" si="55"/>
        <v>1</v>
      </c>
    </row>
    <row r="3525" spans="1:5">
      <c r="A3525" s="59">
        <v>7</v>
      </c>
      <c r="B3525" s="59">
        <v>64</v>
      </c>
      <c r="C3525" s="59">
        <v>130</v>
      </c>
      <c r="D3525" s="51">
        <v>5</v>
      </c>
      <c r="E3525" s="51">
        <f t="shared" si="55"/>
        <v>1</v>
      </c>
    </row>
    <row r="3526" spans="1:5">
      <c r="A3526" s="59">
        <v>7</v>
      </c>
      <c r="B3526" s="59">
        <v>81</v>
      </c>
      <c r="C3526" s="59">
        <v>530</v>
      </c>
      <c r="D3526" s="51">
        <v>5</v>
      </c>
      <c r="E3526" s="51">
        <f t="shared" si="55"/>
        <v>1</v>
      </c>
    </row>
    <row r="3527" spans="1:5">
      <c r="A3527" s="59">
        <v>7</v>
      </c>
      <c r="B3527" s="59">
        <v>13</v>
      </c>
      <c r="C3527" s="59">
        <v>150</v>
      </c>
      <c r="D3527" s="51">
        <v>4</v>
      </c>
      <c r="E3527" s="51">
        <f t="shared" si="55"/>
        <v>1</v>
      </c>
    </row>
    <row r="3528" spans="1:5">
      <c r="A3528" s="59">
        <v>7</v>
      </c>
      <c r="B3528" s="59">
        <v>14</v>
      </c>
      <c r="C3528" s="59">
        <v>860</v>
      </c>
      <c r="D3528" s="51">
        <v>4</v>
      </c>
      <c r="E3528" s="51">
        <f t="shared" si="55"/>
        <v>1</v>
      </c>
    </row>
    <row r="3529" spans="1:5">
      <c r="A3529" s="59">
        <v>7</v>
      </c>
      <c r="B3529" s="59">
        <v>15</v>
      </c>
      <c r="C3529" s="59">
        <v>830</v>
      </c>
      <c r="D3529" s="51">
        <v>4</v>
      </c>
      <c r="E3529" s="51">
        <f t="shared" si="55"/>
        <v>1</v>
      </c>
    </row>
    <row r="3530" spans="1:5">
      <c r="A3530" s="59">
        <v>7</v>
      </c>
      <c r="B3530" s="59">
        <v>22</v>
      </c>
      <c r="C3530" s="59">
        <v>910</v>
      </c>
      <c r="D3530" s="51">
        <v>4</v>
      </c>
      <c r="E3530" s="51">
        <f t="shared" si="55"/>
        <v>1</v>
      </c>
    </row>
    <row r="3531" spans="1:5">
      <c r="A3531" s="59">
        <v>7</v>
      </c>
      <c r="B3531" s="59">
        <v>32</v>
      </c>
      <c r="C3531" s="59">
        <v>410</v>
      </c>
      <c r="D3531" s="51">
        <v>4</v>
      </c>
      <c r="E3531" s="51">
        <f t="shared" si="55"/>
        <v>1</v>
      </c>
    </row>
    <row r="3532" spans="1:5">
      <c r="A3532" s="59">
        <v>7</v>
      </c>
      <c r="B3532" s="59">
        <v>33</v>
      </c>
      <c r="C3532" s="59">
        <v>920</v>
      </c>
      <c r="D3532" s="51">
        <v>4</v>
      </c>
      <c r="E3532" s="51">
        <f t="shared" si="55"/>
        <v>1</v>
      </c>
    </row>
    <row r="3533" spans="1:5">
      <c r="A3533" s="59">
        <v>7</v>
      </c>
      <c r="B3533" s="59">
        <v>44</v>
      </c>
      <c r="C3533" s="59">
        <v>610</v>
      </c>
      <c r="D3533" s="51">
        <v>4</v>
      </c>
      <c r="E3533" s="51">
        <f t="shared" si="55"/>
        <v>1</v>
      </c>
    </row>
    <row r="3534" spans="1:5">
      <c r="A3534" s="59">
        <v>7</v>
      </c>
      <c r="B3534" s="59">
        <v>44</v>
      </c>
      <c r="C3534" s="59">
        <v>920</v>
      </c>
      <c r="D3534" s="51">
        <v>4</v>
      </c>
      <c r="E3534" s="51">
        <f t="shared" si="55"/>
        <v>1</v>
      </c>
    </row>
    <row r="3535" spans="1:5">
      <c r="A3535" s="59">
        <v>7</v>
      </c>
      <c r="B3535" s="59">
        <v>64</v>
      </c>
      <c r="C3535" s="59">
        <v>540</v>
      </c>
      <c r="D3535" s="51">
        <v>4</v>
      </c>
      <c r="E3535" s="51">
        <f t="shared" si="55"/>
        <v>1</v>
      </c>
    </row>
    <row r="3536" spans="1:5">
      <c r="A3536" s="59">
        <v>7</v>
      </c>
      <c r="B3536" s="59">
        <v>64</v>
      </c>
      <c r="C3536" s="59">
        <v>730</v>
      </c>
      <c r="D3536" s="51">
        <v>4</v>
      </c>
      <c r="E3536" s="51">
        <f t="shared" si="55"/>
        <v>1</v>
      </c>
    </row>
    <row r="3537" spans="1:5">
      <c r="A3537" s="59">
        <v>7</v>
      </c>
      <c r="B3537" s="59">
        <v>13</v>
      </c>
      <c r="C3537" s="59">
        <v>110</v>
      </c>
      <c r="D3537" s="51">
        <v>3</v>
      </c>
      <c r="E3537" s="51">
        <f t="shared" si="55"/>
        <v>1</v>
      </c>
    </row>
    <row r="3538" spans="1:5">
      <c r="A3538" s="59">
        <v>7</v>
      </c>
      <c r="B3538" s="59">
        <v>32</v>
      </c>
      <c r="C3538" s="59">
        <v>230</v>
      </c>
      <c r="D3538" s="51">
        <v>3</v>
      </c>
      <c r="E3538" s="51">
        <f t="shared" si="55"/>
        <v>1</v>
      </c>
    </row>
    <row r="3539" spans="1:5">
      <c r="A3539" s="59">
        <v>7</v>
      </c>
      <c r="B3539" s="59">
        <v>43</v>
      </c>
      <c r="C3539" s="59">
        <v>110</v>
      </c>
      <c r="D3539" s="51">
        <v>3</v>
      </c>
      <c r="E3539" s="51">
        <f t="shared" si="55"/>
        <v>1</v>
      </c>
    </row>
    <row r="3540" spans="1:5">
      <c r="A3540" s="59">
        <v>7</v>
      </c>
      <c r="B3540" s="59">
        <v>62</v>
      </c>
      <c r="C3540" s="59">
        <v>510</v>
      </c>
      <c r="D3540" s="51">
        <v>3</v>
      </c>
      <c r="E3540" s="51">
        <f t="shared" si="55"/>
        <v>1</v>
      </c>
    </row>
    <row r="3541" spans="1:5">
      <c r="A3541" s="59">
        <v>7</v>
      </c>
      <c r="B3541" s="59">
        <v>63</v>
      </c>
      <c r="C3541" s="59">
        <v>540</v>
      </c>
      <c r="D3541" s="51">
        <v>3</v>
      </c>
      <c r="E3541" s="51">
        <f t="shared" si="55"/>
        <v>1</v>
      </c>
    </row>
    <row r="3542" spans="1:5">
      <c r="A3542" s="59">
        <v>7</v>
      </c>
      <c r="B3542" s="59">
        <v>64</v>
      </c>
      <c r="C3542" s="59">
        <v>720</v>
      </c>
      <c r="D3542" s="51">
        <v>3</v>
      </c>
      <c r="E3542" s="51">
        <f t="shared" si="55"/>
        <v>1</v>
      </c>
    </row>
    <row r="3543" spans="1:5">
      <c r="A3543" s="59">
        <v>7</v>
      </c>
      <c r="B3543" s="59">
        <v>64</v>
      </c>
      <c r="C3543" s="59">
        <v>750</v>
      </c>
      <c r="D3543" s="51">
        <v>3</v>
      </c>
      <c r="E3543" s="51">
        <f t="shared" si="55"/>
        <v>1</v>
      </c>
    </row>
    <row r="3544" spans="1:5">
      <c r="A3544" s="59">
        <v>7</v>
      </c>
      <c r="B3544" s="59">
        <v>71</v>
      </c>
      <c r="C3544" s="59">
        <v>110</v>
      </c>
      <c r="D3544" s="51">
        <v>3</v>
      </c>
      <c r="E3544" s="51">
        <f t="shared" si="55"/>
        <v>1</v>
      </c>
    </row>
    <row r="3545" spans="1:5">
      <c r="A3545" s="59">
        <v>7</v>
      </c>
      <c r="B3545" s="59">
        <v>81</v>
      </c>
      <c r="C3545" s="59">
        <v>831</v>
      </c>
      <c r="D3545" s="51">
        <v>3</v>
      </c>
      <c r="E3545" s="51">
        <f t="shared" si="55"/>
        <v>1</v>
      </c>
    </row>
    <row r="3546" spans="1:5">
      <c r="A3546" s="59">
        <v>7</v>
      </c>
      <c r="B3546" s="59">
        <v>81</v>
      </c>
      <c r="C3546" s="59">
        <v>920</v>
      </c>
      <c r="D3546" s="51">
        <v>3</v>
      </c>
      <c r="E3546" s="51">
        <f t="shared" si="55"/>
        <v>1</v>
      </c>
    </row>
    <row r="3547" spans="1:5">
      <c r="A3547" s="59">
        <v>7</v>
      </c>
      <c r="B3547" s="59">
        <v>14</v>
      </c>
      <c r="C3547" s="59">
        <v>110</v>
      </c>
      <c r="D3547" s="51">
        <v>2</v>
      </c>
      <c r="E3547" s="51">
        <f t="shared" si="55"/>
        <v>1</v>
      </c>
    </row>
    <row r="3548" spans="1:5">
      <c r="A3548" s="59">
        <v>7</v>
      </c>
      <c r="B3548" s="59">
        <v>31</v>
      </c>
      <c r="C3548" s="59">
        <v>910</v>
      </c>
      <c r="D3548" s="51">
        <v>2</v>
      </c>
      <c r="E3548" s="51">
        <f t="shared" si="55"/>
        <v>1</v>
      </c>
    </row>
    <row r="3549" spans="1:5">
      <c r="A3549" s="59">
        <v>7</v>
      </c>
      <c r="B3549" s="59">
        <v>32</v>
      </c>
      <c r="C3549" s="59">
        <v>210</v>
      </c>
      <c r="D3549" s="51">
        <v>2</v>
      </c>
      <c r="E3549" s="51">
        <f t="shared" si="55"/>
        <v>1</v>
      </c>
    </row>
    <row r="3550" spans="1:5">
      <c r="A3550" s="59">
        <v>7</v>
      </c>
      <c r="B3550" s="59">
        <v>32</v>
      </c>
      <c r="C3550" s="59">
        <v>720</v>
      </c>
      <c r="D3550" s="51">
        <v>2</v>
      </c>
      <c r="E3550" s="51">
        <f t="shared" si="55"/>
        <v>1</v>
      </c>
    </row>
    <row r="3551" spans="1:5">
      <c r="A3551" s="59">
        <v>7</v>
      </c>
      <c r="B3551" s="59">
        <v>42</v>
      </c>
      <c r="C3551" s="59">
        <v>510</v>
      </c>
      <c r="D3551" s="51">
        <v>2</v>
      </c>
      <c r="E3551" s="51">
        <f t="shared" si="55"/>
        <v>1</v>
      </c>
    </row>
    <row r="3552" spans="1:5">
      <c r="A3552" s="59">
        <v>7</v>
      </c>
      <c r="B3552" s="59">
        <v>43</v>
      </c>
      <c r="C3552" s="59">
        <v>160</v>
      </c>
      <c r="D3552" s="51">
        <v>2</v>
      </c>
      <c r="E3552" s="51">
        <f t="shared" si="55"/>
        <v>1</v>
      </c>
    </row>
    <row r="3553" spans="1:5">
      <c r="A3553" s="59">
        <v>7</v>
      </c>
      <c r="B3553" s="59">
        <v>43</v>
      </c>
      <c r="C3553" s="59">
        <v>230</v>
      </c>
      <c r="D3553" s="51">
        <v>2</v>
      </c>
      <c r="E3553" s="51">
        <f t="shared" si="55"/>
        <v>1</v>
      </c>
    </row>
    <row r="3554" spans="1:5">
      <c r="A3554" s="59">
        <v>7</v>
      </c>
      <c r="B3554" s="59">
        <v>43</v>
      </c>
      <c r="C3554" s="59">
        <v>430</v>
      </c>
      <c r="D3554" s="51">
        <v>2</v>
      </c>
      <c r="E3554" s="51">
        <f t="shared" si="55"/>
        <v>1</v>
      </c>
    </row>
    <row r="3555" spans="1:5">
      <c r="A3555" s="59">
        <v>7</v>
      </c>
      <c r="B3555" s="59">
        <v>43</v>
      </c>
      <c r="C3555" s="59">
        <v>520</v>
      </c>
      <c r="D3555" s="51">
        <v>2</v>
      </c>
      <c r="E3555" s="51">
        <f t="shared" si="55"/>
        <v>1</v>
      </c>
    </row>
    <row r="3556" spans="1:5">
      <c r="A3556" s="59">
        <v>7</v>
      </c>
      <c r="B3556" s="59">
        <v>44</v>
      </c>
      <c r="C3556" s="59">
        <v>530</v>
      </c>
      <c r="D3556" s="51">
        <v>2</v>
      </c>
      <c r="E3556" s="51">
        <f t="shared" si="55"/>
        <v>1</v>
      </c>
    </row>
    <row r="3557" spans="1:5">
      <c r="A3557" s="59">
        <v>7</v>
      </c>
      <c r="B3557" s="59">
        <v>63</v>
      </c>
      <c r="C3557" s="59">
        <v>420</v>
      </c>
      <c r="D3557" s="51">
        <v>2</v>
      </c>
      <c r="E3557" s="51">
        <f t="shared" si="55"/>
        <v>1</v>
      </c>
    </row>
    <row r="3558" spans="1:5">
      <c r="A3558" s="59">
        <v>7</v>
      </c>
      <c r="B3558" s="59">
        <v>63</v>
      </c>
      <c r="C3558" s="59">
        <v>630</v>
      </c>
      <c r="D3558" s="51">
        <v>2</v>
      </c>
      <c r="E3558" s="51">
        <f t="shared" si="55"/>
        <v>1</v>
      </c>
    </row>
    <row r="3559" spans="1:5">
      <c r="A3559" s="59">
        <v>7</v>
      </c>
      <c r="B3559" s="59">
        <v>63</v>
      </c>
      <c r="C3559" s="59">
        <v>990</v>
      </c>
      <c r="D3559" s="51">
        <v>2</v>
      </c>
      <c r="E3559" s="51">
        <f t="shared" si="55"/>
        <v>1</v>
      </c>
    </row>
    <row r="3560" spans="1:5">
      <c r="A3560" s="59">
        <v>7</v>
      </c>
      <c r="B3560" s="59">
        <v>64</v>
      </c>
      <c r="C3560" s="59">
        <v>220</v>
      </c>
      <c r="D3560" s="51">
        <v>2</v>
      </c>
      <c r="E3560" s="51">
        <f t="shared" si="55"/>
        <v>1</v>
      </c>
    </row>
    <row r="3561" spans="1:5">
      <c r="A3561" s="59">
        <v>7</v>
      </c>
      <c r="B3561" s="59">
        <v>71</v>
      </c>
      <c r="C3561" s="59">
        <v>640</v>
      </c>
      <c r="D3561" s="51">
        <v>2</v>
      </c>
      <c r="E3561" s="51">
        <f t="shared" si="55"/>
        <v>1</v>
      </c>
    </row>
    <row r="3562" spans="1:5">
      <c r="A3562" s="59">
        <v>7</v>
      </c>
      <c r="B3562" s="59">
        <v>81</v>
      </c>
      <c r="C3562" s="59">
        <v>410</v>
      </c>
      <c r="D3562" s="51">
        <v>2</v>
      </c>
      <c r="E3562" s="51">
        <f t="shared" si="55"/>
        <v>1</v>
      </c>
    </row>
    <row r="3563" spans="1:5">
      <c r="A3563" s="59">
        <v>7</v>
      </c>
      <c r="B3563" s="59">
        <v>13</v>
      </c>
      <c r="C3563" s="59">
        <v>210</v>
      </c>
      <c r="D3563" s="51">
        <v>1</v>
      </c>
      <c r="E3563" s="51">
        <f t="shared" si="55"/>
        <v>1</v>
      </c>
    </row>
    <row r="3564" spans="1:5">
      <c r="A3564" s="59">
        <v>7</v>
      </c>
      <c r="B3564" s="59">
        <v>13</v>
      </c>
      <c r="C3564" s="59">
        <v>510</v>
      </c>
      <c r="D3564" s="51">
        <v>1</v>
      </c>
      <c r="E3564" s="51">
        <f t="shared" si="55"/>
        <v>1</v>
      </c>
    </row>
    <row r="3565" spans="1:5">
      <c r="A3565" s="59">
        <v>7</v>
      </c>
      <c r="B3565" s="59">
        <v>13</v>
      </c>
      <c r="C3565" s="59">
        <v>530</v>
      </c>
      <c r="D3565" s="51">
        <v>1</v>
      </c>
      <c r="E3565" s="51">
        <f t="shared" si="55"/>
        <v>1</v>
      </c>
    </row>
    <row r="3566" spans="1:5">
      <c r="A3566" s="59">
        <v>7</v>
      </c>
      <c r="B3566" s="59">
        <v>13</v>
      </c>
      <c r="C3566" s="59">
        <v>910</v>
      </c>
      <c r="D3566" s="51">
        <v>1</v>
      </c>
      <c r="E3566" s="51">
        <f t="shared" si="55"/>
        <v>1</v>
      </c>
    </row>
    <row r="3567" spans="1:5">
      <c r="A3567" s="59">
        <v>7</v>
      </c>
      <c r="B3567" s="59">
        <v>14</v>
      </c>
      <c r="C3567" s="59">
        <v>210</v>
      </c>
      <c r="D3567" s="51">
        <v>1</v>
      </c>
      <c r="E3567" s="51">
        <f t="shared" si="55"/>
        <v>1</v>
      </c>
    </row>
    <row r="3568" spans="1:5">
      <c r="A3568" s="59">
        <v>7</v>
      </c>
      <c r="B3568" s="59">
        <v>22</v>
      </c>
      <c r="C3568" s="59">
        <v>510</v>
      </c>
      <c r="D3568" s="51">
        <v>1</v>
      </c>
      <c r="E3568" s="51">
        <f t="shared" si="55"/>
        <v>1</v>
      </c>
    </row>
    <row r="3569" spans="1:5">
      <c r="A3569" s="59">
        <v>7</v>
      </c>
      <c r="B3569" s="59">
        <v>31</v>
      </c>
      <c r="C3569" s="59">
        <v>150</v>
      </c>
      <c r="D3569" s="51">
        <v>1</v>
      </c>
      <c r="E3569" s="51">
        <f t="shared" si="55"/>
        <v>1</v>
      </c>
    </row>
    <row r="3570" spans="1:5">
      <c r="A3570" s="59">
        <v>7</v>
      </c>
      <c r="B3570" s="59">
        <v>31</v>
      </c>
      <c r="C3570" s="59">
        <v>530</v>
      </c>
      <c r="D3570" s="51">
        <v>1</v>
      </c>
      <c r="E3570" s="51">
        <f t="shared" si="55"/>
        <v>1</v>
      </c>
    </row>
    <row r="3571" spans="1:5">
      <c r="A3571" s="59">
        <v>7</v>
      </c>
      <c r="B3571" s="59">
        <v>31</v>
      </c>
      <c r="C3571" s="59">
        <v>895</v>
      </c>
      <c r="D3571" s="51">
        <v>1</v>
      </c>
      <c r="E3571" s="51">
        <f t="shared" si="55"/>
        <v>1</v>
      </c>
    </row>
    <row r="3572" spans="1:5">
      <c r="A3572" s="59">
        <v>7</v>
      </c>
      <c r="B3572" s="59">
        <v>33</v>
      </c>
      <c r="C3572" s="59">
        <v>210</v>
      </c>
      <c r="D3572" s="51">
        <v>1</v>
      </c>
      <c r="E3572" s="51">
        <f t="shared" si="55"/>
        <v>1</v>
      </c>
    </row>
    <row r="3573" spans="1:5">
      <c r="A3573" s="59">
        <v>7</v>
      </c>
      <c r="B3573" s="59">
        <v>33</v>
      </c>
      <c r="C3573" s="59">
        <v>410</v>
      </c>
      <c r="D3573" s="51">
        <v>1</v>
      </c>
      <c r="E3573" s="51">
        <f t="shared" si="55"/>
        <v>1</v>
      </c>
    </row>
    <row r="3574" spans="1:5">
      <c r="A3574" s="59">
        <v>7</v>
      </c>
      <c r="B3574" s="59">
        <v>33</v>
      </c>
      <c r="C3574" s="59">
        <v>530</v>
      </c>
      <c r="D3574" s="51">
        <v>1</v>
      </c>
      <c r="E3574" s="51">
        <f t="shared" si="55"/>
        <v>1</v>
      </c>
    </row>
    <row r="3575" spans="1:5">
      <c r="A3575" s="59">
        <v>7</v>
      </c>
      <c r="B3575" s="59">
        <v>42</v>
      </c>
      <c r="C3575" s="59">
        <v>210</v>
      </c>
      <c r="D3575" s="51">
        <v>1</v>
      </c>
      <c r="E3575" s="51">
        <f t="shared" si="55"/>
        <v>1</v>
      </c>
    </row>
    <row r="3576" spans="1:5">
      <c r="A3576" s="59">
        <v>7</v>
      </c>
      <c r="B3576" s="59">
        <v>43</v>
      </c>
      <c r="C3576" s="59">
        <v>140</v>
      </c>
      <c r="D3576" s="51">
        <v>1</v>
      </c>
      <c r="E3576" s="51">
        <f t="shared" si="55"/>
        <v>1</v>
      </c>
    </row>
    <row r="3577" spans="1:5">
      <c r="A3577" s="59">
        <v>7</v>
      </c>
      <c r="B3577" s="59">
        <v>43</v>
      </c>
      <c r="C3577" s="59">
        <v>220</v>
      </c>
      <c r="D3577" s="51">
        <v>1</v>
      </c>
      <c r="E3577" s="51">
        <f t="shared" si="55"/>
        <v>1</v>
      </c>
    </row>
    <row r="3578" spans="1:5">
      <c r="A3578" s="59">
        <v>7</v>
      </c>
      <c r="B3578" s="59">
        <v>44</v>
      </c>
      <c r="C3578" s="59">
        <v>930</v>
      </c>
      <c r="D3578" s="51">
        <v>1</v>
      </c>
      <c r="E3578" s="51">
        <f t="shared" si="55"/>
        <v>1</v>
      </c>
    </row>
    <row r="3579" spans="1:5">
      <c r="A3579" s="59">
        <v>7</v>
      </c>
      <c r="B3579" s="59">
        <v>51</v>
      </c>
      <c r="C3579" s="59">
        <v>620</v>
      </c>
      <c r="D3579" s="51">
        <v>1</v>
      </c>
      <c r="E3579" s="51">
        <f t="shared" si="55"/>
        <v>1</v>
      </c>
    </row>
    <row r="3580" spans="1:5">
      <c r="A3580" s="59">
        <v>7</v>
      </c>
      <c r="B3580" s="59">
        <v>62</v>
      </c>
      <c r="C3580" s="59">
        <v>530</v>
      </c>
      <c r="D3580" s="51">
        <v>1</v>
      </c>
      <c r="E3580" s="51">
        <f t="shared" si="55"/>
        <v>1</v>
      </c>
    </row>
    <row r="3581" spans="1:5">
      <c r="A3581" s="59">
        <v>7</v>
      </c>
      <c r="B3581" s="59">
        <v>62</v>
      </c>
      <c r="C3581" s="59">
        <v>720</v>
      </c>
      <c r="D3581" s="51">
        <v>1</v>
      </c>
      <c r="E3581" s="51">
        <f t="shared" si="55"/>
        <v>1</v>
      </c>
    </row>
    <row r="3582" spans="1:5">
      <c r="A3582" s="59">
        <v>7</v>
      </c>
      <c r="B3582" s="59">
        <v>62</v>
      </c>
      <c r="C3582" s="59">
        <v>730</v>
      </c>
      <c r="D3582" s="51">
        <v>1</v>
      </c>
      <c r="E3582" s="51">
        <f t="shared" si="55"/>
        <v>1</v>
      </c>
    </row>
    <row r="3583" spans="1:5">
      <c r="A3583" s="59">
        <v>7</v>
      </c>
      <c r="B3583" s="59">
        <v>62</v>
      </c>
      <c r="C3583" s="59">
        <v>990</v>
      </c>
      <c r="D3583" s="51">
        <v>1</v>
      </c>
      <c r="E3583" s="51">
        <f t="shared" si="55"/>
        <v>1</v>
      </c>
    </row>
    <row r="3584" spans="1:5">
      <c r="A3584" s="59">
        <v>7</v>
      </c>
      <c r="B3584" s="59">
        <v>63</v>
      </c>
      <c r="C3584" s="59">
        <v>960</v>
      </c>
      <c r="D3584" s="51">
        <v>1</v>
      </c>
      <c r="E3584" s="51">
        <f t="shared" si="55"/>
        <v>1</v>
      </c>
    </row>
    <row r="3585" spans="1:5">
      <c r="A3585" s="59">
        <v>7</v>
      </c>
      <c r="B3585" s="59">
        <v>64</v>
      </c>
      <c r="C3585" s="59">
        <v>550</v>
      </c>
      <c r="D3585" s="51">
        <v>1</v>
      </c>
      <c r="E3585" s="51">
        <f t="shared" si="55"/>
        <v>1</v>
      </c>
    </row>
    <row r="3586" spans="1:5">
      <c r="A3586" s="59">
        <v>7</v>
      </c>
      <c r="B3586" s="59">
        <v>64</v>
      </c>
      <c r="C3586" s="59">
        <v>891</v>
      </c>
      <c r="D3586" s="51">
        <v>1</v>
      </c>
      <c r="E3586" s="51">
        <f t="shared" ref="E3586:E3649" si="56">IF(OR(A3586=6,A3586=7,A3586=14,A3586=15,A3586=16,A3586=17,A3586=18,A3586=19,A3586=20,A3586=21,A3586=22,A3586=23,A3586=25,A3586=26,A3586=27,A3586=28,B3586=41,B3586=44,B3586=62),1,0)</f>
        <v>1</v>
      </c>
    </row>
    <row r="3587" spans="1:5">
      <c r="A3587" s="59">
        <v>7</v>
      </c>
      <c r="B3587" s="59">
        <v>64</v>
      </c>
      <c r="C3587" s="59">
        <v>899</v>
      </c>
      <c r="D3587" s="51">
        <v>1</v>
      </c>
      <c r="E3587" s="51">
        <f t="shared" si="56"/>
        <v>1</v>
      </c>
    </row>
    <row r="3588" spans="1:5">
      <c r="A3588" s="59">
        <v>7</v>
      </c>
      <c r="B3588" s="59">
        <v>64</v>
      </c>
      <c r="C3588" s="59">
        <v>940</v>
      </c>
      <c r="D3588" s="51">
        <v>1</v>
      </c>
      <c r="E3588" s="51">
        <f t="shared" si="56"/>
        <v>1</v>
      </c>
    </row>
    <row r="3589" spans="1:5">
      <c r="A3589" s="59">
        <v>7</v>
      </c>
      <c r="B3589" s="59">
        <v>64</v>
      </c>
      <c r="C3589" s="59">
        <v>970</v>
      </c>
      <c r="D3589" s="51">
        <v>1</v>
      </c>
      <c r="E3589" s="51">
        <f t="shared" si="56"/>
        <v>1</v>
      </c>
    </row>
    <row r="3590" spans="1:5">
      <c r="A3590" s="59">
        <v>7</v>
      </c>
      <c r="B3590" s="59">
        <v>71</v>
      </c>
      <c r="C3590" s="59">
        <v>160</v>
      </c>
      <c r="D3590" s="51">
        <v>1</v>
      </c>
      <c r="E3590" s="51">
        <f t="shared" si="56"/>
        <v>1</v>
      </c>
    </row>
    <row r="3591" spans="1:5">
      <c r="A3591" s="59">
        <v>7</v>
      </c>
      <c r="B3591" s="59">
        <v>71</v>
      </c>
      <c r="C3591" s="59">
        <v>440</v>
      </c>
      <c r="D3591" s="51">
        <v>1</v>
      </c>
      <c r="E3591" s="51">
        <f t="shared" si="56"/>
        <v>1</v>
      </c>
    </row>
    <row r="3592" spans="1:5">
      <c r="A3592" s="59">
        <v>7</v>
      </c>
      <c r="B3592" s="59">
        <v>71</v>
      </c>
      <c r="C3592" s="59">
        <v>720</v>
      </c>
      <c r="D3592" s="51">
        <v>1</v>
      </c>
      <c r="E3592" s="51">
        <f t="shared" si="56"/>
        <v>1</v>
      </c>
    </row>
    <row r="3593" spans="1:5">
      <c r="A3593" s="59">
        <v>7</v>
      </c>
      <c r="B3593" s="59">
        <v>81</v>
      </c>
      <c r="C3593" s="59">
        <v>640</v>
      </c>
      <c r="D3593" s="51">
        <v>1</v>
      </c>
      <c r="E3593" s="51">
        <f t="shared" si="56"/>
        <v>1</v>
      </c>
    </row>
    <row r="3594" spans="1:5">
      <c r="A3594" s="59">
        <v>8</v>
      </c>
      <c r="B3594" s="59">
        <v>64</v>
      </c>
      <c r="C3594" s="59">
        <v>110</v>
      </c>
      <c r="D3594" s="51">
        <v>1760236</v>
      </c>
      <c r="E3594" s="51">
        <f t="shared" si="56"/>
        <v>0</v>
      </c>
    </row>
    <row r="3595" spans="1:5">
      <c r="A3595" s="59">
        <v>8</v>
      </c>
      <c r="B3595" s="59">
        <v>14</v>
      </c>
      <c r="C3595" s="59">
        <v>110</v>
      </c>
      <c r="D3595" s="51">
        <v>894391</v>
      </c>
      <c r="E3595" s="51">
        <f t="shared" si="56"/>
        <v>0</v>
      </c>
    </row>
    <row r="3596" spans="1:5">
      <c r="A3596" s="59">
        <v>8</v>
      </c>
      <c r="B3596" s="59">
        <v>13</v>
      </c>
      <c r="C3596" s="59">
        <v>110</v>
      </c>
      <c r="D3596" s="51">
        <v>504205</v>
      </c>
      <c r="E3596" s="51">
        <f t="shared" si="56"/>
        <v>0</v>
      </c>
    </row>
    <row r="3597" spans="1:5">
      <c r="A3597" s="59">
        <v>8</v>
      </c>
      <c r="B3597" s="59">
        <v>43</v>
      </c>
      <c r="C3597" s="59">
        <v>110</v>
      </c>
      <c r="D3597" s="51">
        <v>298460</v>
      </c>
      <c r="E3597" s="51">
        <f t="shared" si="56"/>
        <v>0</v>
      </c>
    </row>
    <row r="3598" spans="1:5">
      <c r="A3598" s="59">
        <v>8</v>
      </c>
      <c r="B3598" s="59">
        <v>22</v>
      </c>
      <c r="C3598" s="59">
        <v>210</v>
      </c>
      <c r="D3598" s="51">
        <v>229743</v>
      </c>
      <c r="E3598" s="51">
        <f t="shared" si="56"/>
        <v>0</v>
      </c>
    </row>
    <row r="3599" spans="1:5">
      <c r="A3599" s="59">
        <v>8</v>
      </c>
      <c r="B3599" s="59">
        <v>14</v>
      </c>
      <c r="C3599" s="59">
        <v>310</v>
      </c>
      <c r="D3599" s="51">
        <v>218807</v>
      </c>
      <c r="E3599" s="51">
        <f t="shared" si="56"/>
        <v>0</v>
      </c>
    </row>
    <row r="3600" spans="1:5">
      <c r="A3600" s="59">
        <v>8</v>
      </c>
      <c r="B3600" s="59">
        <v>64</v>
      </c>
      <c r="C3600" s="59">
        <v>150</v>
      </c>
      <c r="D3600" s="51">
        <v>184265</v>
      </c>
      <c r="E3600" s="51">
        <f t="shared" si="56"/>
        <v>0</v>
      </c>
    </row>
    <row r="3601" spans="1:5">
      <c r="A3601" s="59">
        <v>8</v>
      </c>
      <c r="B3601" s="59">
        <v>14</v>
      </c>
      <c r="C3601" s="59">
        <v>130</v>
      </c>
      <c r="D3601" s="51">
        <v>145281</v>
      </c>
      <c r="E3601" s="51">
        <f t="shared" si="56"/>
        <v>0</v>
      </c>
    </row>
    <row r="3602" spans="1:5">
      <c r="A3602" s="59">
        <v>8</v>
      </c>
      <c r="B3602" s="59">
        <v>63</v>
      </c>
      <c r="C3602" s="59">
        <v>110</v>
      </c>
      <c r="D3602" s="51">
        <v>140591</v>
      </c>
      <c r="E3602" s="51">
        <f t="shared" si="56"/>
        <v>0</v>
      </c>
    </row>
    <row r="3603" spans="1:5">
      <c r="A3603" s="59">
        <v>8</v>
      </c>
      <c r="B3603" s="59">
        <v>15</v>
      </c>
      <c r="C3603" s="59">
        <v>110</v>
      </c>
      <c r="D3603" s="51">
        <v>129702</v>
      </c>
      <c r="E3603" s="51">
        <f t="shared" si="56"/>
        <v>0</v>
      </c>
    </row>
    <row r="3604" spans="1:5">
      <c r="A3604" s="59">
        <v>8</v>
      </c>
      <c r="B3604" s="59">
        <v>14</v>
      </c>
      <c r="C3604" s="59">
        <v>210</v>
      </c>
      <c r="D3604" s="51">
        <v>123512</v>
      </c>
      <c r="E3604" s="51">
        <f t="shared" si="56"/>
        <v>0</v>
      </c>
    </row>
    <row r="3605" spans="1:5">
      <c r="A3605" s="59">
        <v>8</v>
      </c>
      <c r="B3605" s="59">
        <v>64</v>
      </c>
      <c r="C3605" s="59">
        <v>160</v>
      </c>
      <c r="D3605" s="51">
        <v>111671</v>
      </c>
      <c r="E3605" s="51">
        <f t="shared" si="56"/>
        <v>0</v>
      </c>
    </row>
    <row r="3606" spans="1:5">
      <c r="A3606" s="59">
        <v>8</v>
      </c>
      <c r="B3606" s="59">
        <v>62</v>
      </c>
      <c r="C3606" s="59">
        <v>110</v>
      </c>
      <c r="D3606" s="51">
        <v>111442</v>
      </c>
      <c r="E3606" s="51">
        <f t="shared" si="56"/>
        <v>1</v>
      </c>
    </row>
    <row r="3607" spans="1:5">
      <c r="A3607" s="59">
        <v>8</v>
      </c>
      <c r="B3607" s="59">
        <v>14</v>
      </c>
      <c r="C3607" s="59">
        <v>150</v>
      </c>
      <c r="D3607" s="51">
        <v>106787</v>
      </c>
      <c r="E3607" s="51">
        <f t="shared" si="56"/>
        <v>0</v>
      </c>
    </row>
    <row r="3608" spans="1:5">
      <c r="A3608" s="59">
        <v>8</v>
      </c>
      <c r="B3608" s="59">
        <v>13</v>
      </c>
      <c r="C3608" s="59">
        <v>310</v>
      </c>
      <c r="D3608" s="51">
        <v>105124</v>
      </c>
      <c r="E3608" s="51">
        <f t="shared" si="56"/>
        <v>0</v>
      </c>
    </row>
    <row r="3609" spans="1:5">
      <c r="A3609" s="59">
        <v>8</v>
      </c>
      <c r="B3609" s="59">
        <v>13</v>
      </c>
      <c r="C3609" s="59">
        <v>150</v>
      </c>
      <c r="D3609" s="51">
        <v>100704</v>
      </c>
      <c r="E3609" s="51">
        <f t="shared" si="56"/>
        <v>0</v>
      </c>
    </row>
    <row r="3610" spans="1:5">
      <c r="A3610" s="59">
        <v>8</v>
      </c>
      <c r="B3610" s="59">
        <v>14</v>
      </c>
      <c r="C3610" s="59">
        <v>160</v>
      </c>
      <c r="D3610" s="51">
        <v>92878</v>
      </c>
      <c r="E3610" s="51">
        <f t="shared" si="56"/>
        <v>0</v>
      </c>
    </row>
    <row r="3611" spans="1:5">
      <c r="A3611" s="59">
        <v>8</v>
      </c>
      <c r="B3611" s="59">
        <v>22</v>
      </c>
      <c r="C3611" s="59">
        <v>110</v>
      </c>
      <c r="D3611" s="51">
        <v>88739</v>
      </c>
      <c r="E3611" s="51">
        <f t="shared" si="56"/>
        <v>0</v>
      </c>
    </row>
    <row r="3612" spans="1:5">
      <c r="A3612" s="59">
        <v>8</v>
      </c>
      <c r="B3612" s="59">
        <v>71</v>
      </c>
      <c r="C3612" s="59">
        <v>110</v>
      </c>
      <c r="D3612" s="51">
        <v>77099</v>
      </c>
      <c r="E3612" s="51">
        <f t="shared" si="56"/>
        <v>0</v>
      </c>
    </row>
    <row r="3613" spans="1:5">
      <c r="A3613" s="59">
        <v>8</v>
      </c>
      <c r="B3613" s="59">
        <v>14</v>
      </c>
      <c r="C3613" s="59">
        <v>330</v>
      </c>
      <c r="D3613" s="51">
        <v>67575</v>
      </c>
      <c r="E3613" s="51">
        <f t="shared" si="56"/>
        <v>0</v>
      </c>
    </row>
    <row r="3614" spans="1:5">
      <c r="A3614" s="59">
        <v>8</v>
      </c>
      <c r="B3614" s="59">
        <v>14</v>
      </c>
      <c r="C3614" s="59">
        <v>910</v>
      </c>
      <c r="D3614" s="51">
        <v>66173</v>
      </c>
      <c r="E3614" s="51">
        <f t="shared" si="56"/>
        <v>0</v>
      </c>
    </row>
    <row r="3615" spans="1:5">
      <c r="A3615" s="59">
        <v>8</v>
      </c>
      <c r="B3615" s="59">
        <v>16</v>
      </c>
      <c r="C3615" s="59">
        <v>110</v>
      </c>
      <c r="D3615" s="51">
        <v>61670</v>
      </c>
      <c r="E3615" s="51">
        <f t="shared" si="56"/>
        <v>0</v>
      </c>
    </row>
    <row r="3616" spans="1:5">
      <c r="A3616" s="59">
        <v>8</v>
      </c>
      <c r="B3616" s="59">
        <v>64</v>
      </c>
      <c r="C3616" s="59">
        <v>210</v>
      </c>
      <c r="D3616" s="51">
        <v>60100</v>
      </c>
      <c r="E3616" s="51">
        <f t="shared" si="56"/>
        <v>0</v>
      </c>
    </row>
    <row r="3617" spans="1:5">
      <c r="A3617" s="59">
        <v>8</v>
      </c>
      <c r="B3617" s="59">
        <v>22</v>
      </c>
      <c r="C3617" s="59">
        <v>310</v>
      </c>
      <c r="D3617" s="51">
        <v>57451</v>
      </c>
      <c r="E3617" s="51">
        <f t="shared" si="56"/>
        <v>0</v>
      </c>
    </row>
    <row r="3618" spans="1:5">
      <c r="A3618" s="59">
        <v>8</v>
      </c>
      <c r="B3618" s="59">
        <v>64</v>
      </c>
      <c r="C3618" s="59">
        <v>910</v>
      </c>
      <c r="D3618" s="51">
        <v>57067</v>
      </c>
      <c r="E3618" s="51">
        <f t="shared" si="56"/>
        <v>0</v>
      </c>
    </row>
    <row r="3619" spans="1:5">
      <c r="A3619" s="59">
        <v>8</v>
      </c>
      <c r="B3619" s="59">
        <v>13</v>
      </c>
      <c r="C3619" s="59">
        <v>160</v>
      </c>
      <c r="D3619" s="51">
        <v>52773</v>
      </c>
      <c r="E3619" s="51">
        <f t="shared" si="56"/>
        <v>0</v>
      </c>
    </row>
    <row r="3620" spans="1:5">
      <c r="A3620" s="59">
        <v>8</v>
      </c>
      <c r="B3620" s="59">
        <v>16</v>
      </c>
      <c r="C3620" s="59">
        <v>210</v>
      </c>
      <c r="D3620" s="51">
        <v>51786</v>
      </c>
      <c r="E3620" s="51">
        <f t="shared" si="56"/>
        <v>0</v>
      </c>
    </row>
    <row r="3621" spans="1:5">
      <c r="A3621" s="59">
        <v>8</v>
      </c>
      <c r="B3621" s="59">
        <v>64</v>
      </c>
      <c r="C3621" s="59">
        <v>310</v>
      </c>
      <c r="D3621" s="51">
        <v>50995</v>
      </c>
      <c r="E3621" s="51">
        <f t="shared" si="56"/>
        <v>0</v>
      </c>
    </row>
    <row r="3622" spans="1:5">
      <c r="A3622" s="59">
        <v>8</v>
      </c>
      <c r="B3622" s="59">
        <v>14</v>
      </c>
      <c r="C3622" s="59">
        <v>140</v>
      </c>
      <c r="D3622" s="51">
        <v>44299</v>
      </c>
      <c r="E3622" s="51">
        <f t="shared" si="56"/>
        <v>0</v>
      </c>
    </row>
    <row r="3623" spans="1:5">
      <c r="A3623" s="59">
        <v>8</v>
      </c>
      <c r="B3623" s="59">
        <v>15</v>
      </c>
      <c r="C3623" s="59">
        <v>140</v>
      </c>
      <c r="D3623" s="51">
        <v>42615</v>
      </c>
      <c r="E3623" s="51">
        <f t="shared" si="56"/>
        <v>0</v>
      </c>
    </row>
    <row r="3624" spans="1:5">
      <c r="A3624" s="59">
        <v>8</v>
      </c>
      <c r="B3624" s="59">
        <v>13</v>
      </c>
      <c r="C3624" s="59">
        <v>130</v>
      </c>
      <c r="D3624" s="51">
        <v>39501</v>
      </c>
      <c r="E3624" s="51">
        <f t="shared" si="56"/>
        <v>0</v>
      </c>
    </row>
    <row r="3625" spans="1:5">
      <c r="A3625" s="59">
        <v>8</v>
      </c>
      <c r="B3625" s="59">
        <v>64</v>
      </c>
      <c r="C3625" s="59">
        <v>510</v>
      </c>
      <c r="D3625" s="51">
        <v>38193</v>
      </c>
      <c r="E3625" s="51">
        <f t="shared" si="56"/>
        <v>0</v>
      </c>
    </row>
    <row r="3626" spans="1:5">
      <c r="A3626" s="59">
        <v>8</v>
      </c>
      <c r="B3626" s="59">
        <v>43</v>
      </c>
      <c r="C3626" s="59">
        <v>210</v>
      </c>
      <c r="D3626" s="51">
        <v>37587</v>
      </c>
      <c r="E3626" s="51">
        <f t="shared" si="56"/>
        <v>0</v>
      </c>
    </row>
    <row r="3627" spans="1:5">
      <c r="A3627" s="59">
        <v>8</v>
      </c>
      <c r="B3627" s="59">
        <v>43</v>
      </c>
      <c r="C3627" s="59">
        <v>160</v>
      </c>
      <c r="D3627" s="51">
        <v>36193</v>
      </c>
      <c r="E3627" s="51">
        <f t="shared" si="56"/>
        <v>0</v>
      </c>
    </row>
    <row r="3628" spans="1:5">
      <c r="A3628" s="59">
        <v>8</v>
      </c>
      <c r="B3628" s="59">
        <v>43</v>
      </c>
      <c r="C3628" s="59">
        <v>150</v>
      </c>
      <c r="D3628" s="51">
        <v>36186</v>
      </c>
      <c r="E3628" s="51">
        <f t="shared" si="56"/>
        <v>0</v>
      </c>
    </row>
    <row r="3629" spans="1:5">
      <c r="A3629" s="59">
        <v>8</v>
      </c>
      <c r="B3629" s="59">
        <v>13</v>
      </c>
      <c r="C3629" s="59">
        <v>210</v>
      </c>
      <c r="D3629" s="51">
        <v>35391</v>
      </c>
      <c r="E3629" s="51">
        <f t="shared" si="56"/>
        <v>0</v>
      </c>
    </row>
    <row r="3630" spans="1:5">
      <c r="A3630" s="59">
        <v>8</v>
      </c>
      <c r="B3630" s="59">
        <v>15</v>
      </c>
      <c r="C3630" s="59">
        <v>210</v>
      </c>
      <c r="D3630" s="51">
        <v>34312</v>
      </c>
      <c r="E3630" s="51">
        <f t="shared" si="56"/>
        <v>0</v>
      </c>
    </row>
    <row r="3631" spans="1:5">
      <c r="A3631" s="59">
        <v>8</v>
      </c>
      <c r="B3631" s="59">
        <v>13</v>
      </c>
      <c r="C3631" s="59">
        <v>910</v>
      </c>
      <c r="D3631" s="51">
        <v>32753</v>
      </c>
      <c r="E3631" s="51">
        <f t="shared" si="56"/>
        <v>0</v>
      </c>
    </row>
    <row r="3632" spans="1:5">
      <c r="A3632" s="59">
        <v>8</v>
      </c>
      <c r="B3632" s="59">
        <v>11</v>
      </c>
      <c r="C3632" s="59">
        <v>110</v>
      </c>
      <c r="D3632" s="51">
        <v>29943</v>
      </c>
      <c r="E3632" s="51">
        <f t="shared" si="56"/>
        <v>0</v>
      </c>
    </row>
    <row r="3633" spans="1:5">
      <c r="A3633" s="59">
        <v>8</v>
      </c>
      <c r="B3633" s="59">
        <v>15</v>
      </c>
      <c r="C3633" s="59">
        <v>310</v>
      </c>
      <c r="D3633" s="51">
        <v>28905</v>
      </c>
      <c r="E3633" s="51">
        <f t="shared" si="56"/>
        <v>0</v>
      </c>
    </row>
    <row r="3634" spans="1:5">
      <c r="A3634" s="59">
        <v>8</v>
      </c>
      <c r="B3634" s="59">
        <v>22</v>
      </c>
      <c r="C3634" s="59">
        <v>240</v>
      </c>
      <c r="D3634" s="51">
        <v>27955</v>
      </c>
      <c r="E3634" s="51">
        <f t="shared" si="56"/>
        <v>0</v>
      </c>
    </row>
    <row r="3635" spans="1:5">
      <c r="A3635" s="59">
        <v>8</v>
      </c>
      <c r="B3635" s="59">
        <v>16</v>
      </c>
      <c r="C3635" s="59">
        <v>310</v>
      </c>
      <c r="D3635" s="51">
        <v>26932</v>
      </c>
      <c r="E3635" s="51">
        <f t="shared" si="56"/>
        <v>0</v>
      </c>
    </row>
    <row r="3636" spans="1:5">
      <c r="A3636" s="59">
        <v>8</v>
      </c>
      <c r="B3636" s="59">
        <v>22</v>
      </c>
      <c r="C3636" s="59">
        <v>230</v>
      </c>
      <c r="D3636" s="51">
        <v>26798</v>
      </c>
      <c r="E3636" s="51">
        <f t="shared" si="56"/>
        <v>0</v>
      </c>
    </row>
    <row r="3637" spans="1:5">
      <c r="A3637" s="59">
        <v>8</v>
      </c>
      <c r="B3637" s="59">
        <v>22</v>
      </c>
      <c r="C3637" s="59">
        <v>910</v>
      </c>
      <c r="D3637" s="51">
        <v>26391</v>
      </c>
      <c r="E3637" s="51">
        <f t="shared" si="56"/>
        <v>0</v>
      </c>
    </row>
    <row r="3638" spans="1:5">
      <c r="A3638" s="59">
        <v>8</v>
      </c>
      <c r="B3638" s="59">
        <v>81</v>
      </c>
      <c r="C3638" s="59">
        <v>110</v>
      </c>
      <c r="D3638" s="51">
        <v>24622</v>
      </c>
      <c r="E3638" s="51">
        <f t="shared" si="56"/>
        <v>0</v>
      </c>
    </row>
    <row r="3639" spans="1:5">
      <c r="A3639" s="59">
        <v>8</v>
      </c>
      <c r="B3639" s="59">
        <v>13</v>
      </c>
      <c r="C3639" s="59">
        <v>320</v>
      </c>
      <c r="D3639" s="51">
        <v>23967</v>
      </c>
      <c r="E3639" s="51">
        <f t="shared" si="56"/>
        <v>0</v>
      </c>
    </row>
    <row r="3640" spans="1:5">
      <c r="A3640" s="59">
        <v>8</v>
      </c>
      <c r="B3640" s="59">
        <v>14</v>
      </c>
      <c r="C3640" s="59">
        <v>240</v>
      </c>
      <c r="D3640" s="51">
        <v>21768</v>
      </c>
      <c r="E3640" s="51">
        <f t="shared" si="56"/>
        <v>0</v>
      </c>
    </row>
    <row r="3641" spans="1:5">
      <c r="A3641" s="59">
        <v>8</v>
      </c>
      <c r="B3641" s="59">
        <v>14</v>
      </c>
      <c r="C3641" s="59">
        <v>120</v>
      </c>
      <c r="D3641" s="51">
        <v>21488</v>
      </c>
      <c r="E3641" s="51">
        <f t="shared" si="56"/>
        <v>0</v>
      </c>
    </row>
    <row r="3642" spans="1:5">
      <c r="A3642" s="59">
        <v>8</v>
      </c>
      <c r="B3642" s="59">
        <v>43</v>
      </c>
      <c r="C3642" s="59">
        <v>910</v>
      </c>
      <c r="D3642" s="51">
        <v>19591</v>
      </c>
      <c r="E3642" s="51">
        <f t="shared" si="56"/>
        <v>0</v>
      </c>
    </row>
    <row r="3643" spans="1:5">
      <c r="A3643" s="59">
        <v>8</v>
      </c>
      <c r="B3643" s="59">
        <v>22</v>
      </c>
      <c r="C3643" s="59">
        <v>330</v>
      </c>
      <c r="D3643" s="51">
        <v>18444</v>
      </c>
      <c r="E3643" s="51">
        <f t="shared" si="56"/>
        <v>0</v>
      </c>
    </row>
    <row r="3644" spans="1:5">
      <c r="A3644" s="59">
        <v>8</v>
      </c>
      <c r="B3644" s="59">
        <v>14</v>
      </c>
      <c r="C3644" s="59">
        <v>320</v>
      </c>
      <c r="D3644" s="51">
        <v>18042</v>
      </c>
      <c r="E3644" s="51">
        <f t="shared" si="56"/>
        <v>0</v>
      </c>
    </row>
    <row r="3645" spans="1:5">
      <c r="A3645" s="59">
        <v>8</v>
      </c>
      <c r="B3645" s="59">
        <v>13</v>
      </c>
      <c r="C3645" s="59">
        <v>330</v>
      </c>
      <c r="D3645" s="51">
        <v>18004</v>
      </c>
      <c r="E3645" s="51">
        <f t="shared" si="56"/>
        <v>0</v>
      </c>
    </row>
    <row r="3646" spans="1:5">
      <c r="A3646" s="59">
        <v>8</v>
      </c>
      <c r="B3646" s="59">
        <v>63</v>
      </c>
      <c r="C3646" s="59">
        <v>150</v>
      </c>
      <c r="D3646" s="51">
        <v>17465</v>
      </c>
      <c r="E3646" s="51">
        <f t="shared" si="56"/>
        <v>0</v>
      </c>
    </row>
    <row r="3647" spans="1:5">
      <c r="A3647" s="59">
        <v>8</v>
      </c>
      <c r="B3647" s="59">
        <v>62</v>
      </c>
      <c r="C3647" s="59">
        <v>150</v>
      </c>
      <c r="D3647" s="51">
        <v>16833</v>
      </c>
      <c r="E3647" s="51">
        <f t="shared" si="56"/>
        <v>1</v>
      </c>
    </row>
    <row r="3648" spans="1:5">
      <c r="A3648" s="59">
        <v>8</v>
      </c>
      <c r="B3648" s="59">
        <v>15</v>
      </c>
      <c r="C3648" s="59">
        <v>150</v>
      </c>
      <c r="D3648" s="51">
        <v>15818</v>
      </c>
      <c r="E3648" s="51">
        <f t="shared" si="56"/>
        <v>0</v>
      </c>
    </row>
    <row r="3649" spans="1:5">
      <c r="A3649" s="59">
        <v>8</v>
      </c>
      <c r="B3649" s="59">
        <v>43</v>
      </c>
      <c r="C3649" s="59">
        <v>310</v>
      </c>
      <c r="D3649" s="51">
        <v>15628</v>
      </c>
      <c r="E3649" s="51">
        <f t="shared" si="56"/>
        <v>0</v>
      </c>
    </row>
    <row r="3650" spans="1:5">
      <c r="A3650" s="59">
        <v>8</v>
      </c>
      <c r="B3650" s="59">
        <v>42</v>
      </c>
      <c r="C3650" s="59">
        <v>110</v>
      </c>
      <c r="D3650" s="51">
        <v>15445</v>
      </c>
      <c r="E3650" s="51">
        <f t="shared" ref="E3650:E3713" si="57">IF(OR(A3650=6,A3650=7,A3650=14,A3650=15,A3650=16,A3650=17,A3650=18,A3650=19,A3650=20,A3650=21,A3650=22,A3650=23,A3650=25,A3650=26,A3650=27,A3650=28,B3650=41,B3650=44,B3650=62),1,0)</f>
        <v>0</v>
      </c>
    </row>
    <row r="3651" spans="1:5">
      <c r="A3651" s="59">
        <v>8</v>
      </c>
      <c r="B3651" s="59">
        <v>15</v>
      </c>
      <c r="C3651" s="59">
        <v>130</v>
      </c>
      <c r="D3651" s="51">
        <v>15405</v>
      </c>
      <c r="E3651" s="51">
        <f t="shared" si="57"/>
        <v>0</v>
      </c>
    </row>
    <row r="3652" spans="1:5">
      <c r="A3652" s="59">
        <v>8</v>
      </c>
      <c r="B3652" s="59">
        <v>21</v>
      </c>
      <c r="C3652" s="59">
        <v>210</v>
      </c>
      <c r="D3652" s="51">
        <v>15375</v>
      </c>
      <c r="E3652" s="51">
        <f t="shared" si="57"/>
        <v>0</v>
      </c>
    </row>
    <row r="3653" spans="1:5">
      <c r="A3653" s="59">
        <v>8</v>
      </c>
      <c r="B3653" s="59">
        <v>44</v>
      </c>
      <c r="C3653" s="59">
        <v>110</v>
      </c>
      <c r="D3653" s="51">
        <v>15140</v>
      </c>
      <c r="E3653" s="51">
        <f t="shared" si="57"/>
        <v>1</v>
      </c>
    </row>
    <row r="3654" spans="1:5">
      <c r="A3654" s="59">
        <v>8</v>
      </c>
      <c r="B3654" s="59">
        <v>64</v>
      </c>
      <c r="C3654" s="59">
        <v>410</v>
      </c>
      <c r="D3654" s="51">
        <v>14463</v>
      </c>
      <c r="E3654" s="51">
        <f t="shared" si="57"/>
        <v>0</v>
      </c>
    </row>
    <row r="3655" spans="1:5">
      <c r="A3655" s="59">
        <v>8</v>
      </c>
      <c r="B3655" s="59">
        <v>15</v>
      </c>
      <c r="C3655" s="59">
        <v>910</v>
      </c>
      <c r="D3655" s="51">
        <v>14096</v>
      </c>
      <c r="E3655" s="51">
        <f t="shared" si="57"/>
        <v>0</v>
      </c>
    </row>
    <row r="3656" spans="1:5">
      <c r="A3656" s="59">
        <v>8</v>
      </c>
      <c r="B3656" s="59">
        <v>22</v>
      </c>
      <c r="C3656" s="59">
        <v>220</v>
      </c>
      <c r="D3656" s="51">
        <v>13954</v>
      </c>
      <c r="E3656" s="51">
        <f t="shared" si="57"/>
        <v>0</v>
      </c>
    </row>
    <row r="3657" spans="1:5">
      <c r="A3657" s="59">
        <v>8</v>
      </c>
      <c r="B3657" s="59">
        <v>11</v>
      </c>
      <c r="C3657" s="59">
        <v>150</v>
      </c>
      <c r="D3657" s="51">
        <v>13555</v>
      </c>
      <c r="E3657" s="51">
        <f t="shared" si="57"/>
        <v>0</v>
      </c>
    </row>
    <row r="3658" spans="1:5">
      <c r="A3658" s="59">
        <v>8</v>
      </c>
      <c r="B3658" s="59">
        <v>64</v>
      </c>
      <c r="C3658" s="59">
        <v>130</v>
      </c>
      <c r="D3658" s="51">
        <v>13218</v>
      </c>
      <c r="E3658" s="51">
        <f t="shared" si="57"/>
        <v>0</v>
      </c>
    </row>
    <row r="3659" spans="1:5">
      <c r="A3659" s="59">
        <v>8</v>
      </c>
      <c r="B3659" s="59">
        <v>33</v>
      </c>
      <c r="C3659" s="59">
        <v>110</v>
      </c>
      <c r="D3659" s="51">
        <v>12383</v>
      </c>
      <c r="E3659" s="51">
        <f t="shared" si="57"/>
        <v>0</v>
      </c>
    </row>
    <row r="3660" spans="1:5">
      <c r="A3660" s="59">
        <v>8</v>
      </c>
      <c r="B3660" s="59">
        <v>15</v>
      </c>
      <c r="C3660" s="59">
        <v>160</v>
      </c>
      <c r="D3660" s="51">
        <v>12124</v>
      </c>
      <c r="E3660" s="51">
        <f t="shared" si="57"/>
        <v>0</v>
      </c>
    </row>
    <row r="3661" spans="1:5">
      <c r="A3661" s="59">
        <v>8</v>
      </c>
      <c r="B3661" s="59">
        <v>15</v>
      </c>
      <c r="C3661" s="59">
        <v>330</v>
      </c>
      <c r="D3661" s="51">
        <v>11568</v>
      </c>
      <c r="E3661" s="51">
        <f t="shared" si="57"/>
        <v>0</v>
      </c>
    </row>
    <row r="3662" spans="1:5">
      <c r="A3662" s="59">
        <v>8</v>
      </c>
      <c r="B3662" s="59">
        <v>16</v>
      </c>
      <c r="C3662" s="59">
        <v>230</v>
      </c>
      <c r="D3662" s="51">
        <v>10974</v>
      </c>
      <c r="E3662" s="51">
        <f t="shared" si="57"/>
        <v>0</v>
      </c>
    </row>
    <row r="3663" spans="1:5">
      <c r="A3663" s="59">
        <v>8</v>
      </c>
      <c r="B3663" s="59">
        <v>23</v>
      </c>
      <c r="C3663" s="59">
        <v>210</v>
      </c>
      <c r="D3663" s="51">
        <v>10957</v>
      </c>
      <c r="E3663" s="51">
        <f t="shared" si="57"/>
        <v>0</v>
      </c>
    </row>
    <row r="3664" spans="1:5">
      <c r="A3664" s="59">
        <v>8</v>
      </c>
      <c r="B3664" s="59">
        <v>63</v>
      </c>
      <c r="C3664" s="59">
        <v>510</v>
      </c>
      <c r="D3664" s="51">
        <v>10911</v>
      </c>
      <c r="E3664" s="51">
        <f t="shared" si="57"/>
        <v>0</v>
      </c>
    </row>
    <row r="3665" spans="1:5">
      <c r="A3665" s="59">
        <v>8</v>
      </c>
      <c r="B3665" s="59">
        <v>14</v>
      </c>
      <c r="C3665" s="59">
        <v>230</v>
      </c>
      <c r="D3665" s="51">
        <v>10570</v>
      </c>
      <c r="E3665" s="51">
        <f t="shared" si="57"/>
        <v>0</v>
      </c>
    </row>
    <row r="3666" spans="1:5">
      <c r="A3666" s="59">
        <v>8</v>
      </c>
      <c r="B3666" s="59">
        <v>16</v>
      </c>
      <c r="C3666" s="59">
        <v>330</v>
      </c>
      <c r="D3666" s="51">
        <v>10340</v>
      </c>
      <c r="E3666" s="51">
        <f t="shared" si="57"/>
        <v>0</v>
      </c>
    </row>
    <row r="3667" spans="1:5">
      <c r="A3667" s="59">
        <v>8</v>
      </c>
      <c r="B3667" s="59">
        <v>63</v>
      </c>
      <c r="C3667" s="59">
        <v>160</v>
      </c>
      <c r="D3667" s="51">
        <v>10275</v>
      </c>
      <c r="E3667" s="51">
        <f t="shared" si="57"/>
        <v>0</v>
      </c>
    </row>
    <row r="3668" spans="1:5">
      <c r="A3668" s="59">
        <v>8</v>
      </c>
      <c r="B3668" s="59">
        <v>41</v>
      </c>
      <c r="C3668" s="59">
        <v>110</v>
      </c>
      <c r="D3668" s="51">
        <v>10274</v>
      </c>
      <c r="E3668" s="51">
        <f t="shared" si="57"/>
        <v>1</v>
      </c>
    </row>
    <row r="3669" spans="1:5">
      <c r="A3669" s="59">
        <v>8</v>
      </c>
      <c r="B3669" s="59">
        <v>22</v>
      </c>
      <c r="C3669" s="59">
        <v>150</v>
      </c>
      <c r="D3669" s="51">
        <v>9867</v>
      </c>
      <c r="E3669" s="51">
        <f t="shared" si="57"/>
        <v>0</v>
      </c>
    </row>
    <row r="3670" spans="1:5">
      <c r="A3670" s="59">
        <v>8</v>
      </c>
      <c r="B3670" s="59">
        <v>62</v>
      </c>
      <c r="C3670" s="59">
        <v>160</v>
      </c>
      <c r="D3670" s="51">
        <v>9505</v>
      </c>
      <c r="E3670" s="51">
        <f t="shared" si="57"/>
        <v>1</v>
      </c>
    </row>
    <row r="3671" spans="1:5">
      <c r="A3671" s="59">
        <v>8</v>
      </c>
      <c r="B3671" s="59">
        <v>13</v>
      </c>
      <c r="C3671" s="59">
        <v>410</v>
      </c>
      <c r="D3671" s="51">
        <v>9363</v>
      </c>
      <c r="E3671" s="51">
        <f t="shared" si="57"/>
        <v>0</v>
      </c>
    </row>
    <row r="3672" spans="1:5">
      <c r="A3672" s="59">
        <v>8</v>
      </c>
      <c r="B3672" s="59">
        <v>64</v>
      </c>
      <c r="C3672" s="59">
        <v>430</v>
      </c>
      <c r="D3672" s="51">
        <v>9238</v>
      </c>
      <c r="E3672" s="51">
        <f t="shared" si="57"/>
        <v>0</v>
      </c>
    </row>
    <row r="3673" spans="1:5">
      <c r="A3673" s="59">
        <v>8</v>
      </c>
      <c r="B3673" s="59">
        <v>16</v>
      </c>
      <c r="C3673" s="59">
        <v>150</v>
      </c>
      <c r="D3673" s="51">
        <v>9228</v>
      </c>
      <c r="E3673" s="51">
        <f t="shared" si="57"/>
        <v>0</v>
      </c>
    </row>
    <row r="3674" spans="1:5">
      <c r="A3674" s="59">
        <v>8</v>
      </c>
      <c r="B3674" s="59">
        <v>16</v>
      </c>
      <c r="C3674" s="59">
        <v>160</v>
      </c>
      <c r="D3674" s="51">
        <v>9189</v>
      </c>
      <c r="E3674" s="51">
        <f t="shared" si="57"/>
        <v>0</v>
      </c>
    </row>
    <row r="3675" spans="1:5">
      <c r="A3675" s="59">
        <v>8</v>
      </c>
      <c r="B3675" s="59">
        <v>16</v>
      </c>
      <c r="C3675" s="59">
        <v>130</v>
      </c>
      <c r="D3675" s="51">
        <v>8923</v>
      </c>
      <c r="E3675" s="51">
        <f t="shared" si="57"/>
        <v>0</v>
      </c>
    </row>
    <row r="3676" spans="1:5">
      <c r="A3676" s="59">
        <v>8</v>
      </c>
      <c r="B3676" s="59">
        <v>62</v>
      </c>
      <c r="C3676" s="59">
        <v>510</v>
      </c>
      <c r="D3676" s="51">
        <v>8727</v>
      </c>
      <c r="E3676" s="51">
        <f t="shared" si="57"/>
        <v>1</v>
      </c>
    </row>
    <row r="3677" spans="1:5">
      <c r="A3677" s="59">
        <v>8</v>
      </c>
      <c r="B3677" s="59">
        <v>43</v>
      </c>
      <c r="C3677" s="59">
        <v>410</v>
      </c>
      <c r="D3677" s="51">
        <v>8539</v>
      </c>
      <c r="E3677" s="51">
        <f t="shared" si="57"/>
        <v>0</v>
      </c>
    </row>
    <row r="3678" spans="1:5">
      <c r="A3678" s="59">
        <v>8</v>
      </c>
      <c r="B3678" s="59">
        <v>22</v>
      </c>
      <c r="C3678" s="59">
        <v>160</v>
      </c>
      <c r="D3678" s="51">
        <v>8380</v>
      </c>
      <c r="E3678" s="51">
        <f t="shared" si="57"/>
        <v>0</v>
      </c>
    </row>
    <row r="3679" spans="1:5">
      <c r="A3679" s="59">
        <v>8</v>
      </c>
      <c r="B3679" s="59">
        <v>16</v>
      </c>
      <c r="C3679" s="59">
        <v>240</v>
      </c>
      <c r="D3679" s="51">
        <v>8015</v>
      </c>
      <c r="E3679" s="51">
        <f t="shared" si="57"/>
        <v>0</v>
      </c>
    </row>
    <row r="3680" spans="1:5">
      <c r="A3680" s="59">
        <v>8</v>
      </c>
      <c r="B3680" s="59">
        <v>71</v>
      </c>
      <c r="C3680" s="59">
        <v>160</v>
      </c>
      <c r="D3680" s="51">
        <v>7891</v>
      </c>
      <c r="E3680" s="51">
        <f t="shared" si="57"/>
        <v>0</v>
      </c>
    </row>
    <row r="3681" spans="1:5">
      <c r="A3681" s="59">
        <v>8</v>
      </c>
      <c r="B3681" s="59">
        <v>13</v>
      </c>
      <c r="C3681" s="59">
        <v>120</v>
      </c>
      <c r="D3681" s="51">
        <v>7861</v>
      </c>
      <c r="E3681" s="51">
        <f t="shared" si="57"/>
        <v>0</v>
      </c>
    </row>
    <row r="3682" spans="1:5">
      <c r="A3682" s="59">
        <v>8</v>
      </c>
      <c r="B3682" s="59">
        <v>14</v>
      </c>
      <c r="C3682" s="59">
        <v>220</v>
      </c>
      <c r="D3682" s="51">
        <v>7709</v>
      </c>
      <c r="E3682" s="51">
        <f t="shared" si="57"/>
        <v>0</v>
      </c>
    </row>
    <row r="3683" spans="1:5">
      <c r="A3683" s="59">
        <v>8</v>
      </c>
      <c r="B3683" s="59">
        <v>16</v>
      </c>
      <c r="C3683" s="59">
        <v>910</v>
      </c>
      <c r="D3683" s="51">
        <v>7526</v>
      </c>
      <c r="E3683" s="51">
        <f t="shared" si="57"/>
        <v>0</v>
      </c>
    </row>
    <row r="3684" spans="1:5">
      <c r="A3684" s="59">
        <v>8</v>
      </c>
      <c r="B3684" s="59">
        <v>64</v>
      </c>
      <c r="C3684" s="59">
        <v>220</v>
      </c>
      <c r="D3684" s="51">
        <v>7502</v>
      </c>
      <c r="E3684" s="51">
        <f t="shared" si="57"/>
        <v>0</v>
      </c>
    </row>
    <row r="3685" spans="1:5">
      <c r="A3685" s="59">
        <v>8</v>
      </c>
      <c r="B3685" s="59">
        <v>64</v>
      </c>
      <c r="C3685" s="59">
        <v>330</v>
      </c>
      <c r="D3685" s="51">
        <v>7287</v>
      </c>
      <c r="E3685" s="51">
        <f t="shared" si="57"/>
        <v>0</v>
      </c>
    </row>
    <row r="3686" spans="1:5">
      <c r="A3686" s="59">
        <v>8</v>
      </c>
      <c r="B3686" s="59">
        <v>15</v>
      </c>
      <c r="C3686" s="59">
        <v>240</v>
      </c>
      <c r="D3686" s="51">
        <v>7203</v>
      </c>
      <c r="E3686" s="51">
        <f t="shared" si="57"/>
        <v>0</v>
      </c>
    </row>
    <row r="3687" spans="1:5">
      <c r="A3687" s="59">
        <v>8</v>
      </c>
      <c r="B3687" s="59">
        <v>33</v>
      </c>
      <c r="C3687" s="59">
        <v>210</v>
      </c>
      <c r="D3687" s="51">
        <v>7050</v>
      </c>
      <c r="E3687" s="51">
        <f t="shared" si="57"/>
        <v>0</v>
      </c>
    </row>
    <row r="3688" spans="1:5">
      <c r="A3688" s="59">
        <v>8</v>
      </c>
      <c r="B3688" s="59">
        <v>43</v>
      </c>
      <c r="C3688" s="59">
        <v>510</v>
      </c>
      <c r="D3688" s="51">
        <v>6671</v>
      </c>
      <c r="E3688" s="51">
        <f t="shared" si="57"/>
        <v>0</v>
      </c>
    </row>
    <row r="3689" spans="1:5">
      <c r="A3689" s="59">
        <v>8</v>
      </c>
      <c r="B3689" s="59">
        <v>16</v>
      </c>
      <c r="C3689" s="59">
        <v>320</v>
      </c>
      <c r="D3689" s="51">
        <v>6252</v>
      </c>
      <c r="E3689" s="51">
        <f t="shared" si="57"/>
        <v>0</v>
      </c>
    </row>
    <row r="3690" spans="1:5">
      <c r="A3690" s="59">
        <v>8</v>
      </c>
      <c r="B3690" s="59">
        <v>43</v>
      </c>
      <c r="C3690" s="59">
        <v>130</v>
      </c>
      <c r="D3690" s="51">
        <v>6214</v>
      </c>
      <c r="E3690" s="51">
        <f t="shared" si="57"/>
        <v>0</v>
      </c>
    </row>
    <row r="3691" spans="1:5">
      <c r="A3691" s="59">
        <v>8</v>
      </c>
      <c r="B3691" s="59">
        <v>64</v>
      </c>
      <c r="C3691" s="59">
        <v>230</v>
      </c>
      <c r="D3691" s="51">
        <v>5895</v>
      </c>
      <c r="E3691" s="51">
        <f t="shared" si="57"/>
        <v>0</v>
      </c>
    </row>
    <row r="3692" spans="1:5">
      <c r="A3692" s="59">
        <v>8</v>
      </c>
      <c r="B3692" s="59">
        <v>16</v>
      </c>
      <c r="C3692" s="59">
        <v>140</v>
      </c>
      <c r="D3692" s="51">
        <v>5858</v>
      </c>
      <c r="E3692" s="51">
        <f t="shared" si="57"/>
        <v>0</v>
      </c>
    </row>
    <row r="3693" spans="1:5">
      <c r="A3693" s="59">
        <v>8</v>
      </c>
      <c r="B3693" s="59">
        <v>33</v>
      </c>
      <c r="C3693" s="59">
        <v>410</v>
      </c>
      <c r="D3693" s="51">
        <v>5737</v>
      </c>
      <c r="E3693" s="51">
        <f t="shared" si="57"/>
        <v>0</v>
      </c>
    </row>
    <row r="3694" spans="1:5">
      <c r="A3694" s="59">
        <v>8</v>
      </c>
      <c r="B3694" s="59">
        <v>32</v>
      </c>
      <c r="C3694" s="59">
        <v>110</v>
      </c>
      <c r="D3694" s="51">
        <v>5617</v>
      </c>
      <c r="E3694" s="51">
        <f t="shared" si="57"/>
        <v>0</v>
      </c>
    </row>
    <row r="3695" spans="1:5">
      <c r="A3695" s="59">
        <v>8</v>
      </c>
      <c r="B3695" s="59">
        <v>71</v>
      </c>
      <c r="C3695" s="59">
        <v>150</v>
      </c>
      <c r="D3695" s="51">
        <v>5409</v>
      </c>
      <c r="E3695" s="51">
        <f t="shared" si="57"/>
        <v>0</v>
      </c>
    </row>
    <row r="3696" spans="1:5">
      <c r="A3696" s="59">
        <v>8</v>
      </c>
      <c r="B3696" s="59">
        <v>22</v>
      </c>
      <c r="C3696" s="59">
        <v>140</v>
      </c>
      <c r="D3696" s="51">
        <v>5258</v>
      </c>
      <c r="E3696" s="51">
        <f t="shared" si="57"/>
        <v>0</v>
      </c>
    </row>
    <row r="3697" spans="1:5">
      <c r="A3697" s="59">
        <v>8</v>
      </c>
      <c r="B3697" s="59">
        <v>44</v>
      </c>
      <c r="C3697" s="59">
        <v>160</v>
      </c>
      <c r="D3697" s="51">
        <v>5025</v>
      </c>
      <c r="E3697" s="51">
        <f t="shared" si="57"/>
        <v>1</v>
      </c>
    </row>
    <row r="3698" spans="1:5">
      <c r="A3698" s="59">
        <v>8</v>
      </c>
      <c r="B3698" s="59">
        <v>43</v>
      </c>
      <c r="C3698" s="59">
        <v>430</v>
      </c>
      <c r="D3698" s="51">
        <v>4913</v>
      </c>
      <c r="E3698" s="51">
        <f t="shared" si="57"/>
        <v>0</v>
      </c>
    </row>
    <row r="3699" spans="1:5">
      <c r="A3699" s="59">
        <v>8</v>
      </c>
      <c r="B3699" s="59">
        <v>64</v>
      </c>
      <c r="C3699" s="59">
        <v>610</v>
      </c>
      <c r="D3699" s="51">
        <v>4903</v>
      </c>
      <c r="E3699" s="51">
        <f t="shared" si="57"/>
        <v>0</v>
      </c>
    </row>
    <row r="3700" spans="1:5">
      <c r="A3700" s="59">
        <v>8</v>
      </c>
      <c r="B3700" s="59">
        <v>42</v>
      </c>
      <c r="C3700" s="59">
        <v>210</v>
      </c>
      <c r="D3700" s="51">
        <v>4819</v>
      </c>
      <c r="E3700" s="51">
        <f t="shared" si="57"/>
        <v>0</v>
      </c>
    </row>
    <row r="3701" spans="1:5">
      <c r="A3701" s="59">
        <v>8</v>
      </c>
      <c r="B3701" s="59">
        <v>64</v>
      </c>
      <c r="C3701" s="59">
        <v>530</v>
      </c>
      <c r="D3701" s="51">
        <v>4732</v>
      </c>
      <c r="E3701" s="51">
        <f t="shared" si="57"/>
        <v>0</v>
      </c>
    </row>
    <row r="3702" spans="1:5">
      <c r="A3702" s="59">
        <v>8</v>
      </c>
      <c r="B3702" s="59">
        <v>13</v>
      </c>
      <c r="C3702" s="59">
        <v>240</v>
      </c>
      <c r="D3702" s="51">
        <v>4598</v>
      </c>
      <c r="E3702" s="51">
        <f t="shared" si="57"/>
        <v>0</v>
      </c>
    </row>
    <row r="3703" spans="1:5">
      <c r="A3703" s="59">
        <v>8</v>
      </c>
      <c r="B3703" s="59">
        <v>22</v>
      </c>
      <c r="C3703" s="59">
        <v>320</v>
      </c>
      <c r="D3703" s="51">
        <v>4576</v>
      </c>
      <c r="E3703" s="51">
        <f t="shared" si="57"/>
        <v>0</v>
      </c>
    </row>
    <row r="3704" spans="1:5">
      <c r="A3704" s="59">
        <v>8</v>
      </c>
      <c r="B3704" s="59">
        <v>63</v>
      </c>
      <c r="C3704" s="59">
        <v>910</v>
      </c>
      <c r="D3704" s="51">
        <v>4550</v>
      </c>
      <c r="E3704" s="51">
        <f t="shared" si="57"/>
        <v>0</v>
      </c>
    </row>
    <row r="3705" spans="1:5">
      <c r="A3705" s="59">
        <v>8</v>
      </c>
      <c r="B3705" s="59">
        <v>22</v>
      </c>
      <c r="C3705" s="59">
        <v>130</v>
      </c>
      <c r="D3705" s="51">
        <v>4342</v>
      </c>
      <c r="E3705" s="51">
        <f t="shared" si="57"/>
        <v>0</v>
      </c>
    </row>
    <row r="3706" spans="1:5">
      <c r="A3706" s="59">
        <v>8</v>
      </c>
      <c r="B3706" s="59">
        <v>33</v>
      </c>
      <c r="C3706" s="59">
        <v>310</v>
      </c>
      <c r="D3706" s="51">
        <v>4338</v>
      </c>
      <c r="E3706" s="51">
        <f t="shared" si="57"/>
        <v>0</v>
      </c>
    </row>
    <row r="3707" spans="1:5">
      <c r="A3707" s="59">
        <v>8</v>
      </c>
      <c r="B3707" s="59">
        <v>63</v>
      </c>
      <c r="C3707" s="59">
        <v>210</v>
      </c>
      <c r="D3707" s="51">
        <v>4332</v>
      </c>
      <c r="E3707" s="51">
        <f t="shared" si="57"/>
        <v>0</v>
      </c>
    </row>
    <row r="3708" spans="1:5">
      <c r="A3708" s="59">
        <v>8</v>
      </c>
      <c r="B3708" s="59">
        <v>12</v>
      </c>
      <c r="C3708" s="59">
        <v>150</v>
      </c>
      <c r="D3708" s="51">
        <v>4134</v>
      </c>
      <c r="E3708" s="51">
        <f t="shared" si="57"/>
        <v>0</v>
      </c>
    </row>
    <row r="3709" spans="1:5">
      <c r="A3709" s="59">
        <v>8</v>
      </c>
      <c r="B3709" s="59">
        <v>64</v>
      </c>
      <c r="C3709" s="59">
        <v>240</v>
      </c>
      <c r="D3709" s="51">
        <v>4060</v>
      </c>
      <c r="E3709" s="51">
        <f t="shared" si="57"/>
        <v>0</v>
      </c>
    </row>
    <row r="3710" spans="1:5">
      <c r="A3710" s="59">
        <v>8</v>
      </c>
      <c r="B3710" s="59">
        <v>62</v>
      </c>
      <c r="C3710" s="59">
        <v>210</v>
      </c>
      <c r="D3710" s="51">
        <v>4035</v>
      </c>
      <c r="E3710" s="51">
        <f t="shared" si="57"/>
        <v>1</v>
      </c>
    </row>
    <row r="3711" spans="1:5">
      <c r="A3711" s="59">
        <v>8</v>
      </c>
      <c r="B3711" s="59">
        <v>43</v>
      </c>
      <c r="C3711" s="59">
        <v>220</v>
      </c>
      <c r="D3711" s="51">
        <v>3893</v>
      </c>
      <c r="E3711" s="51">
        <f t="shared" si="57"/>
        <v>0</v>
      </c>
    </row>
    <row r="3712" spans="1:5">
      <c r="A3712" s="59">
        <v>8</v>
      </c>
      <c r="B3712" s="59">
        <v>16</v>
      </c>
      <c r="C3712" s="59">
        <v>220</v>
      </c>
      <c r="D3712" s="51">
        <v>3850</v>
      </c>
      <c r="E3712" s="51">
        <f t="shared" si="57"/>
        <v>0</v>
      </c>
    </row>
    <row r="3713" spans="1:5">
      <c r="A3713" s="59">
        <v>8</v>
      </c>
      <c r="B3713" s="59">
        <v>44</v>
      </c>
      <c r="C3713" s="59">
        <v>150</v>
      </c>
      <c r="D3713" s="51">
        <v>3816</v>
      </c>
      <c r="E3713" s="51">
        <f t="shared" si="57"/>
        <v>1</v>
      </c>
    </row>
    <row r="3714" spans="1:5">
      <c r="A3714" s="59">
        <v>8</v>
      </c>
      <c r="B3714" s="59">
        <v>43</v>
      </c>
      <c r="C3714" s="59">
        <v>330</v>
      </c>
      <c r="D3714" s="51">
        <v>3814</v>
      </c>
      <c r="E3714" s="51">
        <f t="shared" ref="E3714:E3777" si="58">IF(OR(A3714=6,A3714=7,A3714=14,A3714=15,A3714=16,A3714=17,A3714=18,A3714=19,A3714=20,A3714=21,A3714=22,A3714=23,A3714=25,A3714=26,A3714=27,A3714=28,B3714=41,B3714=44,B3714=62),1,0)</f>
        <v>0</v>
      </c>
    </row>
    <row r="3715" spans="1:5">
      <c r="A3715" s="59">
        <v>8</v>
      </c>
      <c r="B3715" s="59">
        <v>32</v>
      </c>
      <c r="C3715" s="59">
        <v>410</v>
      </c>
      <c r="D3715" s="51">
        <v>3795</v>
      </c>
      <c r="E3715" s="51">
        <f t="shared" si="58"/>
        <v>0</v>
      </c>
    </row>
    <row r="3716" spans="1:5">
      <c r="A3716" s="59">
        <v>8</v>
      </c>
      <c r="B3716" s="59">
        <v>62</v>
      </c>
      <c r="C3716" s="59">
        <v>910</v>
      </c>
      <c r="D3716" s="51">
        <v>3724</v>
      </c>
      <c r="E3716" s="51">
        <f t="shared" si="58"/>
        <v>1</v>
      </c>
    </row>
    <row r="3717" spans="1:5">
      <c r="A3717" s="59">
        <v>8</v>
      </c>
      <c r="B3717" s="59">
        <v>15</v>
      </c>
      <c r="C3717" s="59">
        <v>220</v>
      </c>
      <c r="D3717" s="51">
        <v>3569</v>
      </c>
      <c r="E3717" s="51">
        <f t="shared" si="58"/>
        <v>0</v>
      </c>
    </row>
    <row r="3718" spans="1:5">
      <c r="A3718" s="59">
        <v>8</v>
      </c>
      <c r="B3718" s="59">
        <v>14</v>
      </c>
      <c r="C3718" s="59">
        <v>410</v>
      </c>
      <c r="D3718" s="51">
        <v>3445</v>
      </c>
      <c r="E3718" s="51">
        <f t="shared" si="58"/>
        <v>0</v>
      </c>
    </row>
    <row r="3719" spans="1:5">
      <c r="A3719" s="59">
        <v>8</v>
      </c>
      <c r="B3719" s="59">
        <v>13</v>
      </c>
      <c r="C3719" s="59">
        <v>230</v>
      </c>
      <c r="D3719" s="51">
        <v>3435</v>
      </c>
      <c r="E3719" s="51">
        <f t="shared" si="58"/>
        <v>0</v>
      </c>
    </row>
    <row r="3720" spans="1:5">
      <c r="A3720" s="59">
        <v>8</v>
      </c>
      <c r="B3720" s="59">
        <v>64</v>
      </c>
      <c r="C3720" s="59">
        <v>920</v>
      </c>
      <c r="D3720" s="51">
        <v>3417</v>
      </c>
      <c r="E3720" s="51">
        <f t="shared" si="58"/>
        <v>0</v>
      </c>
    </row>
    <row r="3721" spans="1:5">
      <c r="A3721" s="59">
        <v>8</v>
      </c>
      <c r="B3721" s="59">
        <v>33</v>
      </c>
      <c r="C3721" s="59">
        <v>430</v>
      </c>
      <c r="D3721" s="51">
        <v>3413</v>
      </c>
      <c r="E3721" s="51">
        <f t="shared" si="58"/>
        <v>0</v>
      </c>
    </row>
    <row r="3722" spans="1:5">
      <c r="A3722" s="59">
        <v>8</v>
      </c>
      <c r="B3722" s="59">
        <v>71</v>
      </c>
      <c r="C3722" s="59">
        <v>510</v>
      </c>
      <c r="D3722" s="51">
        <v>3363</v>
      </c>
      <c r="E3722" s="51">
        <f t="shared" si="58"/>
        <v>0</v>
      </c>
    </row>
    <row r="3723" spans="1:5">
      <c r="A3723" s="59">
        <v>8</v>
      </c>
      <c r="B3723" s="59">
        <v>12</v>
      </c>
      <c r="C3723" s="59">
        <v>110</v>
      </c>
      <c r="D3723" s="51">
        <v>3334</v>
      </c>
      <c r="E3723" s="51">
        <f t="shared" si="58"/>
        <v>0</v>
      </c>
    </row>
    <row r="3724" spans="1:5">
      <c r="A3724" s="59">
        <v>8</v>
      </c>
      <c r="B3724" s="59">
        <v>42</v>
      </c>
      <c r="C3724" s="59">
        <v>160</v>
      </c>
      <c r="D3724" s="51">
        <v>3044</v>
      </c>
      <c r="E3724" s="51">
        <f t="shared" si="58"/>
        <v>0</v>
      </c>
    </row>
    <row r="3725" spans="1:5">
      <c r="A3725" s="59">
        <v>8</v>
      </c>
      <c r="B3725" s="59">
        <v>33</v>
      </c>
      <c r="C3725" s="59">
        <v>230</v>
      </c>
      <c r="D3725" s="51">
        <v>3008</v>
      </c>
      <c r="E3725" s="51">
        <f t="shared" si="58"/>
        <v>0</v>
      </c>
    </row>
    <row r="3726" spans="1:5">
      <c r="A3726" s="59">
        <v>8</v>
      </c>
      <c r="B3726" s="59">
        <v>23</v>
      </c>
      <c r="C3726" s="59">
        <v>110</v>
      </c>
      <c r="D3726" s="51">
        <v>2883</v>
      </c>
      <c r="E3726" s="51">
        <f t="shared" si="58"/>
        <v>0</v>
      </c>
    </row>
    <row r="3727" spans="1:5">
      <c r="A3727" s="59">
        <v>8</v>
      </c>
      <c r="B3727" s="59">
        <v>81</v>
      </c>
      <c r="C3727" s="59">
        <v>150</v>
      </c>
      <c r="D3727" s="51">
        <v>2846</v>
      </c>
      <c r="E3727" s="51">
        <f t="shared" si="58"/>
        <v>0</v>
      </c>
    </row>
    <row r="3728" spans="1:5">
      <c r="A3728" s="59">
        <v>8</v>
      </c>
      <c r="B3728" s="59">
        <v>62</v>
      </c>
      <c r="C3728" s="59">
        <v>310</v>
      </c>
      <c r="D3728" s="51">
        <v>2727</v>
      </c>
      <c r="E3728" s="51">
        <f t="shared" si="58"/>
        <v>1</v>
      </c>
    </row>
    <row r="3729" spans="1:5">
      <c r="A3729" s="59">
        <v>8</v>
      </c>
      <c r="B3729" s="59">
        <v>71</v>
      </c>
      <c r="C3729" s="59">
        <v>910</v>
      </c>
      <c r="D3729" s="51">
        <v>2680</v>
      </c>
      <c r="E3729" s="51">
        <f t="shared" si="58"/>
        <v>0</v>
      </c>
    </row>
    <row r="3730" spans="1:5">
      <c r="A3730" s="59">
        <v>8</v>
      </c>
      <c r="B3730" s="59">
        <v>43</v>
      </c>
      <c r="C3730" s="59">
        <v>530</v>
      </c>
      <c r="D3730" s="51">
        <v>2674</v>
      </c>
      <c r="E3730" s="51">
        <f t="shared" si="58"/>
        <v>0</v>
      </c>
    </row>
    <row r="3731" spans="1:5">
      <c r="A3731" s="59">
        <v>8</v>
      </c>
      <c r="B3731" s="59">
        <v>13</v>
      </c>
      <c r="C3731" s="59">
        <v>220</v>
      </c>
      <c r="D3731" s="51">
        <v>2620</v>
      </c>
      <c r="E3731" s="51">
        <f t="shared" si="58"/>
        <v>0</v>
      </c>
    </row>
    <row r="3732" spans="1:5">
      <c r="A3732" s="59">
        <v>8</v>
      </c>
      <c r="B3732" s="59">
        <v>43</v>
      </c>
      <c r="C3732" s="59">
        <v>930</v>
      </c>
      <c r="D3732" s="51">
        <v>2612</v>
      </c>
      <c r="E3732" s="51">
        <f t="shared" si="58"/>
        <v>0</v>
      </c>
    </row>
    <row r="3733" spans="1:5">
      <c r="A3733" s="59">
        <v>8</v>
      </c>
      <c r="B3733" s="59">
        <v>43</v>
      </c>
      <c r="C3733" s="59">
        <v>240</v>
      </c>
      <c r="D3733" s="51">
        <v>2546</v>
      </c>
      <c r="E3733" s="51">
        <f t="shared" si="58"/>
        <v>0</v>
      </c>
    </row>
    <row r="3734" spans="1:5">
      <c r="A3734" s="59">
        <v>8</v>
      </c>
      <c r="B3734" s="59">
        <v>23</v>
      </c>
      <c r="C3734" s="59">
        <v>230</v>
      </c>
      <c r="D3734" s="51">
        <v>2492</v>
      </c>
      <c r="E3734" s="51">
        <f t="shared" si="58"/>
        <v>0</v>
      </c>
    </row>
    <row r="3735" spans="1:5">
      <c r="A3735" s="59">
        <v>8</v>
      </c>
      <c r="B3735" s="59">
        <v>11</v>
      </c>
      <c r="C3735" s="59">
        <v>160</v>
      </c>
      <c r="D3735" s="51">
        <v>2481</v>
      </c>
      <c r="E3735" s="51">
        <f t="shared" si="58"/>
        <v>0</v>
      </c>
    </row>
    <row r="3736" spans="1:5">
      <c r="A3736" s="59">
        <v>8</v>
      </c>
      <c r="B3736" s="59">
        <v>21</v>
      </c>
      <c r="C3736" s="59">
        <v>110</v>
      </c>
      <c r="D3736" s="51">
        <v>2471</v>
      </c>
      <c r="E3736" s="51">
        <f t="shared" si="58"/>
        <v>0</v>
      </c>
    </row>
    <row r="3737" spans="1:5">
      <c r="A3737" s="59">
        <v>8</v>
      </c>
      <c r="B3737" s="59">
        <v>13</v>
      </c>
      <c r="C3737" s="59">
        <v>140</v>
      </c>
      <c r="D3737" s="51">
        <v>2419</v>
      </c>
      <c r="E3737" s="51">
        <f t="shared" si="58"/>
        <v>0</v>
      </c>
    </row>
    <row r="3738" spans="1:5">
      <c r="A3738" s="59">
        <v>8</v>
      </c>
      <c r="B3738" s="59">
        <v>64</v>
      </c>
      <c r="C3738" s="59">
        <v>320</v>
      </c>
      <c r="D3738" s="51">
        <v>2419</v>
      </c>
      <c r="E3738" s="51">
        <f t="shared" si="58"/>
        <v>0</v>
      </c>
    </row>
    <row r="3739" spans="1:5">
      <c r="A3739" s="59">
        <v>8</v>
      </c>
      <c r="B3739" s="59">
        <v>33</v>
      </c>
      <c r="C3739" s="59">
        <v>910</v>
      </c>
      <c r="D3739" s="51">
        <v>2356</v>
      </c>
      <c r="E3739" s="51">
        <f t="shared" si="58"/>
        <v>0</v>
      </c>
    </row>
    <row r="3740" spans="1:5">
      <c r="A3740" s="59">
        <v>8</v>
      </c>
      <c r="B3740" s="59">
        <v>21</v>
      </c>
      <c r="C3740" s="59">
        <v>230</v>
      </c>
      <c r="D3740" s="51">
        <v>2342</v>
      </c>
      <c r="E3740" s="51">
        <f t="shared" si="58"/>
        <v>0</v>
      </c>
    </row>
    <row r="3741" spans="1:5">
      <c r="A3741" s="59">
        <v>8</v>
      </c>
      <c r="B3741" s="59">
        <v>44</v>
      </c>
      <c r="C3741" s="59">
        <v>910</v>
      </c>
      <c r="D3741" s="51">
        <v>2335</v>
      </c>
      <c r="E3741" s="51">
        <f t="shared" si="58"/>
        <v>1</v>
      </c>
    </row>
    <row r="3742" spans="1:5">
      <c r="A3742" s="59">
        <v>8</v>
      </c>
      <c r="B3742" s="59">
        <v>44</v>
      </c>
      <c r="C3742" s="59">
        <v>210</v>
      </c>
      <c r="D3742" s="51">
        <v>2314</v>
      </c>
      <c r="E3742" s="51">
        <f t="shared" si="58"/>
        <v>1</v>
      </c>
    </row>
    <row r="3743" spans="1:5">
      <c r="A3743" s="59">
        <v>8</v>
      </c>
      <c r="B3743" s="59">
        <v>32</v>
      </c>
      <c r="C3743" s="59">
        <v>430</v>
      </c>
      <c r="D3743" s="51">
        <v>2243</v>
      </c>
      <c r="E3743" s="51">
        <f t="shared" si="58"/>
        <v>0</v>
      </c>
    </row>
    <row r="3744" spans="1:5">
      <c r="A3744" s="59">
        <v>8</v>
      </c>
      <c r="B3744" s="59">
        <v>43</v>
      </c>
      <c r="C3744" s="59">
        <v>230</v>
      </c>
      <c r="D3744" s="51">
        <v>2243</v>
      </c>
      <c r="E3744" s="51">
        <f t="shared" si="58"/>
        <v>0</v>
      </c>
    </row>
    <row r="3745" spans="1:5">
      <c r="A3745" s="59">
        <v>8</v>
      </c>
      <c r="B3745" s="59">
        <v>63</v>
      </c>
      <c r="C3745" s="59">
        <v>310</v>
      </c>
      <c r="D3745" s="51">
        <v>2238</v>
      </c>
      <c r="E3745" s="51">
        <f t="shared" si="58"/>
        <v>0</v>
      </c>
    </row>
    <row r="3746" spans="1:5">
      <c r="A3746" s="59">
        <v>8</v>
      </c>
      <c r="B3746" s="59">
        <v>21</v>
      </c>
      <c r="C3746" s="59">
        <v>140</v>
      </c>
      <c r="D3746" s="51">
        <v>2176</v>
      </c>
      <c r="E3746" s="51">
        <f t="shared" si="58"/>
        <v>0</v>
      </c>
    </row>
    <row r="3747" spans="1:5">
      <c r="A3747" s="59">
        <v>8</v>
      </c>
      <c r="B3747" s="59">
        <v>33</v>
      </c>
      <c r="C3747" s="59">
        <v>160</v>
      </c>
      <c r="D3747" s="51">
        <v>2168</v>
      </c>
      <c r="E3747" s="51">
        <f t="shared" si="58"/>
        <v>0</v>
      </c>
    </row>
    <row r="3748" spans="1:5">
      <c r="A3748" s="59">
        <v>8</v>
      </c>
      <c r="B3748" s="59">
        <v>33</v>
      </c>
      <c r="C3748" s="59">
        <v>130</v>
      </c>
      <c r="D3748" s="51">
        <v>2165</v>
      </c>
      <c r="E3748" s="51">
        <f t="shared" si="58"/>
        <v>0</v>
      </c>
    </row>
    <row r="3749" spans="1:5">
      <c r="A3749" s="59">
        <v>8</v>
      </c>
      <c r="B3749" s="59">
        <v>33</v>
      </c>
      <c r="C3749" s="59">
        <v>330</v>
      </c>
      <c r="D3749" s="51">
        <v>2156</v>
      </c>
      <c r="E3749" s="51">
        <f t="shared" si="58"/>
        <v>0</v>
      </c>
    </row>
    <row r="3750" spans="1:5">
      <c r="A3750" s="59">
        <v>8</v>
      </c>
      <c r="B3750" s="59">
        <v>13</v>
      </c>
      <c r="C3750" s="59">
        <v>930</v>
      </c>
      <c r="D3750" s="51">
        <v>2131</v>
      </c>
      <c r="E3750" s="51">
        <f t="shared" si="58"/>
        <v>0</v>
      </c>
    </row>
    <row r="3751" spans="1:5">
      <c r="A3751" s="59">
        <v>8</v>
      </c>
      <c r="B3751" s="59">
        <v>15</v>
      </c>
      <c r="C3751" s="59">
        <v>120</v>
      </c>
      <c r="D3751" s="51">
        <v>2105</v>
      </c>
      <c r="E3751" s="51">
        <f t="shared" si="58"/>
        <v>0</v>
      </c>
    </row>
    <row r="3752" spans="1:5">
      <c r="A3752" s="59">
        <v>8</v>
      </c>
      <c r="B3752" s="59">
        <v>81</v>
      </c>
      <c r="C3752" s="59">
        <v>160</v>
      </c>
      <c r="D3752" s="51">
        <v>2095</v>
      </c>
      <c r="E3752" s="51">
        <f t="shared" si="58"/>
        <v>0</v>
      </c>
    </row>
    <row r="3753" spans="1:5">
      <c r="A3753" s="59">
        <v>8</v>
      </c>
      <c r="B3753" s="59">
        <v>44</v>
      </c>
      <c r="C3753" s="59">
        <v>310</v>
      </c>
      <c r="D3753" s="51">
        <v>2066</v>
      </c>
      <c r="E3753" s="51">
        <f t="shared" si="58"/>
        <v>1</v>
      </c>
    </row>
    <row r="3754" spans="1:5">
      <c r="A3754" s="59">
        <v>8</v>
      </c>
      <c r="B3754" s="59">
        <v>43</v>
      </c>
      <c r="C3754" s="59">
        <v>120</v>
      </c>
      <c r="D3754" s="51">
        <v>2014</v>
      </c>
      <c r="E3754" s="51">
        <f t="shared" si="58"/>
        <v>0</v>
      </c>
    </row>
    <row r="3755" spans="1:5">
      <c r="A3755" s="59">
        <v>8</v>
      </c>
      <c r="B3755" s="59">
        <v>33</v>
      </c>
      <c r="C3755" s="59">
        <v>150</v>
      </c>
      <c r="D3755" s="51">
        <v>1990</v>
      </c>
      <c r="E3755" s="51">
        <f t="shared" si="58"/>
        <v>0</v>
      </c>
    </row>
    <row r="3756" spans="1:5">
      <c r="A3756" s="59">
        <v>8</v>
      </c>
      <c r="B3756" s="59">
        <v>32</v>
      </c>
      <c r="C3756" s="59">
        <v>420</v>
      </c>
      <c r="D3756" s="51">
        <v>1950</v>
      </c>
      <c r="E3756" s="51">
        <f t="shared" si="58"/>
        <v>0</v>
      </c>
    </row>
    <row r="3757" spans="1:5">
      <c r="A3757" s="59">
        <v>8</v>
      </c>
      <c r="B3757" s="59">
        <v>33</v>
      </c>
      <c r="C3757" s="59">
        <v>420</v>
      </c>
      <c r="D3757" s="51">
        <v>1937</v>
      </c>
      <c r="E3757" s="51">
        <f t="shared" si="58"/>
        <v>0</v>
      </c>
    </row>
    <row r="3758" spans="1:5">
      <c r="A3758" s="59">
        <v>8</v>
      </c>
      <c r="B3758" s="59">
        <v>62</v>
      </c>
      <c r="C3758" s="59">
        <v>530</v>
      </c>
      <c r="D3758" s="51">
        <v>1872</v>
      </c>
      <c r="E3758" s="51">
        <f t="shared" si="58"/>
        <v>1</v>
      </c>
    </row>
    <row r="3759" spans="1:5">
      <c r="A3759" s="59">
        <v>8</v>
      </c>
      <c r="B3759" s="59">
        <v>43</v>
      </c>
      <c r="C3759" s="59">
        <v>720</v>
      </c>
      <c r="D3759" s="51">
        <v>1855</v>
      </c>
      <c r="E3759" s="51">
        <f t="shared" si="58"/>
        <v>0</v>
      </c>
    </row>
    <row r="3760" spans="1:5">
      <c r="A3760" s="59">
        <v>8</v>
      </c>
      <c r="B3760" s="59">
        <v>71</v>
      </c>
      <c r="C3760" s="59">
        <v>210</v>
      </c>
      <c r="D3760" s="51">
        <v>1824</v>
      </c>
      <c r="E3760" s="51">
        <f t="shared" si="58"/>
        <v>0</v>
      </c>
    </row>
    <row r="3761" spans="1:5">
      <c r="A3761" s="59">
        <v>8</v>
      </c>
      <c r="B3761" s="59">
        <v>14</v>
      </c>
      <c r="C3761" s="59">
        <v>930</v>
      </c>
      <c r="D3761" s="51">
        <v>1818</v>
      </c>
      <c r="E3761" s="51">
        <f t="shared" si="58"/>
        <v>0</v>
      </c>
    </row>
    <row r="3762" spans="1:5">
      <c r="A3762" s="59">
        <v>8</v>
      </c>
      <c r="B3762" s="59">
        <v>71</v>
      </c>
      <c r="C3762" s="59">
        <v>610</v>
      </c>
      <c r="D3762" s="51">
        <v>1788</v>
      </c>
      <c r="E3762" s="51">
        <f t="shared" si="58"/>
        <v>0</v>
      </c>
    </row>
    <row r="3763" spans="1:5">
      <c r="A3763" s="59">
        <v>8</v>
      </c>
      <c r="B3763" s="59">
        <v>64</v>
      </c>
      <c r="C3763" s="59">
        <v>120</v>
      </c>
      <c r="D3763" s="51">
        <v>1764</v>
      </c>
      <c r="E3763" s="51">
        <f t="shared" si="58"/>
        <v>0</v>
      </c>
    </row>
    <row r="3764" spans="1:5">
      <c r="A3764" s="59">
        <v>8</v>
      </c>
      <c r="B3764" s="59">
        <v>63</v>
      </c>
      <c r="C3764" s="59">
        <v>610</v>
      </c>
      <c r="D3764" s="51">
        <v>1742</v>
      </c>
      <c r="E3764" s="51">
        <f t="shared" si="58"/>
        <v>0</v>
      </c>
    </row>
    <row r="3765" spans="1:5">
      <c r="A3765" s="59">
        <v>8</v>
      </c>
      <c r="B3765" s="59">
        <v>21</v>
      </c>
      <c r="C3765" s="59">
        <v>240</v>
      </c>
      <c r="D3765" s="51">
        <v>1741</v>
      </c>
      <c r="E3765" s="51">
        <f t="shared" si="58"/>
        <v>0</v>
      </c>
    </row>
    <row r="3766" spans="1:5">
      <c r="A3766" s="59">
        <v>8</v>
      </c>
      <c r="B3766" s="59">
        <v>23</v>
      </c>
      <c r="C3766" s="59">
        <v>310</v>
      </c>
      <c r="D3766" s="51">
        <v>1741</v>
      </c>
      <c r="E3766" s="51">
        <f t="shared" si="58"/>
        <v>0</v>
      </c>
    </row>
    <row r="3767" spans="1:5">
      <c r="A3767" s="59">
        <v>8</v>
      </c>
      <c r="B3767" s="59">
        <v>15</v>
      </c>
      <c r="C3767" s="59">
        <v>230</v>
      </c>
      <c r="D3767" s="51">
        <v>1740</v>
      </c>
      <c r="E3767" s="51">
        <f t="shared" si="58"/>
        <v>0</v>
      </c>
    </row>
    <row r="3768" spans="1:5">
      <c r="A3768" s="59">
        <v>8</v>
      </c>
      <c r="B3768" s="59">
        <v>33</v>
      </c>
      <c r="C3768" s="59">
        <v>240</v>
      </c>
      <c r="D3768" s="51">
        <v>1737</v>
      </c>
      <c r="E3768" s="51">
        <f t="shared" si="58"/>
        <v>0</v>
      </c>
    </row>
    <row r="3769" spans="1:5">
      <c r="A3769" s="59">
        <v>8</v>
      </c>
      <c r="B3769" s="59">
        <v>14</v>
      </c>
      <c r="C3769" s="59">
        <v>950</v>
      </c>
      <c r="D3769" s="51">
        <v>1708</v>
      </c>
      <c r="E3769" s="51">
        <f t="shared" si="58"/>
        <v>0</v>
      </c>
    </row>
    <row r="3770" spans="1:5">
      <c r="A3770" s="59">
        <v>8</v>
      </c>
      <c r="B3770" s="59">
        <v>41</v>
      </c>
      <c r="C3770" s="59">
        <v>160</v>
      </c>
      <c r="D3770" s="51">
        <v>1699</v>
      </c>
      <c r="E3770" s="51">
        <f t="shared" si="58"/>
        <v>1</v>
      </c>
    </row>
    <row r="3771" spans="1:5">
      <c r="A3771" s="59">
        <v>8</v>
      </c>
      <c r="B3771" s="59">
        <v>43</v>
      </c>
      <c r="C3771" s="59">
        <v>920</v>
      </c>
      <c r="D3771" s="51">
        <v>1650</v>
      </c>
      <c r="E3771" s="51">
        <f t="shared" si="58"/>
        <v>0</v>
      </c>
    </row>
    <row r="3772" spans="1:5">
      <c r="A3772" s="59">
        <v>8</v>
      </c>
      <c r="B3772" s="59">
        <v>15</v>
      </c>
      <c r="C3772" s="59">
        <v>320</v>
      </c>
      <c r="D3772" s="51">
        <v>1630</v>
      </c>
      <c r="E3772" s="51">
        <f t="shared" si="58"/>
        <v>0</v>
      </c>
    </row>
    <row r="3773" spans="1:5">
      <c r="A3773" s="59">
        <v>8</v>
      </c>
      <c r="B3773" s="59">
        <v>81</v>
      </c>
      <c r="C3773" s="59">
        <v>210</v>
      </c>
      <c r="D3773" s="51">
        <v>1616</v>
      </c>
      <c r="E3773" s="51">
        <f t="shared" si="58"/>
        <v>0</v>
      </c>
    </row>
    <row r="3774" spans="1:5">
      <c r="A3774" s="59">
        <v>8</v>
      </c>
      <c r="B3774" s="59">
        <v>62</v>
      </c>
      <c r="C3774" s="59">
        <v>920</v>
      </c>
      <c r="D3774" s="51">
        <v>1612</v>
      </c>
      <c r="E3774" s="51">
        <f t="shared" si="58"/>
        <v>1</v>
      </c>
    </row>
    <row r="3775" spans="1:5">
      <c r="A3775" s="59">
        <v>8</v>
      </c>
      <c r="B3775" s="59">
        <v>62</v>
      </c>
      <c r="C3775" s="59">
        <v>730</v>
      </c>
      <c r="D3775" s="51">
        <v>1607</v>
      </c>
      <c r="E3775" s="51">
        <f t="shared" si="58"/>
        <v>1</v>
      </c>
    </row>
    <row r="3776" spans="1:5">
      <c r="A3776" s="59">
        <v>8</v>
      </c>
      <c r="B3776" s="59">
        <v>63</v>
      </c>
      <c r="C3776" s="59">
        <v>530</v>
      </c>
      <c r="D3776" s="51">
        <v>1597</v>
      </c>
      <c r="E3776" s="51">
        <f t="shared" si="58"/>
        <v>0</v>
      </c>
    </row>
    <row r="3777" spans="1:5">
      <c r="A3777" s="59">
        <v>8</v>
      </c>
      <c r="B3777" s="59">
        <v>64</v>
      </c>
      <c r="C3777" s="59">
        <v>520</v>
      </c>
      <c r="D3777" s="51">
        <v>1565</v>
      </c>
      <c r="E3777" s="51">
        <f t="shared" si="58"/>
        <v>0</v>
      </c>
    </row>
    <row r="3778" spans="1:5">
      <c r="A3778" s="59">
        <v>8</v>
      </c>
      <c r="B3778" s="59">
        <v>21</v>
      </c>
      <c r="C3778" s="59">
        <v>220</v>
      </c>
      <c r="D3778" s="51">
        <v>1556</v>
      </c>
      <c r="E3778" s="51">
        <f t="shared" ref="E3778:E3841" si="59">IF(OR(A3778=6,A3778=7,A3778=14,A3778=15,A3778=16,A3778=17,A3778=18,A3778=19,A3778=20,A3778=21,A3778=22,A3778=23,A3778=25,A3778=26,A3778=27,A3778=28,B3778=41,B3778=44,B3778=62),1,0)</f>
        <v>0</v>
      </c>
    </row>
    <row r="3779" spans="1:5">
      <c r="A3779" s="59">
        <v>8</v>
      </c>
      <c r="B3779" s="59">
        <v>32</v>
      </c>
      <c r="C3779" s="59">
        <v>210</v>
      </c>
      <c r="D3779" s="51">
        <v>1499</v>
      </c>
      <c r="E3779" s="51">
        <f t="shared" si="59"/>
        <v>0</v>
      </c>
    </row>
    <row r="3780" spans="1:5">
      <c r="A3780" s="59">
        <v>8</v>
      </c>
      <c r="B3780" s="59">
        <v>42</v>
      </c>
      <c r="C3780" s="59">
        <v>150</v>
      </c>
      <c r="D3780" s="51">
        <v>1486</v>
      </c>
      <c r="E3780" s="51">
        <f t="shared" si="59"/>
        <v>0</v>
      </c>
    </row>
    <row r="3781" spans="1:5">
      <c r="A3781" s="59">
        <v>8</v>
      </c>
      <c r="B3781" s="59">
        <v>41</v>
      </c>
      <c r="C3781" s="59">
        <v>150</v>
      </c>
      <c r="D3781" s="51">
        <v>1480</v>
      </c>
      <c r="E3781" s="51">
        <f t="shared" si="59"/>
        <v>1</v>
      </c>
    </row>
    <row r="3782" spans="1:5">
      <c r="A3782" s="59">
        <v>8</v>
      </c>
      <c r="B3782" s="59">
        <v>22</v>
      </c>
      <c r="C3782" s="59">
        <v>950</v>
      </c>
      <c r="D3782" s="51">
        <v>1476</v>
      </c>
      <c r="E3782" s="51">
        <f t="shared" si="59"/>
        <v>0</v>
      </c>
    </row>
    <row r="3783" spans="1:5">
      <c r="A3783" s="59">
        <v>8</v>
      </c>
      <c r="B3783" s="59">
        <v>16</v>
      </c>
      <c r="C3783" s="59">
        <v>410</v>
      </c>
      <c r="D3783" s="51">
        <v>1469</v>
      </c>
      <c r="E3783" s="51">
        <f t="shared" si="59"/>
        <v>0</v>
      </c>
    </row>
    <row r="3784" spans="1:5">
      <c r="A3784" s="59">
        <v>8</v>
      </c>
      <c r="B3784" s="59">
        <v>44</v>
      </c>
      <c r="C3784" s="59">
        <v>510</v>
      </c>
      <c r="D3784" s="51">
        <v>1465</v>
      </c>
      <c r="E3784" s="51">
        <f t="shared" si="59"/>
        <v>1</v>
      </c>
    </row>
    <row r="3785" spans="1:5">
      <c r="A3785" s="59">
        <v>8</v>
      </c>
      <c r="B3785" s="59">
        <v>81</v>
      </c>
      <c r="C3785" s="59">
        <v>730</v>
      </c>
      <c r="D3785" s="51">
        <v>1461</v>
      </c>
      <c r="E3785" s="51">
        <f t="shared" si="59"/>
        <v>0</v>
      </c>
    </row>
    <row r="3786" spans="1:5">
      <c r="A3786" s="59">
        <v>8</v>
      </c>
      <c r="B3786" s="59">
        <v>81</v>
      </c>
      <c r="C3786" s="59">
        <v>510</v>
      </c>
      <c r="D3786" s="51">
        <v>1420</v>
      </c>
      <c r="E3786" s="51">
        <f t="shared" si="59"/>
        <v>0</v>
      </c>
    </row>
    <row r="3787" spans="1:5">
      <c r="A3787" s="59">
        <v>8</v>
      </c>
      <c r="B3787" s="59">
        <v>41</v>
      </c>
      <c r="C3787" s="59">
        <v>210</v>
      </c>
      <c r="D3787" s="51">
        <v>1417</v>
      </c>
      <c r="E3787" s="51">
        <f t="shared" si="59"/>
        <v>1</v>
      </c>
    </row>
    <row r="3788" spans="1:5">
      <c r="A3788" s="59">
        <v>8</v>
      </c>
      <c r="B3788" s="59">
        <v>44</v>
      </c>
      <c r="C3788" s="59">
        <v>410</v>
      </c>
      <c r="D3788" s="51">
        <v>1407</v>
      </c>
      <c r="E3788" s="51">
        <f t="shared" si="59"/>
        <v>1</v>
      </c>
    </row>
    <row r="3789" spans="1:5">
      <c r="A3789" s="59">
        <v>8</v>
      </c>
      <c r="B3789" s="59">
        <v>42</v>
      </c>
      <c r="C3789" s="59">
        <v>310</v>
      </c>
      <c r="D3789" s="51">
        <v>1390</v>
      </c>
      <c r="E3789" s="51">
        <f t="shared" si="59"/>
        <v>0</v>
      </c>
    </row>
    <row r="3790" spans="1:5">
      <c r="A3790" s="59">
        <v>8</v>
      </c>
      <c r="B3790" s="59">
        <v>11</v>
      </c>
      <c r="C3790" s="59">
        <v>310</v>
      </c>
      <c r="D3790" s="51">
        <v>1362</v>
      </c>
      <c r="E3790" s="51">
        <f t="shared" si="59"/>
        <v>0</v>
      </c>
    </row>
    <row r="3791" spans="1:5">
      <c r="A3791" s="59">
        <v>8</v>
      </c>
      <c r="B3791" s="59">
        <v>42</v>
      </c>
      <c r="C3791" s="59">
        <v>410</v>
      </c>
      <c r="D3791" s="51">
        <v>1353</v>
      </c>
      <c r="E3791" s="51">
        <f t="shared" si="59"/>
        <v>0</v>
      </c>
    </row>
    <row r="3792" spans="1:5">
      <c r="A3792" s="59">
        <v>8</v>
      </c>
      <c r="B3792" s="59">
        <v>32</v>
      </c>
      <c r="C3792" s="59">
        <v>910</v>
      </c>
      <c r="D3792" s="51">
        <v>1334</v>
      </c>
      <c r="E3792" s="51">
        <f t="shared" si="59"/>
        <v>0</v>
      </c>
    </row>
    <row r="3793" spans="1:5">
      <c r="A3793" s="59">
        <v>8</v>
      </c>
      <c r="B3793" s="59">
        <v>64</v>
      </c>
      <c r="C3793" s="59">
        <v>730</v>
      </c>
      <c r="D3793" s="51">
        <v>1278</v>
      </c>
      <c r="E3793" s="51">
        <f t="shared" si="59"/>
        <v>0</v>
      </c>
    </row>
    <row r="3794" spans="1:5">
      <c r="A3794" s="59">
        <v>8</v>
      </c>
      <c r="B3794" s="59">
        <v>13</v>
      </c>
      <c r="C3794" s="59">
        <v>510</v>
      </c>
      <c r="D3794" s="51">
        <v>1246</v>
      </c>
      <c r="E3794" s="51">
        <f t="shared" si="59"/>
        <v>0</v>
      </c>
    </row>
    <row r="3795" spans="1:5">
      <c r="A3795" s="59">
        <v>8</v>
      </c>
      <c r="B3795" s="59">
        <v>63</v>
      </c>
      <c r="C3795" s="59">
        <v>430</v>
      </c>
      <c r="D3795" s="51">
        <v>1224</v>
      </c>
      <c r="E3795" s="51">
        <f t="shared" si="59"/>
        <v>0</v>
      </c>
    </row>
    <row r="3796" spans="1:5">
      <c r="A3796" s="59">
        <v>8</v>
      </c>
      <c r="B3796" s="59">
        <v>33</v>
      </c>
      <c r="C3796" s="59">
        <v>220</v>
      </c>
      <c r="D3796" s="51">
        <v>1213</v>
      </c>
      <c r="E3796" s="51">
        <f t="shared" si="59"/>
        <v>0</v>
      </c>
    </row>
    <row r="3797" spans="1:5">
      <c r="A3797" s="59">
        <v>8</v>
      </c>
      <c r="B3797" s="59">
        <v>13</v>
      </c>
      <c r="C3797" s="59">
        <v>430</v>
      </c>
      <c r="D3797" s="51">
        <v>1202</v>
      </c>
      <c r="E3797" s="51">
        <f t="shared" si="59"/>
        <v>0</v>
      </c>
    </row>
    <row r="3798" spans="1:5">
      <c r="A3798" s="59">
        <v>8</v>
      </c>
      <c r="B3798" s="59">
        <v>64</v>
      </c>
      <c r="C3798" s="59">
        <v>140</v>
      </c>
      <c r="D3798" s="51">
        <v>1188</v>
      </c>
      <c r="E3798" s="51">
        <f t="shared" si="59"/>
        <v>0</v>
      </c>
    </row>
    <row r="3799" spans="1:5">
      <c r="A3799" s="59">
        <v>8</v>
      </c>
      <c r="B3799" s="59">
        <v>81</v>
      </c>
      <c r="C3799" s="59">
        <v>990</v>
      </c>
      <c r="D3799" s="51">
        <v>1163</v>
      </c>
      <c r="E3799" s="51">
        <f t="shared" si="59"/>
        <v>0</v>
      </c>
    </row>
    <row r="3800" spans="1:5">
      <c r="A3800" s="59">
        <v>8</v>
      </c>
      <c r="B3800" s="59">
        <v>64</v>
      </c>
      <c r="C3800" s="59">
        <v>550</v>
      </c>
      <c r="D3800" s="51">
        <v>1152</v>
      </c>
      <c r="E3800" s="51">
        <f t="shared" si="59"/>
        <v>0</v>
      </c>
    </row>
    <row r="3801" spans="1:5">
      <c r="A3801" s="59">
        <v>8</v>
      </c>
      <c r="B3801" s="59">
        <v>81</v>
      </c>
      <c r="C3801" s="59">
        <v>310</v>
      </c>
      <c r="D3801" s="51">
        <v>1129</v>
      </c>
      <c r="E3801" s="51">
        <f t="shared" si="59"/>
        <v>0</v>
      </c>
    </row>
    <row r="3802" spans="1:5">
      <c r="A3802" s="59">
        <v>8</v>
      </c>
      <c r="B3802" s="59">
        <v>23</v>
      </c>
      <c r="C3802" s="59">
        <v>240</v>
      </c>
      <c r="D3802" s="51">
        <v>1058</v>
      </c>
      <c r="E3802" s="51">
        <f t="shared" si="59"/>
        <v>0</v>
      </c>
    </row>
    <row r="3803" spans="1:5">
      <c r="A3803" s="59">
        <v>8</v>
      </c>
      <c r="B3803" s="59">
        <v>62</v>
      </c>
      <c r="C3803" s="59">
        <v>610</v>
      </c>
      <c r="D3803" s="51">
        <v>1027</v>
      </c>
      <c r="E3803" s="51">
        <f t="shared" si="59"/>
        <v>1</v>
      </c>
    </row>
    <row r="3804" spans="1:5">
      <c r="A3804" s="59">
        <v>8</v>
      </c>
      <c r="B3804" s="59">
        <v>22</v>
      </c>
      <c r="C3804" s="59">
        <v>930</v>
      </c>
      <c r="D3804" s="51">
        <v>1017</v>
      </c>
      <c r="E3804" s="51">
        <f t="shared" si="59"/>
        <v>0</v>
      </c>
    </row>
    <row r="3805" spans="1:5">
      <c r="A3805" s="59">
        <v>8</v>
      </c>
      <c r="B3805" s="59">
        <v>44</v>
      </c>
      <c r="C3805" s="59">
        <v>530</v>
      </c>
      <c r="D3805" s="51">
        <v>1010</v>
      </c>
      <c r="E3805" s="51">
        <f t="shared" si="59"/>
        <v>1</v>
      </c>
    </row>
    <row r="3806" spans="1:5">
      <c r="A3806" s="59">
        <v>8</v>
      </c>
      <c r="B3806" s="59">
        <v>42</v>
      </c>
      <c r="C3806" s="59">
        <v>910</v>
      </c>
      <c r="D3806" s="51">
        <v>975</v>
      </c>
      <c r="E3806" s="51">
        <f t="shared" si="59"/>
        <v>0</v>
      </c>
    </row>
    <row r="3807" spans="1:5">
      <c r="A3807" s="59">
        <v>8</v>
      </c>
      <c r="B3807" s="59">
        <v>22</v>
      </c>
      <c r="C3807" s="59">
        <v>120</v>
      </c>
      <c r="D3807" s="51">
        <v>966</v>
      </c>
      <c r="E3807" s="51">
        <f t="shared" si="59"/>
        <v>0</v>
      </c>
    </row>
    <row r="3808" spans="1:5">
      <c r="A3808" s="59">
        <v>8</v>
      </c>
      <c r="B3808" s="59">
        <v>43</v>
      </c>
      <c r="C3808" s="59">
        <v>610</v>
      </c>
      <c r="D3808" s="51">
        <v>937</v>
      </c>
      <c r="E3808" s="51">
        <f t="shared" si="59"/>
        <v>0</v>
      </c>
    </row>
    <row r="3809" spans="1:5">
      <c r="A3809" s="59">
        <v>8</v>
      </c>
      <c r="B3809" s="59">
        <v>14</v>
      </c>
      <c r="C3809" s="59">
        <v>430</v>
      </c>
      <c r="D3809" s="51">
        <v>929</v>
      </c>
      <c r="E3809" s="51">
        <f t="shared" si="59"/>
        <v>0</v>
      </c>
    </row>
    <row r="3810" spans="1:5">
      <c r="A3810" s="59">
        <v>8</v>
      </c>
      <c r="B3810" s="59">
        <v>63</v>
      </c>
      <c r="C3810" s="59">
        <v>730</v>
      </c>
      <c r="D3810" s="51">
        <v>915</v>
      </c>
      <c r="E3810" s="51">
        <f t="shared" si="59"/>
        <v>0</v>
      </c>
    </row>
    <row r="3811" spans="1:5">
      <c r="A3811" s="59">
        <v>8</v>
      </c>
      <c r="B3811" s="59">
        <v>23</v>
      </c>
      <c r="C3811" s="59">
        <v>910</v>
      </c>
      <c r="D3811" s="51">
        <v>908</v>
      </c>
      <c r="E3811" s="51">
        <f t="shared" si="59"/>
        <v>0</v>
      </c>
    </row>
    <row r="3812" spans="1:5">
      <c r="A3812" s="59">
        <v>8</v>
      </c>
      <c r="B3812" s="59">
        <v>21</v>
      </c>
      <c r="C3812" s="59">
        <v>310</v>
      </c>
      <c r="D3812" s="51">
        <v>906</v>
      </c>
      <c r="E3812" s="51">
        <f t="shared" si="59"/>
        <v>0</v>
      </c>
    </row>
    <row r="3813" spans="1:5">
      <c r="A3813" s="59">
        <v>8</v>
      </c>
      <c r="B3813" s="59">
        <v>62</v>
      </c>
      <c r="C3813" s="59">
        <v>430</v>
      </c>
      <c r="D3813" s="51">
        <v>904</v>
      </c>
      <c r="E3813" s="51">
        <f t="shared" si="59"/>
        <v>1</v>
      </c>
    </row>
    <row r="3814" spans="1:5">
      <c r="A3814" s="59">
        <v>8</v>
      </c>
      <c r="B3814" s="59">
        <v>71</v>
      </c>
      <c r="C3814" s="59">
        <v>410</v>
      </c>
      <c r="D3814" s="51">
        <v>904</v>
      </c>
      <c r="E3814" s="51">
        <f t="shared" si="59"/>
        <v>0</v>
      </c>
    </row>
    <row r="3815" spans="1:5">
      <c r="A3815" s="59">
        <v>8</v>
      </c>
      <c r="B3815" s="59">
        <v>64</v>
      </c>
      <c r="C3815" s="59">
        <v>420</v>
      </c>
      <c r="D3815" s="51">
        <v>894</v>
      </c>
      <c r="E3815" s="51">
        <f t="shared" si="59"/>
        <v>0</v>
      </c>
    </row>
    <row r="3816" spans="1:5">
      <c r="A3816" s="59">
        <v>8</v>
      </c>
      <c r="B3816" s="59">
        <v>21</v>
      </c>
      <c r="C3816" s="59">
        <v>910</v>
      </c>
      <c r="D3816" s="51">
        <v>893</v>
      </c>
      <c r="E3816" s="51">
        <f t="shared" si="59"/>
        <v>0</v>
      </c>
    </row>
    <row r="3817" spans="1:5">
      <c r="A3817" s="59">
        <v>8</v>
      </c>
      <c r="B3817" s="59">
        <v>13</v>
      </c>
      <c r="C3817" s="59">
        <v>950</v>
      </c>
      <c r="D3817" s="51">
        <v>882</v>
      </c>
      <c r="E3817" s="51">
        <f t="shared" si="59"/>
        <v>0</v>
      </c>
    </row>
    <row r="3818" spans="1:5">
      <c r="A3818" s="59">
        <v>8</v>
      </c>
      <c r="B3818" s="59">
        <v>16</v>
      </c>
      <c r="C3818" s="59">
        <v>120</v>
      </c>
      <c r="D3818" s="51">
        <v>882</v>
      </c>
      <c r="E3818" s="51">
        <f t="shared" si="59"/>
        <v>0</v>
      </c>
    </row>
    <row r="3819" spans="1:5">
      <c r="A3819" s="59">
        <v>8</v>
      </c>
      <c r="B3819" s="59">
        <v>24</v>
      </c>
      <c r="C3819" s="59">
        <v>210</v>
      </c>
      <c r="D3819" s="51">
        <v>878</v>
      </c>
      <c r="E3819" s="51">
        <f t="shared" si="59"/>
        <v>0</v>
      </c>
    </row>
    <row r="3820" spans="1:5">
      <c r="A3820" s="59">
        <v>8</v>
      </c>
      <c r="B3820" s="59">
        <v>71</v>
      </c>
      <c r="C3820" s="59">
        <v>310</v>
      </c>
      <c r="D3820" s="51">
        <v>878</v>
      </c>
      <c r="E3820" s="51">
        <f t="shared" si="59"/>
        <v>0</v>
      </c>
    </row>
    <row r="3821" spans="1:5">
      <c r="A3821" s="59">
        <v>8</v>
      </c>
      <c r="B3821" s="59">
        <v>62</v>
      </c>
      <c r="C3821" s="59">
        <v>990</v>
      </c>
      <c r="D3821" s="51">
        <v>868</v>
      </c>
      <c r="E3821" s="51">
        <f t="shared" si="59"/>
        <v>1</v>
      </c>
    </row>
    <row r="3822" spans="1:5">
      <c r="A3822" s="59">
        <v>8</v>
      </c>
      <c r="B3822" s="59">
        <v>33</v>
      </c>
      <c r="C3822" s="59">
        <v>140</v>
      </c>
      <c r="D3822" s="51">
        <v>836</v>
      </c>
      <c r="E3822" s="51">
        <f t="shared" si="59"/>
        <v>0</v>
      </c>
    </row>
    <row r="3823" spans="1:5">
      <c r="A3823" s="59">
        <v>8</v>
      </c>
      <c r="B3823" s="59">
        <v>43</v>
      </c>
      <c r="C3823" s="59">
        <v>320</v>
      </c>
      <c r="D3823" s="51">
        <v>821</v>
      </c>
      <c r="E3823" s="51">
        <f t="shared" si="59"/>
        <v>0</v>
      </c>
    </row>
    <row r="3824" spans="1:5">
      <c r="A3824" s="59">
        <v>8</v>
      </c>
      <c r="B3824" s="59">
        <v>81</v>
      </c>
      <c r="C3824" s="59">
        <v>910</v>
      </c>
      <c r="D3824" s="51">
        <v>805</v>
      </c>
      <c r="E3824" s="51">
        <f t="shared" si="59"/>
        <v>0</v>
      </c>
    </row>
    <row r="3825" spans="1:5">
      <c r="A3825" s="59">
        <v>8</v>
      </c>
      <c r="B3825" s="59">
        <v>32</v>
      </c>
      <c r="C3825" s="59">
        <v>160</v>
      </c>
      <c r="D3825" s="51">
        <v>797</v>
      </c>
      <c r="E3825" s="51">
        <f t="shared" si="59"/>
        <v>0</v>
      </c>
    </row>
    <row r="3826" spans="1:5">
      <c r="A3826" s="59">
        <v>8</v>
      </c>
      <c r="B3826" s="59">
        <v>62</v>
      </c>
      <c r="C3826" s="59">
        <v>720</v>
      </c>
      <c r="D3826" s="51">
        <v>791</v>
      </c>
      <c r="E3826" s="51">
        <f t="shared" si="59"/>
        <v>1</v>
      </c>
    </row>
    <row r="3827" spans="1:5">
      <c r="A3827" s="59">
        <v>8</v>
      </c>
      <c r="B3827" s="59">
        <v>63</v>
      </c>
      <c r="C3827" s="59">
        <v>220</v>
      </c>
      <c r="D3827" s="51">
        <v>785</v>
      </c>
      <c r="E3827" s="51">
        <f t="shared" si="59"/>
        <v>0</v>
      </c>
    </row>
    <row r="3828" spans="1:5">
      <c r="A3828" s="59">
        <v>8</v>
      </c>
      <c r="B3828" s="59">
        <v>64</v>
      </c>
      <c r="C3828" s="59">
        <v>620</v>
      </c>
      <c r="D3828" s="51">
        <v>763</v>
      </c>
      <c r="E3828" s="51">
        <f t="shared" si="59"/>
        <v>0</v>
      </c>
    </row>
    <row r="3829" spans="1:5">
      <c r="A3829" s="59">
        <v>8</v>
      </c>
      <c r="B3829" s="59">
        <v>14</v>
      </c>
      <c r="C3829" s="59">
        <v>510</v>
      </c>
      <c r="D3829" s="51">
        <v>757</v>
      </c>
      <c r="E3829" s="51">
        <f t="shared" si="59"/>
        <v>0</v>
      </c>
    </row>
    <row r="3830" spans="1:5">
      <c r="A3830" s="59">
        <v>8</v>
      </c>
      <c r="B3830" s="59">
        <v>32</v>
      </c>
      <c r="C3830" s="59">
        <v>310</v>
      </c>
      <c r="D3830" s="51">
        <v>734</v>
      </c>
      <c r="E3830" s="51">
        <f t="shared" si="59"/>
        <v>0</v>
      </c>
    </row>
    <row r="3831" spans="1:5">
      <c r="A3831" s="59">
        <v>8</v>
      </c>
      <c r="B3831" s="59">
        <v>64</v>
      </c>
      <c r="C3831" s="59">
        <v>720</v>
      </c>
      <c r="D3831" s="51">
        <v>728</v>
      </c>
      <c r="E3831" s="51">
        <f t="shared" si="59"/>
        <v>0</v>
      </c>
    </row>
    <row r="3832" spans="1:5">
      <c r="A3832" s="59">
        <v>8</v>
      </c>
      <c r="B3832" s="59">
        <v>32</v>
      </c>
      <c r="C3832" s="59">
        <v>150</v>
      </c>
      <c r="D3832" s="51">
        <v>707</v>
      </c>
      <c r="E3832" s="51">
        <f t="shared" si="59"/>
        <v>0</v>
      </c>
    </row>
    <row r="3833" spans="1:5">
      <c r="A3833" s="59">
        <v>8</v>
      </c>
      <c r="B3833" s="59">
        <v>21</v>
      </c>
      <c r="C3833" s="59">
        <v>330</v>
      </c>
      <c r="D3833" s="51">
        <v>705</v>
      </c>
      <c r="E3833" s="51">
        <f t="shared" si="59"/>
        <v>0</v>
      </c>
    </row>
    <row r="3834" spans="1:5">
      <c r="A3834" s="59">
        <v>8</v>
      </c>
      <c r="B3834" s="59">
        <v>41</v>
      </c>
      <c r="C3834" s="59">
        <v>510</v>
      </c>
      <c r="D3834" s="51">
        <v>703</v>
      </c>
      <c r="E3834" s="51">
        <f t="shared" si="59"/>
        <v>1</v>
      </c>
    </row>
    <row r="3835" spans="1:5">
      <c r="A3835" s="59">
        <v>8</v>
      </c>
      <c r="B3835" s="59">
        <v>62</v>
      </c>
      <c r="C3835" s="59">
        <v>220</v>
      </c>
      <c r="D3835" s="51">
        <v>676</v>
      </c>
      <c r="E3835" s="51">
        <f t="shared" si="59"/>
        <v>1</v>
      </c>
    </row>
    <row r="3836" spans="1:5">
      <c r="A3836" s="59">
        <v>8</v>
      </c>
      <c r="B3836" s="59">
        <v>33</v>
      </c>
      <c r="C3836" s="59">
        <v>320</v>
      </c>
      <c r="D3836" s="51">
        <v>670</v>
      </c>
      <c r="E3836" s="51">
        <f t="shared" si="59"/>
        <v>0</v>
      </c>
    </row>
    <row r="3837" spans="1:5">
      <c r="A3837" s="59">
        <v>8</v>
      </c>
      <c r="B3837" s="59">
        <v>14</v>
      </c>
      <c r="C3837" s="59">
        <v>920</v>
      </c>
      <c r="D3837" s="51">
        <v>665</v>
      </c>
      <c r="E3837" s="51">
        <f t="shared" si="59"/>
        <v>0</v>
      </c>
    </row>
    <row r="3838" spans="1:5">
      <c r="A3838" s="59">
        <v>8</v>
      </c>
      <c r="B3838" s="59">
        <v>32</v>
      </c>
      <c r="C3838" s="59">
        <v>230</v>
      </c>
      <c r="D3838" s="51">
        <v>644</v>
      </c>
      <c r="E3838" s="51">
        <f t="shared" si="59"/>
        <v>0</v>
      </c>
    </row>
    <row r="3839" spans="1:5">
      <c r="A3839" s="59">
        <v>8</v>
      </c>
      <c r="B3839" s="59">
        <v>23</v>
      </c>
      <c r="C3839" s="59">
        <v>330</v>
      </c>
      <c r="D3839" s="51">
        <v>643</v>
      </c>
      <c r="E3839" s="51">
        <f t="shared" si="59"/>
        <v>0</v>
      </c>
    </row>
    <row r="3840" spans="1:5">
      <c r="A3840" s="59">
        <v>8</v>
      </c>
      <c r="B3840" s="59">
        <v>43</v>
      </c>
      <c r="C3840" s="59">
        <v>520</v>
      </c>
      <c r="D3840" s="51">
        <v>639</v>
      </c>
      <c r="E3840" s="51">
        <f t="shared" si="59"/>
        <v>0</v>
      </c>
    </row>
    <row r="3841" spans="1:5">
      <c r="A3841" s="59">
        <v>8</v>
      </c>
      <c r="B3841" s="59">
        <v>63</v>
      </c>
      <c r="C3841" s="59">
        <v>410</v>
      </c>
      <c r="D3841" s="51">
        <v>628</v>
      </c>
      <c r="E3841" s="51">
        <f t="shared" si="59"/>
        <v>0</v>
      </c>
    </row>
    <row r="3842" spans="1:5">
      <c r="A3842" s="59">
        <v>8</v>
      </c>
      <c r="B3842" s="59">
        <v>42</v>
      </c>
      <c r="C3842" s="59">
        <v>430</v>
      </c>
      <c r="D3842" s="51">
        <v>615</v>
      </c>
      <c r="E3842" s="51">
        <f t="shared" ref="E3842:E3905" si="60">IF(OR(A3842=6,A3842=7,A3842=14,A3842=15,A3842=16,A3842=17,A3842=18,A3842=19,A3842=20,A3842=21,A3842=22,A3842=23,A3842=25,A3842=26,A3842=27,A3842=28,B3842=41,B3842=44,B3842=62),1,0)</f>
        <v>0</v>
      </c>
    </row>
    <row r="3843" spans="1:5">
      <c r="A3843" s="59">
        <v>8</v>
      </c>
      <c r="B3843" s="59">
        <v>71</v>
      </c>
      <c r="C3843" s="59">
        <v>620</v>
      </c>
      <c r="D3843" s="51">
        <v>613</v>
      </c>
      <c r="E3843" s="51">
        <f t="shared" si="60"/>
        <v>0</v>
      </c>
    </row>
    <row r="3844" spans="1:5">
      <c r="A3844" s="59">
        <v>8</v>
      </c>
      <c r="B3844" s="59">
        <v>43</v>
      </c>
      <c r="C3844" s="59">
        <v>140</v>
      </c>
      <c r="D3844" s="51">
        <v>609</v>
      </c>
      <c r="E3844" s="51">
        <f t="shared" si="60"/>
        <v>0</v>
      </c>
    </row>
    <row r="3845" spans="1:5">
      <c r="A3845" s="59">
        <v>8</v>
      </c>
      <c r="B3845" s="59">
        <v>43</v>
      </c>
      <c r="C3845" s="59">
        <v>990</v>
      </c>
      <c r="D3845" s="51">
        <v>606</v>
      </c>
      <c r="E3845" s="51">
        <f t="shared" si="60"/>
        <v>0</v>
      </c>
    </row>
    <row r="3846" spans="1:5">
      <c r="A3846" s="59">
        <v>8</v>
      </c>
      <c r="B3846" s="59">
        <v>71</v>
      </c>
      <c r="C3846" s="59">
        <v>530</v>
      </c>
      <c r="D3846" s="51">
        <v>593</v>
      </c>
      <c r="E3846" s="51">
        <f t="shared" si="60"/>
        <v>0</v>
      </c>
    </row>
    <row r="3847" spans="1:5">
      <c r="A3847" s="59">
        <v>8</v>
      </c>
      <c r="B3847" s="59">
        <v>42</v>
      </c>
      <c r="C3847" s="59">
        <v>220</v>
      </c>
      <c r="D3847" s="51">
        <v>585</v>
      </c>
      <c r="E3847" s="51">
        <f t="shared" si="60"/>
        <v>0</v>
      </c>
    </row>
    <row r="3848" spans="1:5">
      <c r="A3848" s="59">
        <v>8</v>
      </c>
      <c r="B3848" s="59">
        <v>23</v>
      </c>
      <c r="C3848" s="59">
        <v>220</v>
      </c>
      <c r="D3848" s="51">
        <v>584</v>
      </c>
      <c r="E3848" s="51">
        <f t="shared" si="60"/>
        <v>0</v>
      </c>
    </row>
    <row r="3849" spans="1:5">
      <c r="A3849" s="59">
        <v>8</v>
      </c>
      <c r="B3849" s="59">
        <v>16</v>
      </c>
      <c r="C3849" s="59">
        <v>430</v>
      </c>
      <c r="D3849" s="51">
        <v>583</v>
      </c>
      <c r="E3849" s="51">
        <f t="shared" si="60"/>
        <v>0</v>
      </c>
    </row>
    <row r="3850" spans="1:5">
      <c r="A3850" s="59">
        <v>8</v>
      </c>
      <c r="B3850" s="59">
        <v>24</v>
      </c>
      <c r="C3850" s="59">
        <v>230</v>
      </c>
      <c r="D3850" s="51">
        <v>579</v>
      </c>
      <c r="E3850" s="51">
        <f t="shared" si="60"/>
        <v>0</v>
      </c>
    </row>
    <row r="3851" spans="1:5">
      <c r="A3851" s="59">
        <v>8</v>
      </c>
      <c r="B3851" s="59">
        <v>43</v>
      </c>
      <c r="C3851" s="59">
        <v>420</v>
      </c>
      <c r="D3851" s="51">
        <v>561</v>
      </c>
      <c r="E3851" s="51">
        <f t="shared" si="60"/>
        <v>0</v>
      </c>
    </row>
    <row r="3852" spans="1:5">
      <c r="A3852" s="59">
        <v>8</v>
      </c>
      <c r="B3852" s="59">
        <v>63</v>
      </c>
      <c r="C3852" s="59">
        <v>920</v>
      </c>
      <c r="D3852" s="51">
        <v>534</v>
      </c>
      <c r="E3852" s="51">
        <f t="shared" si="60"/>
        <v>0</v>
      </c>
    </row>
    <row r="3853" spans="1:5">
      <c r="A3853" s="59">
        <v>8</v>
      </c>
      <c r="B3853" s="59">
        <v>13</v>
      </c>
      <c r="C3853" s="59">
        <v>920</v>
      </c>
      <c r="D3853" s="51">
        <v>533</v>
      </c>
      <c r="E3853" s="51">
        <f t="shared" si="60"/>
        <v>0</v>
      </c>
    </row>
    <row r="3854" spans="1:5">
      <c r="A3854" s="59">
        <v>8</v>
      </c>
      <c r="B3854" s="59">
        <v>71</v>
      </c>
      <c r="C3854" s="59">
        <v>920</v>
      </c>
      <c r="D3854" s="51">
        <v>529</v>
      </c>
      <c r="E3854" s="51">
        <f t="shared" si="60"/>
        <v>0</v>
      </c>
    </row>
    <row r="3855" spans="1:5">
      <c r="A3855" s="59">
        <v>8</v>
      </c>
      <c r="B3855" s="59">
        <v>64</v>
      </c>
      <c r="C3855" s="59">
        <v>990</v>
      </c>
      <c r="D3855" s="51">
        <v>525</v>
      </c>
      <c r="E3855" s="51">
        <f t="shared" si="60"/>
        <v>0</v>
      </c>
    </row>
    <row r="3856" spans="1:5">
      <c r="A3856" s="59">
        <v>8</v>
      </c>
      <c r="B3856" s="59">
        <v>41</v>
      </c>
      <c r="C3856" s="59">
        <v>910</v>
      </c>
      <c r="D3856" s="51">
        <v>524</v>
      </c>
      <c r="E3856" s="51">
        <f t="shared" si="60"/>
        <v>1</v>
      </c>
    </row>
    <row r="3857" spans="1:5">
      <c r="A3857" s="59">
        <v>8</v>
      </c>
      <c r="B3857" s="59">
        <v>81</v>
      </c>
      <c r="C3857" s="59">
        <v>230</v>
      </c>
      <c r="D3857" s="51">
        <v>518</v>
      </c>
      <c r="E3857" s="51">
        <f t="shared" si="60"/>
        <v>0</v>
      </c>
    </row>
    <row r="3858" spans="1:5">
      <c r="A3858" s="59">
        <v>8</v>
      </c>
      <c r="B3858" s="59">
        <v>15</v>
      </c>
      <c r="C3858" s="59">
        <v>930</v>
      </c>
      <c r="D3858" s="51">
        <v>516</v>
      </c>
      <c r="E3858" s="51">
        <f t="shared" si="60"/>
        <v>0</v>
      </c>
    </row>
    <row r="3859" spans="1:5">
      <c r="A3859" s="59">
        <v>8</v>
      </c>
      <c r="B3859" s="59">
        <v>22</v>
      </c>
      <c r="C3859" s="59">
        <v>890</v>
      </c>
      <c r="D3859" s="51">
        <v>507</v>
      </c>
      <c r="E3859" s="51">
        <f t="shared" si="60"/>
        <v>0</v>
      </c>
    </row>
    <row r="3860" spans="1:5">
      <c r="A3860" s="59">
        <v>8</v>
      </c>
      <c r="B3860" s="59">
        <v>43</v>
      </c>
      <c r="C3860" s="59">
        <v>730</v>
      </c>
      <c r="D3860" s="51">
        <v>506</v>
      </c>
      <c r="E3860" s="51">
        <f t="shared" si="60"/>
        <v>0</v>
      </c>
    </row>
    <row r="3861" spans="1:5">
      <c r="A3861" s="59">
        <v>8</v>
      </c>
      <c r="B3861" s="59">
        <v>64</v>
      </c>
      <c r="C3861" s="59">
        <v>930</v>
      </c>
      <c r="D3861" s="51">
        <v>491</v>
      </c>
      <c r="E3861" s="51">
        <f t="shared" si="60"/>
        <v>0</v>
      </c>
    </row>
    <row r="3862" spans="1:5">
      <c r="A3862" s="59">
        <v>8</v>
      </c>
      <c r="B3862" s="59">
        <v>16</v>
      </c>
      <c r="C3862" s="59">
        <v>420</v>
      </c>
      <c r="D3862" s="51">
        <v>486</v>
      </c>
      <c r="E3862" s="51">
        <f t="shared" si="60"/>
        <v>0</v>
      </c>
    </row>
    <row r="3863" spans="1:5">
      <c r="A3863" s="59">
        <v>8</v>
      </c>
      <c r="B3863" s="59">
        <v>64</v>
      </c>
      <c r="C3863" s="59">
        <v>891</v>
      </c>
      <c r="D3863" s="51">
        <v>466</v>
      </c>
      <c r="E3863" s="51">
        <f t="shared" si="60"/>
        <v>0</v>
      </c>
    </row>
    <row r="3864" spans="1:5">
      <c r="A3864" s="59">
        <v>8</v>
      </c>
      <c r="B3864" s="59">
        <v>43</v>
      </c>
      <c r="C3864" s="59">
        <v>620</v>
      </c>
      <c r="D3864" s="51">
        <v>462</v>
      </c>
      <c r="E3864" s="51">
        <f t="shared" si="60"/>
        <v>0</v>
      </c>
    </row>
    <row r="3865" spans="1:5">
      <c r="A3865" s="59">
        <v>8</v>
      </c>
      <c r="B3865" s="59">
        <v>23</v>
      </c>
      <c r="C3865" s="59">
        <v>160</v>
      </c>
      <c r="D3865" s="51">
        <v>459</v>
      </c>
      <c r="E3865" s="51">
        <f t="shared" si="60"/>
        <v>0</v>
      </c>
    </row>
    <row r="3866" spans="1:5">
      <c r="A3866" s="59">
        <v>8</v>
      </c>
      <c r="B3866" s="59">
        <v>51</v>
      </c>
      <c r="C3866" s="59">
        <v>110</v>
      </c>
      <c r="D3866" s="51">
        <v>455</v>
      </c>
      <c r="E3866" s="51">
        <f t="shared" si="60"/>
        <v>0</v>
      </c>
    </row>
    <row r="3867" spans="1:5">
      <c r="A3867" s="59">
        <v>8</v>
      </c>
      <c r="B3867" s="59">
        <v>64</v>
      </c>
      <c r="C3867" s="59">
        <v>950</v>
      </c>
      <c r="D3867" s="51">
        <v>442</v>
      </c>
      <c r="E3867" s="51">
        <f t="shared" si="60"/>
        <v>0</v>
      </c>
    </row>
    <row r="3868" spans="1:5">
      <c r="A3868" s="59">
        <v>8</v>
      </c>
      <c r="B3868" s="59">
        <v>63</v>
      </c>
      <c r="C3868" s="59">
        <v>720</v>
      </c>
      <c r="D3868" s="51">
        <v>441</v>
      </c>
      <c r="E3868" s="51">
        <f t="shared" si="60"/>
        <v>0</v>
      </c>
    </row>
    <row r="3869" spans="1:5">
      <c r="A3869" s="59">
        <v>8</v>
      </c>
      <c r="B3869" s="59">
        <v>11</v>
      </c>
      <c r="C3869" s="59">
        <v>210</v>
      </c>
      <c r="D3869" s="51">
        <v>439</v>
      </c>
      <c r="E3869" s="51">
        <f t="shared" si="60"/>
        <v>0</v>
      </c>
    </row>
    <row r="3870" spans="1:5">
      <c r="A3870" s="59">
        <v>8</v>
      </c>
      <c r="B3870" s="59">
        <v>41</v>
      </c>
      <c r="C3870" s="59">
        <v>310</v>
      </c>
      <c r="D3870" s="51">
        <v>430</v>
      </c>
      <c r="E3870" s="51">
        <f t="shared" si="60"/>
        <v>1</v>
      </c>
    </row>
    <row r="3871" spans="1:5">
      <c r="A3871" s="59">
        <v>8</v>
      </c>
      <c r="B3871" s="59">
        <v>64</v>
      </c>
      <c r="C3871" s="59">
        <v>540</v>
      </c>
      <c r="D3871" s="51">
        <v>430</v>
      </c>
      <c r="E3871" s="51">
        <f t="shared" si="60"/>
        <v>0</v>
      </c>
    </row>
    <row r="3872" spans="1:5">
      <c r="A3872" s="59">
        <v>8</v>
      </c>
      <c r="B3872" s="59">
        <v>13</v>
      </c>
      <c r="C3872" s="59">
        <v>720</v>
      </c>
      <c r="D3872" s="51">
        <v>424</v>
      </c>
      <c r="E3872" s="51">
        <f t="shared" si="60"/>
        <v>0</v>
      </c>
    </row>
    <row r="3873" spans="1:5">
      <c r="A3873" s="59">
        <v>8</v>
      </c>
      <c r="B3873" s="59">
        <v>21</v>
      </c>
      <c r="C3873" s="59">
        <v>160</v>
      </c>
      <c r="D3873" s="51">
        <v>420</v>
      </c>
      <c r="E3873" s="51">
        <f t="shared" si="60"/>
        <v>0</v>
      </c>
    </row>
    <row r="3874" spans="1:5">
      <c r="A3874" s="59">
        <v>8</v>
      </c>
      <c r="B3874" s="59">
        <v>13</v>
      </c>
      <c r="C3874" s="59">
        <v>730</v>
      </c>
      <c r="D3874" s="51">
        <v>398</v>
      </c>
      <c r="E3874" s="51">
        <f t="shared" si="60"/>
        <v>0</v>
      </c>
    </row>
    <row r="3875" spans="1:5">
      <c r="A3875" s="59">
        <v>8</v>
      </c>
      <c r="B3875" s="59">
        <v>71</v>
      </c>
      <c r="C3875" s="59">
        <v>220</v>
      </c>
      <c r="D3875" s="51">
        <v>386</v>
      </c>
      <c r="E3875" s="51">
        <f t="shared" si="60"/>
        <v>0</v>
      </c>
    </row>
    <row r="3876" spans="1:5">
      <c r="A3876" s="59">
        <v>8</v>
      </c>
      <c r="B3876" s="59">
        <v>11</v>
      </c>
      <c r="C3876" s="59">
        <v>330</v>
      </c>
      <c r="D3876" s="51">
        <v>383</v>
      </c>
      <c r="E3876" s="51">
        <f t="shared" si="60"/>
        <v>0</v>
      </c>
    </row>
    <row r="3877" spans="1:5">
      <c r="A3877" s="59">
        <v>8</v>
      </c>
      <c r="B3877" s="59">
        <v>14</v>
      </c>
      <c r="C3877" s="59">
        <v>420</v>
      </c>
      <c r="D3877" s="51">
        <v>374</v>
      </c>
      <c r="E3877" s="51">
        <f t="shared" si="60"/>
        <v>0</v>
      </c>
    </row>
    <row r="3878" spans="1:5">
      <c r="A3878" s="59">
        <v>8</v>
      </c>
      <c r="B3878" s="59">
        <v>31</v>
      </c>
      <c r="C3878" s="59">
        <v>410</v>
      </c>
      <c r="D3878" s="51">
        <v>372</v>
      </c>
      <c r="E3878" s="51">
        <f t="shared" si="60"/>
        <v>0</v>
      </c>
    </row>
    <row r="3879" spans="1:5">
      <c r="A3879" s="59">
        <v>8</v>
      </c>
      <c r="B3879" s="59">
        <v>41</v>
      </c>
      <c r="C3879" s="59">
        <v>530</v>
      </c>
      <c r="D3879" s="51">
        <v>372</v>
      </c>
      <c r="E3879" s="51">
        <f t="shared" si="60"/>
        <v>1</v>
      </c>
    </row>
    <row r="3880" spans="1:5">
      <c r="A3880" s="59">
        <v>8</v>
      </c>
      <c r="B3880" s="59">
        <v>44</v>
      </c>
      <c r="C3880" s="59">
        <v>220</v>
      </c>
      <c r="D3880" s="51">
        <v>372</v>
      </c>
      <c r="E3880" s="51">
        <f t="shared" si="60"/>
        <v>1</v>
      </c>
    </row>
    <row r="3881" spans="1:5">
      <c r="A3881" s="59">
        <v>8</v>
      </c>
      <c r="B3881" s="59">
        <v>15</v>
      </c>
      <c r="C3881" s="59">
        <v>410</v>
      </c>
      <c r="D3881" s="51">
        <v>371</v>
      </c>
      <c r="E3881" s="51">
        <f t="shared" si="60"/>
        <v>0</v>
      </c>
    </row>
    <row r="3882" spans="1:5">
      <c r="A3882" s="59">
        <v>8</v>
      </c>
      <c r="B3882" s="59">
        <v>33</v>
      </c>
      <c r="C3882" s="59">
        <v>120</v>
      </c>
      <c r="D3882" s="51">
        <v>369</v>
      </c>
      <c r="E3882" s="51">
        <f t="shared" si="60"/>
        <v>0</v>
      </c>
    </row>
    <row r="3883" spans="1:5">
      <c r="A3883" s="59">
        <v>8</v>
      </c>
      <c r="B3883" s="59">
        <v>42</v>
      </c>
      <c r="C3883" s="59">
        <v>330</v>
      </c>
      <c r="D3883" s="51">
        <v>368</v>
      </c>
      <c r="E3883" s="51">
        <f t="shared" si="60"/>
        <v>0</v>
      </c>
    </row>
    <row r="3884" spans="1:5">
      <c r="A3884" s="59">
        <v>8</v>
      </c>
      <c r="B3884" s="59">
        <v>14</v>
      </c>
      <c r="C3884" s="59">
        <v>730</v>
      </c>
      <c r="D3884" s="51">
        <v>361</v>
      </c>
      <c r="E3884" s="51">
        <f t="shared" si="60"/>
        <v>0</v>
      </c>
    </row>
    <row r="3885" spans="1:5">
      <c r="A3885" s="59">
        <v>8</v>
      </c>
      <c r="B3885" s="59">
        <v>43</v>
      </c>
      <c r="C3885" s="59">
        <v>895</v>
      </c>
      <c r="D3885" s="51">
        <v>360</v>
      </c>
      <c r="E3885" s="51">
        <f t="shared" si="60"/>
        <v>0</v>
      </c>
    </row>
    <row r="3886" spans="1:5">
      <c r="A3886" s="59">
        <v>8</v>
      </c>
      <c r="B3886" s="59">
        <v>43</v>
      </c>
      <c r="C3886" s="59">
        <v>950</v>
      </c>
      <c r="D3886" s="51">
        <v>360</v>
      </c>
      <c r="E3886" s="51">
        <f t="shared" si="60"/>
        <v>0</v>
      </c>
    </row>
    <row r="3887" spans="1:5">
      <c r="A3887" s="59">
        <v>8</v>
      </c>
      <c r="B3887" s="59">
        <v>11</v>
      </c>
      <c r="C3887" s="59">
        <v>130</v>
      </c>
      <c r="D3887" s="51">
        <v>349</v>
      </c>
      <c r="E3887" s="51">
        <f t="shared" si="60"/>
        <v>0</v>
      </c>
    </row>
    <row r="3888" spans="1:5">
      <c r="A3888" s="59">
        <v>8</v>
      </c>
      <c r="B3888" s="59">
        <v>43</v>
      </c>
      <c r="C3888" s="59">
        <v>940</v>
      </c>
      <c r="D3888" s="51">
        <v>349</v>
      </c>
      <c r="E3888" s="51">
        <f t="shared" si="60"/>
        <v>0</v>
      </c>
    </row>
    <row r="3889" spans="1:5">
      <c r="A3889" s="59">
        <v>8</v>
      </c>
      <c r="B3889" s="59">
        <v>23</v>
      </c>
      <c r="C3889" s="59">
        <v>150</v>
      </c>
      <c r="D3889" s="51">
        <v>348</v>
      </c>
      <c r="E3889" s="51">
        <f t="shared" si="60"/>
        <v>0</v>
      </c>
    </row>
    <row r="3890" spans="1:5">
      <c r="A3890" s="59">
        <v>8</v>
      </c>
      <c r="B3890" s="59">
        <v>81</v>
      </c>
      <c r="C3890" s="59">
        <v>530</v>
      </c>
      <c r="D3890" s="51">
        <v>323</v>
      </c>
      <c r="E3890" s="51">
        <f t="shared" si="60"/>
        <v>0</v>
      </c>
    </row>
    <row r="3891" spans="1:5">
      <c r="A3891" s="59">
        <v>8</v>
      </c>
      <c r="B3891" s="59">
        <v>11</v>
      </c>
      <c r="C3891" s="59">
        <v>910</v>
      </c>
      <c r="D3891" s="51">
        <v>321</v>
      </c>
      <c r="E3891" s="51">
        <f t="shared" si="60"/>
        <v>0</v>
      </c>
    </row>
    <row r="3892" spans="1:5">
      <c r="A3892" s="59">
        <v>8</v>
      </c>
      <c r="B3892" s="59">
        <v>22</v>
      </c>
      <c r="C3892" s="59">
        <v>410</v>
      </c>
      <c r="D3892" s="51">
        <v>321</v>
      </c>
      <c r="E3892" s="51">
        <f t="shared" si="60"/>
        <v>0</v>
      </c>
    </row>
    <row r="3893" spans="1:5">
      <c r="A3893" s="59">
        <v>8</v>
      </c>
      <c r="B3893" s="59">
        <v>81</v>
      </c>
      <c r="C3893" s="59">
        <v>920</v>
      </c>
      <c r="D3893" s="51">
        <v>316</v>
      </c>
      <c r="E3893" s="51">
        <f t="shared" si="60"/>
        <v>0</v>
      </c>
    </row>
    <row r="3894" spans="1:5">
      <c r="A3894" s="59">
        <v>8</v>
      </c>
      <c r="B3894" s="59">
        <v>62</v>
      </c>
      <c r="C3894" s="59">
        <v>330</v>
      </c>
      <c r="D3894" s="51">
        <v>305</v>
      </c>
      <c r="E3894" s="51">
        <f t="shared" si="60"/>
        <v>1</v>
      </c>
    </row>
    <row r="3895" spans="1:5">
      <c r="A3895" s="59">
        <v>8</v>
      </c>
      <c r="B3895" s="59">
        <v>64</v>
      </c>
      <c r="C3895" s="59">
        <v>861</v>
      </c>
      <c r="D3895" s="51">
        <v>305</v>
      </c>
      <c r="E3895" s="51">
        <f t="shared" si="60"/>
        <v>0</v>
      </c>
    </row>
    <row r="3896" spans="1:5">
      <c r="A3896" s="59">
        <v>8</v>
      </c>
      <c r="B3896" s="59">
        <v>44</v>
      </c>
      <c r="C3896" s="59">
        <v>330</v>
      </c>
      <c r="D3896" s="51">
        <v>300</v>
      </c>
      <c r="E3896" s="51">
        <f t="shared" si="60"/>
        <v>1</v>
      </c>
    </row>
    <row r="3897" spans="1:5">
      <c r="A3897" s="59">
        <v>8</v>
      </c>
      <c r="B3897" s="59">
        <v>13</v>
      </c>
      <c r="C3897" s="59">
        <v>420</v>
      </c>
      <c r="D3897" s="51">
        <v>299</v>
      </c>
      <c r="E3897" s="51">
        <f t="shared" si="60"/>
        <v>0</v>
      </c>
    </row>
    <row r="3898" spans="1:5">
      <c r="A3898" s="59">
        <v>8</v>
      </c>
      <c r="B3898" s="59">
        <v>31</v>
      </c>
      <c r="C3898" s="59">
        <v>430</v>
      </c>
      <c r="D3898" s="51">
        <v>296</v>
      </c>
      <c r="E3898" s="51">
        <f t="shared" si="60"/>
        <v>0</v>
      </c>
    </row>
    <row r="3899" spans="1:5">
      <c r="A3899" s="59">
        <v>8</v>
      </c>
      <c r="B3899" s="59">
        <v>44</v>
      </c>
      <c r="C3899" s="59">
        <v>720</v>
      </c>
      <c r="D3899" s="51">
        <v>293</v>
      </c>
      <c r="E3899" s="51">
        <f t="shared" si="60"/>
        <v>1</v>
      </c>
    </row>
    <row r="3900" spans="1:5">
      <c r="A3900" s="59">
        <v>8</v>
      </c>
      <c r="B3900" s="59">
        <v>21</v>
      </c>
      <c r="C3900" s="59">
        <v>150</v>
      </c>
      <c r="D3900" s="51">
        <v>292</v>
      </c>
      <c r="E3900" s="51">
        <f t="shared" si="60"/>
        <v>0</v>
      </c>
    </row>
    <row r="3901" spans="1:5">
      <c r="A3901" s="59">
        <v>8</v>
      </c>
      <c r="B3901" s="59">
        <v>23</v>
      </c>
      <c r="C3901" s="59">
        <v>140</v>
      </c>
      <c r="D3901" s="51">
        <v>285</v>
      </c>
      <c r="E3901" s="51">
        <f t="shared" si="60"/>
        <v>0</v>
      </c>
    </row>
    <row r="3902" spans="1:5">
      <c r="A3902" s="59">
        <v>8</v>
      </c>
      <c r="B3902" s="59">
        <v>62</v>
      </c>
      <c r="C3902" s="59">
        <v>410</v>
      </c>
      <c r="D3902" s="51">
        <v>280</v>
      </c>
      <c r="E3902" s="51">
        <f t="shared" si="60"/>
        <v>1</v>
      </c>
    </row>
    <row r="3903" spans="1:5">
      <c r="A3903" s="59">
        <v>8</v>
      </c>
      <c r="B3903" s="59">
        <v>81</v>
      </c>
      <c r="C3903" s="59">
        <v>720</v>
      </c>
      <c r="D3903" s="51">
        <v>280</v>
      </c>
      <c r="E3903" s="51">
        <f t="shared" si="60"/>
        <v>0</v>
      </c>
    </row>
    <row r="3904" spans="1:5">
      <c r="A3904" s="59">
        <v>8</v>
      </c>
      <c r="B3904" s="59">
        <v>42</v>
      </c>
      <c r="C3904" s="59">
        <v>610</v>
      </c>
      <c r="D3904" s="51">
        <v>276</v>
      </c>
      <c r="E3904" s="51">
        <f t="shared" si="60"/>
        <v>0</v>
      </c>
    </row>
    <row r="3905" spans="1:5">
      <c r="A3905" s="59">
        <v>8</v>
      </c>
      <c r="B3905" s="59">
        <v>71</v>
      </c>
      <c r="C3905" s="59">
        <v>430</v>
      </c>
      <c r="D3905" s="51">
        <v>273</v>
      </c>
      <c r="E3905" s="51">
        <f t="shared" si="60"/>
        <v>0</v>
      </c>
    </row>
    <row r="3906" spans="1:5">
      <c r="A3906" s="59">
        <v>8</v>
      </c>
      <c r="B3906" s="59">
        <v>64</v>
      </c>
      <c r="C3906" s="59">
        <v>840</v>
      </c>
      <c r="D3906" s="51">
        <v>270</v>
      </c>
      <c r="E3906" s="51">
        <f t="shared" ref="E3906:E3969" si="61">IF(OR(A3906=6,A3906=7,A3906=14,A3906=15,A3906=16,A3906=17,A3906=18,A3906=19,A3906=20,A3906=21,A3906=22,A3906=23,A3906=25,A3906=26,A3906=27,A3906=28,B3906=41,B3906=44,B3906=62),1,0)</f>
        <v>0</v>
      </c>
    </row>
    <row r="3907" spans="1:5">
      <c r="A3907" s="59">
        <v>8</v>
      </c>
      <c r="B3907" s="59">
        <v>13</v>
      </c>
      <c r="C3907" s="59">
        <v>530</v>
      </c>
      <c r="D3907" s="51">
        <v>265</v>
      </c>
      <c r="E3907" s="51">
        <f t="shared" si="61"/>
        <v>0</v>
      </c>
    </row>
    <row r="3908" spans="1:5">
      <c r="A3908" s="59">
        <v>8</v>
      </c>
      <c r="B3908" s="59">
        <v>16</v>
      </c>
      <c r="C3908" s="59">
        <v>950</v>
      </c>
      <c r="D3908" s="51">
        <v>264</v>
      </c>
      <c r="E3908" s="51">
        <f t="shared" si="61"/>
        <v>0</v>
      </c>
    </row>
    <row r="3909" spans="1:5">
      <c r="A3909" s="59">
        <v>8</v>
      </c>
      <c r="B3909" s="59">
        <v>42</v>
      </c>
      <c r="C3909" s="59">
        <v>240</v>
      </c>
      <c r="D3909" s="51">
        <v>264</v>
      </c>
      <c r="E3909" s="51">
        <f t="shared" si="61"/>
        <v>0</v>
      </c>
    </row>
    <row r="3910" spans="1:5">
      <c r="A3910" s="59">
        <v>8</v>
      </c>
      <c r="B3910" s="59">
        <v>12</v>
      </c>
      <c r="C3910" s="59">
        <v>140</v>
      </c>
      <c r="D3910" s="51">
        <v>262</v>
      </c>
      <c r="E3910" s="51">
        <f t="shared" si="61"/>
        <v>0</v>
      </c>
    </row>
    <row r="3911" spans="1:5">
      <c r="A3911" s="59">
        <v>8</v>
      </c>
      <c r="B3911" s="59">
        <v>14</v>
      </c>
      <c r="C3911" s="59">
        <v>720</v>
      </c>
      <c r="D3911" s="51">
        <v>258</v>
      </c>
      <c r="E3911" s="51">
        <f t="shared" si="61"/>
        <v>0</v>
      </c>
    </row>
    <row r="3912" spans="1:5">
      <c r="A3912" s="59">
        <v>8</v>
      </c>
      <c r="B3912" s="59">
        <v>63</v>
      </c>
      <c r="C3912" s="59">
        <v>550</v>
      </c>
      <c r="D3912" s="51">
        <v>256</v>
      </c>
      <c r="E3912" s="51">
        <f t="shared" si="61"/>
        <v>0</v>
      </c>
    </row>
    <row r="3913" spans="1:5">
      <c r="A3913" s="59">
        <v>8</v>
      </c>
      <c r="B3913" s="59">
        <v>32</v>
      </c>
      <c r="C3913" s="59">
        <v>240</v>
      </c>
      <c r="D3913" s="51">
        <v>254</v>
      </c>
      <c r="E3913" s="51">
        <f t="shared" si="61"/>
        <v>0</v>
      </c>
    </row>
    <row r="3914" spans="1:5">
      <c r="A3914" s="59">
        <v>8</v>
      </c>
      <c r="B3914" s="59">
        <v>63</v>
      </c>
      <c r="C3914" s="59">
        <v>620</v>
      </c>
      <c r="D3914" s="51">
        <v>253</v>
      </c>
      <c r="E3914" s="51">
        <f t="shared" si="61"/>
        <v>0</v>
      </c>
    </row>
    <row r="3915" spans="1:5">
      <c r="A3915" s="59">
        <v>8</v>
      </c>
      <c r="B3915" s="59">
        <v>42</v>
      </c>
      <c r="C3915" s="59">
        <v>510</v>
      </c>
      <c r="D3915" s="51">
        <v>250</v>
      </c>
      <c r="E3915" s="51">
        <f t="shared" si="61"/>
        <v>0</v>
      </c>
    </row>
    <row r="3916" spans="1:5">
      <c r="A3916" s="59">
        <v>8</v>
      </c>
      <c r="B3916" s="59">
        <v>63</v>
      </c>
      <c r="C3916" s="59">
        <v>330</v>
      </c>
      <c r="D3916" s="51">
        <v>247</v>
      </c>
      <c r="E3916" s="51">
        <f t="shared" si="61"/>
        <v>0</v>
      </c>
    </row>
    <row r="3917" spans="1:5">
      <c r="A3917" s="59">
        <v>8</v>
      </c>
      <c r="B3917" s="59">
        <v>22</v>
      </c>
      <c r="C3917" s="59">
        <v>920</v>
      </c>
      <c r="D3917" s="51">
        <v>246</v>
      </c>
      <c r="E3917" s="51">
        <f t="shared" si="61"/>
        <v>0</v>
      </c>
    </row>
    <row r="3918" spans="1:5">
      <c r="A3918" s="59">
        <v>8</v>
      </c>
      <c r="B3918" s="59">
        <v>41</v>
      </c>
      <c r="C3918" s="59">
        <v>720</v>
      </c>
      <c r="D3918" s="51">
        <v>246</v>
      </c>
      <c r="E3918" s="51">
        <f t="shared" si="61"/>
        <v>1</v>
      </c>
    </row>
    <row r="3919" spans="1:5">
      <c r="A3919" s="59">
        <v>8</v>
      </c>
      <c r="B3919" s="59">
        <v>44</v>
      </c>
      <c r="C3919" s="59">
        <v>930</v>
      </c>
      <c r="D3919" s="51">
        <v>244</v>
      </c>
      <c r="E3919" s="51">
        <f t="shared" si="61"/>
        <v>1</v>
      </c>
    </row>
    <row r="3920" spans="1:5">
      <c r="A3920" s="59">
        <v>8</v>
      </c>
      <c r="B3920" s="59">
        <v>44</v>
      </c>
      <c r="C3920" s="59">
        <v>610</v>
      </c>
      <c r="D3920" s="51">
        <v>241</v>
      </c>
      <c r="E3920" s="51">
        <f t="shared" si="61"/>
        <v>1</v>
      </c>
    </row>
    <row r="3921" spans="1:5">
      <c r="A3921" s="59">
        <v>8</v>
      </c>
      <c r="B3921" s="59">
        <v>14</v>
      </c>
      <c r="C3921" s="59">
        <v>990</v>
      </c>
      <c r="D3921" s="51">
        <v>237</v>
      </c>
      <c r="E3921" s="51">
        <f t="shared" si="61"/>
        <v>0</v>
      </c>
    </row>
    <row r="3922" spans="1:5">
      <c r="A3922" s="59">
        <v>8</v>
      </c>
      <c r="B3922" s="59">
        <v>14</v>
      </c>
      <c r="C3922" s="59">
        <v>530</v>
      </c>
      <c r="D3922" s="51">
        <v>235</v>
      </c>
      <c r="E3922" s="51">
        <f t="shared" si="61"/>
        <v>0</v>
      </c>
    </row>
    <row r="3923" spans="1:5">
      <c r="A3923" s="59">
        <v>8</v>
      </c>
      <c r="B3923" s="59">
        <v>44</v>
      </c>
      <c r="C3923" s="59">
        <v>920</v>
      </c>
      <c r="D3923" s="51">
        <v>230</v>
      </c>
      <c r="E3923" s="51">
        <f t="shared" si="61"/>
        <v>1</v>
      </c>
    </row>
    <row r="3924" spans="1:5">
      <c r="A3924" s="59">
        <v>8</v>
      </c>
      <c r="B3924" s="59">
        <v>14</v>
      </c>
      <c r="C3924" s="59">
        <v>940</v>
      </c>
      <c r="D3924" s="51">
        <v>228</v>
      </c>
      <c r="E3924" s="51">
        <f t="shared" si="61"/>
        <v>0</v>
      </c>
    </row>
    <row r="3925" spans="1:5">
      <c r="A3925" s="59">
        <v>8</v>
      </c>
      <c r="B3925" s="59">
        <v>71</v>
      </c>
      <c r="C3925" s="59">
        <v>630</v>
      </c>
      <c r="D3925" s="51">
        <v>225</v>
      </c>
      <c r="E3925" s="51">
        <f t="shared" si="61"/>
        <v>0</v>
      </c>
    </row>
    <row r="3926" spans="1:5">
      <c r="A3926" s="59">
        <v>8</v>
      </c>
      <c r="B3926" s="59">
        <v>63</v>
      </c>
      <c r="C3926" s="59">
        <v>520</v>
      </c>
      <c r="D3926" s="51">
        <v>221</v>
      </c>
      <c r="E3926" s="51">
        <f t="shared" si="61"/>
        <v>0</v>
      </c>
    </row>
    <row r="3927" spans="1:5">
      <c r="A3927" s="59">
        <v>8</v>
      </c>
      <c r="B3927" s="59">
        <v>43</v>
      </c>
      <c r="C3927" s="59">
        <v>840</v>
      </c>
      <c r="D3927" s="51">
        <v>220</v>
      </c>
      <c r="E3927" s="51">
        <f t="shared" si="61"/>
        <v>0</v>
      </c>
    </row>
    <row r="3928" spans="1:5">
      <c r="A3928" s="59">
        <v>8</v>
      </c>
      <c r="B3928" s="59">
        <v>21</v>
      </c>
      <c r="C3928" s="59">
        <v>130</v>
      </c>
      <c r="D3928" s="51">
        <v>216</v>
      </c>
      <c r="E3928" s="51">
        <f t="shared" si="61"/>
        <v>0</v>
      </c>
    </row>
    <row r="3929" spans="1:5">
      <c r="A3929" s="59">
        <v>8</v>
      </c>
      <c r="B3929" s="59">
        <v>31</v>
      </c>
      <c r="C3929" s="59">
        <v>910</v>
      </c>
      <c r="D3929" s="51">
        <v>214</v>
      </c>
      <c r="E3929" s="51">
        <f t="shared" si="61"/>
        <v>0</v>
      </c>
    </row>
    <row r="3930" spans="1:5">
      <c r="A3930" s="59">
        <v>8</v>
      </c>
      <c r="B3930" s="59">
        <v>64</v>
      </c>
      <c r="C3930" s="59">
        <v>440</v>
      </c>
      <c r="D3930" s="51">
        <v>214</v>
      </c>
      <c r="E3930" s="51">
        <f t="shared" si="61"/>
        <v>0</v>
      </c>
    </row>
    <row r="3931" spans="1:5">
      <c r="A3931" s="59">
        <v>8</v>
      </c>
      <c r="B3931" s="59">
        <v>62</v>
      </c>
      <c r="C3931" s="59">
        <v>230</v>
      </c>
      <c r="D3931" s="51">
        <v>213</v>
      </c>
      <c r="E3931" s="51">
        <f t="shared" si="61"/>
        <v>1</v>
      </c>
    </row>
    <row r="3932" spans="1:5">
      <c r="A3932" s="59">
        <v>8</v>
      </c>
      <c r="B3932" s="59">
        <v>62</v>
      </c>
      <c r="C3932" s="59">
        <v>240</v>
      </c>
      <c r="D3932" s="51">
        <v>208</v>
      </c>
      <c r="E3932" s="51">
        <f t="shared" si="61"/>
        <v>1</v>
      </c>
    </row>
    <row r="3933" spans="1:5">
      <c r="A3933" s="59">
        <v>8</v>
      </c>
      <c r="B3933" s="59">
        <v>32</v>
      </c>
      <c r="C3933" s="59">
        <v>330</v>
      </c>
      <c r="D3933" s="51">
        <v>204</v>
      </c>
      <c r="E3933" s="51">
        <f t="shared" si="61"/>
        <v>0</v>
      </c>
    </row>
    <row r="3934" spans="1:5">
      <c r="A3934" s="59">
        <v>8</v>
      </c>
      <c r="B3934" s="59">
        <v>41</v>
      </c>
      <c r="C3934" s="59">
        <v>930</v>
      </c>
      <c r="D3934" s="51">
        <v>204</v>
      </c>
      <c r="E3934" s="51">
        <f t="shared" si="61"/>
        <v>1</v>
      </c>
    </row>
    <row r="3935" spans="1:5">
      <c r="A3935" s="59">
        <v>8</v>
      </c>
      <c r="B3935" s="59">
        <v>63</v>
      </c>
      <c r="C3935" s="59">
        <v>130</v>
      </c>
      <c r="D3935" s="51">
        <v>204</v>
      </c>
      <c r="E3935" s="51">
        <f t="shared" si="61"/>
        <v>0</v>
      </c>
    </row>
    <row r="3936" spans="1:5">
      <c r="A3936" s="59">
        <v>8</v>
      </c>
      <c r="B3936" s="59">
        <v>32</v>
      </c>
      <c r="C3936" s="59">
        <v>895</v>
      </c>
      <c r="D3936" s="51">
        <v>198</v>
      </c>
      <c r="E3936" s="51">
        <f t="shared" si="61"/>
        <v>0</v>
      </c>
    </row>
    <row r="3937" spans="1:5">
      <c r="A3937" s="59">
        <v>8</v>
      </c>
      <c r="B3937" s="59">
        <v>62</v>
      </c>
      <c r="C3937" s="59">
        <v>520</v>
      </c>
      <c r="D3937" s="51">
        <v>198</v>
      </c>
      <c r="E3937" s="51">
        <f t="shared" si="61"/>
        <v>1</v>
      </c>
    </row>
    <row r="3938" spans="1:5">
      <c r="A3938" s="59">
        <v>8</v>
      </c>
      <c r="B3938" s="59">
        <v>13</v>
      </c>
      <c r="C3938" s="59">
        <v>610</v>
      </c>
      <c r="D3938" s="51">
        <v>195</v>
      </c>
      <c r="E3938" s="51">
        <f t="shared" si="61"/>
        <v>0</v>
      </c>
    </row>
    <row r="3939" spans="1:5">
      <c r="A3939" s="59">
        <v>8</v>
      </c>
      <c r="B3939" s="59">
        <v>21</v>
      </c>
      <c r="C3939" s="59">
        <v>320</v>
      </c>
      <c r="D3939" s="51">
        <v>193</v>
      </c>
      <c r="E3939" s="51">
        <f t="shared" si="61"/>
        <v>0</v>
      </c>
    </row>
    <row r="3940" spans="1:5">
      <c r="A3940" s="59">
        <v>8</v>
      </c>
      <c r="B3940" s="59">
        <v>71</v>
      </c>
      <c r="C3940" s="59">
        <v>520</v>
      </c>
      <c r="D3940" s="51">
        <v>193</v>
      </c>
      <c r="E3940" s="51">
        <f t="shared" si="61"/>
        <v>0</v>
      </c>
    </row>
    <row r="3941" spans="1:5">
      <c r="A3941" s="59">
        <v>8</v>
      </c>
      <c r="B3941" s="59">
        <v>71</v>
      </c>
      <c r="C3941" s="59">
        <v>550</v>
      </c>
      <c r="D3941" s="51">
        <v>190</v>
      </c>
      <c r="E3941" s="51">
        <f t="shared" si="61"/>
        <v>0</v>
      </c>
    </row>
    <row r="3942" spans="1:5">
      <c r="A3942" s="59">
        <v>8</v>
      </c>
      <c r="B3942" s="59">
        <v>32</v>
      </c>
      <c r="C3942" s="59">
        <v>220</v>
      </c>
      <c r="D3942" s="51">
        <v>188</v>
      </c>
      <c r="E3942" s="51">
        <f t="shared" si="61"/>
        <v>0</v>
      </c>
    </row>
    <row r="3943" spans="1:5">
      <c r="A3943" s="59">
        <v>8</v>
      </c>
      <c r="B3943" s="59">
        <v>44</v>
      </c>
      <c r="C3943" s="59">
        <v>730</v>
      </c>
      <c r="D3943" s="51">
        <v>188</v>
      </c>
      <c r="E3943" s="51">
        <f t="shared" si="61"/>
        <v>1</v>
      </c>
    </row>
    <row r="3944" spans="1:5">
      <c r="A3944" s="59">
        <v>8</v>
      </c>
      <c r="B3944" s="59">
        <v>62</v>
      </c>
      <c r="C3944" s="59">
        <v>620</v>
      </c>
      <c r="D3944" s="51">
        <v>188</v>
      </c>
      <c r="E3944" s="51">
        <f t="shared" si="61"/>
        <v>1</v>
      </c>
    </row>
    <row r="3945" spans="1:5">
      <c r="A3945" s="59">
        <v>8</v>
      </c>
      <c r="B3945" s="59">
        <v>23</v>
      </c>
      <c r="C3945" s="59">
        <v>320</v>
      </c>
      <c r="D3945" s="51">
        <v>185</v>
      </c>
      <c r="E3945" s="51">
        <f t="shared" si="61"/>
        <v>0</v>
      </c>
    </row>
    <row r="3946" spans="1:5">
      <c r="A3946" s="59">
        <v>8</v>
      </c>
      <c r="B3946" s="59">
        <v>51</v>
      </c>
      <c r="C3946" s="59">
        <v>210</v>
      </c>
      <c r="D3946" s="51">
        <v>183</v>
      </c>
      <c r="E3946" s="51">
        <f t="shared" si="61"/>
        <v>0</v>
      </c>
    </row>
    <row r="3947" spans="1:5">
      <c r="A3947" s="59">
        <v>8</v>
      </c>
      <c r="B3947" s="59">
        <v>41</v>
      </c>
      <c r="C3947" s="59">
        <v>920</v>
      </c>
      <c r="D3947" s="51">
        <v>181</v>
      </c>
      <c r="E3947" s="51">
        <f t="shared" si="61"/>
        <v>1</v>
      </c>
    </row>
    <row r="3948" spans="1:5">
      <c r="A3948" s="59">
        <v>8</v>
      </c>
      <c r="B3948" s="59">
        <v>44</v>
      </c>
      <c r="C3948" s="59">
        <v>430</v>
      </c>
      <c r="D3948" s="51">
        <v>181</v>
      </c>
      <c r="E3948" s="51">
        <f t="shared" si="61"/>
        <v>1</v>
      </c>
    </row>
    <row r="3949" spans="1:5">
      <c r="A3949" s="59">
        <v>8</v>
      </c>
      <c r="B3949" s="59">
        <v>63</v>
      </c>
      <c r="C3949" s="59">
        <v>240</v>
      </c>
      <c r="D3949" s="51">
        <v>180</v>
      </c>
      <c r="E3949" s="51">
        <f t="shared" si="61"/>
        <v>0</v>
      </c>
    </row>
    <row r="3950" spans="1:5">
      <c r="A3950" s="59">
        <v>8</v>
      </c>
      <c r="B3950" s="59">
        <v>64</v>
      </c>
      <c r="C3950" s="59">
        <v>640</v>
      </c>
      <c r="D3950" s="51">
        <v>179</v>
      </c>
      <c r="E3950" s="51">
        <f t="shared" si="61"/>
        <v>0</v>
      </c>
    </row>
    <row r="3951" spans="1:5">
      <c r="A3951" s="59">
        <v>8</v>
      </c>
      <c r="B3951" s="59">
        <v>81</v>
      </c>
      <c r="C3951" s="59">
        <v>610</v>
      </c>
      <c r="D3951" s="51">
        <v>179</v>
      </c>
      <c r="E3951" s="51">
        <f t="shared" si="61"/>
        <v>0</v>
      </c>
    </row>
    <row r="3952" spans="1:5">
      <c r="A3952" s="59">
        <v>8</v>
      </c>
      <c r="B3952" s="59">
        <v>64</v>
      </c>
      <c r="C3952" s="59">
        <v>831</v>
      </c>
      <c r="D3952" s="51">
        <v>176</v>
      </c>
      <c r="E3952" s="51">
        <f t="shared" si="61"/>
        <v>0</v>
      </c>
    </row>
    <row r="3953" spans="1:5">
      <c r="A3953" s="59">
        <v>8</v>
      </c>
      <c r="B3953" s="59">
        <v>41</v>
      </c>
      <c r="C3953" s="59">
        <v>430</v>
      </c>
      <c r="D3953" s="51">
        <v>164</v>
      </c>
      <c r="E3953" s="51">
        <f t="shared" si="61"/>
        <v>1</v>
      </c>
    </row>
    <row r="3954" spans="1:5">
      <c r="A3954" s="59">
        <v>8</v>
      </c>
      <c r="B3954" s="59">
        <v>63</v>
      </c>
      <c r="C3954" s="59">
        <v>990</v>
      </c>
      <c r="D3954" s="51">
        <v>163</v>
      </c>
      <c r="E3954" s="51">
        <f t="shared" si="61"/>
        <v>0</v>
      </c>
    </row>
    <row r="3955" spans="1:5">
      <c r="A3955" s="59">
        <v>8</v>
      </c>
      <c r="B3955" s="59">
        <v>43</v>
      </c>
      <c r="C3955" s="59">
        <v>750</v>
      </c>
      <c r="D3955" s="51">
        <v>161</v>
      </c>
      <c r="E3955" s="51">
        <f t="shared" si="61"/>
        <v>0</v>
      </c>
    </row>
    <row r="3956" spans="1:5">
      <c r="A3956" s="59">
        <v>8</v>
      </c>
      <c r="B3956" s="59">
        <v>15</v>
      </c>
      <c r="C3956" s="59">
        <v>430</v>
      </c>
      <c r="D3956" s="51">
        <v>158</v>
      </c>
      <c r="E3956" s="51">
        <f t="shared" si="61"/>
        <v>0</v>
      </c>
    </row>
    <row r="3957" spans="1:5">
      <c r="A3957" s="59">
        <v>8</v>
      </c>
      <c r="B3957" s="59">
        <v>15</v>
      </c>
      <c r="C3957" s="59">
        <v>950</v>
      </c>
      <c r="D3957" s="51">
        <v>158</v>
      </c>
      <c r="E3957" s="51">
        <f t="shared" si="61"/>
        <v>0</v>
      </c>
    </row>
    <row r="3958" spans="1:5">
      <c r="A3958" s="59">
        <v>8</v>
      </c>
      <c r="B3958" s="59">
        <v>42</v>
      </c>
      <c r="C3958" s="59">
        <v>130</v>
      </c>
      <c r="D3958" s="51">
        <v>158</v>
      </c>
      <c r="E3958" s="51">
        <f t="shared" si="61"/>
        <v>0</v>
      </c>
    </row>
    <row r="3959" spans="1:5">
      <c r="A3959" s="59">
        <v>8</v>
      </c>
      <c r="B3959" s="59">
        <v>23</v>
      </c>
      <c r="C3959" s="59">
        <v>130</v>
      </c>
      <c r="D3959" s="51">
        <v>157</v>
      </c>
      <c r="E3959" s="51">
        <f t="shared" si="61"/>
        <v>0</v>
      </c>
    </row>
    <row r="3960" spans="1:5">
      <c r="A3960" s="59">
        <v>8</v>
      </c>
      <c r="B3960" s="59">
        <v>71</v>
      </c>
      <c r="C3960" s="59">
        <v>730</v>
      </c>
      <c r="D3960" s="51">
        <v>157</v>
      </c>
      <c r="E3960" s="51">
        <f t="shared" si="61"/>
        <v>0</v>
      </c>
    </row>
    <row r="3961" spans="1:5">
      <c r="A3961" s="59">
        <v>8</v>
      </c>
      <c r="B3961" s="59">
        <v>31</v>
      </c>
      <c r="C3961" s="59">
        <v>420</v>
      </c>
      <c r="D3961" s="51">
        <v>156</v>
      </c>
      <c r="E3961" s="51">
        <f t="shared" si="61"/>
        <v>0</v>
      </c>
    </row>
    <row r="3962" spans="1:5">
      <c r="A3962" s="59">
        <v>8</v>
      </c>
      <c r="B3962" s="59">
        <v>44</v>
      </c>
      <c r="C3962" s="59">
        <v>990</v>
      </c>
      <c r="D3962" s="51">
        <v>156</v>
      </c>
      <c r="E3962" s="51">
        <f t="shared" si="61"/>
        <v>1</v>
      </c>
    </row>
    <row r="3963" spans="1:5">
      <c r="A3963" s="59">
        <v>8</v>
      </c>
      <c r="B3963" s="59">
        <v>43</v>
      </c>
      <c r="C3963" s="59">
        <v>861</v>
      </c>
      <c r="D3963" s="51">
        <v>151</v>
      </c>
      <c r="E3963" s="51">
        <f t="shared" si="61"/>
        <v>0</v>
      </c>
    </row>
    <row r="3964" spans="1:5">
      <c r="A3964" s="59">
        <v>8</v>
      </c>
      <c r="B3964" s="59">
        <v>62</v>
      </c>
      <c r="C3964" s="59">
        <v>130</v>
      </c>
      <c r="D3964" s="51">
        <v>147</v>
      </c>
      <c r="E3964" s="51">
        <f t="shared" si="61"/>
        <v>1</v>
      </c>
    </row>
    <row r="3965" spans="1:5">
      <c r="A3965" s="59">
        <v>8</v>
      </c>
      <c r="B3965" s="59">
        <v>71</v>
      </c>
      <c r="C3965" s="59">
        <v>240</v>
      </c>
      <c r="D3965" s="51">
        <v>147</v>
      </c>
      <c r="E3965" s="51">
        <f t="shared" si="61"/>
        <v>0</v>
      </c>
    </row>
    <row r="3966" spans="1:5">
      <c r="A3966" s="59">
        <v>8</v>
      </c>
      <c r="B3966" s="59">
        <v>42</v>
      </c>
      <c r="C3966" s="59">
        <v>920</v>
      </c>
      <c r="D3966" s="51">
        <v>146</v>
      </c>
      <c r="E3966" s="51">
        <f t="shared" si="61"/>
        <v>0</v>
      </c>
    </row>
    <row r="3967" spans="1:5">
      <c r="A3967" s="59">
        <v>8</v>
      </c>
      <c r="B3967" s="59">
        <v>22</v>
      </c>
      <c r="C3967" s="59">
        <v>940</v>
      </c>
      <c r="D3967" s="51">
        <v>142</v>
      </c>
      <c r="E3967" s="51">
        <f t="shared" si="61"/>
        <v>0</v>
      </c>
    </row>
    <row r="3968" spans="1:5">
      <c r="A3968" s="59">
        <v>8</v>
      </c>
      <c r="B3968" s="59">
        <v>81</v>
      </c>
      <c r="C3968" s="59">
        <v>220</v>
      </c>
      <c r="D3968" s="51">
        <v>142</v>
      </c>
      <c r="E3968" s="51">
        <f t="shared" si="61"/>
        <v>0</v>
      </c>
    </row>
    <row r="3969" spans="1:5">
      <c r="A3969" s="59">
        <v>8</v>
      </c>
      <c r="B3969" s="59">
        <v>63</v>
      </c>
      <c r="C3969" s="59">
        <v>230</v>
      </c>
      <c r="D3969" s="51">
        <v>140</v>
      </c>
      <c r="E3969" s="51">
        <f t="shared" si="61"/>
        <v>0</v>
      </c>
    </row>
    <row r="3970" spans="1:5">
      <c r="A3970" s="59">
        <v>8</v>
      </c>
      <c r="B3970" s="59">
        <v>43</v>
      </c>
      <c r="C3970" s="59">
        <v>891</v>
      </c>
      <c r="D3970" s="51">
        <v>139</v>
      </c>
      <c r="E3970" s="51">
        <f t="shared" ref="E3970:E4033" si="62">IF(OR(A3970=6,A3970=7,A3970=14,A3970=15,A3970=16,A3970=17,A3970=18,A3970=19,A3970=20,A3970=21,A3970=22,A3970=23,A3970=25,A3970=26,A3970=27,A3970=28,B3970=41,B3970=44,B3970=62),1,0)</f>
        <v>0</v>
      </c>
    </row>
    <row r="3971" spans="1:5">
      <c r="A3971" s="59">
        <v>8</v>
      </c>
      <c r="B3971" s="59">
        <v>64</v>
      </c>
      <c r="C3971" s="59">
        <v>940</v>
      </c>
      <c r="D3971" s="51">
        <v>135</v>
      </c>
      <c r="E3971" s="51">
        <f t="shared" si="62"/>
        <v>0</v>
      </c>
    </row>
    <row r="3972" spans="1:5">
      <c r="A3972" s="59">
        <v>8</v>
      </c>
      <c r="B3972" s="59">
        <v>71</v>
      </c>
      <c r="C3972" s="59">
        <v>640</v>
      </c>
      <c r="D3972" s="51">
        <v>135</v>
      </c>
      <c r="E3972" s="51">
        <f t="shared" si="62"/>
        <v>0</v>
      </c>
    </row>
    <row r="3973" spans="1:5">
      <c r="A3973" s="59">
        <v>8</v>
      </c>
      <c r="B3973" s="59">
        <v>44</v>
      </c>
      <c r="C3973" s="59">
        <v>320</v>
      </c>
      <c r="D3973" s="51">
        <v>134</v>
      </c>
      <c r="E3973" s="51">
        <f t="shared" si="62"/>
        <v>1</v>
      </c>
    </row>
    <row r="3974" spans="1:5">
      <c r="A3974" s="59">
        <v>8</v>
      </c>
      <c r="B3974" s="59">
        <v>42</v>
      </c>
      <c r="C3974" s="59">
        <v>620</v>
      </c>
      <c r="D3974" s="51">
        <v>130</v>
      </c>
      <c r="E3974" s="51">
        <f t="shared" si="62"/>
        <v>0</v>
      </c>
    </row>
    <row r="3975" spans="1:5">
      <c r="A3975" s="59">
        <v>8</v>
      </c>
      <c r="B3975" s="59">
        <v>44</v>
      </c>
      <c r="C3975" s="59">
        <v>230</v>
      </c>
      <c r="D3975" s="51">
        <v>130</v>
      </c>
      <c r="E3975" s="51">
        <f t="shared" si="62"/>
        <v>1</v>
      </c>
    </row>
    <row r="3976" spans="1:5">
      <c r="A3976" s="59">
        <v>8</v>
      </c>
      <c r="B3976" s="59">
        <v>44</v>
      </c>
      <c r="C3976" s="59">
        <v>620</v>
      </c>
      <c r="D3976" s="51">
        <v>129</v>
      </c>
      <c r="E3976" s="51">
        <f t="shared" si="62"/>
        <v>1</v>
      </c>
    </row>
    <row r="3977" spans="1:5">
      <c r="A3977" s="59">
        <v>8</v>
      </c>
      <c r="B3977" s="59">
        <v>32</v>
      </c>
      <c r="C3977" s="59">
        <v>320</v>
      </c>
      <c r="D3977" s="51">
        <v>127</v>
      </c>
      <c r="E3977" s="51">
        <f t="shared" si="62"/>
        <v>0</v>
      </c>
    </row>
    <row r="3978" spans="1:5">
      <c r="A3978" s="59">
        <v>8</v>
      </c>
      <c r="B3978" s="59">
        <v>63</v>
      </c>
      <c r="C3978" s="59">
        <v>120</v>
      </c>
      <c r="D3978" s="51">
        <v>125</v>
      </c>
      <c r="E3978" s="51">
        <f t="shared" si="62"/>
        <v>0</v>
      </c>
    </row>
    <row r="3979" spans="1:5">
      <c r="A3979" s="59">
        <v>8</v>
      </c>
      <c r="B3979" s="59">
        <v>71</v>
      </c>
      <c r="C3979" s="59">
        <v>540</v>
      </c>
      <c r="D3979" s="51">
        <v>125</v>
      </c>
      <c r="E3979" s="51">
        <f t="shared" si="62"/>
        <v>0</v>
      </c>
    </row>
    <row r="3980" spans="1:5">
      <c r="A3980" s="59">
        <v>8</v>
      </c>
      <c r="B3980" s="59">
        <v>13</v>
      </c>
      <c r="C3980" s="59">
        <v>520</v>
      </c>
      <c r="D3980" s="51">
        <v>124</v>
      </c>
      <c r="E3980" s="51">
        <f t="shared" si="62"/>
        <v>0</v>
      </c>
    </row>
    <row r="3981" spans="1:5">
      <c r="A3981" s="59">
        <v>8</v>
      </c>
      <c r="B3981" s="59">
        <v>16</v>
      </c>
      <c r="C3981" s="59">
        <v>930</v>
      </c>
      <c r="D3981" s="51">
        <v>124</v>
      </c>
      <c r="E3981" s="51">
        <f t="shared" si="62"/>
        <v>0</v>
      </c>
    </row>
    <row r="3982" spans="1:5">
      <c r="A3982" s="59">
        <v>8</v>
      </c>
      <c r="B3982" s="59">
        <v>32</v>
      </c>
      <c r="C3982" s="59">
        <v>930</v>
      </c>
      <c r="D3982" s="51">
        <v>124</v>
      </c>
      <c r="E3982" s="51">
        <f t="shared" si="62"/>
        <v>0</v>
      </c>
    </row>
    <row r="3983" spans="1:5">
      <c r="A3983" s="59">
        <v>8</v>
      </c>
      <c r="B3983" s="59">
        <v>44</v>
      </c>
      <c r="C3983" s="59">
        <v>240</v>
      </c>
      <c r="D3983" s="51">
        <v>124</v>
      </c>
      <c r="E3983" s="51">
        <f t="shared" si="62"/>
        <v>1</v>
      </c>
    </row>
    <row r="3984" spans="1:5">
      <c r="A3984" s="59">
        <v>8</v>
      </c>
      <c r="B3984" s="59">
        <v>44</v>
      </c>
      <c r="C3984" s="59">
        <v>861</v>
      </c>
      <c r="D3984" s="51">
        <v>124</v>
      </c>
      <c r="E3984" s="51">
        <f t="shared" si="62"/>
        <v>1</v>
      </c>
    </row>
    <row r="3985" spans="1:5">
      <c r="A3985" s="59">
        <v>8</v>
      </c>
      <c r="B3985" s="59">
        <v>51</v>
      </c>
      <c r="C3985" s="59">
        <v>310</v>
      </c>
      <c r="D3985" s="51">
        <v>123</v>
      </c>
      <c r="E3985" s="51">
        <f t="shared" si="62"/>
        <v>0</v>
      </c>
    </row>
    <row r="3986" spans="1:5">
      <c r="A3986" s="59">
        <v>8</v>
      </c>
      <c r="B3986" s="59">
        <v>22</v>
      </c>
      <c r="C3986" s="59">
        <v>430</v>
      </c>
      <c r="D3986" s="51">
        <v>121</v>
      </c>
      <c r="E3986" s="51">
        <f t="shared" si="62"/>
        <v>0</v>
      </c>
    </row>
    <row r="3987" spans="1:5">
      <c r="A3987" s="59">
        <v>8</v>
      </c>
      <c r="B3987" s="59">
        <v>24</v>
      </c>
      <c r="C3987" s="59">
        <v>110</v>
      </c>
      <c r="D3987" s="51">
        <v>117</v>
      </c>
      <c r="E3987" s="51">
        <f t="shared" si="62"/>
        <v>0</v>
      </c>
    </row>
    <row r="3988" spans="1:5">
      <c r="A3988" s="59">
        <v>8</v>
      </c>
      <c r="B3988" s="59">
        <v>42</v>
      </c>
      <c r="C3988" s="59">
        <v>230</v>
      </c>
      <c r="D3988" s="51">
        <v>117</v>
      </c>
      <c r="E3988" s="51">
        <f t="shared" si="62"/>
        <v>0</v>
      </c>
    </row>
    <row r="3989" spans="1:5">
      <c r="A3989" s="59">
        <v>8</v>
      </c>
      <c r="B3989" s="59">
        <v>62</v>
      </c>
      <c r="C3989" s="59">
        <v>550</v>
      </c>
      <c r="D3989" s="51">
        <v>117</v>
      </c>
      <c r="E3989" s="51">
        <f t="shared" si="62"/>
        <v>1</v>
      </c>
    </row>
    <row r="3990" spans="1:5">
      <c r="A3990" s="59">
        <v>8</v>
      </c>
      <c r="B3990" s="59">
        <v>31</v>
      </c>
      <c r="C3990" s="59">
        <v>110</v>
      </c>
      <c r="D3990" s="51">
        <v>116</v>
      </c>
      <c r="E3990" s="51">
        <f t="shared" si="62"/>
        <v>0</v>
      </c>
    </row>
    <row r="3991" spans="1:5">
      <c r="A3991" s="59">
        <v>8</v>
      </c>
      <c r="B3991" s="59">
        <v>44</v>
      </c>
      <c r="C3991" s="59">
        <v>840</v>
      </c>
      <c r="D3991" s="51">
        <v>115</v>
      </c>
      <c r="E3991" s="51">
        <f t="shared" si="62"/>
        <v>1</v>
      </c>
    </row>
    <row r="3992" spans="1:5">
      <c r="A3992" s="59">
        <v>8</v>
      </c>
      <c r="B3992" s="59">
        <v>32</v>
      </c>
      <c r="C3992" s="59">
        <v>510</v>
      </c>
      <c r="D3992" s="51">
        <v>114</v>
      </c>
      <c r="E3992" s="51">
        <f t="shared" si="62"/>
        <v>0</v>
      </c>
    </row>
    <row r="3993" spans="1:5">
      <c r="A3993" s="59">
        <v>8</v>
      </c>
      <c r="B3993" s="59">
        <v>61</v>
      </c>
      <c r="C3993" s="59">
        <v>110</v>
      </c>
      <c r="D3993" s="51">
        <v>114</v>
      </c>
      <c r="E3993" s="51">
        <f t="shared" si="62"/>
        <v>0</v>
      </c>
    </row>
    <row r="3994" spans="1:5">
      <c r="A3994" s="59">
        <v>8</v>
      </c>
      <c r="B3994" s="59">
        <v>11</v>
      </c>
      <c r="C3994" s="59">
        <v>120</v>
      </c>
      <c r="D3994" s="51">
        <v>113</v>
      </c>
      <c r="E3994" s="51">
        <f t="shared" si="62"/>
        <v>0</v>
      </c>
    </row>
    <row r="3995" spans="1:5">
      <c r="A3995" s="59">
        <v>8</v>
      </c>
      <c r="B3995" s="59">
        <v>71</v>
      </c>
      <c r="C3995" s="59">
        <v>330</v>
      </c>
      <c r="D3995" s="51">
        <v>108</v>
      </c>
      <c r="E3995" s="51">
        <f t="shared" si="62"/>
        <v>0</v>
      </c>
    </row>
    <row r="3996" spans="1:5">
      <c r="A3996" s="59">
        <v>8</v>
      </c>
      <c r="B3996" s="59">
        <v>43</v>
      </c>
      <c r="C3996" s="59">
        <v>540</v>
      </c>
      <c r="D3996" s="51">
        <v>107</v>
      </c>
      <c r="E3996" s="51">
        <f t="shared" si="62"/>
        <v>0</v>
      </c>
    </row>
    <row r="3997" spans="1:5">
      <c r="A3997" s="59">
        <v>8</v>
      </c>
      <c r="B3997" s="59">
        <v>13</v>
      </c>
      <c r="C3997" s="59">
        <v>940</v>
      </c>
      <c r="D3997" s="51">
        <v>103</v>
      </c>
      <c r="E3997" s="51">
        <f t="shared" si="62"/>
        <v>0</v>
      </c>
    </row>
    <row r="3998" spans="1:5">
      <c r="A3998" s="59">
        <v>8</v>
      </c>
      <c r="B3998" s="59">
        <v>42</v>
      </c>
      <c r="C3998" s="59">
        <v>530</v>
      </c>
      <c r="D3998" s="51">
        <v>103</v>
      </c>
      <c r="E3998" s="51">
        <f t="shared" si="62"/>
        <v>0</v>
      </c>
    </row>
    <row r="3999" spans="1:5">
      <c r="A3999" s="59">
        <v>8</v>
      </c>
      <c r="B3999" s="59">
        <v>12</v>
      </c>
      <c r="C3999" s="59">
        <v>160</v>
      </c>
      <c r="D3999" s="51">
        <v>102</v>
      </c>
      <c r="E3999" s="51">
        <f t="shared" si="62"/>
        <v>0</v>
      </c>
    </row>
    <row r="4000" spans="1:5">
      <c r="A4000" s="59">
        <v>8</v>
      </c>
      <c r="B4000" s="59">
        <v>81</v>
      </c>
      <c r="C4000" s="59">
        <v>831</v>
      </c>
      <c r="D4000" s="51">
        <v>102</v>
      </c>
      <c r="E4000" s="51">
        <f t="shared" si="62"/>
        <v>0</v>
      </c>
    </row>
    <row r="4001" spans="1:5">
      <c r="A4001" s="59">
        <v>8</v>
      </c>
      <c r="B4001" s="59">
        <v>63</v>
      </c>
      <c r="C4001" s="59">
        <v>540</v>
      </c>
      <c r="D4001" s="51">
        <v>99</v>
      </c>
      <c r="E4001" s="51">
        <f t="shared" si="62"/>
        <v>0</v>
      </c>
    </row>
    <row r="4002" spans="1:5">
      <c r="A4002" s="59">
        <v>8</v>
      </c>
      <c r="B4002" s="59">
        <v>24</v>
      </c>
      <c r="C4002" s="59">
        <v>240</v>
      </c>
      <c r="D4002" s="51">
        <v>98</v>
      </c>
      <c r="E4002" s="51">
        <f t="shared" si="62"/>
        <v>0</v>
      </c>
    </row>
    <row r="4003" spans="1:5">
      <c r="A4003" s="59">
        <v>8</v>
      </c>
      <c r="B4003" s="59">
        <v>64</v>
      </c>
      <c r="C4003" s="59">
        <v>710</v>
      </c>
      <c r="D4003" s="51">
        <v>98</v>
      </c>
      <c r="E4003" s="51">
        <f t="shared" si="62"/>
        <v>0</v>
      </c>
    </row>
    <row r="4004" spans="1:5">
      <c r="A4004" s="59">
        <v>8</v>
      </c>
      <c r="B4004" s="59">
        <v>11</v>
      </c>
      <c r="C4004" s="59">
        <v>320</v>
      </c>
      <c r="D4004" s="51">
        <v>97</v>
      </c>
      <c r="E4004" s="51">
        <f t="shared" si="62"/>
        <v>0</v>
      </c>
    </row>
    <row r="4005" spans="1:5">
      <c r="A4005" s="59">
        <v>8</v>
      </c>
      <c r="B4005" s="59">
        <v>12</v>
      </c>
      <c r="C4005" s="59">
        <v>130</v>
      </c>
      <c r="D4005" s="51">
        <v>92</v>
      </c>
      <c r="E4005" s="51">
        <f t="shared" si="62"/>
        <v>0</v>
      </c>
    </row>
    <row r="4006" spans="1:5">
      <c r="A4006" s="59">
        <v>8</v>
      </c>
      <c r="B4006" s="59">
        <v>44</v>
      </c>
      <c r="C4006" s="59">
        <v>420</v>
      </c>
      <c r="D4006" s="51">
        <v>92</v>
      </c>
      <c r="E4006" s="51">
        <f t="shared" si="62"/>
        <v>1</v>
      </c>
    </row>
    <row r="4007" spans="1:5">
      <c r="A4007" s="59">
        <v>8</v>
      </c>
      <c r="B4007" s="59">
        <v>43</v>
      </c>
      <c r="C4007" s="59">
        <v>550</v>
      </c>
      <c r="D4007" s="51">
        <v>91</v>
      </c>
      <c r="E4007" s="51">
        <f t="shared" si="62"/>
        <v>0</v>
      </c>
    </row>
    <row r="4008" spans="1:5">
      <c r="A4008" s="59">
        <v>8</v>
      </c>
      <c r="B4008" s="59">
        <v>13</v>
      </c>
      <c r="C4008" s="59">
        <v>990</v>
      </c>
      <c r="D4008" s="51">
        <v>90</v>
      </c>
      <c r="E4008" s="51">
        <f t="shared" si="62"/>
        <v>0</v>
      </c>
    </row>
    <row r="4009" spans="1:5">
      <c r="A4009" s="59">
        <v>8</v>
      </c>
      <c r="B4009" s="59">
        <v>14</v>
      </c>
      <c r="C4009" s="59">
        <v>610</v>
      </c>
      <c r="D4009" s="51">
        <v>89</v>
      </c>
      <c r="E4009" s="51">
        <f t="shared" si="62"/>
        <v>0</v>
      </c>
    </row>
    <row r="4010" spans="1:5">
      <c r="A4010" s="59">
        <v>8</v>
      </c>
      <c r="B4010" s="59">
        <v>16</v>
      </c>
      <c r="C4010" s="59">
        <v>940</v>
      </c>
      <c r="D4010" s="51">
        <v>89</v>
      </c>
      <c r="E4010" s="51">
        <f t="shared" si="62"/>
        <v>0</v>
      </c>
    </row>
    <row r="4011" spans="1:5">
      <c r="A4011" s="59">
        <v>8</v>
      </c>
      <c r="B4011" s="59">
        <v>43</v>
      </c>
      <c r="C4011" s="59">
        <v>710</v>
      </c>
      <c r="D4011" s="51">
        <v>89</v>
      </c>
      <c r="E4011" s="51">
        <f t="shared" si="62"/>
        <v>0</v>
      </c>
    </row>
    <row r="4012" spans="1:5">
      <c r="A4012" s="59">
        <v>8</v>
      </c>
      <c r="B4012" s="59">
        <v>44</v>
      </c>
      <c r="C4012" s="59">
        <v>892</v>
      </c>
      <c r="D4012" s="51">
        <v>89</v>
      </c>
      <c r="E4012" s="51">
        <f t="shared" si="62"/>
        <v>1</v>
      </c>
    </row>
    <row r="4013" spans="1:5">
      <c r="A4013" s="59">
        <v>8</v>
      </c>
      <c r="B4013" s="59">
        <v>62</v>
      </c>
      <c r="C4013" s="59">
        <v>320</v>
      </c>
      <c r="D4013" s="51">
        <v>89</v>
      </c>
      <c r="E4013" s="51">
        <f t="shared" si="62"/>
        <v>1</v>
      </c>
    </row>
    <row r="4014" spans="1:5">
      <c r="A4014" s="59">
        <v>8</v>
      </c>
      <c r="B4014" s="59">
        <v>62</v>
      </c>
      <c r="C4014" s="59">
        <v>750</v>
      </c>
      <c r="D4014" s="51">
        <v>89</v>
      </c>
      <c r="E4014" s="51">
        <f t="shared" si="62"/>
        <v>1</v>
      </c>
    </row>
    <row r="4015" spans="1:5">
      <c r="A4015" s="59">
        <v>8</v>
      </c>
      <c r="B4015" s="59">
        <v>24</v>
      </c>
      <c r="C4015" s="59">
        <v>220</v>
      </c>
      <c r="D4015" s="51">
        <v>87</v>
      </c>
      <c r="E4015" s="51">
        <f t="shared" si="62"/>
        <v>0</v>
      </c>
    </row>
    <row r="4016" spans="1:5">
      <c r="A4016" s="59">
        <v>8</v>
      </c>
      <c r="B4016" s="59">
        <v>64</v>
      </c>
      <c r="C4016" s="59">
        <v>970</v>
      </c>
      <c r="D4016" s="51">
        <v>86</v>
      </c>
      <c r="E4016" s="51">
        <f t="shared" si="62"/>
        <v>0</v>
      </c>
    </row>
    <row r="4017" spans="1:5">
      <c r="A4017" s="59">
        <v>8</v>
      </c>
      <c r="B4017" s="59">
        <v>81</v>
      </c>
      <c r="C4017" s="59">
        <v>240</v>
      </c>
      <c r="D4017" s="51">
        <v>86</v>
      </c>
      <c r="E4017" s="51">
        <f t="shared" si="62"/>
        <v>0</v>
      </c>
    </row>
    <row r="4018" spans="1:5">
      <c r="A4018" s="59">
        <v>8</v>
      </c>
      <c r="B4018" s="59">
        <v>15</v>
      </c>
      <c r="C4018" s="59">
        <v>920</v>
      </c>
      <c r="D4018" s="51">
        <v>85</v>
      </c>
      <c r="E4018" s="51">
        <f t="shared" si="62"/>
        <v>0</v>
      </c>
    </row>
    <row r="4019" spans="1:5">
      <c r="A4019" s="59">
        <v>8</v>
      </c>
      <c r="B4019" s="59">
        <v>71</v>
      </c>
      <c r="C4019" s="59">
        <v>720</v>
      </c>
      <c r="D4019" s="51">
        <v>84</v>
      </c>
      <c r="E4019" s="51">
        <f t="shared" si="62"/>
        <v>0</v>
      </c>
    </row>
    <row r="4020" spans="1:5">
      <c r="A4020" s="59">
        <v>8</v>
      </c>
      <c r="B4020" s="59">
        <v>12</v>
      </c>
      <c r="C4020" s="59">
        <v>910</v>
      </c>
      <c r="D4020" s="51">
        <v>83</v>
      </c>
      <c r="E4020" s="51">
        <f t="shared" si="62"/>
        <v>0</v>
      </c>
    </row>
    <row r="4021" spans="1:5">
      <c r="A4021" s="59">
        <v>8</v>
      </c>
      <c r="B4021" s="59">
        <v>41</v>
      </c>
      <c r="C4021" s="59">
        <v>240</v>
      </c>
      <c r="D4021" s="51">
        <v>83</v>
      </c>
      <c r="E4021" s="51">
        <f t="shared" si="62"/>
        <v>1</v>
      </c>
    </row>
    <row r="4022" spans="1:5">
      <c r="A4022" s="59">
        <v>8</v>
      </c>
      <c r="B4022" s="59">
        <v>22</v>
      </c>
      <c r="C4022" s="59">
        <v>750</v>
      </c>
      <c r="D4022" s="51">
        <v>81</v>
      </c>
      <c r="E4022" s="51">
        <f t="shared" si="62"/>
        <v>0</v>
      </c>
    </row>
    <row r="4023" spans="1:5">
      <c r="A4023" s="59">
        <v>8</v>
      </c>
      <c r="B4023" s="59">
        <v>22</v>
      </c>
      <c r="C4023" s="59">
        <v>990</v>
      </c>
      <c r="D4023" s="51">
        <v>81</v>
      </c>
      <c r="E4023" s="51">
        <f t="shared" si="62"/>
        <v>0</v>
      </c>
    </row>
    <row r="4024" spans="1:5">
      <c r="A4024" s="59">
        <v>8</v>
      </c>
      <c r="B4024" s="59">
        <v>43</v>
      </c>
      <c r="C4024" s="59">
        <v>960</v>
      </c>
      <c r="D4024" s="51">
        <v>79</v>
      </c>
      <c r="E4024" s="51">
        <f t="shared" si="62"/>
        <v>0</v>
      </c>
    </row>
    <row r="4025" spans="1:5">
      <c r="A4025" s="59">
        <v>8</v>
      </c>
      <c r="B4025" s="59">
        <v>15</v>
      </c>
      <c r="C4025" s="59">
        <v>510</v>
      </c>
      <c r="D4025" s="51">
        <v>78</v>
      </c>
      <c r="E4025" s="51">
        <f t="shared" si="62"/>
        <v>0</v>
      </c>
    </row>
    <row r="4026" spans="1:5">
      <c r="A4026" s="59">
        <v>8</v>
      </c>
      <c r="B4026" s="59">
        <v>81</v>
      </c>
      <c r="C4026" s="59">
        <v>410</v>
      </c>
      <c r="D4026" s="51">
        <v>77</v>
      </c>
      <c r="E4026" s="51">
        <f t="shared" si="62"/>
        <v>0</v>
      </c>
    </row>
    <row r="4027" spans="1:5">
      <c r="A4027" s="59">
        <v>8</v>
      </c>
      <c r="B4027" s="59">
        <v>41</v>
      </c>
      <c r="C4027" s="59">
        <v>750</v>
      </c>
      <c r="D4027" s="51">
        <v>76</v>
      </c>
      <c r="E4027" s="51">
        <f t="shared" si="62"/>
        <v>1</v>
      </c>
    </row>
    <row r="4028" spans="1:5">
      <c r="A4028" s="59">
        <v>8</v>
      </c>
      <c r="B4028" s="59">
        <v>12</v>
      </c>
      <c r="C4028" s="59">
        <v>210</v>
      </c>
      <c r="D4028" s="51">
        <v>74</v>
      </c>
      <c r="E4028" s="51">
        <f t="shared" si="62"/>
        <v>0</v>
      </c>
    </row>
    <row r="4029" spans="1:5">
      <c r="A4029" s="59">
        <v>8</v>
      </c>
      <c r="B4029" s="59">
        <v>33</v>
      </c>
      <c r="C4029" s="59">
        <v>510</v>
      </c>
      <c r="D4029" s="51">
        <v>74</v>
      </c>
      <c r="E4029" s="51">
        <f t="shared" si="62"/>
        <v>0</v>
      </c>
    </row>
    <row r="4030" spans="1:5">
      <c r="A4030" s="59">
        <v>8</v>
      </c>
      <c r="B4030" s="59">
        <v>81</v>
      </c>
      <c r="C4030" s="59">
        <v>330</v>
      </c>
      <c r="D4030" s="51">
        <v>74</v>
      </c>
      <c r="E4030" s="51">
        <f t="shared" si="62"/>
        <v>0</v>
      </c>
    </row>
    <row r="4031" spans="1:5">
      <c r="A4031" s="59">
        <v>8</v>
      </c>
      <c r="B4031" s="59">
        <v>11</v>
      </c>
      <c r="C4031" s="59">
        <v>230</v>
      </c>
      <c r="D4031" s="51">
        <v>70</v>
      </c>
      <c r="E4031" s="51">
        <f t="shared" si="62"/>
        <v>0</v>
      </c>
    </row>
    <row r="4032" spans="1:5">
      <c r="A4032" s="59">
        <v>8</v>
      </c>
      <c r="B4032" s="59">
        <v>51</v>
      </c>
      <c r="C4032" s="59">
        <v>150</v>
      </c>
      <c r="D4032" s="51">
        <v>70</v>
      </c>
      <c r="E4032" s="51">
        <f t="shared" si="62"/>
        <v>0</v>
      </c>
    </row>
    <row r="4033" spans="1:5">
      <c r="A4033" s="59">
        <v>8</v>
      </c>
      <c r="B4033" s="59">
        <v>63</v>
      </c>
      <c r="C4033" s="59">
        <v>320</v>
      </c>
      <c r="D4033" s="51">
        <v>70</v>
      </c>
      <c r="E4033" s="51">
        <f t="shared" si="62"/>
        <v>0</v>
      </c>
    </row>
    <row r="4034" spans="1:5">
      <c r="A4034" s="59">
        <v>8</v>
      </c>
      <c r="B4034" s="59">
        <v>41</v>
      </c>
      <c r="C4034" s="59">
        <v>610</v>
      </c>
      <c r="D4034" s="51">
        <v>69</v>
      </c>
      <c r="E4034" s="51">
        <f t="shared" ref="E4034:E4097" si="63">IF(OR(A4034=6,A4034=7,A4034=14,A4034=15,A4034=16,A4034=17,A4034=18,A4034=19,A4034=20,A4034=21,A4034=22,A4034=23,A4034=25,A4034=26,A4034=27,A4034=28,B4034=41,B4034=44,B4034=62),1,0)</f>
        <v>1</v>
      </c>
    </row>
    <row r="4035" spans="1:5">
      <c r="A4035" s="59">
        <v>8</v>
      </c>
      <c r="B4035" s="59">
        <v>15</v>
      </c>
      <c r="C4035" s="59">
        <v>990</v>
      </c>
      <c r="D4035" s="51">
        <v>68</v>
      </c>
      <c r="E4035" s="51">
        <f t="shared" si="63"/>
        <v>0</v>
      </c>
    </row>
    <row r="4036" spans="1:5">
      <c r="A4036" s="59">
        <v>8</v>
      </c>
      <c r="B4036" s="59">
        <v>43</v>
      </c>
      <c r="C4036" s="59">
        <v>970</v>
      </c>
      <c r="D4036" s="51">
        <v>68</v>
      </c>
      <c r="E4036" s="51">
        <f t="shared" si="63"/>
        <v>0</v>
      </c>
    </row>
    <row r="4037" spans="1:5">
      <c r="A4037" s="59">
        <v>8</v>
      </c>
      <c r="B4037" s="59">
        <v>63</v>
      </c>
      <c r="C4037" s="59">
        <v>930</v>
      </c>
      <c r="D4037" s="51">
        <v>68</v>
      </c>
      <c r="E4037" s="51">
        <f t="shared" si="63"/>
        <v>0</v>
      </c>
    </row>
    <row r="4038" spans="1:5">
      <c r="A4038" s="59">
        <v>8</v>
      </c>
      <c r="B4038" s="59">
        <v>64</v>
      </c>
      <c r="C4038" s="59">
        <v>750</v>
      </c>
      <c r="D4038" s="51">
        <v>68</v>
      </c>
      <c r="E4038" s="51">
        <f t="shared" si="63"/>
        <v>0</v>
      </c>
    </row>
    <row r="4039" spans="1:5">
      <c r="A4039" s="59">
        <v>8</v>
      </c>
      <c r="B4039" s="59">
        <v>33</v>
      </c>
      <c r="C4039" s="59">
        <v>930</v>
      </c>
      <c r="D4039" s="51">
        <v>67</v>
      </c>
      <c r="E4039" s="51">
        <f t="shared" si="63"/>
        <v>0</v>
      </c>
    </row>
    <row r="4040" spans="1:5">
      <c r="A4040" s="59">
        <v>8</v>
      </c>
      <c r="B4040" s="59">
        <v>51</v>
      </c>
      <c r="C4040" s="59">
        <v>160</v>
      </c>
      <c r="D4040" s="51">
        <v>67</v>
      </c>
      <c r="E4040" s="51">
        <f t="shared" si="63"/>
        <v>0</v>
      </c>
    </row>
    <row r="4041" spans="1:5">
      <c r="A4041" s="59">
        <v>8</v>
      </c>
      <c r="B4041" s="59">
        <v>64</v>
      </c>
      <c r="C4041" s="59">
        <v>630</v>
      </c>
      <c r="D4041" s="51">
        <v>66</v>
      </c>
      <c r="E4041" s="51">
        <f t="shared" si="63"/>
        <v>0</v>
      </c>
    </row>
    <row r="4042" spans="1:5">
      <c r="A4042" s="59">
        <v>8</v>
      </c>
      <c r="B4042" s="59">
        <v>81</v>
      </c>
      <c r="C4042" s="59">
        <v>930</v>
      </c>
      <c r="D4042" s="51">
        <v>66</v>
      </c>
      <c r="E4042" s="51">
        <f t="shared" si="63"/>
        <v>0</v>
      </c>
    </row>
    <row r="4043" spans="1:5">
      <c r="A4043" s="59">
        <v>8</v>
      </c>
      <c r="B4043" s="59">
        <v>32</v>
      </c>
      <c r="C4043" s="59">
        <v>920</v>
      </c>
      <c r="D4043" s="51">
        <v>65</v>
      </c>
      <c r="E4043" s="51">
        <f t="shared" si="63"/>
        <v>0</v>
      </c>
    </row>
    <row r="4044" spans="1:5">
      <c r="A4044" s="59">
        <v>8</v>
      </c>
      <c r="B4044" s="59">
        <v>62</v>
      </c>
      <c r="C4044" s="59">
        <v>710</v>
      </c>
      <c r="D4044" s="51">
        <v>65</v>
      </c>
      <c r="E4044" s="51">
        <f t="shared" si="63"/>
        <v>1</v>
      </c>
    </row>
    <row r="4045" spans="1:5">
      <c r="A4045" s="59">
        <v>8</v>
      </c>
      <c r="B4045" s="59">
        <v>64</v>
      </c>
      <c r="C4045" s="59">
        <v>870</v>
      </c>
      <c r="D4045" s="51">
        <v>65</v>
      </c>
      <c r="E4045" s="51">
        <f t="shared" si="63"/>
        <v>0</v>
      </c>
    </row>
    <row r="4046" spans="1:5">
      <c r="A4046" s="59">
        <v>8</v>
      </c>
      <c r="B4046" s="59">
        <v>81</v>
      </c>
      <c r="C4046" s="59">
        <v>750</v>
      </c>
      <c r="D4046" s="51">
        <v>63</v>
      </c>
      <c r="E4046" s="51">
        <f t="shared" si="63"/>
        <v>0</v>
      </c>
    </row>
    <row r="4047" spans="1:5">
      <c r="A4047" s="59">
        <v>8</v>
      </c>
      <c r="B4047" s="59">
        <v>16</v>
      </c>
      <c r="C4047" s="59">
        <v>920</v>
      </c>
      <c r="D4047" s="51">
        <v>62</v>
      </c>
      <c r="E4047" s="51">
        <f t="shared" si="63"/>
        <v>0</v>
      </c>
    </row>
    <row r="4048" spans="1:5">
      <c r="A4048" s="59">
        <v>8</v>
      </c>
      <c r="B4048" s="59">
        <v>44</v>
      </c>
      <c r="C4048" s="59">
        <v>520</v>
      </c>
      <c r="D4048" s="51">
        <v>62</v>
      </c>
      <c r="E4048" s="51">
        <f t="shared" si="63"/>
        <v>1</v>
      </c>
    </row>
    <row r="4049" spans="1:5">
      <c r="A4049" s="59">
        <v>8</v>
      </c>
      <c r="B4049" s="59">
        <v>63</v>
      </c>
      <c r="C4049" s="59">
        <v>440</v>
      </c>
      <c r="D4049" s="51">
        <v>62</v>
      </c>
      <c r="E4049" s="51">
        <f t="shared" si="63"/>
        <v>0</v>
      </c>
    </row>
    <row r="4050" spans="1:5">
      <c r="A4050" s="59">
        <v>8</v>
      </c>
      <c r="B4050" s="59">
        <v>14</v>
      </c>
      <c r="C4050" s="59">
        <v>960</v>
      </c>
      <c r="D4050" s="51">
        <v>61</v>
      </c>
      <c r="E4050" s="51">
        <f t="shared" si="63"/>
        <v>0</v>
      </c>
    </row>
    <row r="4051" spans="1:5">
      <c r="A4051" s="59">
        <v>8</v>
      </c>
      <c r="B4051" s="59">
        <v>43</v>
      </c>
      <c r="C4051" s="59">
        <v>892</v>
      </c>
      <c r="D4051" s="51">
        <v>60</v>
      </c>
      <c r="E4051" s="51">
        <f t="shared" si="63"/>
        <v>0</v>
      </c>
    </row>
    <row r="4052" spans="1:5">
      <c r="A4052" s="59">
        <v>8</v>
      </c>
      <c r="B4052" s="59">
        <v>62</v>
      </c>
      <c r="C4052" s="59">
        <v>540</v>
      </c>
      <c r="D4052" s="51">
        <v>59</v>
      </c>
      <c r="E4052" s="51">
        <f t="shared" si="63"/>
        <v>1</v>
      </c>
    </row>
    <row r="4053" spans="1:5">
      <c r="A4053" s="59">
        <v>8</v>
      </c>
      <c r="B4053" s="59">
        <v>64</v>
      </c>
      <c r="C4053" s="59">
        <v>860</v>
      </c>
      <c r="D4053" s="51">
        <v>59</v>
      </c>
      <c r="E4053" s="51">
        <f t="shared" si="63"/>
        <v>0</v>
      </c>
    </row>
    <row r="4054" spans="1:5">
      <c r="A4054" s="59">
        <v>8</v>
      </c>
      <c r="B4054" s="59">
        <v>13</v>
      </c>
      <c r="C4054" s="59">
        <v>620</v>
      </c>
      <c r="D4054" s="51">
        <v>57</v>
      </c>
      <c r="E4054" s="51">
        <f t="shared" si="63"/>
        <v>0</v>
      </c>
    </row>
    <row r="4055" spans="1:5">
      <c r="A4055" s="59">
        <v>8</v>
      </c>
      <c r="B4055" s="59">
        <v>44</v>
      </c>
      <c r="C4055" s="59">
        <v>960</v>
      </c>
      <c r="D4055" s="51">
        <v>57</v>
      </c>
      <c r="E4055" s="51">
        <f t="shared" si="63"/>
        <v>1</v>
      </c>
    </row>
    <row r="4056" spans="1:5">
      <c r="A4056" s="59">
        <v>8</v>
      </c>
      <c r="B4056" s="59">
        <v>14</v>
      </c>
      <c r="C4056" s="59">
        <v>520</v>
      </c>
      <c r="D4056" s="51">
        <v>56</v>
      </c>
      <c r="E4056" s="51">
        <f t="shared" si="63"/>
        <v>0</v>
      </c>
    </row>
    <row r="4057" spans="1:5">
      <c r="A4057" s="59">
        <v>8</v>
      </c>
      <c r="B4057" s="59">
        <v>71</v>
      </c>
      <c r="C4057" s="59">
        <v>230</v>
      </c>
      <c r="D4057" s="51">
        <v>56</v>
      </c>
      <c r="E4057" s="51">
        <f t="shared" si="63"/>
        <v>0</v>
      </c>
    </row>
    <row r="4058" spans="1:5">
      <c r="A4058" s="59">
        <v>8</v>
      </c>
      <c r="B4058" s="59">
        <v>22</v>
      </c>
      <c r="C4058" s="59">
        <v>510</v>
      </c>
      <c r="D4058" s="51">
        <v>55</v>
      </c>
      <c r="E4058" s="51">
        <f t="shared" si="63"/>
        <v>0</v>
      </c>
    </row>
    <row r="4059" spans="1:5">
      <c r="A4059" s="59">
        <v>8</v>
      </c>
      <c r="B4059" s="59">
        <v>41</v>
      </c>
      <c r="C4059" s="59">
        <v>230</v>
      </c>
      <c r="D4059" s="51">
        <v>55</v>
      </c>
      <c r="E4059" s="51">
        <f t="shared" si="63"/>
        <v>1</v>
      </c>
    </row>
    <row r="4060" spans="1:5">
      <c r="A4060" s="59">
        <v>8</v>
      </c>
      <c r="B4060" s="59">
        <v>62</v>
      </c>
      <c r="C4060" s="59">
        <v>420</v>
      </c>
      <c r="D4060" s="51">
        <v>54</v>
      </c>
      <c r="E4060" s="51">
        <f t="shared" si="63"/>
        <v>1</v>
      </c>
    </row>
    <row r="4061" spans="1:5">
      <c r="A4061" s="59">
        <v>8</v>
      </c>
      <c r="B4061" s="59">
        <v>62</v>
      </c>
      <c r="C4061" s="59">
        <v>930</v>
      </c>
      <c r="D4061" s="51">
        <v>54</v>
      </c>
      <c r="E4061" s="51">
        <f t="shared" si="63"/>
        <v>1</v>
      </c>
    </row>
    <row r="4062" spans="1:5">
      <c r="A4062" s="59">
        <v>8</v>
      </c>
      <c r="B4062" s="59">
        <v>71</v>
      </c>
      <c r="C4062" s="59">
        <v>990</v>
      </c>
      <c r="D4062" s="51">
        <v>54</v>
      </c>
      <c r="E4062" s="51">
        <f t="shared" si="63"/>
        <v>0</v>
      </c>
    </row>
    <row r="4063" spans="1:5">
      <c r="A4063" s="59">
        <v>8</v>
      </c>
      <c r="B4063" s="59">
        <v>31</v>
      </c>
      <c r="C4063" s="59">
        <v>210</v>
      </c>
      <c r="D4063" s="51">
        <v>53</v>
      </c>
      <c r="E4063" s="51">
        <f t="shared" si="63"/>
        <v>0</v>
      </c>
    </row>
    <row r="4064" spans="1:5">
      <c r="A4064" s="59">
        <v>8</v>
      </c>
      <c r="B4064" s="59">
        <v>22</v>
      </c>
      <c r="C4064" s="59">
        <v>420</v>
      </c>
      <c r="D4064" s="51">
        <v>52</v>
      </c>
      <c r="E4064" s="51">
        <f t="shared" si="63"/>
        <v>0</v>
      </c>
    </row>
    <row r="4065" spans="1:5">
      <c r="A4065" s="59">
        <v>8</v>
      </c>
      <c r="B4065" s="59">
        <v>41</v>
      </c>
      <c r="C4065" s="59">
        <v>330</v>
      </c>
      <c r="D4065" s="51">
        <v>52</v>
      </c>
      <c r="E4065" s="51">
        <f t="shared" si="63"/>
        <v>1</v>
      </c>
    </row>
    <row r="4066" spans="1:5">
      <c r="A4066" s="59">
        <v>8</v>
      </c>
      <c r="B4066" s="59">
        <v>62</v>
      </c>
      <c r="C4066" s="59">
        <v>120</v>
      </c>
      <c r="D4066" s="51">
        <v>52</v>
      </c>
      <c r="E4066" s="51">
        <f t="shared" si="63"/>
        <v>1</v>
      </c>
    </row>
    <row r="4067" spans="1:5">
      <c r="A4067" s="59">
        <v>8</v>
      </c>
      <c r="B4067" s="59">
        <v>11</v>
      </c>
      <c r="C4067" s="59">
        <v>510</v>
      </c>
      <c r="D4067" s="51">
        <v>51</v>
      </c>
      <c r="E4067" s="51">
        <f t="shared" si="63"/>
        <v>0</v>
      </c>
    </row>
    <row r="4068" spans="1:5">
      <c r="A4068" s="59">
        <v>8</v>
      </c>
      <c r="B4068" s="59">
        <v>64</v>
      </c>
      <c r="C4068" s="59">
        <v>960</v>
      </c>
      <c r="D4068" s="51">
        <v>51</v>
      </c>
      <c r="E4068" s="51">
        <f t="shared" si="63"/>
        <v>0</v>
      </c>
    </row>
    <row r="4069" spans="1:5">
      <c r="A4069" s="59">
        <v>8</v>
      </c>
      <c r="B4069" s="59">
        <v>11</v>
      </c>
      <c r="C4069" s="59">
        <v>240</v>
      </c>
      <c r="D4069" s="51">
        <v>50</v>
      </c>
      <c r="E4069" s="51">
        <f t="shared" si="63"/>
        <v>0</v>
      </c>
    </row>
    <row r="4070" spans="1:5">
      <c r="A4070" s="59">
        <v>8</v>
      </c>
      <c r="B4070" s="59">
        <v>11</v>
      </c>
      <c r="C4070" s="59">
        <v>410</v>
      </c>
      <c r="D4070" s="51">
        <v>50</v>
      </c>
      <c r="E4070" s="51">
        <f t="shared" si="63"/>
        <v>0</v>
      </c>
    </row>
    <row r="4071" spans="1:5">
      <c r="A4071" s="59">
        <v>8</v>
      </c>
      <c r="B4071" s="59">
        <v>42</v>
      </c>
      <c r="C4071" s="59">
        <v>320</v>
      </c>
      <c r="D4071" s="51">
        <v>48</v>
      </c>
      <c r="E4071" s="51">
        <f t="shared" si="63"/>
        <v>0</v>
      </c>
    </row>
    <row r="4072" spans="1:5">
      <c r="A4072" s="59">
        <v>8</v>
      </c>
      <c r="B4072" s="59">
        <v>15</v>
      </c>
      <c r="C4072" s="59">
        <v>730</v>
      </c>
      <c r="D4072" s="51">
        <v>46</v>
      </c>
      <c r="E4072" s="51">
        <f t="shared" si="63"/>
        <v>0</v>
      </c>
    </row>
    <row r="4073" spans="1:5">
      <c r="A4073" s="59">
        <v>8</v>
      </c>
      <c r="B4073" s="59">
        <v>32</v>
      </c>
      <c r="C4073" s="59">
        <v>530</v>
      </c>
      <c r="D4073" s="51">
        <v>46</v>
      </c>
      <c r="E4073" s="51">
        <f t="shared" si="63"/>
        <v>0</v>
      </c>
    </row>
    <row r="4074" spans="1:5">
      <c r="A4074" s="59">
        <v>8</v>
      </c>
      <c r="B4074" s="59">
        <v>44</v>
      </c>
      <c r="C4074" s="59">
        <v>750</v>
      </c>
      <c r="D4074" s="51">
        <v>46</v>
      </c>
      <c r="E4074" s="51">
        <f t="shared" si="63"/>
        <v>1</v>
      </c>
    </row>
    <row r="4075" spans="1:5">
      <c r="A4075" s="59">
        <v>8</v>
      </c>
      <c r="B4075" s="59">
        <v>15</v>
      </c>
      <c r="C4075" s="59">
        <v>420</v>
      </c>
      <c r="D4075" s="51">
        <v>45</v>
      </c>
      <c r="E4075" s="51">
        <f t="shared" si="63"/>
        <v>0</v>
      </c>
    </row>
    <row r="4076" spans="1:5">
      <c r="A4076" s="59">
        <v>8</v>
      </c>
      <c r="B4076" s="59">
        <v>32</v>
      </c>
      <c r="C4076" s="59">
        <v>130</v>
      </c>
      <c r="D4076" s="51">
        <v>45</v>
      </c>
      <c r="E4076" s="51">
        <f t="shared" si="63"/>
        <v>0</v>
      </c>
    </row>
    <row r="4077" spans="1:5">
      <c r="A4077" s="59">
        <v>8</v>
      </c>
      <c r="B4077" s="59">
        <v>12</v>
      </c>
      <c r="C4077" s="59">
        <v>310</v>
      </c>
      <c r="D4077" s="51">
        <v>44</v>
      </c>
      <c r="E4077" s="51">
        <f t="shared" si="63"/>
        <v>0</v>
      </c>
    </row>
    <row r="4078" spans="1:5">
      <c r="A4078" s="59">
        <v>8</v>
      </c>
      <c r="B4078" s="59">
        <v>12</v>
      </c>
      <c r="C4078" s="59">
        <v>410</v>
      </c>
      <c r="D4078" s="51">
        <v>44</v>
      </c>
      <c r="E4078" s="51">
        <f t="shared" si="63"/>
        <v>0</v>
      </c>
    </row>
    <row r="4079" spans="1:5">
      <c r="A4079" s="59">
        <v>8</v>
      </c>
      <c r="B4079" s="59">
        <v>41</v>
      </c>
      <c r="C4079" s="59">
        <v>220</v>
      </c>
      <c r="D4079" s="51">
        <v>44</v>
      </c>
      <c r="E4079" s="51">
        <f t="shared" si="63"/>
        <v>1</v>
      </c>
    </row>
    <row r="4080" spans="1:5">
      <c r="A4080" s="59">
        <v>8</v>
      </c>
      <c r="B4080" s="59">
        <v>41</v>
      </c>
      <c r="C4080" s="59">
        <v>410</v>
      </c>
      <c r="D4080" s="51">
        <v>44</v>
      </c>
      <c r="E4080" s="51">
        <f t="shared" si="63"/>
        <v>1</v>
      </c>
    </row>
    <row r="4081" spans="1:5">
      <c r="A4081" s="59">
        <v>8</v>
      </c>
      <c r="B4081" s="59">
        <v>51</v>
      </c>
      <c r="C4081" s="59">
        <v>910</v>
      </c>
      <c r="D4081" s="51">
        <v>43</v>
      </c>
      <c r="E4081" s="51">
        <f t="shared" si="63"/>
        <v>0</v>
      </c>
    </row>
    <row r="4082" spans="1:5">
      <c r="A4082" s="59">
        <v>8</v>
      </c>
      <c r="B4082" s="59">
        <v>44</v>
      </c>
      <c r="C4082" s="59">
        <v>550</v>
      </c>
      <c r="D4082" s="51">
        <v>42</v>
      </c>
      <c r="E4082" s="51">
        <f t="shared" si="63"/>
        <v>1</v>
      </c>
    </row>
    <row r="4083" spans="1:5">
      <c r="A4083" s="59">
        <v>8</v>
      </c>
      <c r="B4083" s="59">
        <v>33</v>
      </c>
      <c r="C4083" s="59">
        <v>970</v>
      </c>
      <c r="D4083" s="51">
        <v>41</v>
      </c>
      <c r="E4083" s="51">
        <f t="shared" si="63"/>
        <v>0</v>
      </c>
    </row>
    <row r="4084" spans="1:5">
      <c r="A4084" s="59">
        <v>8</v>
      </c>
      <c r="B4084" s="59">
        <v>15</v>
      </c>
      <c r="C4084" s="59">
        <v>530</v>
      </c>
      <c r="D4084" s="51">
        <v>40</v>
      </c>
      <c r="E4084" s="51">
        <f t="shared" si="63"/>
        <v>0</v>
      </c>
    </row>
    <row r="4085" spans="1:5">
      <c r="A4085" s="59">
        <v>8</v>
      </c>
      <c r="B4085" s="59">
        <v>63</v>
      </c>
      <c r="C4085" s="59">
        <v>630</v>
      </c>
      <c r="D4085" s="51">
        <v>39</v>
      </c>
      <c r="E4085" s="51">
        <f t="shared" si="63"/>
        <v>0</v>
      </c>
    </row>
    <row r="4086" spans="1:5">
      <c r="A4086" s="59">
        <v>8</v>
      </c>
      <c r="B4086" s="59">
        <v>63</v>
      </c>
      <c r="C4086" s="59">
        <v>750</v>
      </c>
      <c r="D4086" s="51">
        <v>38</v>
      </c>
      <c r="E4086" s="51">
        <f t="shared" si="63"/>
        <v>0</v>
      </c>
    </row>
    <row r="4087" spans="1:5">
      <c r="A4087" s="59">
        <v>8</v>
      </c>
      <c r="B4087" s="59">
        <v>81</v>
      </c>
      <c r="C4087" s="59">
        <v>620</v>
      </c>
      <c r="D4087" s="51">
        <v>38</v>
      </c>
      <c r="E4087" s="51">
        <f t="shared" si="63"/>
        <v>0</v>
      </c>
    </row>
    <row r="4088" spans="1:5">
      <c r="A4088" s="59">
        <v>8</v>
      </c>
      <c r="B4088" s="59">
        <v>81</v>
      </c>
      <c r="C4088" s="59">
        <v>840</v>
      </c>
      <c r="D4088" s="51">
        <v>38</v>
      </c>
      <c r="E4088" s="51">
        <f t="shared" si="63"/>
        <v>0</v>
      </c>
    </row>
    <row r="4089" spans="1:5">
      <c r="A4089" s="59">
        <v>8</v>
      </c>
      <c r="B4089" s="59">
        <v>11</v>
      </c>
      <c r="C4089" s="59">
        <v>730</v>
      </c>
      <c r="D4089" s="51">
        <v>37</v>
      </c>
      <c r="E4089" s="51">
        <f t="shared" si="63"/>
        <v>0</v>
      </c>
    </row>
    <row r="4090" spans="1:5">
      <c r="A4090" s="59">
        <v>8</v>
      </c>
      <c r="B4090" s="59">
        <v>16</v>
      </c>
      <c r="C4090" s="59">
        <v>990</v>
      </c>
      <c r="D4090" s="51">
        <v>37</v>
      </c>
      <c r="E4090" s="51">
        <f t="shared" si="63"/>
        <v>0</v>
      </c>
    </row>
    <row r="4091" spans="1:5">
      <c r="A4091" s="59">
        <v>8</v>
      </c>
      <c r="B4091" s="59">
        <v>23</v>
      </c>
      <c r="C4091" s="59">
        <v>930</v>
      </c>
      <c r="D4091" s="51">
        <v>37</v>
      </c>
      <c r="E4091" s="51">
        <f t="shared" si="63"/>
        <v>0</v>
      </c>
    </row>
    <row r="4092" spans="1:5">
      <c r="A4092" s="59">
        <v>8</v>
      </c>
      <c r="B4092" s="59">
        <v>41</v>
      </c>
      <c r="C4092" s="59">
        <v>730</v>
      </c>
      <c r="D4092" s="51">
        <v>37</v>
      </c>
      <c r="E4092" s="51">
        <f t="shared" si="63"/>
        <v>1</v>
      </c>
    </row>
    <row r="4093" spans="1:5">
      <c r="A4093" s="59">
        <v>8</v>
      </c>
      <c r="B4093" s="59">
        <v>63</v>
      </c>
      <c r="C4093" s="59">
        <v>640</v>
      </c>
      <c r="D4093" s="51">
        <v>37</v>
      </c>
      <c r="E4093" s="51">
        <f t="shared" si="63"/>
        <v>0</v>
      </c>
    </row>
    <row r="4094" spans="1:5">
      <c r="A4094" s="59">
        <v>8</v>
      </c>
      <c r="B4094" s="59">
        <v>64</v>
      </c>
      <c r="C4094" s="59">
        <v>740</v>
      </c>
      <c r="D4094" s="51">
        <v>37</v>
      </c>
      <c r="E4094" s="51">
        <f t="shared" si="63"/>
        <v>0</v>
      </c>
    </row>
    <row r="4095" spans="1:5">
      <c r="A4095" s="59">
        <v>8</v>
      </c>
      <c r="B4095" s="59">
        <v>32</v>
      </c>
      <c r="C4095" s="59">
        <v>620</v>
      </c>
      <c r="D4095" s="51">
        <v>36</v>
      </c>
      <c r="E4095" s="51">
        <f t="shared" si="63"/>
        <v>0</v>
      </c>
    </row>
    <row r="4096" spans="1:5">
      <c r="A4096" s="59">
        <v>8</v>
      </c>
      <c r="B4096" s="59">
        <v>63</v>
      </c>
      <c r="C4096" s="59">
        <v>960</v>
      </c>
      <c r="D4096" s="51">
        <v>36</v>
      </c>
      <c r="E4096" s="51">
        <f t="shared" si="63"/>
        <v>0</v>
      </c>
    </row>
    <row r="4097" spans="1:5">
      <c r="A4097" s="59">
        <v>8</v>
      </c>
      <c r="B4097" s="59">
        <v>11</v>
      </c>
      <c r="C4097" s="59">
        <v>930</v>
      </c>
      <c r="D4097" s="51">
        <v>35</v>
      </c>
      <c r="E4097" s="51">
        <f t="shared" si="63"/>
        <v>0</v>
      </c>
    </row>
    <row r="4098" spans="1:5">
      <c r="A4098" s="59">
        <v>8</v>
      </c>
      <c r="B4098" s="59">
        <v>13</v>
      </c>
      <c r="C4098" s="59">
        <v>750</v>
      </c>
      <c r="D4098" s="51">
        <v>35</v>
      </c>
      <c r="E4098" s="51">
        <f t="shared" ref="E4098:E4161" si="64">IF(OR(A4098=6,A4098=7,A4098=14,A4098=15,A4098=16,A4098=17,A4098=18,A4098=19,A4098=20,A4098=21,A4098=22,A4098=23,A4098=25,A4098=26,A4098=27,A4098=28,B4098=41,B4098=44,B4098=62),1,0)</f>
        <v>0</v>
      </c>
    </row>
    <row r="4099" spans="1:5">
      <c r="A4099" s="59">
        <v>8</v>
      </c>
      <c r="B4099" s="59">
        <v>16</v>
      </c>
      <c r="C4099" s="59">
        <v>510</v>
      </c>
      <c r="D4099" s="51">
        <v>35</v>
      </c>
      <c r="E4099" s="51">
        <f t="shared" si="64"/>
        <v>0</v>
      </c>
    </row>
    <row r="4100" spans="1:5">
      <c r="A4100" s="59">
        <v>8</v>
      </c>
      <c r="B4100" s="59">
        <v>42</v>
      </c>
      <c r="C4100" s="59">
        <v>420</v>
      </c>
      <c r="D4100" s="51">
        <v>35</v>
      </c>
      <c r="E4100" s="51">
        <f t="shared" si="64"/>
        <v>0</v>
      </c>
    </row>
    <row r="4101" spans="1:5">
      <c r="A4101" s="59">
        <v>8</v>
      </c>
      <c r="B4101" s="59">
        <v>14</v>
      </c>
      <c r="C4101" s="59">
        <v>750</v>
      </c>
      <c r="D4101" s="51">
        <v>34</v>
      </c>
      <c r="E4101" s="51">
        <f t="shared" si="64"/>
        <v>0</v>
      </c>
    </row>
    <row r="4102" spans="1:5">
      <c r="A4102" s="59">
        <v>8</v>
      </c>
      <c r="B4102" s="59">
        <v>63</v>
      </c>
      <c r="C4102" s="59">
        <v>420</v>
      </c>
      <c r="D4102" s="51">
        <v>34</v>
      </c>
      <c r="E4102" s="51">
        <f t="shared" si="64"/>
        <v>0</v>
      </c>
    </row>
    <row r="4103" spans="1:5">
      <c r="A4103" s="59">
        <v>8</v>
      </c>
      <c r="B4103" s="59">
        <v>81</v>
      </c>
      <c r="C4103" s="59">
        <v>320</v>
      </c>
      <c r="D4103" s="51">
        <v>34</v>
      </c>
      <c r="E4103" s="51">
        <f t="shared" si="64"/>
        <v>0</v>
      </c>
    </row>
    <row r="4104" spans="1:5">
      <c r="A4104" s="59">
        <v>8</v>
      </c>
      <c r="B4104" s="59">
        <v>12</v>
      </c>
      <c r="C4104" s="59">
        <v>120</v>
      </c>
      <c r="D4104" s="51">
        <v>33</v>
      </c>
      <c r="E4104" s="51">
        <f t="shared" si="64"/>
        <v>0</v>
      </c>
    </row>
    <row r="4105" spans="1:5">
      <c r="A4105" s="59">
        <v>8</v>
      </c>
      <c r="B4105" s="59">
        <v>24</v>
      </c>
      <c r="C4105" s="59">
        <v>150</v>
      </c>
      <c r="D4105" s="51">
        <v>33</v>
      </c>
      <c r="E4105" s="51">
        <f t="shared" si="64"/>
        <v>0</v>
      </c>
    </row>
    <row r="4106" spans="1:5">
      <c r="A4106" s="59">
        <v>8</v>
      </c>
      <c r="B4106" s="59">
        <v>15</v>
      </c>
      <c r="C4106" s="59">
        <v>720</v>
      </c>
      <c r="D4106" s="51">
        <v>32</v>
      </c>
      <c r="E4106" s="51">
        <f t="shared" si="64"/>
        <v>0</v>
      </c>
    </row>
    <row r="4107" spans="1:5">
      <c r="A4107" s="59">
        <v>8</v>
      </c>
      <c r="B4107" s="59">
        <v>43</v>
      </c>
      <c r="C4107" s="59">
        <v>640</v>
      </c>
      <c r="D4107" s="51">
        <v>31</v>
      </c>
      <c r="E4107" s="51">
        <f t="shared" si="64"/>
        <v>0</v>
      </c>
    </row>
    <row r="4108" spans="1:5">
      <c r="A4108" s="59">
        <v>8</v>
      </c>
      <c r="B4108" s="59">
        <v>62</v>
      </c>
      <c r="C4108" s="59">
        <v>640</v>
      </c>
      <c r="D4108" s="51">
        <v>31</v>
      </c>
      <c r="E4108" s="51">
        <f t="shared" si="64"/>
        <v>1</v>
      </c>
    </row>
    <row r="4109" spans="1:5">
      <c r="A4109" s="59">
        <v>8</v>
      </c>
      <c r="B4109" s="59">
        <v>71</v>
      </c>
      <c r="C4109" s="59">
        <v>750</v>
      </c>
      <c r="D4109" s="51">
        <v>31</v>
      </c>
      <c r="E4109" s="51">
        <f t="shared" si="64"/>
        <v>0</v>
      </c>
    </row>
    <row r="4110" spans="1:5">
      <c r="A4110" s="59">
        <v>8</v>
      </c>
      <c r="B4110" s="59">
        <v>32</v>
      </c>
      <c r="C4110" s="59">
        <v>950</v>
      </c>
      <c r="D4110" s="51">
        <v>30</v>
      </c>
      <c r="E4110" s="51">
        <f t="shared" si="64"/>
        <v>0</v>
      </c>
    </row>
    <row r="4111" spans="1:5">
      <c r="A4111" s="59">
        <v>8</v>
      </c>
      <c r="B4111" s="59">
        <v>42</v>
      </c>
      <c r="C4111" s="59">
        <v>630</v>
      </c>
      <c r="D4111" s="51">
        <v>30</v>
      </c>
      <c r="E4111" s="51">
        <f t="shared" si="64"/>
        <v>0</v>
      </c>
    </row>
    <row r="4112" spans="1:5">
      <c r="A4112" s="59">
        <v>8</v>
      </c>
      <c r="B4112" s="59">
        <v>44</v>
      </c>
      <c r="C4112" s="59">
        <v>970</v>
      </c>
      <c r="D4112" s="51">
        <v>30</v>
      </c>
      <c r="E4112" s="51">
        <f t="shared" si="64"/>
        <v>1</v>
      </c>
    </row>
    <row r="4113" spans="1:5">
      <c r="A4113" s="59">
        <v>8</v>
      </c>
      <c r="B4113" s="59">
        <v>22</v>
      </c>
      <c r="C4113" s="59">
        <v>530</v>
      </c>
      <c r="D4113" s="51">
        <v>29</v>
      </c>
      <c r="E4113" s="51">
        <f t="shared" si="64"/>
        <v>0</v>
      </c>
    </row>
    <row r="4114" spans="1:5">
      <c r="A4114" s="59">
        <v>8</v>
      </c>
      <c r="B4114" s="59">
        <v>32</v>
      </c>
      <c r="C4114" s="59">
        <v>970</v>
      </c>
      <c r="D4114" s="51">
        <v>29</v>
      </c>
      <c r="E4114" s="51">
        <f t="shared" si="64"/>
        <v>0</v>
      </c>
    </row>
    <row r="4115" spans="1:5">
      <c r="A4115" s="59">
        <v>8</v>
      </c>
      <c r="B4115" s="59">
        <v>63</v>
      </c>
      <c r="C4115" s="59">
        <v>710</v>
      </c>
      <c r="D4115" s="51">
        <v>29</v>
      </c>
      <c r="E4115" s="51">
        <f t="shared" si="64"/>
        <v>0</v>
      </c>
    </row>
    <row r="4116" spans="1:5">
      <c r="A4116" s="59">
        <v>8</v>
      </c>
      <c r="B4116" s="59">
        <v>32</v>
      </c>
      <c r="C4116" s="59">
        <v>140</v>
      </c>
      <c r="D4116" s="51">
        <v>28</v>
      </c>
      <c r="E4116" s="51">
        <f t="shared" si="64"/>
        <v>0</v>
      </c>
    </row>
    <row r="4117" spans="1:5">
      <c r="A4117" s="59">
        <v>8</v>
      </c>
      <c r="B4117" s="59">
        <v>32</v>
      </c>
      <c r="C4117" s="59">
        <v>610</v>
      </c>
      <c r="D4117" s="51">
        <v>28</v>
      </c>
      <c r="E4117" s="51">
        <f t="shared" si="64"/>
        <v>0</v>
      </c>
    </row>
    <row r="4118" spans="1:5">
      <c r="A4118" s="59">
        <v>8</v>
      </c>
      <c r="B4118" s="59">
        <v>42</v>
      </c>
      <c r="C4118" s="59">
        <v>550</v>
      </c>
      <c r="D4118" s="51">
        <v>28</v>
      </c>
      <c r="E4118" s="51">
        <f t="shared" si="64"/>
        <v>0</v>
      </c>
    </row>
    <row r="4119" spans="1:5">
      <c r="A4119" s="59">
        <v>8</v>
      </c>
      <c r="B4119" s="59">
        <v>31</v>
      </c>
      <c r="C4119" s="59">
        <v>150</v>
      </c>
      <c r="D4119" s="51">
        <v>27</v>
      </c>
      <c r="E4119" s="51">
        <f t="shared" si="64"/>
        <v>0</v>
      </c>
    </row>
    <row r="4120" spans="1:5">
      <c r="A4120" s="59">
        <v>8</v>
      </c>
      <c r="B4120" s="59">
        <v>71</v>
      </c>
      <c r="C4120" s="59">
        <v>320</v>
      </c>
      <c r="D4120" s="51">
        <v>27</v>
      </c>
      <c r="E4120" s="51">
        <f t="shared" si="64"/>
        <v>0</v>
      </c>
    </row>
    <row r="4121" spans="1:5">
      <c r="A4121" s="59">
        <v>8</v>
      </c>
      <c r="B4121" s="59">
        <v>81</v>
      </c>
      <c r="C4121" s="59">
        <v>520</v>
      </c>
      <c r="D4121" s="51">
        <v>27</v>
      </c>
      <c r="E4121" s="51">
        <f t="shared" si="64"/>
        <v>0</v>
      </c>
    </row>
    <row r="4122" spans="1:5">
      <c r="A4122" s="59">
        <v>8</v>
      </c>
      <c r="B4122" s="59">
        <v>31</v>
      </c>
      <c r="C4122" s="59">
        <v>920</v>
      </c>
      <c r="D4122" s="51">
        <v>26</v>
      </c>
      <c r="E4122" s="51">
        <f t="shared" si="64"/>
        <v>0</v>
      </c>
    </row>
    <row r="4123" spans="1:5">
      <c r="A4123" s="59">
        <v>8</v>
      </c>
      <c r="B4123" s="59">
        <v>44</v>
      </c>
      <c r="C4123" s="59">
        <v>540</v>
      </c>
      <c r="D4123" s="51">
        <v>26</v>
      </c>
      <c r="E4123" s="51">
        <f t="shared" si="64"/>
        <v>1</v>
      </c>
    </row>
    <row r="4124" spans="1:5">
      <c r="A4124" s="59">
        <v>8</v>
      </c>
      <c r="B4124" s="59">
        <v>14</v>
      </c>
      <c r="C4124" s="59">
        <v>970</v>
      </c>
      <c r="D4124" s="51">
        <v>25</v>
      </c>
      <c r="E4124" s="51">
        <f t="shared" si="64"/>
        <v>0</v>
      </c>
    </row>
    <row r="4125" spans="1:5">
      <c r="A4125" s="59">
        <v>8</v>
      </c>
      <c r="B4125" s="59">
        <v>32</v>
      </c>
      <c r="C4125" s="59">
        <v>120</v>
      </c>
      <c r="D4125" s="51">
        <v>25</v>
      </c>
      <c r="E4125" s="51">
        <f t="shared" si="64"/>
        <v>0</v>
      </c>
    </row>
    <row r="4126" spans="1:5">
      <c r="A4126" s="59">
        <v>8</v>
      </c>
      <c r="B4126" s="59">
        <v>33</v>
      </c>
      <c r="C4126" s="59">
        <v>920</v>
      </c>
      <c r="D4126" s="51">
        <v>25</v>
      </c>
      <c r="E4126" s="51">
        <f t="shared" si="64"/>
        <v>0</v>
      </c>
    </row>
    <row r="4127" spans="1:5">
      <c r="A4127" s="59">
        <v>8</v>
      </c>
      <c r="B4127" s="59">
        <v>33</v>
      </c>
      <c r="C4127" s="59">
        <v>950</v>
      </c>
      <c r="D4127" s="51">
        <v>25</v>
      </c>
      <c r="E4127" s="51">
        <f t="shared" si="64"/>
        <v>0</v>
      </c>
    </row>
    <row r="4128" spans="1:5">
      <c r="A4128" s="59">
        <v>8</v>
      </c>
      <c r="B4128" s="59">
        <v>41</v>
      </c>
      <c r="C4128" s="59">
        <v>620</v>
      </c>
      <c r="D4128" s="51">
        <v>25</v>
      </c>
      <c r="E4128" s="51">
        <f t="shared" si="64"/>
        <v>1</v>
      </c>
    </row>
    <row r="4129" spans="1:5">
      <c r="A4129" s="59">
        <v>8</v>
      </c>
      <c r="B4129" s="59">
        <v>42</v>
      </c>
      <c r="C4129" s="59">
        <v>120</v>
      </c>
      <c r="D4129" s="51">
        <v>25</v>
      </c>
      <c r="E4129" s="51">
        <f t="shared" si="64"/>
        <v>0</v>
      </c>
    </row>
    <row r="4130" spans="1:5">
      <c r="A4130" s="59">
        <v>8</v>
      </c>
      <c r="B4130" s="59">
        <v>41</v>
      </c>
      <c r="C4130" s="59">
        <v>950</v>
      </c>
      <c r="D4130" s="51">
        <v>24</v>
      </c>
      <c r="E4130" s="51">
        <f t="shared" si="64"/>
        <v>1</v>
      </c>
    </row>
    <row r="4131" spans="1:5">
      <c r="A4131" s="59">
        <v>8</v>
      </c>
      <c r="B4131" s="59">
        <v>43</v>
      </c>
      <c r="C4131" s="59">
        <v>860</v>
      </c>
      <c r="D4131" s="51">
        <v>24</v>
      </c>
      <c r="E4131" s="51">
        <f t="shared" si="64"/>
        <v>0</v>
      </c>
    </row>
    <row r="4132" spans="1:5">
      <c r="A4132" s="59">
        <v>8</v>
      </c>
      <c r="B4132" s="59">
        <v>14</v>
      </c>
      <c r="C4132" s="59">
        <v>620</v>
      </c>
      <c r="D4132" s="51">
        <v>23</v>
      </c>
      <c r="E4132" s="51">
        <f t="shared" si="64"/>
        <v>0</v>
      </c>
    </row>
    <row r="4133" spans="1:5">
      <c r="A4133" s="59">
        <v>8</v>
      </c>
      <c r="B4133" s="59">
        <v>23</v>
      </c>
      <c r="C4133" s="59">
        <v>950</v>
      </c>
      <c r="D4133" s="51">
        <v>23</v>
      </c>
      <c r="E4133" s="51">
        <f t="shared" si="64"/>
        <v>0</v>
      </c>
    </row>
    <row r="4134" spans="1:5">
      <c r="A4134" s="59">
        <v>8</v>
      </c>
      <c r="B4134" s="59">
        <v>62</v>
      </c>
      <c r="C4134" s="59">
        <v>950</v>
      </c>
      <c r="D4134" s="51">
        <v>23</v>
      </c>
      <c r="E4134" s="51">
        <f t="shared" si="64"/>
        <v>1</v>
      </c>
    </row>
    <row r="4135" spans="1:5">
      <c r="A4135" s="59">
        <v>8</v>
      </c>
      <c r="B4135" s="59">
        <v>81</v>
      </c>
      <c r="C4135" s="59">
        <v>950</v>
      </c>
      <c r="D4135" s="51">
        <v>23</v>
      </c>
      <c r="E4135" s="51">
        <f t="shared" si="64"/>
        <v>0</v>
      </c>
    </row>
    <row r="4136" spans="1:5">
      <c r="A4136" s="59">
        <v>8</v>
      </c>
      <c r="B4136" s="59">
        <v>12</v>
      </c>
      <c r="C4136" s="59">
        <v>320</v>
      </c>
      <c r="D4136" s="51">
        <v>22</v>
      </c>
      <c r="E4136" s="51">
        <f t="shared" si="64"/>
        <v>0</v>
      </c>
    </row>
    <row r="4137" spans="1:5">
      <c r="A4137" s="59">
        <v>8</v>
      </c>
      <c r="B4137" s="59">
        <v>24</v>
      </c>
      <c r="C4137" s="59">
        <v>160</v>
      </c>
      <c r="D4137" s="51">
        <v>22</v>
      </c>
      <c r="E4137" s="51">
        <f t="shared" si="64"/>
        <v>0</v>
      </c>
    </row>
    <row r="4138" spans="1:5">
      <c r="A4138" s="59">
        <v>8</v>
      </c>
      <c r="B4138" s="59">
        <v>33</v>
      </c>
      <c r="C4138" s="59">
        <v>990</v>
      </c>
      <c r="D4138" s="51">
        <v>22</v>
      </c>
      <c r="E4138" s="51">
        <f t="shared" si="64"/>
        <v>0</v>
      </c>
    </row>
    <row r="4139" spans="1:5">
      <c r="A4139" s="59">
        <v>8</v>
      </c>
      <c r="B4139" s="59">
        <v>42</v>
      </c>
      <c r="C4139" s="59">
        <v>520</v>
      </c>
      <c r="D4139" s="51">
        <v>22</v>
      </c>
      <c r="E4139" s="51">
        <f t="shared" si="64"/>
        <v>0</v>
      </c>
    </row>
    <row r="4140" spans="1:5">
      <c r="A4140" s="59">
        <v>8</v>
      </c>
      <c r="B4140" s="59">
        <v>16</v>
      </c>
      <c r="C4140" s="59">
        <v>530</v>
      </c>
      <c r="D4140" s="51">
        <v>21</v>
      </c>
      <c r="E4140" s="51">
        <f t="shared" si="64"/>
        <v>0</v>
      </c>
    </row>
    <row r="4141" spans="1:5">
      <c r="A4141" s="59">
        <v>8</v>
      </c>
      <c r="B4141" s="59">
        <v>16</v>
      </c>
      <c r="C4141" s="59">
        <v>890</v>
      </c>
      <c r="D4141" s="51">
        <v>21</v>
      </c>
      <c r="E4141" s="51">
        <f t="shared" si="64"/>
        <v>0</v>
      </c>
    </row>
    <row r="4142" spans="1:5">
      <c r="A4142" s="59">
        <v>8</v>
      </c>
      <c r="B4142" s="59">
        <v>44</v>
      </c>
      <c r="C4142" s="59">
        <v>899</v>
      </c>
      <c r="D4142" s="51">
        <v>21</v>
      </c>
      <c r="E4142" s="51">
        <f t="shared" si="64"/>
        <v>1</v>
      </c>
    </row>
    <row r="4143" spans="1:5">
      <c r="A4143" s="59">
        <v>8</v>
      </c>
      <c r="B4143" s="59">
        <v>51</v>
      </c>
      <c r="C4143" s="59">
        <v>220</v>
      </c>
      <c r="D4143" s="51">
        <v>21</v>
      </c>
      <c r="E4143" s="51">
        <f t="shared" si="64"/>
        <v>0</v>
      </c>
    </row>
    <row r="4144" spans="1:5">
      <c r="A4144" s="59">
        <v>8</v>
      </c>
      <c r="B4144" s="59">
        <v>62</v>
      </c>
      <c r="C4144" s="59">
        <v>440</v>
      </c>
      <c r="D4144" s="51">
        <v>21</v>
      </c>
      <c r="E4144" s="51">
        <f t="shared" si="64"/>
        <v>1</v>
      </c>
    </row>
    <row r="4145" spans="1:5">
      <c r="A4145" s="59">
        <v>8</v>
      </c>
      <c r="B4145" s="59">
        <v>63</v>
      </c>
      <c r="C4145" s="59">
        <v>831</v>
      </c>
      <c r="D4145" s="51">
        <v>21</v>
      </c>
      <c r="E4145" s="51">
        <f t="shared" si="64"/>
        <v>0</v>
      </c>
    </row>
    <row r="4146" spans="1:5">
      <c r="A4146" s="59">
        <v>8</v>
      </c>
      <c r="B4146" s="59">
        <v>64</v>
      </c>
      <c r="C4146" s="59">
        <v>893</v>
      </c>
      <c r="D4146" s="51">
        <v>21</v>
      </c>
      <c r="E4146" s="51">
        <f t="shared" si="64"/>
        <v>0</v>
      </c>
    </row>
    <row r="4147" spans="1:5">
      <c r="A4147" s="59">
        <v>8</v>
      </c>
      <c r="B4147" s="59">
        <v>23</v>
      </c>
      <c r="C4147" s="59">
        <v>120</v>
      </c>
      <c r="D4147" s="51">
        <v>20</v>
      </c>
      <c r="E4147" s="51">
        <f t="shared" si="64"/>
        <v>0</v>
      </c>
    </row>
    <row r="4148" spans="1:5">
      <c r="A4148" s="59">
        <v>8</v>
      </c>
      <c r="B4148" s="59">
        <v>32</v>
      </c>
      <c r="C4148" s="59">
        <v>960</v>
      </c>
      <c r="D4148" s="51">
        <v>20</v>
      </c>
      <c r="E4148" s="51">
        <f t="shared" si="64"/>
        <v>0</v>
      </c>
    </row>
    <row r="4149" spans="1:5">
      <c r="A4149" s="59">
        <v>8</v>
      </c>
      <c r="B4149" s="59">
        <v>43</v>
      </c>
      <c r="C4149" s="59">
        <v>831</v>
      </c>
      <c r="D4149" s="51">
        <v>20</v>
      </c>
      <c r="E4149" s="51">
        <f t="shared" si="64"/>
        <v>0</v>
      </c>
    </row>
    <row r="4150" spans="1:5">
      <c r="A4150" s="59">
        <v>8</v>
      </c>
      <c r="B4150" s="59">
        <v>21</v>
      </c>
      <c r="C4150" s="59">
        <v>950</v>
      </c>
      <c r="D4150" s="51">
        <v>19</v>
      </c>
      <c r="E4150" s="51">
        <f t="shared" si="64"/>
        <v>0</v>
      </c>
    </row>
    <row r="4151" spans="1:5">
      <c r="A4151" s="59">
        <v>8</v>
      </c>
      <c r="B4151" s="59">
        <v>22</v>
      </c>
      <c r="C4151" s="59">
        <v>970</v>
      </c>
      <c r="D4151" s="51">
        <v>19</v>
      </c>
      <c r="E4151" s="51">
        <f t="shared" si="64"/>
        <v>0</v>
      </c>
    </row>
    <row r="4152" spans="1:5">
      <c r="A4152" s="59">
        <v>8</v>
      </c>
      <c r="B4152" s="59">
        <v>31</v>
      </c>
      <c r="C4152" s="59">
        <v>160</v>
      </c>
      <c r="D4152" s="51">
        <v>19</v>
      </c>
      <c r="E4152" s="51">
        <f t="shared" si="64"/>
        <v>0</v>
      </c>
    </row>
    <row r="4153" spans="1:5">
      <c r="A4153" s="59">
        <v>8</v>
      </c>
      <c r="B4153" s="59">
        <v>31</v>
      </c>
      <c r="C4153" s="59">
        <v>530</v>
      </c>
      <c r="D4153" s="51">
        <v>19</v>
      </c>
      <c r="E4153" s="51">
        <f t="shared" si="64"/>
        <v>0</v>
      </c>
    </row>
    <row r="4154" spans="1:5">
      <c r="A4154" s="59">
        <v>8</v>
      </c>
      <c r="B4154" s="59">
        <v>43</v>
      </c>
      <c r="C4154" s="59">
        <v>630</v>
      </c>
      <c r="D4154" s="51">
        <v>19</v>
      </c>
      <c r="E4154" s="51">
        <f t="shared" si="64"/>
        <v>0</v>
      </c>
    </row>
    <row r="4155" spans="1:5">
      <c r="A4155" s="59">
        <v>8</v>
      </c>
      <c r="B4155" s="59">
        <v>51</v>
      </c>
      <c r="C4155" s="59">
        <v>530</v>
      </c>
      <c r="D4155" s="51">
        <v>19</v>
      </c>
      <c r="E4155" s="51">
        <f t="shared" si="64"/>
        <v>0</v>
      </c>
    </row>
    <row r="4156" spans="1:5">
      <c r="A4156" s="59">
        <v>8</v>
      </c>
      <c r="B4156" s="59">
        <v>41</v>
      </c>
      <c r="C4156" s="59">
        <v>520</v>
      </c>
      <c r="D4156" s="51">
        <v>18</v>
      </c>
      <c r="E4156" s="51">
        <f t="shared" si="64"/>
        <v>1</v>
      </c>
    </row>
    <row r="4157" spans="1:5">
      <c r="A4157" s="59">
        <v>8</v>
      </c>
      <c r="B4157" s="59">
        <v>43</v>
      </c>
      <c r="C4157" s="59">
        <v>899</v>
      </c>
      <c r="D4157" s="51">
        <v>18</v>
      </c>
      <c r="E4157" s="51">
        <f t="shared" si="64"/>
        <v>0</v>
      </c>
    </row>
    <row r="4158" spans="1:5">
      <c r="A4158" s="59">
        <v>8</v>
      </c>
      <c r="B4158" s="59">
        <v>44</v>
      </c>
      <c r="C4158" s="59">
        <v>140</v>
      </c>
      <c r="D4158" s="51">
        <v>18</v>
      </c>
      <c r="E4158" s="51">
        <f t="shared" si="64"/>
        <v>1</v>
      </c>
    </row>
    <row r="4159" spans="1:5">
      <c r="A4159" s="59">
        <v>8</v>
      </c>
      <c r="B4159" s="59">
        <v>63</v>
      </c>
      <c r="C4159" s="59">
        <v>830</v>
      </c>
      <c r="D4159" s="51">
        <v>18</v>
      </c>
      <c r="E4159" s="51">
        <f t="shared" si="64"/>
        <v>0</v>
      </c>
    </row>
    <row r="4160" spans="1:5">
      <c r="A4160" s="59">
        <v>8</v>
      </c>
      <c r="B4160" s="59">
        <v>64</v>
      </c>
      <c r="C4160" s="59">
        <v>850</v>
      </c>
      <c r="D4160" s="51">
        <v>18</v>
      </c>
      <c r="E4160" s="51">
        <f t="shared" si="64"/>
        <v>0</v>
      </c>
    </row>
    <row r="4161" spans="1:5">
      <c r="A4161" s="59">
        <v>8</v>
      </c>
      <c r="B4161" s="59">
        <v>22</v>
      </c>
      <c r="C4161" s="59">
        <v>840</v>
      </c>
      <c r="D4161" s="51">
        <v>17</v>
      </c>
      <c r="E4161" s="51">
        <f t="shared" si="64"/>
        <v>0</v>
      </c>
    </row>
    <row r="4162" spans="1:5">
      <c r="A4162" s="59">
        <v>8</v>
      </c>
      <c r="B4162" s="59">
        <v>31</v>
      </c>
      <c r="C4162" s="59">
        <v>895</v>
      </c>
      <c r="D4162" s="51">
        <v>17</v>
      </c>
      <c r="E4162" s="51">
        <f t="shared" ref="E4162:E4225" si="65">IF(OR(A4162=6,A4162=7,A4162=14,A4162=15,A4162=16,A4162=17,A4162=18,A4162=19,A4162=20,A4162=21,A4162=22,A4162=23,A4162=25,A4162=26,A4162=27,A4162=28,B4162=41,B4162=44,B4162=62),1,0)</f>
        <v>0</v>
      </c>
    </row>
    <row r="4163" spans="1:5">
      <c r="A4163" s="59">
        <v>8</v>
      </c>
      <c r="B4163" s="59">
        <v>41</v>
      </c>
      <c r="C4163" s="59">
        <v>130</v>
      </c>
      <c r="D4163" s="51">
        <v>17</v>
      </c>
      <c r="E4163" s="51">
        <f t="shared" si="65"/>
        <v>1</v>
      </c>
    </row>
    <row r="4164" spans="1:5">
      <c r="A4164" s="59">
        <v>8</v>
      </c>
      <c r="B4164" s="59">
        <v>71</v>
      </c>
      <c r="C4164" s="59">
        <v>130</v>
      </c>
      <c r="D4164" s="51">
        <v>17</v>
      </c>
      <c r="E4164" s="51">
        <f t="shared" si="65"/>
        <v>0</v>
      </c>
    </row>
    <row r="4165" spans="1:5">
      <c r="A4165" s="59">
        <v>8</v>
      </c>
      <c r="B4165" s="59">
        <v>81</v>
      </c>
      <c r="C4165" s="59">
        <v>430</v>
      </c>
      <c r="D4165" s="51">
        <v>17</v>
      </c>
      <c r="E4165" s="51">
        <f t="shared" si="65"/>
        <v>0</v>
      </c>
    </row>
    <row r="4166" spans="1:5">
      <c r="A4166" s="59">
        <v>8</v>
      </c>
      <c r="B4166" s="59">
        <v>16</v>
      </c>
      <c r="C4166" s="59">
        <v>960</v>
      </c>
      <c r="D4166" s="51">
        <v>16</v>
      </c>
      <c r="E4166" s="51">
        <f t="shared" si="65"/>
        <v>0</v>
      </c>
    </row>
    <row r="4167" spans="1:5">
      <c r="A4167" s="59">
        <v>8</v>
      </c>
      <c r="B4167" s="59">
        <v>44</v>
      </c>
      <c r="C4167" s="59">
        <v>120</v>
      </c>
      <c r="D4167" s="51">
        <v>16</v>
      </c>
      <c r="E4167" s="51">
        <f t="shared" si="65"/>
        <v>1</v>
      </c>
    </row>
    <row r="4168" spans="1:5">
      <c r="A4168" s="59">
        <v>8</v>
      </c>
      <c r="B4168" s="59">
        <v>62</v>
      </c>
      <c r="C4168" s="59">
        <v>970</v>
      </c>
      <c r="D4168" s="51">
        <v>16</v>
      </c>
      <c r="E4168" s="51">
        <f t="shared" si="65"/>
        <v>1</v>
      </c>
    </row>
    <row r="4169" spans="1:5">
      <c r="A4169" s="59">
        <v>8</v>
      </c>
      <c r="B4169" s="59">
        <v>63</v>
      </c>
      <c r="C4169" s="59">
        <v>940</v>
      </c>
      <c r="D4169" s="51">
        <v>16</v>
      </c>
      <c r="E4169" s="51">
        <f t="shared" si="65"/>
        <v>0</v>
      </c>
    </row>
    <row r="4170" spans="1:5">
      <c r="A4170" s="59">
        <v>8</v>
      </c>
      <c r="B4170" s="59">
        <v>13</v>
      </c>
      <c r="C4170" s="59">
        <v>960</v>
      </c>
      <c r="D4170" s="51">
        <v>15</v>
      </c>
      <c r="E4170" s="51">
        <f t="shared" si="65"/>
        <v>0</v>
      </c>
    </row>
    <row r="4171" spans="1:5">
      <c r="A4171" s="59">
        <v>8</v>
      </c>
      <c r="B4171" s="59">
        <v>33</v>
      </c>
      <c r="C4171" s="59">
        <v>960</v>
      </c>
      <c r="D4171" s="51">
        <v>15</v>
      </c>
      <c r="E4171" s="51">
        <f t="shared" si="65"/>
        <v>0</v>
      </c>
    </row>
    <row r="4172" spans="1:5">
      <c r="A4172" s="59">
        <v>8</v>
      </c>
      <c r="B4172" s="59">
        <v>44</v>
      </c>
      <c r="C4172" s="59">
        <v>850</v>
      </c>
      <c r="D4172" s="51">
        <v>15</v>
      </c>
      <c r="E4172" s="51">
        <f t="shared" si="65"/>
        <v>1</v>
      </c>
    </row>
    <row r="4173" spans="1:5">
      <c r="A4173" s="59">
        <v>8</v>
      </c>
      <c r="B4173" s="59">
        <v>61</v>
      </c>
      <c r="C4173" s="59">
        <v>160</v>
      </c>
      <c r="D4173" s="51">
        <v>15</v>
      </c>
      <c r="E4173" s="51">
        <f t="shared" si="65"/>
        <v>0</v>
      </c>
    </row>
    <row r="4174" spans="1:5">
      <c r="A4174" s="59">
        <v>8</v>
      </c>
      <c r="B4174" s="59">
        <v>62</v>
      </c>
      <c r="C4174" s="59">
        <v>630</v>
      </c>
      <c r="D4174" s="51">
        <v>15</v>
      </c>
      <c r="E4174" s="51">
        <f t="shared" si="65"/>
        <v>1</v>
      </c>
    </row>
    <row r="4175" spans="1:5">
      <c r="A4175" s="59">
        <v>8</v>
      </c>
      <c r="B4175" s="59">
        <v>63</v>
      </c>
      <c r="C4175" s="59">
        <v>970</v>
      </c>
      <c r="D4175" s="51">
        <v>15</v>
      </c>
      <c r="E4175" s="51">
        <f t="shared" si="65"/>
        <v>0</v>
      </c>
    </row>
    <row r="4176" spans="1:5">
      <c r="A4176" s="59">
        <v>8</v>
      </c>
      <c r="B4176" s="59">
        <v>64</v>
      </c>
      <c r="C4176" s="59">
        <v>820</v>
      </c>
      <c r="D4176" s="51">
        <v>15</v>
      </c>
      <c r="E4176" s="51">
        <f t="shared" si="65"/>
        <v>0</v>
      </c>
    </row>
    <row r="4177" spans="1:5">
      <c r="A4177" s="59">
        <v>8</v>
      </c>
      <c r="B4177" s="59">
        <v>64</v>
      </c>
      <c r="C4177" s="59">
        <v>899</v>
      </c>
      <c r="D4177" s="51">
        <v>15</v>
      </c>
      <c r="E4177" s="51">
        <f t="shared" si="65"/>
        <v>0</v>
      </c>
    </row>
    <row r="4178" spans="1:5">
      <c r="A4178" s="59">
        <v>8</v>
      </c>
      <c r="B4178" s="59">
        <v>21</v>
      </c>
      <c r="C4178" s="59">
        <v>410</v>
      </c>
      <c r="D4178" s="51">
        <v>14</v>
      </c>
      <c r="E4178" s="51">
        <f t="shared" si="65"/>
        <v>0</v>
      </c>
    </row>
    <row r="4179" spans="1:5">
      <c r="A4179" s="59">
        <v>8</v>
      </c>
      <c r="B4179" s="59">
        <v>33</v>
      </c>
      <c r="C4179" s="59">
        <v>940</v>
      </c>
      <c r="D4179" s="51">
        <v>14</v>
      </c>
      <c r="E4179" s="51">
        <f t="shared" si="65"/>
        <v>0</v>
      </c>
    </row>
    <row r="4180" spans="1:5">
      <c r="A4180" s="59">
        <v>8</v>
      </c>
      <c r="B4180" s="59">
        <v>41</v>
      </c>
      <c r="C4180" s="59">
        <v>320</v>
      </c>
      <c r="D4180" s="51">
        <v>14</v>
      </c>
      <c r="E4180" s="51">
        <f t="shared" si="65"/>
        <v>1</v>
      </c>
    </row>
    <row r="4181" spans="1:5">
      <c r="A4181" s="59">
        <v>8</v>
      </c>
      <c r="B4181" s="59">
        <v>62</v>
      </c>
      <c r="C4181" s="59">
        <v>740</v>
      </c>
      <c r="D4181" s="51">
        <v>14</v>
      </c>
      <c r="E4181" s="51">
        <f t="shared" si="65"/>
        <v>1</v>
      </c>
    </row>
    <row r="4182" spans="1:5">
      <c r="A4182" s="59">
        <v>8</v>
      </c>
      <c r="B4182" s="59">
        <v>71</v>
      </c>
      <c r="C4182" s="59">
        <v>960</v>
      </c>
      <c r="D4182" s="51">
        <v>14</v>
      </c>
      <c r="E4182" s="51">
        <f t="shared" si="65"/>
        <v>0</v>
      </c>
    </row>
    <row r="4183" spans="1:5">
      <c r="A4183" s="59">
        <v>8</v>
      </c>
      <c r="B4183" s="59">
        <v>81</v>
      </c>
      <c r="C4183" s="59">
        <v>891</v>
      </c>
      <c r="D4183" s="51">
        <v>14</v>
      </c>
      <c r="E4183" s="51">
        <f t="shared" si="65"/>
        <v>0</v>
      </c>
    </row>
    <row r="4184" spans="1:5">
      <c r="A4184" s="59">
        <v>8</v>
      </c>
      <c r="B4184" s="59">
        <v>13</v>
      </c>
      <c r="C4184" s="59">
        <v>540</v>
      </c>
      <c r="D4184" s="51">
        <v>13</v>
      </c>
      <c r="E4184" s="51">
        <f t="shared" si="65"/>
        <v>0</v>
      </c>
    </row>
    <row r="4185" spans="1:5">
      <c r="A4185" s="59">
        <v>8</v>
      </c>
      <c r="B4185" s="59">
        <v>15</v>
      </c>
      <c r="C4185" s="59">
        <v>960</v>
      </c>
      <c r="D4185" s="51">
        <v>13</v>
      </c>
      <c r="E4185" s="51">
        <f t="shared" si="65"/>
        <v>0</v>
      </c>
    </row>
    <row r="4186" spans="1:5">
      <c r="A4186" s="59">
        <v>8</v>
      </c>
      <c r="B4186" s="59">
        <v>21</v>
      </c>
      <c r="C4186" s="59">
        <v>930</v>
      </c>
      <c r="D4186" s="51">
        <v>13</v>
      </c>
      <c r="E4186" s="51">
        <f t="shared" si="65"/>
        <v>0</v>
      </c>
    </row>
    <row r="4187" spans="1:5">
      <c r="A4187" s="59">
        <v>8</v>
      </c>
      <c r="B4187" s="59">
        <v>22</v>
      </c>
      <c r="C4187" s="59">
        <v>960</v>
      </c>
      <c r="D4187" s="51">
        <v>13</v>
      </c>
      <c r="E4187" s="51">
        <f t="shared" si="65"/>
        <v>0</v>
      </c>
    </row>
    <row r="4188" spans="1:5">
      <c r="A4188" s="59">
        <v>8</v>
      </c>
      <c r="B4188" s="59">
        <v>24</v>
      </c>
      <c r="C4188" s="59">
        <v>910</v>
      </c>
      <c r="D4188" s="51">
        <v>13</v>
      </c>
      <c r="E4188" s="51">
        <f t="shared" si="65"/>
        <v>0</v>
      </c>
    </row>
    <row r="4189" spans="1:5">
      <c r="A4189" s="59">
        <v>8</v>
      </c>
      <c r="B4189" s="59">
        <v>41</v>
      </c>
      <c r="C4189" s="59">
        <v>420</v>
      </c>
      <c r="D4189" s="51">
        <v>13</v>
      </c>
      <c r="E4189" s="51">
        <f t="shared" si="65"/>
        <v>1</v>
      </c>
    </row>
    <row r="4190" spans="1:5">
      <c r="A4190" s="59">
        <v>8</v>
      </c>
      <c r="B4190" s="59">
        <v>44</v>
      </c>
      <c r="C4190" s="59">
        <v>950</v>
      </c>
      <c r="D4190" s="51">
        <v>13</v>
      </c>
      <c r="E4190" s="51">
        <f t="shared" si="65"/>
        <v>1</v>
      </c>
    </row>
    <row r="4191" spans="1:5">
      <c r="A4191" s="59">
        <v>8</v>
      </c>
      <c r="B4191" s="59">
        <v>62</v>
      </c>
      <c r="C4191" s="59">
        <v>899</v>
      </c>
      <c r="D4191" s="51">
        <v>13</v>
      </c>
      <c r="E4191" s="51">
        <f t="shared" si="65"/>
        <v>1</v>
      </c>
    </row>
    <row r="4192" spans="1:5">
      <c r="A4192" s="59">
        <v>8</v>
      </c>
      <c r="B4192" s="59">
        <v>71</v>
      </c>
      <c r="C4192" s="59">
        <v>120</v>
      </c>
      <c r="D4192" s="51">
        <v>13</v>
      </c>
      <c r="E4192" s="51">
        <f t="shared" si="65"/>
        <v>0</v>
      </c>
    </row>
    <row r="4193" spans="1:5">
      <c r="A4193" s="59">
        <v>8</v>
      </c>
      <c r="B4193" s="59">
        <v>15</v>
      </c>
      <c r="C4193" s="59">
        <v>540</v>
      </c>
      <c r="D4193" s="51">
        <v>12</v>
      </c>
      <c r="E4193" s="51">
        <f t="shared" si="65"/>
        <v>0</v>
      </c>
    </row>
    <row r="4194" spans="1:5">
      <c r="A4194" s="59">
        <v>8</v>
      </c>
      <c r="B4194" s="59">
        <v>16</v>
      </c>
      <c r="C4194" s="59">
        <v>840</v>
      </c>
      <c r="D4194" s="51">
        <v>12</v>
      </c>
      <c r="E4194" s="51">
        <f t="shared" si="65"/>
        <v>0</v>
      </c>
    </row>
    <row r="4195" spans="1:5">
      <c r="A4195" s="59">
        <v>8</v>
      </c>
      <c r="B4195" s="59">
        <v>23</v>
      </c>
      <c r="C4195" s="59">
        <v>410</v>
      </c>
      <c r="D4195" s="51">
        <v>12</v>
      </c>
      <c r="E4195" s="51">
        <f t="shared" si="65"/>
        <v>0</v>
      </c>
    </row>
    <row r="4196" spans="1:5">
      <c r="A4196" s="59">
        <v>8</v>
      </c>
      <c r="B4196" s="59">
        <v>43</v>
      </c>
      <c r="C4196" s="59">
        <v>440</v>
      </c>
      <c r="D4196" s="51">
        <v>12</v>
      </c>
      <c r="E4196" s="51">
        <f t="shared" si="65"/>
        <v>0</v>
      </c>
    </row>
    <row r="4197" spans="1:5">
      <c r="A4197" s="59">
        <v>8</v>
      </c>
      <c r="B4197" s="59">
        <v>63</v>
      </c>
      <c r="C4197" s="59">
        <v>950</v>
      </c>
      <c r="D4197" s="51">
        <v>12</v>
      </c>
      <c r="E4197" s="51">
        <f t="shared" si="65"/>
        <v>0</v>
      </c>
    </row>
    <row r="4198" spans="1:5">
      <c r="A4198" s="59">
        <v>8</v>
      </c>
      <c r="B4198" s="59">
        <v>71</v>
      </c>
      <c r="C4198" s="59">
        <v>440</v>
      </c>
      <c r="D4198" s="51">
        <v>12</v>
      </c>
      <c r="E4198" s="51">
        <f t="shared" si="65"/>
        <v>0</v>
      </c>
    </row>
    <row r="4199" spans="1:5">
      <c r="A4199" s="59">
        <v>8</v>
      </c>
      <c r="B4199" s="59">
        <v>71</v>
      </c>
      <c r="C4199" s="59">
        <v>710</v>
      </c>
      <c r="D4199" s="51">
        <v>12</v>
      </c>
      <c r="E4199" s="51">
        <f t="shared" si="65"/>
        <v>0</v>
      </c>
    </row>
    <row r="4200" spans="1:5">
      <c r="A4200" s="59">
        <v>8</v>
      </c>
      <c r="B4200" s="59">
        <v>81</v>
      </c>
      <c r="C4200" s="59">
        <v>540</v>
      </c>
      <c r="D4200" s="51">
        <v>12</v>
      </c>
      <c r="E4200" s="51">
        <f t="shared" si="65"/>
        <v>0</v>
      </c>
    </row>
    <row r="4201" spans="1:5">
      <c r="A4201" s="59">
        <v>8</v>
      </c>
      <c r="B4201" s="59">
        <v>21</v>
      </c>
      <c r="C4201" s="59">
        <v>990</v>
      </c>
      <c r="D4201" s="51">
        <v>11</v>
      </c>
      <c r="E4201" s="51">
        <f t="shared" si="65"/>
        <v>0</v>
      </c>
    </row>
    <row r="4202" spans="1:5">
      <c r="A4202" s="59">
        <v>8</v>
      </c>
      <c r="B4202" s="59">
        <v>22</v>
      </c>
      <c r="C4202" s="59">
        <v>610</v>
      </c>
      <c r="D4202" s="51">
        <v>11</v>
      </c>
      <c r="E4202" s="51">
        <f t="shared" si="65"/>
        <v>0</v>
      </c>
    </row>
    <row r="4203" spans="1:5">
      <c r="A4203" s="59">
        <v>8</v>
      </c>
      <c r="B4203" s="59">
        <v>42</v>
      </c>
      <c r="C4203" s="59">
        <v>940</v>
      </c>
      <c r="D4203" s="51">
        <v>11</v>
      </c>
      <c r="E4203" s="51">
        <f t="shared" si="65"/>
        <v>0</v>
      </c>
    </row>
    <row r="4204" spans="1:5">
      <c r="A4204" s="59">
        <v>8</v>
      </c>
      <c r="B4204" s="59">
        <v>44</v>
      </c>
      <c r="C4204" s="59">
        <v>940</v>
      </c>
      <c r="D4204" s="51">
        <v>11</v>
      </c>
      <c r="E4204" s="51">
        <f t="shared" si="65"/>
        <v>1</v>
      </c>
    </row>
    <row r="4205" spans="1:5">
      <c r="A4205" s="59">
        <v>8</v>
      </c>
      <c r="B4205" s="59">
        <v>51</v>
      </c>
      <c r="C4205" s="59">
        <v>510</v>
      </c>
      <c r="D4205" s="51">
        <v>11</v>
      </c>
      <c r="E4205" s="51">
        <f t="shared" si="65"/>
        <v>0</v>
      </c>
    </row>
    <row r="4206" spans="1:5">
      <c r="A4206" s="59">
        <v>8</v>
      </c>
      <c r="B4206" s="59">
        <v>64</v>
      </c>
      <c r="C4206" s="59">
        <v>830</v>
      </c>
      <c r="D4206" s="51">
        <v>11</v>
      </c>
      <c r="E4206" s="51">
        <f t="shared" si="65"/>
        <v>0</v>
      </c>
    </row>
    <row r="4207" spans="1:5">
      <c r="A4207" s="59">
        <v>8</v>
      </c>
      <c r="B4207" s="59">
        <v>14</v>
      </c>
      <c r="C4207" s="59">
        <v>890</v>
      </c>
      <c r="D4207" s="51">
        <v>10</v>
      </c>
      <c r="E4207" s="51">
        <f t="shared" si="65"/>
        <v>0</v>
      </c>
    </row>
    <row r="4208" spans="1:5">
      <c r="A4208" s="59">
        <v>8</v>
      </c>
      <c r="B4208" s="59">
        <v>22</v>
      </c>
      <c r="C4208" s="59">
        <v>891</v>
      </c>
      <c r="D4208" s="51">
        <v>10</v>
      </c>
      <c r="E4208" s="51">
        <f t="shared" si="65"/>
        <v>0</v>
      </c>
    </row>
    <row r="4209" spans="1:5">
      <c r="A4209" s="59">
        <v>8</v>
      </c>
      <c r="B4209" s="59">
        <v>42</v>
      </c>
      <c r="C4209" s="59">
        <v>140</v>
      </c>
      <c r="D4209" s="51">
        <v>10</v>
      </c>
      <c r="E4209" s="51">
        <f t="shared" si="65"/>
        <v>0</v>
      </c>
    </row>
    <row r="4210" spans="1:5">
      <c r="A4210" s="59">
        <v>8</v>
      </c>
      <c r="B4210" s="59">
        <v>62</v>
      </c>
      <c r="C4210" s="59">
        <v>140</v>
      </c>
      <c r="D4210" s="51">
        <v>10</v>
      </c>
      <c r="E4210" s="51">
        <f t="shared" si="65"/>
        <v>1</v>
      </c>
    </row>
    <row r="4211" spans="1:5">
      <c r="A4211" s="59">
        <v>8</v>
      </c>
      <c r="B4211" s="59">
        <v>62</v>
      </c>
      <c r="C4211" s="59">
        <v>960</v>
      </c>
      <c r="D4211" s="51">
        <v>10</v>
      </c>
      <c r="E4211" s="51">
        <f t="shared" si="65"/>
        <v>1</v>
      </c>
    </row>
    <row r="4212" spans="1:5">
      <c r="A4212" s="59">
        <v>8</v>
      </c>
      <c r="B4212" s="59">
        <v>81</v>
      </c>
      <c r="C4212" s="59">
        <v>550</v>
      </c>
      <c r="D4212" s="51">
        <v>10</v>
      </c>
      <c r="E4212" s="51">
        <f t="shared" si="65"/>
        <v>0</v>
      </c>
    </row>
    <row r="4213" spans="1:5">
      <c r="A4213" s="59">
        <v>8</v>
      </c>
      <c r="B4213" s="59">
        <v>11</v>
      </c>
      <c r="C4213" s="59">
        <v>140</v>
      </c>
      <c r="D4213" s="51">
        <v>9</v>
      </c>
      <c r="E4213" s="51">
        <f t="shared" si="65"/>
        <v>0</v>
      </c>
    </row>
    <row r="4214" spans="1:5">
      <c r="A4214" s="59">
        <v>8</v>
      </c>
      <c r="B4214" s="59">
        <v>11</v>
      </c>
      <c r="C4214" s="59">
        <v>220</v>
      </c>
      <c r="D4214" s="51">
        <v>9</v>
      </c>
      <c r="E4214" s="51">
        <f t="shared" si="65"/>
        <v>0</v>
      </c>
    </row>
    <row r="4215" spans="1:5">
      <c r="A4215" s="59">
        <v>8</v>
      </c>
      <c r="B4215" s="59">
        <v>12</v>
      </c>
      <c r="C4215" s="59">
        <v>510</v>
      </c>
      <c r="D4215" s="51">
        <v>9</v>
      </c>
      <c r="E4215" s="51">
        <f t="shared" si="65"/>
        <v>0</v>
      </c>
    </row>
    <row r="4216" spans="1:5">
      <c r="A4216" s="59">
        <v>8</v>
      </c>
      <c r="B4216" s="59">
        <v>13</v>
      </c>
      <c r="C4216" s="59">
        <v>970</v>
      </c>
      <c r="D4216" s="51">
        <v>9</v>
      </c>
      <c r="E4216" s="51">
        <f t="shared" si="65"/>
        <v>0</v>
      </c>
    </row>
    <row r="4217" spans="1:5">
      <c r="A4217" s="59">
        <v>8</v>
      </c>
      <c r="B4217" s="59">
        <v>14</v>
      </c>
      <c r="C4217" s="59">
        <v>550</v>
      </c>
      <c r="D4217" s="51">
        <v>9</v>
      </c>
      <c r="E4217" s="51">
        <f t="shared" si="65"/>
        <v>0</v>
      </c>
    </row>
    <row r="4218" spans="1:5">
      <c r="A4218" s="59">
        <v>8</v>
      </c>
      <c r="B4218" s="59">
        <v>21</v>
      </c>
      <c r="C4218" s="59">
        <v>120</v>
      </c>
      <c r="D4218" s="51">
        <v>9</v>
      </c>
      <c r="E4218" s="51">
        <f t="shared" si="65"/>
        <v>0</v>
      </c>
    </row>
    <row r="4219" spans="1:5">
      <c r="A4219" s="59">
        <v>8</v>
      </c>
      <c r="B4219" s="59">
        <v>31</v>
      </c>
      <c r="C4219" s="59">
        <v>220</v>
      </c>
      <c r="D4219" s="51">
        <v>9</v>
      </c>
      <c r="E4219" s="51">
        <f t="shared" si="65"/>
        <v>0</v>
      </c>
    </row>
    <row r="4220" spans="1:5">
      <c r="A4220" s="59">
        <v>8</v>
      </c>
      <c r="B4220" s="59">
        <v>31</v>
      </c>
      <c r="C4220" s="59">
        <v>330</v>
      </c>
      <c r="D4220" s="51">
        <v>9</v>
      </c>
      <c r="E4220" s="51">
        <f t="shared" si="65"/>
        <v>0</v>
      </c>
    </row>
    <row r="4221" spans="1:5">
      <c r="A4221" s="59">
        <v>8</v>
      </c>
      <c r="B4221" s="59">
        <v>31</v>
      </c>
      <c r="C4221" s="59">
        <v>610</v>
      </c>
      <c r="D4221" s="51">
        <v>9</v>
      </c>
      <c r="E4221" s="51">
        <f t="shared" si="65"/>
        <v>0</v>
      </c>
    </row>
    <row r="4222" spans="1:5">
      <c r="A4222" s="59">
        <v>8</v>
      </c>
      <c r="B4222" s="59">
        <v>33</v>
      </c>
      <c r="C4222" s="59">
        <v>530</v>
      </c>
      <c r="D4222" s="51">
        <v>9</v>
      </c>
      <c r="E4222" s="51">
        <f t="shared" si="65"/>
        <v>0</v>
      </c>
    </row>
    <row r="4223" spans="1:5">
      <c r="A4223" s="59">
        <v>8</v>
      </c>
      <c r="B4223" s="59">
        <v>42</v>
      </c>
      <c r="C4223" s="59">
        <v>540</v>
      </c>
      <c r="D4223" s="51">
        <v>9</v>
      </c>
      <c r="E4223" s="51">
        <f t="shared" si="65"/>
        <v>0</v>
      </c>
    </row>
    <row r="4224" spans="1:5">
      <c r="A4224" s="59">
        <v>8</v>
      </c>
      <c r="B4224" s="59">
        <v>42</v>
      </c>
      <c r="C4224" s="59">
        <v>640</v>
      </c>
      <c r="D4224" s="51">
        <v>9</v>
      </c>
      <c r="E4224" s="51">
        <f t="shared" si="65"/>
        <v>0</v>
      </c>
    </row>
    <row r="4225" spans="1:5">
      <c r="A4225" s="59">
        <v>8</v>
      </c>
      <c r="B4225" s="59">
        <v>43</v>
      </c>
      <c r="C4225" s="59">
        <v>862</v>
      </c>
      <c r="D4225" s="51">
        <v>9</v>
      </c>
      <c r="E4225" s="51">
        <f t="shared" si="65"/>
        <v>0</v>
      </c>
    </row>
    <row r="4226" spans="1:5">
      <c r="A4226" s="59">
        <v>8</v>
      </c>
      <c r="B4226" s="59">
        <v>51</v>
      </c>
      <c r="C4226" s="59">
        <v>240</v>
      </c>
      <c r="D4226" s="51">
        <v>9</v>
      </c>
      <c r="E4226" s="51">
        <f t="shared" ref="E4226:E4289" si="66">IF(OR(A4226=6,A4226=7,A4226=14,A4226=15,A4226=16,A4226=17,A4226=18,A4226=19,A4226=20,A4226=21,A4226=22,A4226=23,A4226=25,A4226=26,A4226=27,A4226=28,B4226=41,B4226=44,B4226=62),1,0)</f>
        <v>0</v>
      </c>
    </row>
    <row r="4227" spans="1:5">
      <c r="A4227" s="59">
        <v>8</v>
      </c>
      <c r="B4227" s="59">
        <v>51</v>
      </c>
      <c r="C4227" s="59">
        <v>330</v>
      </c>
      <c r="D4227" s="51">
        <v>9</v>
      </c>
      <c r="E4227" s="51">
        <f t="shared" si="66"/>
        <v>0</v>
      </c>
    </row>
    <row r="4228" spans="1:5">
      <c r="A4228" s="59">
        <v>8</v>
      </c>
      <c r="B4228" s="59">
        <v>61</v>
      </c>
      <c r="C4228" s="59">
        <v>150</v>
      </c>
      <c r="D4228" s="51">
        <v>9</v>
      </c>
      <c r="E4228" s="51">
        <f t="shared" si="66"/>
        <v>0</v>
      </c>
    </row>
    <row r="4229" spans="1:5">
      <c r="A4229" s="59">
        <v>8</v>
      </c>
      <c r="B4229" s="59">
        <v>63</v>
      </c>
      <c r="C4229" s="59">
        <v>740</v>
      </c>
      <c r="D4229" s="51">
        <v>9</v>
      </c>
      <c r="E4229" s="51">
        <f t="shared" si="66"/>
        <v>0</v>
      </c>
    </row>
    <row r="4230" spans="1:5">
      <c r="A4230" s="59">
        <v>8</v>
      </c>
      <c r="B4230" s="59">
        <v>71</v>
      </c>
      <c r="C4230" s="59">
        <v>420</v>
      </c>
      <c r="D4230" s="51">
        <v>9</v>
      </c>
      <c r="E4230" s="51">
        <f t="shared" si="66"/>
        <v>0</v>
      </c>
    </row>
    <row r="4231" spans="1:5">
      <c r="A4231" s="59">
        <v>8</v>
      </c>
      <c r="B4231" s="59">
        <v>71</v>
      </c>
      <c r="C4231" s="59">
        <v>930</v>
      </c>
      <c r="D4231" s="51">
        <v>9</v>
      </c>
      <c r="E4231" s="51">
        <f t="shared" si="66"/>
        <v>0</v>
      </c>
    </row>
    <row r="4232" spans="1:5">
      <c r="A4232" s="59">
        <v>8</v>
      </c>
      <c r="B4232" s="59">
        <v>81</v>
      </c>
      <c r="C4232" s="59">
        <v>120</v>
      </c>
      <c r="D4232" s="51">
        <v>9</v>
      </c>
      <c r="E4232" s="51">
        <f t="shared" si="66"/>
        <v>0</v>
      </c>
    </row>
    <row r="4233" spans="1:5">
      <c r="A4233" s="59">
        <v>8</v>
      </c>
      <c r="B4233" s="59">
        <v>11</v>
      </c>
      <c r="C4233" s="59">
        <v>950</v>
      </c>
      <c r="D4233" s="51">
        <v>8</v>
      </c>
      <c r="E4233" s="51">
        <f t="shared" si="66"/>
        <v>0</v>
      </c>
    </row>
    <row r="4234" spans="1:5">
      <c r="A4234" s="59">
        <v>8</v>
      </c>
      <c r="B4234" s="59">
        <v>15</v>
      </c>
      <c r="C4234" s="59">
        <v>750</v>
      </c>
      <c r="D4234" s="51">
        <v>8</v>
      </c>
      <c r="E4234" s="51">
        <f t="shared" si="66"/>
        <v>0</v>
      </c>
    </row>
    <row r="4235" spans="1:5">
      <c r="A4235" s="59">
        <v>8</v>
      </c>
      <c r="B4235" s="59">
        <v>15</v>
      </c>
      <c r="C4235" s="59">
        <v>940</v>
      </c>
      <c r="D4235" s="51">
        <v>8</v>
      </c>
      <c r="E4235" s="51">
        <f t="shared" si="66"/>
        <v>0</v>
      </c>
    </row>
    <row r="4236" spans="1:5">
      <c r="A4236" s="59">
        <v>8</v>
      </c>
      <c r="B4236" s="59">
        <v>31</v>
      </c>
      <c r="C4236" s="59">
        <v>230</v>
      </c>
      <c r="D4236" s="51">
        <v>8</v>
      </c>
      <c r="E4236" s="51">
        <f t="shared" si="66"/>
        <v>0</v>
      </c>
    </row>
    <row r="4237" spans="1:5">
      <c r="A4237" s="59">
        <v>8</v>
      </c>
      <c r="B4237" s="59">
        <v>31</v>
      </c>
      <c r="C4237" s="59">
        <v>510</v>
      </c>
      <c r="D4237" s="51">
        <v>8</v>
      </c>
      <c r="E4237" s="51">
        <f t="shared" si="66"/>
        <v>0</v>
      </c>
    </row>
    <row r="4238" spans="1:5">
      <c r="A4238" s="59">
        <v>8</v>
      </c>
      <c r="B4238" s="59">
        <v>41</v>
      </c>
      <c r="C4238" s="59">
        <v>831</v>
      </c>
      <c r="D4238" s="51">
        <v>8</v>
      </c>
      <c r="E4238" s="51">
        <f t="shared" si="66"/>
        <v>1</v>
      </c>
    </row>
    <row r="4239" spans="1:5">
      <c r="A4239" s="59">
        <v>8</v>
      </c>
      <c r="B4239" s="59">
        <v>42</v>
      </c>
      <c r="C4239" s="59">
        <v>960</v>
      </c>
      <c r="D4239" s="51">
        <v>8</v>
      </c>
      <c r="E4239" s="51">
        <f t="shared" si="66"/>
        <v>0</v>
      </c>
    </row>
    <row r="4240" spans="1:5">
      <c r="A4240" s="59">
        <v>8</v>
      </c>
      <c r="B4240" s="59">
        <v>62</v>
      </c>
      <c r="C4240" s="59">
        <v>940</v>
      </c>
      <c r="D4240" s="51">
        <v>8</v>
      </c>
      <c r="E4240" s="51">
        <f t="shared" si="66"/>
        <v>1</v>
      </c>
    </row>
    <row r="4241" spans="1:5">
      <c r="A4241" s="59">
        <v>8</v>
      </c>
      <c r="B4241" s="59">
        <v>81</v>
      </c>
      <c r="C4241" s="59">
        <v>420</v>
      </c>
      <c r="D4241" s="51">
        <v>8</v>
      </c>
      <c r="E4241" s="51">
        <f t="shared" si="66"/>
        <v>0</v>
      </c>
    </row>
    <row r="4242" spans="1:5">
      <c r="A4242" s="59">
        <v>8</v>
      </c>
      <c r="B4242" s="59">
        <v>81</v>
      </c>
      <c r="C4242" s="59">
        <v>893</v>
      </c>
      <c r="D4242" s="51">
        <v>8</v>
      </c>
      <c r="E4242" s="51">
        <f t="shared" si="66"/>
        <v>0</v>
      </c>
    </row>
    <row r="4243" spans="1:5">
      <c r="A4243" s="59">
        <v>8</v>
      </c>
      <c r="B4243" s="59">
        <v>11</v>
      </c>
      <c r="C4243" s="59">
        <v>530</v>
      </c>
      <c r="D4243" s="51">
        <v>7</v>
      </c>
      <c r="E4243" s="51">
        <f t="shared" si="66"/>
        <v>0</v>
      </c>
    </row>
    <row r="4244" spans="1:5">
      <c r="A4244" s="59">
        <v>8</v>
      </c>
      <c r="B4244" s="59">
        <v>21</v>
      </c>
      <c r="C4244" s="59">
        <v>420</v>
      </c>
      <c r="D4244" s="51">
        <v>7</v>
      </c>
      <c r="E4244" s="51">
        <f t="shared" si="66"/>
        <v>0</v>
      </c>
    </row>
    <row r="4245" spans="1:5">
      <c r="A4245" s="59">
        <v>8</v>
      </c>
      <c r="B4245" s="59">
        <v>21</v>
      </c>
      <c r="C4245" s="59">
        <v>430</v>
      </c>
      <c r="D4245" s="51">
        <v>7</v>
      </c>
      <c r="E4245" s="51">
        <f t="shared" si="66"/>
        <v>0</v>
      </c>
    </row>
    <row r="4246" spans="1:5">
      <c r="A4246" s="59">
        <v>8</v>
      </c>
      <c r="B4246" s="59">
        <v>42</v>
      </c>
      <c r="C4246" s="59">
        <v>930</v>
      </c>
      <c r="D4246" s="51">
        <v>7</v>
      </c>
      <c r="E4246" s="51">
        <f t="shared" si="66"/>
        <v>0</v>
      </c>
    </row>
    <row r="4247" spans="1:5">
      <c r="A4247" s="59">
        <v>8</v>
      </c>
      <c r="B4247" s="59">
        <v>44</v>
      </c>
      <c r="C4247" s="59">
        <v>130</v>
      </c>
      <c r="D4247" s="51">
        <v>7</v>
      </c>
      <c r="E4247" s="51">
        <f t="shared" si="66"/>
        <v>1</v>
      </c>
    </row>
    <row r="4248" spans="1:5">
      <c r="A4248" s="59">
        <v>8</v>
      </c>
      <c r="B4248" s="59">
        <v>51</v>
      </c>
      <c r="C4248" s="59">
        <v>410</v>
      </c>
      <c r="D4248" s="51">
        <v>7</v>
      </c>
      <c r="E4248" s="51">
        <f t="shared" si="66"/>
        <v>0</v>
      </c>
    </row>
    <row r="4249" spans="1:5">
      <c r="A4249" s="59">
        <v>8</v>
      </c>
      <c r="B4249" s="59">
        <v>63</v>
      </c>
      <c r="C4249" s="59">
        <v>140</v>
      </c>
      <c r="D4249" s="51">
        <v>7</v>
      </c>
      <c r="E4249" s="51">
        <f t="shared" si="66"/>
        <v>0</v>
      </c>
    </row>
    <row r="4250" spans="1:5">
      <c r="A4250" s="59">
        <v>8</v>
      </c>
      <c r="B4250" s="59">
        <v>11</v>
      </c>
      <c r="C4250" s="59">
        <v>720</v>
      </c>
      <c r="D4250" s="51">
        <v>6</v>
      </c>
      <c r="E4250" s="51">
        <f t="shared" si="66"/>
        <v>0</v>
      </c>
    </row>
    <row r="4251" spans="1:5">
      <c r="A4251" s="59">
        <v>8</v>
      </c>
      <c r="B4251" s="59">
        <v>12</v>
      </c>
      <c r="C4251" s="59">
        <v>930</v>
      </c>
      <c r="D4251" s="51">
        <v>6</v>
      </c>
      <c r="E4251" s="51">
        <f t="shared" si="66"/>
        <v>0</v>
      </c>
    </row>
    <row r="4252" spans="1:5">
      <c r="A4252" s="59">
        <v>8</v>
      </c>
      <c r="B4252" s="59">
        <v>13</v>
      </c>
      <c r="C4252" s="59">
        <v>550</v>
      </c>
      <c r="D4252" s="51">
        <v>6</v>
      </c>
      <c r="E4252" s="51">
        <f t="shared" si="66"/>
        <v>0</v>
      </c>
    </row>
    <row r="4253" spans="1:5">
      <c r="A4253" s="59">
        <v>8</v>
      </c>
      <c r="B4253" s="59">
        <v>15</v>
      </c>
      <c r="C4253" s="59">
        <v>610</v>
      </c>
      <c r="D4253" s="51">
        <v>6</v>
      </c>
      <c r="E4253" s="51">
        <f t="shared" si="66"/>
        <v>0</v>
      </c>
    </row>
    <row r="4254" spans="1:5">
      <c r="A4254" s="59">
        <v>8</v>
      </c>
      <c r="B4254" s="59">
        <v>22</v>
      </c>
      <c r="C4254" s="59">
        <v>720</v>
      </c>
      <c r="D4254" s="51">
        <v>6</v>
      </c>
      <c r="E4254" s="51">
        <f t="shared" si="66"/>
        <v>0</v>
      </c>
    </row>
    <row r="4255" spans="1:5">
      <c r="A4255" s="59">
        <v>8</v>
      </c>
      <c r="B4255" s="59">
        <v>32</v>
      </c>
      <c r="C4255" s="59">
        <v>990</v>
      </c>
      <c r="D4255" s="51">
        <v>6</v>
      </c>
      <c r="E4255" s="51">
        <f t="shared" si="66"/>
        <v>0</v>
      </c>
    </row>
    <row r="4256" spans="1:5">
      <c r="A4256" s="59">
        <v>8</v>
      </c>
      <c r="B4256" s="59">
        <v>42</v>
      </c>
      <c r="C4256" s="59">
        <v>720</v>
      </c>
      <c r="D4256" s="51">
        <v>6</v>
      </c>
      <c r="E4256" s="51">
        <f t="shared" si="66"/>
        <v>0</v>
      </c>
    </row>
    <row r="4257" spans="1:5">
      <c r="A4257" s="59">
        <v>8</v>
      </c>
      <c r="B4257" s="59">
        <v>42</v>
      </c>
      <c r="C4257" s="59">
        <v>950</v>
      </c>
      <c r="D4257" s="51">
        <v>6</v>
      </c>
      <c r="E4257" s="51">
        <f t="shared" si="66"/>
        <v>0</v>
      </c>
    </row>
    <row r="4258" spans="1:5">
      <c r="A4258" s="59">
        <v>8</v>
      </c>
      <c r="B4258" s="59">
        <v>43</v>
      </c>
      <c r="C4258" s="59">
        <v>850</v>
      </c>
      <c r="D4258" s="51">
        <v>6</v>
      </c>
      <c r="E4258" s="51">
        <f t="shared" si="66"/>
        <v>0</v>
      </c>
    </row>
    <row r="4259" spans="1:5">
      <c r="A4259" s="59">
        <v>8</v>
      </c>
      <c r="B4259" s="59">
        <v>43</v>
      </c>
      <c r="C4259" s="59">
        <v>893</v>
      </c>
      <c r="D4259" s="51">
        <v>6</v>
      </c>
      <c r="E4259" s="51">
        <f t="shared" si="66"/>
        <v>0</v>
      </c>
    </row>
    <row r="4260" spans="1:5">
      <c r="A4260" s="59">
        <v>8</v>
      </c>
      <c r="B4260" s="59">
        <v>61</v>
      </c>
      <c r="C4260" s="59">
        <v>910</v>
      </c>
      <c r="D4260" s="51">
        <v>6</v>
      </c>
      <c r="E4260" s="51">
        <f t="shared" si="66"/>
        <v>0</v>
      </c>
    </row>
    <row r="4261" spans="1:5">
      <c r="A4261" s="59">
        <v>8</v>
      </c>
      <c r="B4261" s="59">
        <v>64</v>
      </c>
      <c r="C4261" s="59">
        <v>892</v>
      </c>
      <c r="D4261" s="51">
        <v>6</v>
      </c>
      <c r="E4261" s="51">
        <f t="shared" si="66"/>
        <v>0</v>
      </c>
    </row>
    <row r="4262" spans="1:5">
      <c r="A4262" s="59">
        <v>8</v>
      </c>
      <c r="B4262" s="59">
        <v>81</v>
      </c>
      <c r="C4262" s="59">
        <v>130</v>
      </c>
      <c r="D4262" s="51">
        <v>6</v>
      </c>
      <c r="E4262" s="51">
        <f t="shared" si="66"/>
        <v>0</v>
      </c>
    </row>
    <row r="4263" spans="1:5">
      <c r="A4263" s="59">
        <v>8</v>
      </c>
      <c r="B4263" s="59">
        <v>81</v>
      </c>
      <c r="C4263" s="59">
        <v>440</v>
      </c>
      <c r="D4263" s="51">
        <v>6</v>
      </c>
      <c r="E4263" s="51">
        <f t="shared" si="66"/>
        <v>0</v>
      </c>
    </row>
    <row r="4264" spans="1:5">
      <c r="A4264" s="59">
        <v>8</v>
      </c>
      <c r="B4264" s="59">
        <v>81</v>
      </c>
      <c r="C4264" s="59">
        <v>710</v>
      </c>
      <c r="D4264" s="51">
        <v>6</v>
      </c>
      <c r="E4264" s="51">
        <f t="shared" si="66"/>
        <v>0</v>
      </c>
    </row>
    <row r="4265" spans="1:5">
      <c r="A4265" s="59">
        <v>8</v>
      </c>
      <c r="B4265" s="59">
        <v>81</v>
      </c>
      <c r="C4265" s="59">
        <v>740</v>
      </c>
      <c r="D4265" s="51">
        <v>6</v>
      </c>
      <c r="E4265" s="51">
        <f t="shared" si="66"/>
        <v>0</v>
      </c>
    </row>
    <row r="4266" spans="1:5">
      <c r="A4266" s="59">
        <v>8</v>
      </c>
      <c r="B4266" s="59">
        <v>11</v>
      </c>
      <c r="C4266" s="59">
        <v>940</v>
      </c>
      <c r="D4266" s="51">
        <v>5</v>
      </c>
      <c r="E4266" s="51">
        <f t="shared" si="66"/>
        <v>0</v>
      </c>
    </row>
    <row r="4267" spans="1:5">
      <c r="A4267" s="59">
        <v>8</v>
      </c>
      <c r="B4267" s="59">
        <v>14</v>
      </c>
      <c r="C4267" s="59">
        <v>860</v>
      </c>
      <c r="D4267" s="51">
        <v>5</v>
      </c>
      <c r="E4267" s="51">
        <f t="shared" si="66"/>
        <v>0</v>
      </c>
    </row>
    <row r="4268" spans="1:5">
      <c r="A4268" s="59">
        <v>8</v>
      </c>
      <c r="B4268" s="59">
        <v>16</v>
      </c>
      <c r="C4268" s="59">
        <v>610</v>
      </c>
      <c r="D4268" s="51">
        <v>5</v>
      </c>
      <c r="E4268" s="51">
        <f t="shared" si="66"/>
        <v>0</v>
      </c>
    </row>
    <row r="4269" spans="1:5">
      <c r="A4269" s="59">
        <v>8</v>
      </c>
      <c r="B4269" s="59">
        <v>22</v>
      </c>
      <c r="C4269" s="59">
        <v>730</v>
      </c>
      <c r="D4269" s="51">
        <v>5</v>
      </c>
      <c r="E4269" s="51">
        <f t="shared" si="66"/>
        <v>0</v>
      </c>
    </row>
    <row r="4270" spans="1:5">
      <c r="A4270" s="59">
        <v>8</v>
      </c>
      <c r="B4270" s="59">
        <v>23</v>
      </c>
      <c r="C4270" s="59">
        <v>940</v>
      </c>
      <c r="D4270" s="51">
        <v>5</v>
      </c>
      <c r="E4270" s="51">
        <f t="shared" si="66"/>
        <v>0</v>
      </c>
    </row>
    <row r="4271" spans="1:5">
      <c r="A4271" s="59">
        <v>8</v>
      </c>
      <c r="B4271" s="59">
        <v>24</v>
      </c>
      <c r="C4271" s="59">
        <v>430</v>
      </c>
      <c r="D4271" s="51">
        <v>5</v>
      </c>
      <c r="E4271" s="51">
        <f t="shared" si="66"/>
        <v>0</v>
      </c>
    </row>
    <row r="4272" spans="1:5">
      <c r="A4272" s="59">
        <v>8</v>
      </c>
      <c r="B4272" s="59">
        <v>24</v>
      </c>
      <c r="C4272" s="59">
        <v>890</v>
      </c>
      <c r="D4272" s="51">
        <v>5</v>
      </c>
      <c r="E4272" s="51">
        <f t="shared" si="66"/>
        <v>0</v>
      </c>
    </row>
    <row r="4273" spans="1:5">
      <c r="A4273" s="59">
        <v>8</v>
      </c>
      <c r="B4273" s="59">
        <v>31</v>
      </c>
      <c r="C4273" s="59">
        <v>970</v>
      </c>
      <c r="D4273" s="51">
        <v>5</v>
      </c>
      <c r="E4273" s="51">
        <f t="shared" si="66"/>
        <v>0</v>
      </c>
    </row>
    <row r="4274" spans="1:5">
      <c r="A4274" s="59">
        <v>8</v>
      </c>
      <c r="B4274" s="59">
        <v>32</v>
      </c>
      <c r="C4274" s="59">
        <v>720</v>
      </c>
      <c r="D4274" s="51">
        <v>5</v>
      </c>
      <c r="E4274" s="51">
        <f t="shared" si="66"/>
        <v>0</v>
      </c>
    </row>
    <row r="4275" spans="1:5">
      <c r="A4275" s="59">
        <v>8</v>
      </c>
      <c r="B4275" s="59">
        <v>33</v>
      </c>
      <c r="C4275" s="59">
        <v>720</v>
      </c>
      <c r="D4275" s="51">
        <v>5</v>
      </c>
      <c r="E4275" s="51">
        <f t="shared" si="66"/>
        <v>0</v>
      </c>
    </row>
    <row r="4276" spans="1:5">
      <c r="A4276" s="59">
        <v>8</v>
      </c>
      <c r="B4276" s="59">
        <v>41</v>
      </c>
      <c r="C4276" s="59">
        <v>960</v>
      </c>
      <c r="D4276" s="51">
        <v>5</v>
      </c>
      <c r="E4276" s="51">
        <f t="shared" si="66"/>
        <v>1</v>
      </c>
    </row>
    <row r="4277" spans="1:5">
      <c r="A4277" s="59">
        <v>8</v>
      </c>
      <c r="B4277" s="59">
        <v>42</v>
      </c>
      <c r="C4277" s="59">
        <v>970</v>
      </c>
      <c r="D4277" s="51">
        <v>5</v>
      </c>
      <c r="E4277" s="51">
        <f t="shared" si="66"/>
        <v>0</v>
      </c>
    </row>
    <row r="4278" spans="1:5">
      <c r="A4278" s="59">
        <v>8</v>
      </c>
      <c r="B4278" s="59">
        <v>44</v>
      </c>
      <c r="C4278" s="59">
        <v>630</v>
      </c>
      <c r="D4278" s="51">
        <v>5</v>
      </c>
      <c r="E4278" s="51">
        <f t="shared" si="66"/>
        <v>1</v>
      </c>
    </row>
    <row r="4279" spans="1:5">
      <c r="A4279" s="59">
        <v>8</v>
      </c>
      <c r="B4279" s="59">
        <v>61</v>
      </c>
      <c r="C4279" s="59">
        <v>510</v>
      </c>
      <c r="D4279" s="51">
        <v>5</v>
      </c>
      <c r="E4279" s="51">
        <f t="shared" si="66"/>
        <v>0</v>
      </c>
    </row>
    <row r="4280" spans="1:5">
      <c r="A4280" s="59">
        <v>8</v>
      </c>
      <c r="B4280" s="59">
        <v>71</v>
      </c>
      <c r="C4280" s="59">
        <v>950</v>
      </c>
      <c r="D4280" s="51">
        <v>5</v>
      </c>
      <c r="E4280" s="51">
        <f t="shared" si="66"/>
        <v>0</v>
      </c>
    </row>
    <row r="4281" spans="1:5">
      <c r="A4281" s="59">
        <v>8</v>
      </c>
      <c r="B4281" s="59">
        <v>71</v>
      </c>
      <c r="C4281" s="59">
        <v>970</v>
      </c>
      <c r="D4281" s="51">
        <v>5</v>
      </c>
      <c r="E4281" s="51">
        <f t="shared" si="66"/>
        <v>0</v>
      </c>
    </row>
    <row r="4282" spans="1:5">
      <c r="A4282" s="59">
        <v>8</v>
      </c>
      <c r="B4282" s="59">
        <v>12</v>
      </c>
      <c r="C4282" s="59">
        <v>240</v>
      </c>
      <c r="D4282" s="51">
        <v>4</v>
      </c>
      <c r="E4282" s="51">
        <f t="shared" si="66"/>
        <v>0</v>
      </c>
    </row>
    <row r="4283" spans="1:5">
      <c r="A4283" s="59">
        <v>8</v>
      </c>
      <c r="B4283" s="59">
        <v>12</v>
      </c>
      <c r="C4283" s="59">
        <v>430</v>
      </c>
      <c r="D4283" s="51">
        <v>4</v>
      </c>
      <c r="E4283" s="51">
        <f t="shared" si="66"/>
        <v>0</v>
      </c>
    </row>
    <row r="4284" spans="1:5">
      <c r="A4284" s="59">
        <v>8</v>
      </c>
      <c r="B4284" s="59">
        <v>14</v>
      </c>
      <c r="C4284" s="59">
        <v>630</v>
      </c>
      <c r="D4284" s="51">
        <v>4</v>
      </c>
      <c r="E4284" s="51">
        <f t="shared" si="66"/>
        <v>0</v>
      </c>
    </row>
    <row r="4285" spans="1:5">
      <c r="A4285" s="59">
        <v>8</v>
      </c>
      <c r="B4285" s="59">
        <v>15</v>
      </c>
      <c r="C4285" s="59">
        <v>970</v>
      </c>
      <c r="D4285" s="51">
        <v>4</v>
      </c>
      <c r="E4285" s="51">
        <f t="shared" si="66"/>
        <v>0</v>
      </c>
    </row>
    <row r="4286" spans="1:5">
      <c r="A4286" s="59">
        <v>8</v>
      </c>
      <c r="B4286" s="59">
        <v>16</v>
      </c>
      <c r="C4286" s="59">
        <v>720</v>
      </c>
      <c r="D4286" s="51">
        <v>4</v>
      </c>
      <c r="E4286" s="51">
        <f t="shared" si="66"/>
        <v>0</v>
      </c>
    </row>
    <row r="4287" spans="1:5">
      <c r="A4287" s="59">
        <v>8</v>
      </c>
      <c r="B4287" s="59">
        <v>23</v>
      </c>
      <c r="C4287" s="59">
        <v>420</v>
      </c>
      <c r="D4287" s="51">
        <v>4</v>
      </c>
      <c r="E4287" s="51">
        <f t="shared" si="66"/>
        <v>0</v>
      </c>
    </row>
    <row r="4288" spans="1:5">
      <c r="A4288" s="59">
        <v>8</v>
      </c>
      <c r="B4288" s="59">
        <v>23</v>
      </c>
      <c r="C4288" s="59">
        <v>430</v>
      </c>
      <c r="D4288" s="51">
        <v>4</v>
      </c>
      <c r="E4288" s="51">
        <f t="shared" si="66"/>
        <v>0</v>
      </c>
    </row>
    <row r="4289" spans="1:5">
      <c r="A4289" s="59">
        <v>8</v>
      </c>
      <c r="B4289" s="59">
        <v>23</v>
      </c>
      <c r="C4289" s="59">
        <v>840</v>
      </c>
      <c r="D4289" s="51">
        <v>4</v>
      </c>
      <c r="E4289" s="51">
        <f t="shared" si="66"/>
        <v>0</v>
      </c>
    </row>
    <row r="4290" spans="1:5">
      <c r="A4290" s="59">
        <v>8</v>
      </c>
      <c r="B4290" s="59">
        <v>31</v>
      </c>
      <c r="C4290" s="59">
        <v>130</v>
      </c>
      <c r="D4290" s="51">
        <v>4</v>
      </c>
      <c r="E4290" s="51">
        <f t="shared" ref="E4290:E4353" si="67">IF(OR(A4290=6,A4290=7,A4290=14,A4290=15,A4290=16,A4290=17,A4290=18,A4290=19,A4290=20,A4290=21,A4290=22,A4290=23,A4290=25,A4290=26,A4290=27,A4290=28,B4290=41,B4290=44,B4290=62),1,0)</f>
        <v>0</v>
      </c>
    </row>
    <row r="4291" spans="1:5">
      <c r="A4291" s="59">
        <v>8</v>
      </c>
      <c r="B4291" s="59">
        <v>31</v>
      </c>
      <c r="C4291" s="59">
        <v>930</v>
      </c>
      <c r="D4291" s="51">
        <v>4</v>
      </c>
      <c r="E4291" s="51">
        <f t="shared" si="67"/>
        <v>0</v>
      </c>
    </row>
    <row r="4292" spans="1:5">
      <c r="A4292" s="59">
        <v>8</v>
      </c>
      <c r="B4292" s="59">
        <v>41</v>
      </c>
      <c r="C4292" s="59">
        <v>120</v>
      </c>
      <c r="D4292" s="51">
        <v>4</v>
      </c>
      <c r="E4292" s="51">
        <f t="shared" si="67"/>
        <v>1</v>
      </c>
    </row>
    <row r="4293" spans="1:5">
      <c r="A4293" s="59">
        <v>8</v>
      </c>
      <c r="B4293" s="59">
        <v>41</v>
      </c>
      <c r="C4293" s="59">
        <v>540</v>
      </c>
      <c r="D4293" s="51">
        <v>4</v>
      </c>
      <c r="E4293" s="51">
        <f t="shared" si="67"/>
        <v>1</v>
      </c>
    </row>
    <row r="4294" spans="1:5">
      <c r="A4294" s="59">
        <v>8</v>
      </c>
      <c r="B4294" s="59">
        <v>41</v>
      </c>
      <c r="C4294" s="59">
        <v>710</v>
      </c>
      <c r="D4294" s="51">
        <v>4</v>
      </c>
      <c r="E4294" s="51">
        <f t="shared" si="67"/>
        <v>1</v>
      </c>
    </row>
    <row r="4295" spans="1:5">
      <c r="A4295" s="59">
        <v>8</v>
      </c>
      <c r="B4295" s="59">
        <v>44</v>
      </c>
      <c r="C4295" s="59">
        <v>640</v>
      </c>
      <c r="D4295" s="51">
        <v>4</v>
      </c>
      <c r="E4295" s="51">
        <f t="shared" si="67"/>
        <v>1</v>
      </c>
    </row>
    <row r="4296" spans="1:5">
      <c r="A4296" s="59">
        <v>8</v>
      </c>
      <c r="B4296" s="59">
        <v>44</v>
      </c>
      <c r="C4296" s="59">
        <v>860</v>
      </c>
      <c r="D4296" s="51">
        <v>4</v>
      </c>
      <c r="E4296" s="51">
        <f t="shared" si="67"/>
        <v>1</v>
      </c>
    </row>
    <row r="4297" spans="1:5">
      <c r="A4297" s="59">
        <v>8</v>
      </c>
      <c r="B4297" s="59">
        <v>51</v>
      </c>
      <c r="C4297" s="59">
        <v>230</v>
      </c>
      <c r="D4297" s="51">
        <v>4</v>
      </c>
      <c r="E4297" s="51">
        <f t="shared" si="67"/>
        <v>0</v>
      </c>
    </row>
    <row r="4298" spans="1:5">
      <c r="A4298" s="59">
        <v>8</v>
      </c>
      <c r="B4298" s="59">
        <v>51</v>
      </c>
      <c r="C4298" s="59">
        <v>320</v>
      </c>
      <c r="D4298" s="51">
        <v>4</v>
      </c>
      <c r="E4298" s="51">
        <f t="shared" si="67"/>
        <v>0</v>
      </c>
    </row>
    <row r="4299" spans="1:5">
      <c r="A4299" s="59">
        <v>8</v>
      </c>
      <c r="B4299" s="59">
        <v>51</v>
      </c>
      <c r="C4299" s="59">
        <v>430</v>
      </c>
      <c r="D4299" s="51">
        <v>4</v>
      </c>
      <c r="E4299" s="51">
        <f t="shared" si="67"/>
        <v>0</v>
      </c>
    </row>
    <row r="4300" spans="1:5">
      <c r="A4300" s="59">
        <v>8</v>
      </c>
      <c r="B4300" s="59">
        <v>64</v>
      </c>
      <c r="C4300" s="59">
        <v>890</v>
      </c>
      <c r="D4300" s="51">
        <v>4</v>
      </c>
      <c r="E4300" s="51">
        <f t="shared" si="67"/>
        <v>0</v>
      </c>
    </row>
    <row r="4301" spans="1:5">
      <c r="A4301" s="59">
        <v>8</v>
      </c>
      <c r="B4301" s="59">
        <v>71</v>
      </c>
      <c r="C4301" s="59">
        <v>860</v>
      </c>
      <c r="D4301" s="51">
        <v>4</v>
      </c>
      <c r="E4301" s="51">
        <f t="shared" si="67"/>
        <v>0</v>
      </c>
    </row>
    <row r="4302" spans="1:5">
      <c r="A4302" s="59">
        <v>8</v>
      </c>
      <c r="B4302" s="59">
        <v>12</v>
      </c>
      <c r="C4302" s="59">
        <v>220</v>
      </c>
      <c r="D4302" s="51">
        <v>3</v>
      </c>
      <c r="E4302" s="51">
        <f t="shared" si="67"/>
        <v>0</v>
      </c>
    </row>
    <row r="4303" spans="1:5">
      <c r="A4303" s="59">
        <v>8</v>
      </c>
      <c r="B4303" s="59">
        <v>12</v>
      </c>
      <c r="C4303" s="59">
        <v>330</v>
      </c>
      <c r="D4303" s="51">
        <v>3</v>
      </c>
      <c r="E4303" s="51">
        <f t="shared" si="67"/>
        <v>0</v>
      </c>
    </row>
    <row r="4304" spans="1:5">
      <c r="A4304" s="59">
        <v>8</v>
      </c>
      <c r="B4304" s="59">
        <v>12</v>
      </c>
      <c r="C4304" s="59">
        <v>520</v>
      </c>
      <c r="D4304" s="51">
        <v>3</v>
      </c>
      <c r="E4304" s="51">
        <f t="shared" si="67"/>
        <v>0</v>
      </c>
    </row>
    <row r="4305" spans="1:5">
      <c r="A4305" s="59">
        <v>8</v>
      </c>
      <c r="B4305" s="59">
        <v>13</v>
      </c>
      <c r="C4305" s="59">
        <v>740</v>
      </c>
      <c r="D4305" s="51">
        <v>3</v>
      </c>
      <c r="E4305" s="51">
        <f t="shared" si="67"/>
        <v>0</v>
      </c>
    </row>
    <row r="4306" spans="1:5">
      <c r="A4306" s="59">
        <v>8</v>
      </c>
      <c r="B4306" s="59">
        <v>13</v>
      </c>
      <c r="C4306" s="59">
        <v>890</v>
      </c>
      <c r="D4306" s="51">
        <v>3</v>
      </c>
      <c r="E4306" s="51">
        <f t="shared" si="67"/>
        <v>0</v>
      </c>
    </row>
    <row r="4307" spans="1:5">
      <c r="A4307" s="59">
        <v>8</v>
      </c>
      <c r="B4307" s="59">
        <v>14</v>
      </c>
      <c r="C4307" s="59">
        <v>540</v>
      </c>
      <c r="D4307" s="51">
        <v>3</v>
      </c>
      <c r="E4307" s="51">
        <f t="shared" si="67"/>
        <v>0</v>
      </c>
    </row>
    <row r="4308" spans="1:5">
      <c r="A4308" s="59">
        <v>8</v>
      </c>
      <c r="B4308" s="59">
        <v>14</v>
      </c>
      <c r="C4308" s="59">
        <v>840</v>
      </c>
      <c r="D4308" s="51">
        <v>3</v>
      </c>
      <c r="E4308" s="51">
        <f t="shared" si="67"/>
        <v>0</v>
      </c>
    </row>
    <row r="4309" spans="1:5">
      <c r="A4309" s="59">
        <v>8</v>
      </c>
      <c r="B4309" s="59">
        <v>16</v>
      </c>
      <c r="C4309" s="59">
        <v>520</v>
      </c>
      <c r="D4309" s="51">
        <v>3</v>
      </c>
      <c r="E4309" s="51">
        <f t="shared" si="67"/>
        <v>0</v>
      </c>
    </row>
    <row r="4310" spans="1:5">
      <c r="A4310" s="59">
        <v>8</v>
      </c>
      <c r="B4310" s="59">
        <v>16</v>
      </c>
      <c r="C4310" s="59">
        <v>730</v>
      </c>
      <c r="D4310" s="51">
        <v>3</v>
      </c>
      <c r="E4310" s="51">
        <f t="shared" si="67"/>
        <v>0</v>
      </c>
    </row>
    <row r="4311" spans="1:5">
      <c r="A4311" s="59">
        <v>8</v>
      </c>
      <c r="B4311" s="59">
        <v>21</v>
      </c>
      <c r="C4311" s="59">
        <v>890</v>
      </c>
      <c r="D4311" s="51">
        <v>3</v>
      </c>
      <c r="E4311" s="51">
        <f t="shared" si="67"/>
        <v>0</v>
      </c>
    </row>
    <row r="4312" spans="1:5">
      <c r="A4312" s="59">
        <v>8</v>
      </c>
      <c r="B4312" s="59">
        <v>22</v>
      </c>
      <c r="C4312" s="59">
        <v>520</v>
      </c>
      <c r="D4312" s="51">
        <v>3</v>
      </c>
      <c r="E4312" s="51">
        <f t="shared" si="67"/>
        <v>0</v>
      </c>
    </row>
    <row r="4313" spans="1:5">
      <c r="A4313" s="59">
        <v>8</v>
      </c>
      <c r="B4313" s="59">
        <v>23</v>
      </c>
      <c r="C4313" s="59">
        <v>920</v>
      </c>
      <c r="D4313" s="51">
        <v>3</v>
      </c>
      <c r="E4313" s="51">
        <f t="shared" si="67"/>
        <v>0</v>
      </c>
    </row>
    <row r="4314" spans="1:5">
      <c r="A4314" s="59">
        <v>8</v>
      </c>
      <c r="B4314" s="59">
        <v>24</v>
      </c>
      <c r="C4314" s="59">
        <v>310</v>
      </c>
      <c r="D4314" s="51">
        <v>3</v>
      </c>
      <c r="E4314" s="51">
        <f t="shared" si="67"/>
        <v>0</v>
      </c>
    </row>
    <row r="4315" spans="1:5">
      <c r="A4315" s="59">
        <v>8</v>
      </c>
      <c r="B4315" s="59">
        <v>24</v>
      </c>
      <c r="C4315" s="59">
        <v>410</v>
      </c>
      <c r="D4315" s="51">
        <v>3</v>
      </c>
      <c r="E4315" s="51">
        <f t="shared" si="67"/>
        <v>0</v>
      </c>
    </row>
    <row r="4316" spans="1:5">
      <c r="A4316" s="59">
        <v>8</v>
      </c>
      <c r="B4316" s="59">
        <v>24</v>
      </c>
      <c r="C4316" s="59">
        <v>610</v>
      </c>
      <c r="D4316" s="51">
        <v>3</v>
      </c>
      <c r="E4316" s="51">
        <f t="shared" si="67"/>
        <v>0</v>
      </c>
    </row>
    <row r="4317" spans="1:5">
      <c r="A4317" s="59">
        <v>8</v>
      </c>
      <c r="B4317" s="59">
        <v>24</v>
      </c>
      <c r="C4317" s="59">
        <v>920</v>
      </c>
      <c r="D4317" s="51">
        <v>3</v>
      </c>
      <c r="E4317" s="51">
        <f t="shared" si="67"/>
        <v>0</v>
      </c>
    </row>
    <row r="4318" spans="1:5">
      <c r="A4318" s="59">
        <v>8</v>
      </c>
      <c r="B4318" s="59">
        <v>31</v>
      </c>
      <c r="C4318" s="59">
        <v>310</v>
      </c>
      <c r="D4318" s="51">
        <v>3</v>
      </c>
      <c r="E4318" s="51">
        <f t="shared" si="67"/>
        <v>0</v>
      </c>
    </row>
    <row r="4319" spans="1:5">
      <c r="A4319" s="59">
        <v>8</v>
      </c>
      <c r="B4319" s="59">
        <v>31</v>
      </c>
      <c r="C4319" s="59">
        <v>720</v>
      </c>
      <c r="D4319" s="51">
        <v>3</v>
      </c>
      <c r="E4319" s="51">
        <f t="shared" si="67"/>
        <v>0</v>
      </c>
    </row>
    <row r="4320" spans="1:5">
      <c r="A4320" s="59">
        <v>8</v>
      </c>
      <c r="B4320" s="59">
        <v>32</v>
      </c>
      <c r="C4320" s="59">
        <v>730</v>
      </c>
      <c r="D4320" s="51">
        <v>3</v>
      </c>
      <c r="E4320" s="51">
        <f t="shared" si="67"/>
        <v>0</v>
      </c>
    </row>
    <row r="4321" spans="1:5">
      <c r="A4321" s="59">
        <v>8</v>
      </c>
      <c r="B4321" s="59">
        <v>33</v>
      </c>
      <c r="C4321" s="59">
        <v>520</v>
      </c>
      <c r="D4321" s="51">
        <v>3</v>
      </c>
      <c r="E4321" s="51">
        <f t="shared" si="67"/>
        <v>0</v>
      </c>
    </row>
    <row r="4322" spans="1:5">
      <c r="A4322" s="59">
        <v>8</v>
      </c>
      <c r="B4322" s="59">
        <v>41</v>
      </c>
      <c r="C4322" s="59">
        <v>550</v>
      </c>
      <c r="D4322" s="51">
        <v>3</v>
      </c>
      <c r="E4322" s="51">
        <f t="shared" si="67"/>
        <v>1</v>
      </c>
    </row>
    <row r="4323" spans="1:5">
      <c r="A4323" s="59">
        <v>8</v>
      </c>
      <c r="B4323" s="59">
        <v>41</v>
      </c>
      <c r="C4323" s="59">
        <v>990</v>
      </c>
      <c r="D4323" s="51">
        <v>3</v>
      </c>
      <c r="E4323" s="51">
        <f t="shared" si="67"/>
        <v>1</v>
      </c>
    </row>
    <row r="4324" spans="1:5">
      <c r="A4324" s="59">
        <v>8</v>
      </c>
      <c r="B4324" s="59">
        <v>42</v>
      </c>
      <c r="C4324" s="59">
        <v>440</v>
      </c>
      <c r="D4324" s="51">
        <v>3</v>
      </c>
      <c r="E4324" s="51">
        <f t="shared" si="67"/>
        <v>0</v>
      </c>
    </row>
    <row r="4325" spans="1:5">
      <c r="A4325" s="59">
        <v>8</v>
      </c>
      <c r="B4325" s="59">
        <v>43</v>
      </c>
      <c r="C4325" s="59">
        <v>740</v>
      </c>
      <c r="D4325" s="51">
        <v>3</v>
      </c>
      <c r="E4325" s="51">
        <f t="shared" si="67"/>
        <v>0</v>
      </c>
    </row>
    <row r="4326" spans="1:5">
      <c r="A4326" s="59">
        <v>8</v>
      </c>
      <c r="B4326" s="59">
        <v>51</v>
      </c>
      <c r="C4326" s="59">
        <v>130</v>
      </c>
      <c r="D4326" s="51">
        <v>3</v>
      </c>
      <c r="E4326" s="51">
        <f t="shared" si="67"/>
        <v>0</v>
      </c>
    </row>
    <row r="4327" spans="1:5">
      <c r="A4327" s="59">
        <v>8</v>
      </c>
      <c r="B4327" s="59">
        <v>61</v>
      </c>
      <c r="C4327" s="59">
        <v>410</v>
      </c>
      <c r="D4327" s="51">
        <v>3</v>
      </c>
      <c r="E4327" s="51">
        <f t="shared" si="67"/>
        <v>0</v>
      </c>
    </row>
    <row r="4328" spans="1:5">
      <c r="A4328" s="59">
        <v>8</v>
      </c>
      <c r="B4328" s="59">
        <v>62</v>
      </c>
      <c r="C4328" s="59">
        <v>850</v>
      </c>
      <c r="D4328" s="51">
        <v>3</v>
      </c>
      <c r="E4328" s="51">
        <f t="shared" si="67"/>
        <v>1</v>
      </c>
    </row>
    <row r="4329" spans="1:5">
      <c r="A4329" s="59">
        <v>8</v>
      </c>
      <c r="B4329" s="59">
        <v>64</v>
      </c>
      <c r="C4329" s="59">
        <v>881</v>
      </c>
      <c r="D4329" s="51">
        <v>3</v>
      </c>
      <c r="E4329" s="51">
        <f t="shared" si="67"/>
        <v>0</v>
      </c>
    </row>
    <row r="4330" spans="1:5">
      <c r="A4330" s="59">
        <v>8</v>
      </c>
      <c r="B4330" s="59">
        <v>81</v>
      </c>
      <c r="C4330" s="59">
        <v>860</v>
      </c>
      <c r="D4330" s="51">
        <v>3</v>
      </c>
      <c r="E4330" s="51">
        <f t="shared" si="67"/>
        <v>0</v>
      </c>
    </row>
    <row r="4331" spans="1:5">
      <c r="A4331" s="59">
        <v>8</v>
      </c>
      <c r="B4331" s="59">
        <v>81</v>
      </c>
      <c r="C4331" s="59">
        <v>940</v>
      </c>
      <c r="D4331" s="51">
        <v>3</v>
      </c>
      <c r="E4331" s="51">
        <f t="shared" si="67"/>
        <v>0</v>
      </c>
    </row>
    <row r="4332" spans="1:5">
      <c r="A4332" s="59">
        <v>8</v>
      </c>
      <c r="B4332" s="59">
        <v>11</v>
      </c>
      <c r="C4332" s="59">
        <v>430</v>
      </c>
      <c r="D4332" s="51">
        <v>2</v>
      </c>
      <c r="E4332" s="51">
        <f t="shared" si="67"/>
        <v>0</v>
      </c>
    </row>
    <row r="4333" spans="1:5">
      <c r="A4333" s="59">
        <v>8</v>
      </c>
      <c r="B4333" s="59">
        <v>11</v>
      </c>
      <c r="C4333" s="59">
        <v>620</v>
      </c>
      <c r="D4333" s="51">
        <v>2</v>
      </c>
      <c r="E4333" s="51">
        <f t="shared" si="67"/>
        <v>0</v>
      </c>
    </row>
    <row r="4334" spans="1:5">
      <c r="A4334" s="59">
        <v>8</v>
      </c>
      <c r="B4334" s="59">
        <v>11</v>
      </c>
      <c r="C4334" s="59">
        <v>920</v>
      </c>
      <c r="D4334" s="51">
        <v>2</v>
      </c>
      <c r="E4334" s="51">
        <f t="shared" si="67"/>
        <v>0</v>
      </c>
    </row>
    <row r="4335" spans="1:5">
      <c r="A4335" s="59">
        <v>8</v>
      </c>
      <c r="B4335" s="59">
        <v>13</v>
      </c>
      <c r="C4335" s="59">
        <v>440</v>
      </c>
      <c r="D4335" s="51">
        <v>2</v>
      </c>
      <c r="E4335" s="51">
        <f t="shared" si="67"/>
        <v>0</v>
      </c>
    </row>
    <row r="4336" spans="1:5">
      <c r="A4336" s="59">
        <v>8</v>
      </c>
      <c r="B4336" s="59">
        <v>13</v>
      </c>
      <c r="C4336" s="59">
        <v>630</v>
      </c>
      <c r="D4336" s="51">
        <v>2</v>
      </c>
      <c r="E4336" s="51">
        <f t="shared" si="67"/>
        <v>0</v>
      </c>
    </row>
    <row r="4337" spans="1:5">
      <c r="A4337" s="59">
        <v>8</v>
      </c>
      <c r="B4337" s="59">
        <v>13</v>
      </c>
      <c r="C4337" s="59">
        <v>831</v>
      </c>
      <c r="D4337" s="51">
        <v>2</v>
      </c>
      <c r="E4337" s="51">
        <f t="shared" si="67"/>
        <v>0</v>
      </c>
    </row>
    <row r="4338" spans="1:5">
      <c r="A4338" s="59">
        <v>8</v>
      </c>
      <c r="B4338" s="59">
        <v>13</v>
      </c>
      <c r="C4338" s="59">
        <v>840</v>
      </c>
      <c r="D4338" s="51">
        <v>2</v>
      </c>
      <c r="E4338" s="51">
        <f t="shared" si="67"/>
        <v>0</v>
      </c>
    </row>
    <row r="4339" spans="1:5">
      <c r="A4339" s="59">
        <v>8</v>
      </c>
      <c r="B4339" s="59">
        <v>14</v>
      </c>
      <c r="C4339" s="59">
        <v>440</v>
      </c>
      <c r="D4339" s="51">
        <v>2</v>
      </c>
      <c r="E4339" s="51">
        <f t="shared" si="67"/>
        <v>0</v>
      </c>
    </row>
    <row r="4340" spans="1:5">
      <c r="A4340" s="59">
        <v>8</v>
      </c>
      <c r="B4340" s="59">
        <v>14</v>
      </c>
      <c r="C4340" s="59">
        <v>710</v>
      </c>
      <c r="D4340" s="51">
        <v>2</v>
      </c>
      <c r="E4340" s="51">
        <f t="shared" si="67"/>
        <v>0</v>
      </c>
    </row>
    <row r="4341" spans="1:5">
      <c r="A4341" s="59">
        <v>8</v>
      </c>
      <c r="B4341" s="59">
        <v>14</v>
      </c>
      <c r="C4341" s="59">
        <v>891</v>
      </c>
      <c r="D4341" s="51">
        <v>2</v>
      </c>
      <c r="E4341" s="51">
        <f t="shared" si="67"/>
        <v>0</v>
      </c>
    </row>
    <row r="4342" spans="1:5">
      <c r="A4342" s="59">
        <v>8</v>
      </c>
      <c r="B4342" s="59">
        <v>15</v>
      </c>
      <c r="C4342" s="59">
        <v>891</v>
      </c>
      <c r="D4342" s="51">
        <v>2</v>
      </c>
      <c r="E4342" s="51">
        <f t="shared" si="67"/>
        <v>0</v>
      </c>
    </row>
    <row r="4343" spans="1:5">
      <c r="A4343" s="59">
        <v>8</v>
      </c>
      <c r="B4343" s="59">
        <v>16</v>
      </c>
      <c r="C4343" s="59">
        <v>810</v>
      </c>
      <c r="D4343" s="51">
        <v>2</v>
      </c>
      <c r="E4343" s="51">
        <f t="shared" si="67"/>
        <v>0</v>
      </c>
    </row>
    <row r="4344" spans="1:5">
      <c r="A4344" s="59">
        <v>8</v>
      </c>
      <c r="B4344" s="59">
        <v>16</v>
      </c>
      <c r="C4344" s="59">
        <v>970</v>
      </c>
      <c r="D4344" s="51">
        <v>2</v>
      </c>
      <c r="E4344" s="51">
        <f t="shared" si="67"/>
        <v>0</v>
      </c>
    </row>
    <row r="4345" spans="1:5">
      <c r="A4345" s="59">
        <v>8</v>
      </c>
      <c r="B4345" s="59">
        <v>22</v>
      </c>
      <c r="C4345" s="59">
        <v>810</v>
      </c>
      <c r="D4345" s="51">
        <v>2</v>
      </c>
      <c r="E4345" s="51">
        <f t="shared" si="67"/>
        <v>0</v>
      </c>
    </row>
    <row r="4346" spans="1:5">
      <c r="A4346" s="59">
        <v>8</v>
      </c>
      <c r="B4346" s="59">
        <v>22</v>
      </c>
      <c r="C4346" s="59">
        <v>896</v>
      </c>
      <c r="D4346" s="51">
        <v>2</v>
      </c>
      <c r="E4346" s="51">
        <f t="shared" si="67"/>
        <v>0</v>
      </c>
    </row>
    <row r="4347" spans="1:5">
      <c r="A4347" s="59">
        <v>8</v>
      </c>
      <c r="B4347" s="59">
        <v>23</v>
      </c>
      <c r="C4347" s="59">
        <v>990</v>
      </c>
      <c r="D4347" s="51">
        <v>2</v>
      </c>
      <c r="E4347" s="51">
        <f t="shared" si="67"/>
        <v>0</v>
      </c>
    </row>
    <row r="4348" spans="1:5">
      <c r="A4348" s="59">
        <v>8</v>
      </c>
      <c r="B4348" s="59">
        <v>24</v>
      </c>
      <c r="C4348" s="59">
        <v>896</v>
      </c>
      <c r="D4348" s="51">
        <v>2</v>
      </c>
      <c r="E4348" s="51">
        <f t="shared" si="67"/>
        <v>0</v>
      </c>
    </row>
    <row r="4349" spans="1:5">
      <c r="A4349" s="59">
        <v>8</v>
      </c>
      <c r="B4349" s="59">
        <v>31</v>
      </c>
      <c r="C4349" s="59">
        <v>320</v>
      </c>
      <c r="D4349" s="51">
        <v>2</v>
      </c>
      <c r="E4349" s="51">
        <f t="shared" si="67"/>
        <v>0</v>
      </c>
    </row>
    <row r="4350" spans="1:5">
      <c r="A4350" s="59">
        <v>8</v>
      </c>
      <c r="B4350" s="59">
        <v>32</v>
      </c>
      <c r="C4350" s="59">
        <v>440</v>
      </c>
      <c r="D4350" s="51">
        <v>2</v>
      </c>
      <c r="E4350" s="51">
        <f t="shared" si="67"/>
        <v>0</v>
      </c>
    </row>
    <row r="4351" spans="1:5">
      <c r="A4351" s="59">
        <v>8</v>
      </c>
      <c r="B4351" s="59">
        <v>32</v>
      </c>
      <c r="C4351" s="59">
        <v>520</v>
      </c>
      <c r="D4351" s="51">
        <v>2</v>
      </c>
      <c r="E4351" s="51">
        <f t="shared" si="67"/>
        <v>0</v>
      </c>
    </row>
    <row r="4352" spans="1:5">
      <c r="A4352" s="59">
        <v>8</v>
      </c>
      <c r="B4352" s="59">
        <v>32</v>
      </c>
      <c r="C4352" s="59">
        <v>750</v>
      </c>
      <c r="D4352" s="51">
        <v>2</v>
      </c>
      <c r="E4352" s="51">
        <f t="shared" si="67"/>
        <v>0</v>
      </c>
    </row>
    <row r="4353" spans="1:5">
      <c r="A4353" s="59">
        <v>8</v>
      </c>
      <c r="B4353" s="59">
        <v>32</v>
      </c>
      <c r="C4353" s="59">
        <v>940</v>
      </c>
      <c r="D4353" s="51">
        <v>2</v>
      </c>
      <c r="E4353" s="51">
        <f t="shared" si="67"/>
        <v>0</v>
      </c>
    </row>
    <row r="4354" spans="1:5">
      <c r="A4354" s="59">
        <v>8</v>
      </c>
      <c r="B4354" s="59">
        <v>33</v>
      </c>
      <c r="C4354" s="59">
        <v>610</v>
      </c>
      <c r="D4354" s="51">
        <v>2</v>
      </c>
      <c r="E4354" s="51">
        <f t="shared" ref="E4354:E4417" si="68">IF(OR(A4354=6,A4354=7,A4354=14,A4354=15,A4354=16,A4354=17,A4354=18,A4354=19,A4354=20,A4354=21,A4354=22,A4354=23,A4354=25,A4354=26,A4354=27,A4354=28,B4354=41,B4354=44,B4354=62),1,0)</f>
        <v>0</v>
      </c>
    </row>
    <row r="4355" spans="1:5">
      <c r="A4355" s="59">
        <v>8</v>
      </c>
      <c r="B4355" s="59">
        <v>41</v>
      </c>
      <c r="C4355" s="59">
        <v>640</v>
      </c>
      <c r="D4355" s="51">
        <v>2</v>
      </c>
      <c r="E4355" s="51">
        <f t="shared" si="68"/>
        <v>1</v>
      </c>
    </row>
    <row r="4356" spans="1:5">
      <c r="A4356" s="59">
        <v>8</v>
      </c>
      <c r="B4356" s="59">
        <v>42</v>
      </c>
      <c r="C4356" s="59">
        <v>990</v>
      </c>
      <c r="D4356" s="51">
        <v>2</v>
      </c>
      <c r="E4356" s="51">
        <f t="shared" si="68"/>
        <v>0</v>
      </c>
    </row>
    <row r="4357" spans="1:5">
      <c r="A4357" s="59">
        <v>8</v>
      </c>
      <c r="B4357" s="59">
        <v>43</v>
      </c>
      <c r="C4357" s="59">
        <v>810</v>
      </c>
      <c r="D4357" s="51">
        <v>2</v>
      </c>
      <c r="E4357" s="51">
        <f t="shared" si="68"/>
        <v>0</v>
      </c>
    </row>
    <row r="4358" spans="1:5">
      <c r="A4358" s="59">
        <v>8</v>
      </c>
      <c r="B4358" s="59">
        <v>43</v>
      </c>
      <c r="C4358" s="59">
        <v>890</v>
      </c>
      <c r="D4358" s="51">
        <v>2</v>
      </c>
      <c r="E4358" s="51">
        <f t="shared" si="68"/>
        <v>0</v>
      </c>
    </row>
    <row r="4359" spans="1:5">
      <c r="A4359" s="59">
        <v>8</v>
      </c>
      <c r="B4359" s="59">
        <v>44</v>
      </c>
      <c r="C4359" s="59">
        <v>710</v>
      </c>
      <c r="D4359" s="51">
        <v>2</v>
      </c>
      <c r="E4359" s="51">
        <f t="shared" si="68"/>
        <v>1</v>
      </c>
    </row>
    <row r="4360" spans="1:5">
      <c r="A4360" s="59">
        <v>8</v>
      </c>
      <c r="B4360" s="59">
        <v>51</v>
      </c>
      <c r="C4360" s="59">
        <v>120</v>
      </c>
      <c r="D4360" s="51">
        <v>2</v>
      </c>
      <c r="E4360" s="51">
        <f t="shared" si="68"/>
        <v>0</v>
      </c>
    </row>
    <row r="4361" spans="1:5">
      <c r="A4361" s="59">
        <v>8</v>
      </c>
      <c r="B4361" s="59">
        <v>63</v>
      </c>
      <c r="C4361" s="59">
        <v>850</v>
      </c>
      <c r="D4361" s="51">
        <v>2</v>
      </c>
      <c r="E4361" s="51">
        <f t="shared" si="68"/>
        <v>0</v>
      </c>
    </row>
    <row r="4362" spans="1:5">
      <c r="A4362" s="59">
        <v>8</v>
      </c>
      <c r="B4362" s="59">
        <v>71</v>
      </c>
      <c r="C4362" s="59">
        <v>140</v>
      </c>
      <c r="D4362" s="51">
        <v>2</v>
      </c>
      <c r="E4362" s="51">
        <f t="shared" si="68"/>
        <v>0</v>
      </c>
    </row>
    <row r="4363" spans="1:5">
      <c r="A4363" s="59">
        <v>8</v>
      </c>
      <c r="B4363" s="59">
        <v>71</v>
      </c>
      <c r="C4363" s="59">
        <v>831</v>
      </c>
      <c r="D4363" s="51">
        <v>2</v>
      </c>
      <c r="E4363" s="51">
        <f t="shared" si="68"/>
        <v>0</v>
      </c>
    </row>
    <row r="4364" spans="1:5">
      <c r="A4364" s="59">
        <v>8</v>
      </c>
      <c r="B4364" s="59">
        <v>81</v>
      </c>
      <c r="C4364" s="59">
        <v>140</v>
      </c>
      <c r="D4364" s="51">
        <v>2</v>
      </c>
      <c r="E4364" s="51">
        <f t="shared" si="68"/>
        <v>0</v>
      </c>
    </row>
    <row r="4365" spans="1:5">
      <c r="A4365" s="59">
        <v>8</v>
      </c>
      <c r="B4365" s="59">
        <v>81</v>
      </c>
      <c r="C4365" s="59">
        <v>870</v>
      </c>
      <c r="D4365" s="51">
        <v>2</v>
      </c>
      <c r="E4365" s="51">
        <f t="shared" si="68"/>
        <v>0</v>
      </c>
    </row>
    <row r="4366" spans="1:5">
      <c r="A4366" s="59">
        <v>8</v>
      </c>
      <c r="B4366" s="59">
        <v>81</v>
      </c>
      <c r="C4366" s="59">
        <v>960</v>
      </c>
      <c r="D4366" s="51">
        <v>2</v>
      </c>
      <c r="E4366" s="51">
        <f t="shared" si="68"/>
        <v>0</v>
      </c>
    </row>
    <row r="4367" spans="1:5">
      <c r="A4367" s="59">
        <v>8</v>
      </c>
      <c r="B4367" s="59">
        <v>11</v>
      </c>
      <c r="C4367" s="59">
        <v>420</v>
      </c>
      <c r="D4367" s="51">
        <v>1</v>
      </c>
      <c r="E4367" s="51">
        <f t="shared" si="68"/>
        <v>0</v>
      </c>
    </row>
    <row r="4368" spans="1:5">
      <c r="A4368" s="59">
        <v>8</v>
      </c>
      <c r="B4368" s="59">
        <v>11</v>
      </c>
      <c r="C4368" s="59">
        <v>550</v>
      </c>
      <c r="D4368" s="51">
        <v>1</v>
      </c>
      <c r="E4368" s="51">
        <f t="shared" si="68"/>
        <v>0</v>
      </c>
    </row>
    <row r="4369" spans="1:5">
      <c r="A4369" s="59">
        <v>8</v>
      </c>
      <c r="B4369" s="59">
        <v>11</v>
      </c>
      <c r="C4369" s="59">
        <v>610</v>
      </c>
      <c r="D4369" s="51">
        <v>1</v>
      </c>
      <c r="E4369" s="51">
        <f t="shared" si="68"/>
        <v>0</v>
      </c>
    </row>
    <row r="4370" spans="1:5">
      <c r="A4370" s="59">
        <v>8</v>
      </c>
      <c r="B4370" s="59">
        <v>12</v>
      </c>
      <c r="C4370" s="59">
        <v>230</v>
      </c>
      <c r="D4370" s="51">
        <v>1</v>
      </c>
      <c r="E4370" s="51">
        <f t="shared" si="68"/>
        <v>0</v>
      </c>
    </row>
    <row r="4371" spans="1:5">
      <c r="A4371" s="59">
        <v>8</v>
      </c>
      <c r="B4371" s="59">
        <v>12</v>
      </c>
      <c r="C4371" s="59">
        <v>420</v>
      </c>
      <c r="D4371" s="51">
        <v>1</v>
      </c>
      <c r="E4371" s="51">
        <f t="shared" si="68"/>
        <v>0</v>
      </c>
    </row>
    <row r="4372" spans="1:5">
      <c r="A4372" s="59">
        <v>8</v>
      </c>
      <c r="B4372" s="59">
        <v>12</v>
      </c>
      <c r="C4372" s="59">
        <v>950</v>
      </c>
      <c r="D4372" s="51">
        <v>1</v>
      </c>
      <c r="E4372" s="51">
        <f t="shared" si="68"/>
        <v>0</v>
      </c>
    </row>
    <row r="4373" spans="1:5">
      <c r="A4373" s="59">
        <v>8</v>
      </c>
      <c r="B4373" s="59">
        <v>13</v>
      </c>
      <c r="C4373" s="59">
        <v>640</v>
      </c>
      <c r="D4373" s="51">
        <v>1</v>
      </c>
      <c r="E4373" s="51">
        <f t="shared" si="68"/>
        <v>0</v>
      </c>
    </row>
    <row r="4374" spans="1:5">
      <c r="A4374" s="59">
        <v>8</v>
      </c>
      <c r="B4374" s="59">
        <v>15</v>
      </c>
      <c r="C4374" s="59">
        <v>620</v>
      </c>
      <c r="D4374" s="51">
        <v>1</v>
      </c>
      <c r="E4374" s="51">
        <f t="shared" si="68"/>
        <v>0</v>
      </c>
    </row>
    <row r="4375" spans="1:5">
      <c r="A4375" s="59">
        <v>8</v>
      </c>
      <c r="B4375" s="59">
        <v>16</v>
      </c>
      <c r="C4375" s="59">
        <v>540</v>
      </c>
      <c r="D4375" s="51">
        <v>1</v>
      </c>
      <c r="E4375" s="51">
        <f t="shared" si="68"/>
        <v>0</v>
      </c>
    </row>
    <row r="4376" spans="1:5">
      <c r="A4376" s="59">
        <v>8</v>
      </c>
      <c r="B4376" s="59">
        <v>16</v>
      </c>
      <c r="C4376" s="59">
        <v>620</v>
      </c>
      <c r="D4376" s="51">
        <v>1</v>
      </c>
      <c r="E4376" s="51">
        <f t="shared" si="68"/>
        <v>0</v>
      </c>
    </row>
    <row r="4377" spans="1:5">
      <c r="A4377" s="59">
        <v>8</v>
      </c>
      <c r="B4377" s="59">
        <v>21</v>
      </c>
      <c r="C4377" s="59">
        <v>530</v>
      </c>
      <c r="D4377" s="51">
        <v>1</v>
      </c>
      <c r="E4377" s="51">
        <f t="shared" si="68"/>
        <v>0</v>
      </c>
    </row>
    <row r="4378" spans="1:5">
      <c r="A4378" s="59">
        <v>8</v>
      </c>
      <c r="B4378" s="59">
        <v>21</v>
      </c>
      <c r="C4378" s="59">
        <v>940</v>
      </c>
      <c r="D4378" s="51">
        <v>1</v>
      </c>
      <c r="E4378" s="51">
        <f t="shared" si="68"/>
        <v>0</v>
      </c>
    </row>
    <row r="4379" spans="1:5">
      <c r="A4379" s="59">
        <v>8</v>
      </c>
      <c r="B4379" s="59">
        <v>21</v>
      </c>
      <c r="C4379" s="59">
        <v>960</v>
      </c>
      <c r="D4379" s="51">
        <v>1</v>
      </c>
      <c r="E4379" s="51">
        <f t="shared" si="68"/>
        <v>0</v>
      </c>
    </row>
    <row r="4380" spans="1:5">
      <c r="A4380" s="59">
        <v>8</v>
      </c>
      <c r="B4380" s="59">
        <v>22</v>
      </c>
      <c r="C4380" s="59">
        <v>540</v>
      </c>
      <c r="D4380" s="51">
        <v>1</v>
      </c>
      <c r="E4380" s="51">
        <f t="shared" si="68"/>
        <v>0</v>
      </c>
    </row>
    <row r="4381" spans="1:5">
      <c r="A4381" s="59">
        <v>8</v>
      </c>
      <c r="B4381" s="59">
        <v>22</v>
      </c>
      <c r="C4381" s="59">
        <v>620</v>
      </c>
      <c r="D4381" s="51">
        <v>1</v>
      </c>
      <c r="E4381" s="51">
        <f t="shared" si="68"/>
        <v>0</v>
      </c>
    </row>
    <row r="4382" spans="1:5">
      <c r="A4382" s="59">
        <v>8</v>
      </c>
      <c r="B4382" s="59">
        <v>23</v>
      </c>
      <c r="C4382" s="59">
        <v>510</v>
      </c>
      <c r="D4382" s="51">
        <v>1</v>
      </c>
      <c r="E4382" s="51">
        <f t="shared" si="68"/>
        <v>0</v>
      </c>
    </row>
    <row r="4383" spans="1:5">
      <c r="A4383" s="59">
        <v>8</v>
      </c>
      <c r="B4383" s="59">
        <v>23</v>
      </c>
      <c r="C4383" s="59">
        <v>520</v>
      </c>
      <c r="D4383" s="51">
        <v>1</v>
      </c>
      <c r="E4383" s="51">
        <f t="shared" si="68"/>
        <v>0</v>
      </c>
    </row>
    <row r="4384" spans="1:5">
      <c r="A4384" s="59">
        <v>8</v>
      </c>
      <c r="B4384" s="59">
        <v>23</v>
      </c>
      <c r="C4384" s="59">
        <v>530</v>
      </c>
      <c r="D4384" s="51">
        <v>1</v>
      </c>
      <c r="E4384" s="51">
        <f t="shared" si="68"/>
        <v>0</v>
      </c>
    </row>
    <row r="4385" spans="1:5">
      <c r="A4385" s="59">
        <v>8</v>
      </c>
      <c r="B4385" s="59">
        <v>24</v>
      </c>
      <c r="C4385" s="59">
        <v>320</v>
      </c>
      <c r="D4385" s="51">
        <v>1</v>
      </c>
      <c r="E4385" s="51">
        <f t="shared" si="68"/>
        <v>0</v>
      </c>
    </row>
    <row r="4386" spans="1:5">
      <c r="A4386" s="59">
        <v>8</v>
      </c>
      <c r="B4386" s="59">
        <v>24</v>
      </c>
      <c r="C4386" s="59">
        <v>420</v>
      </c>
      <c r="D4386" s="51">
        <v>1</v>
      </c>
      <c r="E4386" s="51">
        <f t="shared" si="68"/>
        <v>0</v>
      </c>
    </row>
    <row r="4387" spans="1:5">
      <c r="A4387" s="59">
        <v>8</v>
      </c>
      <c r="B4387" s="59">
        <v>24</v>
      </c>
      <c r="C4387" s="59">
        <v>530</v>
      </c>
      <c r="D4387" s="51">
        <v>1</v>
      </c>
      <c r="E4387" s="51">
        <f t="shared" si="68"/>
        <v>0</v>
      </c>
    </row>
    <row r="4388" spans="1:5">
      <c r="A4388" s="59">
        <v>8</v>
      </c>
      <c r="B4388" s="59">
        <v>24</v>
      </c>
      <c r="C4388" s="59">
        <v>620</v>
      </c>
      <c r="D4388" s="51">
        <v>1</v>
      </c>
      <c r="E4388" s="51">
        <f t="shared" si="68"/>
        <v>0</v>
      </c>
    </row>
    <row r="4389" spans="1:5">
      <c r="A4389" s="59">
        <v>8</v>
      </c>
      <c r="B4389" s="59">
        <v>31</v>
      </c>
      <c r="C4389" s="59">
        <v>240</v>
      </c>
      <c r="D4389" s="51">
        <v>1</v>
      </c>
      <c r="E4389" s="51">
        <f t="shared" si="68"/>
        <v>0</v>
      </c>
    </row>
    <row r="4390" spans="1:5">
      <c r="A4390" s="59">
        <v>8</v>
      </c>
      <c r="B4390" s="59">
        <v>32</v>
      </c>
      <c r="C4390" s="59">
        <v>550</v>
      </c>
      <c r="D4390" s="51">
        <v>1</v>
      </c>
      <c r="E4390" s="51">
        <f t="shared" si="68"/>
        <v>0</v>
      </c>
    </row>
    <row r="4391" spans="1:5">
      <c r="A4391" s="59">
        <v>8</v>
      </c>
      <c r="B4391" s="59">
        <v>32</v>
      </c>
      <c r="C4391" s="59">
        <v>630</v>
      </c>
      <c r="D4391" s="51">
        <v>1</v>
      </c>
      <c r="E4391" s="51">
        <f t="shared" si="68"/>
        <v>0</v>
      </c>
    </row>
    <row r="4392" spans="1:5">
      <c r="A4392" s="59">
        <v>8</v>
      </c>
      <c r="B4392" s="59">
        <v>32</v>
      </c>
      <c r="C4392" s="59">
        <v>740</v>
      </c>
      <c r="D4392" s="51">
        <v>1</v>
      </c>
      <c r="E4392" s="51">
        <f t="shared" si="68"/>
        <v>0</v>
      </c>
    </row>
    <row r="4393" spans="1:5">
      <c r="A4393" s="59">
        <v>8</v>
      </c>
      <c r="B4393" s="59">
        <v>33</v>
      </c>
      <c r="C4393" s="59">
        <v>540</v>
      </c>
      <c r="D4393" s="51">
        <v>1</v>
      </c>
      <c r="E4393" s="51">
        <f t="shared" si="68"/>
        <v>0</v>
      </c>
    </row>
    <row r="4394" spans="1:5">
      <c r="A4394" s="59">
        <v>8</v>
      </c>
      <c r="B4394" s="59">
        <v>33</v>
      </c>
      <c r="C4394" s="59">
        <v>750</v>
      </c>
      <c r="D4394" s="51">
        <v>1</v>
      </c>
      <c r="E4394" s="51">
        <f t="shared" si="68"/>
        <v>0</v>
      </c>
    </row>
    <row r="4395" spans="1:5">
      <c r="A4395" s="59">
        <v>8</v>
      </c>
      <c r="B4395" s="59">
        <v>33</v>
      </c>
      <c r="C4395" s="59">
        <v>890</v>
      </c>
      <c r="D4395" s="51">
        <v>1</v>
      </c>
      <c r="E4395" s="51">
        <f t="shared" si="68"/>
        <v>0</v>
      </c>
    </row>
    <row r="4396" spans="1:5">
      <c r="A4396" s="59">
        <v>8</v>
      </c>
      <c r="B4396" s="59">
        <v>41</v>
      </c>
      <c r="C4396" s="59">
        <v>140</v>
      </c>
      <c r="D4396" s="51">
        <v>1</v>
      </c>
      <c r="E4396" s="51">
        <f t="shared" si="68"/>
        <v>1</v>
      </c>
    </row>
    <row r="4397" spans="1:5">
      <c r="A4397" s="59">
        <v>8</v>
      </c>
      <c r="B4397" s="59">
        <v>41</v>
      </c>
      <c r="C4397" s="59">
        <v>630</v>
      </c>
      <c r="D4397" s="51">
        <v>1</v>
      </c>
      <c r="E4397" s="51">
        <f t="shared" si="68"/>
        <v>1</v>
      </c>
    </row>
    <row r="4398" spans="1:5">
      <c r="A4398" s="59">
        <v>8</v>
      </c>
      <c r="B4398" s="59">
        <v>41</v>
      </c>
      <c r="C4398" s="59">
        <v>899</v>
      </c>
      <c r="D4398" s="51">
        <v>1</v>
      </c>
      <c r="E4398" s="51">
        <f t="shared" si="68"/>
        <v>1</v>
      </c>
    </row>
    <row r="4399" spans="1:5">
      <c r="A4399" s="59">
        <v>8</v>
      </c>
      <c r="B4399" s="59">
        <v>41</v>
      </c>
      <c r="C4399" s="59">
        <v>970</v>
      </c>
      <c r="D4399" s="51">
        <v>1</v>
      </c>
      <c r="E4399" s="51">
        <f t="shared" si="68"/>
        <v>1</v>
      </c>
    </row>
    <row r="4400" spans="1:5">
      <c r="A4400" s="59">
        <v>8</v>
      </c>
      <c r="B4400" s="59">
        <v>42</v>
      </c>
      <c r="C4400" s="59">
        <v>831</v>
      </c>
      <c r="D4400" s="51">
        <v>1</v>
      </c>
      <c r="E4400" s="51">
        <f t="shared" si="68"/>
        <v>0</v>
      </c>
    </row>
    <row r="4401" spans="1:5">
      <c r="A4401" s="59">
        <v>8</v>
      </c>
      <c r="B4401" s="59">
        <v>43</v>
      </c>
      <c r="C4401" s="59">
        <v>881</v>
      </c>
      <c r="D4401" s="51">
        <v>1</v>
      </c>
      <c r="E4401" s="51">
        <f t="shared" si="68"/>
        <v>0</v>
      </c>
    </row>
    <row r="4402" spans="1:5">
      <c r="A4402" s="59">
        <v>8</v>
      </c>
      <c r="B4402" s="59">
        <v>43</v>
      </c>
      <c r="C4402" s="59">
        <v>896</v>
      </c>
      <c r="D4402" s="51">
        <v>1</v>
      </c>
      <c r="E4402" s="51">
        <f t="shared" si="68"/>
        <v>0</v>
      </c>
    </row>
    <row r="4403" spans="1:5">
      <c r="A4403" s="59">
        <v>8</v>
      </c>
      <c r="B4403" s="59">
        <v>44</v>
      </c>
      <c r="C4403" s="59">
        <v>740</v>
      </c>
      <c r="D4403" s="51">
        <v>1</v>
      </c>
      <c r="E4403" s="51">
        <f t="shared" si="68"/>
        <v>1</v>
      </c>
    </row>
    <row r="4404" spans="1:5">
      <c r="A4404" s="59">
        <v>8</v>
      </c>
      <c r="B4404" s="59">
        <v>44</v>
      </c>
      <c r="C4404" s="59">
        <v>890</v>
      </c>
      <c r="D4404" s="51">
        <v>1</v>
      </c>
      <c r="E4404" s="51">
        <f t="shared" si="68"/>
        <v>1</v>
      </c>
    </row>
    <row r="4405" spans="1:5">
      <c r="A4405" s="59">
        <v>8</v>
      </c>
      <c r="B4405" s="59">
        <v>51</v>
      </c>
      <c r="C4405" s="59">
        <v>620</v>
      </c>
      <c r="D4405" s="51">
        <v>1</v>
      </c>
      <c r="E4405" s="51">
        <f t="shared" si="68"/>
        <v>0</v>
      </c>
    </row>
    <row r="4406" spans="1:5">
      <c r="A4406" s="59">
        <v>8</v>
      </c>
      <c r="B4406" s="59">
        <v>51</v>
      </c>
      <c r="C4406" s="59">
        <v>640</v>
      </c>
      <c r="D4406" s="51">
        <v>1</v>
      </c>
      <c r="E4406" s="51">
        <f t="shared" si="68"/>
        <v>0</v>
      </c>
    </row>
    <row r="4407" spans="1:5">
      <c r="A4407" s="59">
        <v>8</v>
      </c>
      <c r="B4407" s="59">
        <v>51</v>
      </c>
      <c r="C4407" s="59">
        <v>720</v>
      </c>
      <c r="D4407" s="51">
        <v>1</v>
      </c>
      <c r="E4407" s="51">
        <f t="shared" si="68"/>
        <v>0</v>
      </c>
    </row>
    <row r="4408" spans="1:5">
      <c r="A4408" s="59">
        <v>8</v>
      </c>
      <c r="B4408" s="59">
        <v>51</v>
      </c>
      <c r="C4408" s="59">
        <v>899</v>
      </c>
      <c r="D4408" s="51">
        <v>1</v>
      </c>
      <c r="E4408" s="51">
        <f t="shared" si="68"/>
        <v>0</v>
      </c>
    </row>
    <row r="4409" spans="1:5">
      <c r="A4409" s="59">
        <v>8</v>
      </c>
      <c r="B4409" s="59">
        <v>51</v>
      </c>
      <c r="C4409" s="59">
        <v>920</v>
      </c>
      <c r="D4409" s="51">
        <v>1</v>
      </c>
      <c r="E4409" s="51">
        <f t="shared" si="68"/>
        <v>0</v>
      </c>
    </row>
    <row r="4410" spans="1:5">
      <c r="A4410" s="59">
        <v>8</v>
      </c>
      <c r="B4410" s="59">
        <v>51</v>
      </c>
      <c r="C4410" s="59">
        <v>990</v>
      </c>
      <c r="D4410" s="51">
        <v>1</v>
      </c>
      <c r="E4410" s="51">
        <f t="shared" si="68"/>
        <v>0</v>
      </c>
    </row>
    <row r="4411" spans="1:5">
      <c r="A4411" s="59">
        <v>8</v>
      </c>
      <c r="B4411" s="59">
        <v>61</v>
      </c>
      <c r="C4411" s="59">
        <v>210</v>
      </c>
      <c r="D4411" s="51">
        <v>1</v>
      </c>
      <c r="E4411" s="51">
        <f t="shared" si="68"/>
        <v>0</v>
      </c>
    </row>
    <row r="4412" spans="1:5">
      <c r="A4412" s="59">
        <v>8</v>
      </c>
      <c r="B4412" s="59">
        <v>61</v>
      </c>
      <c r="C4412" s="59">
        <v>310</v>
      </c>
      <c r="D4412" s="51">
        <v>1</v>
      </c>
      <c r="E4412" s="51">
        <f t="shared" si="68"/>
        <v>0</v>
      </c>
    </row>
    <row r="4413" spans="1:5">
      <c r="A4413" s="59">
        <v>8</v>
      </c>
      <c r="B4413" s="59">
        <v>61</v>
      </c>
      <c r="C4413" s="59">
        <v>720</v>
      </c>
      <c r="D4413" s="51">
        <v>1</v>
      </c>
      <c r="E4413" s="51">
        <f t="shared" si="68"/>
        <v>0</v>
      </c>
    </row>
    <row r="4414" spans="1:5">
      <c r="A4414" s="59">
        <v>8</v>
      </c>
      <c r="B4414" s="59">
        <v>62</v>
      </c>
      <c r="C4414" s="59">
        <v>820</v>
      </c>
      <c r="D4414" s="51">
        <v>1</v>
      </c>
      <c r="E4414" s="51">
        <f t="shared" si="68"/>
        <v>1</v>
      </c>
    </row>
    <row r="4415" spans="1:5">
      <c r="A4415" s="59">
        <v>8</v>
      </c>
      <c r="B4415" s="59">
        <v>62</v>
      </c>
      <c r="C4415" s="59">
        <v>831</v>
      </c>
      <c r="D4415" s="51">
        <v>1</v>
      </c>
      <c r="E4415" s="51">
        <f t="shared" si="68"/>
        <v>1</v>
      </c>
    </row>
    <row r="4416" spans="1:5">
      <c r="A4416" s="59">
        <v>8</v>
      </c>
      <c r="B4416" s="59">
        <v>62</v>
      </c>
      <c r="C4416" s="59">
        <v>895</v>
      </c>
      <c r="D4416" s="51">
        <v>1</v>
      </c>
      <c r="E4416" s="51">
        <f t="shared" si="68"/>
        <v>1</v>
      </c>
    </row>
    <row r="4417" spans="1:5">
      <c r="A4417" s="59">
        <v>8</v>
      </c>
      <c r="B4417" s="59">
        <v>63</v>
      </c>
      <c r="C4417" s="59">
        <v>820</v>
      </c>
      <c r="D4417" s="51">
        <v>1</v>
      </c>
      <c r="E4417" s="51">
        <f t="shared" si="68"/>
        <v>0</v>
      </c>
    </row>
    <row r="4418" spans="1:5">
      <c r="A4418" s="59">
        <v>8</v>
      </c>
      <c r="B4418" s="59">
        <v>63</v>
      </c>
      <c r="C4418" s="59">
        <v>891</v>
      </c>
      <c r="D4418" s="51">
        <v>1</v>
      </c>
      <c r="E4418" s="51">
        <f t="shared" ref="E4418:E4481" si="69">IF(OR(A4418=6,A4418=7,A4418=14,A4418=15,A4418=16,A4418=17,A4418=18,A4418=19,A4418=20,A4418=21,A4418=22,A4418=23,A4418=25,A4418=26,A4418=27,A4418=28,B4418=41,B4418=44,B4418=62),1,0)</f>
        <v>0</v>
      </c>
    </row>
    <row r="4419" spans="1:5">
      <c r="A4419" s="59">
        <v>8</v>
      </c>
      <c r="B4419" s="59">
        <v>63</v>
      </c>
      <c r="C4419" s="59">
        <v>892</v>
      </c>
      <c r="D4419" s="51">
        <v>1</v>
      </c>
      <c r="E4419" s="51">
        <f t="shared" si="69"/>
        <v>0</v>
      </c>
    </row>
    <row r="4420" spans="1:5">
      <c r="A4420" s="59">
        <v>8</v>
      </c>
      <c r="B4420" s="59">
        <v>71</v>
      </c>
      <c r="C4420" s="59">
        <v>740</v>
      </c>
      <c r="D4420" s="51">
        <v>1</v>
      </c>
      <c r="E4420" s="51">
        <f t="shared" si="69"/>
        <v>0</v>
      </c>
    </row>
    <row r="4421" spans="1:5">
      <c r="A4421" s="59">
        <v>8</v>
      </c>
      <c r="B4421" s="59">
        <v>71</v>
      </c>
      <c r="C4421" s="59">
        <v>850</v>
      </c>
      <c r="D4421" s="51">
        <v>1</v>
      </c>
      <c r="E4421" s="51">
        <f t="shared" si="69"/>
        <v>0</v>
      </c>
    </row>
    <row r="4422" spans="1:5">
      <c r="A4422" s="59">
        <v>8</v>
      </c>
      <c r="B4422" s="59">
        <v>81</v>
      </c>
      <c r="C4422" s="59">
        <v>970</v>
      </c>
      <c r="D4422" s="51">
        <v>1</v>
      </c>
      <c r="E4422" s="51">
        <f t="shared" si="69"/>
        <v>0</v>
      </c>
    </row>
    <row r="4423" spans="1:5">
      <c r="A4423" s="59">
        <v>9</v>
      </c>
      <c r="B4423" s="59">
        <v>64</v>
      </c>
      <c r="C4423" s="59">
        <v>410</v>
      </c>
      <c r="D4423" s="51">
        <v>138036</v>
      </c>
      <c r="E4423" s="51">
        <f t="shared" si="69"/>
        <v>0</v>
      </c>
    </row>
    <row r="4424" spans="1:5">
      <c r="A4424" s="59">
        <v>9</v>
      </c>
      <c r="B4424" s="59">
        <v>32</v>
      </c>
      <c r="C4424" s="59">
        <v>410</v>
      </c>
      <c r="D4424" s="51">
        <v>61726</v>
      </c>
      <c r="E4424" s="51">
        <f t="shared" si="69"/>
        <v>0</v>
      </c>
    </row>
    <row r="4425" spans="1:5">
      <c r="A4425" s="59">
        <v>9</v>
      </c>
      <c r="B4425" s="59">
        <v>43</v>
      </c>
      <c r="C4425" s="59">
        <v>410</v>
      </c>
      <c r="D4425" s="51">
        <v>24078</v>
      </c>
      <c r="E4425" s="51">
        <f t="shared" si="69"/>
        <v>0</v>
      </c>
    </row>
    <row r="4426" spans="1:5">
      <c r="A4426" s="59">
        <v>9</v>
      </c>
      <c r="B4426" s="59">
        <v>33</v>
      </c>
      <c r="C4426" s="59">
        <v>410</v>
      </c>
      <c r="D4426" s="51">
        <v>14385</v>
      </c>
      <c r="E4426" s="51">
        <f t="shared" si="69"/>
        <v>0</v>
      </c>
    </row>
    <row r="4427" spans="1:5">
      <c r="A4427" s="59">
        <v>9</v>
      </c>
      <c r="B4427" s="59">
        <v>32</v>
      </c>
      <c r="C4427" s="59">
        <v>420</v>
      </c>
      <c r="D4427" s="51">
        <v>12895</v>
      </c>
      <c r="E4427" s="51">
        <f t="shared" si="69"/>
        <v>0</v>
      </c>
    </row>
    <row r="4428" spans="1:5">
      <c r="A4428" s="59">
        <v>9</v>
      </c>
      <c r="B4428" s="59">
        <v>71</v>
      </c>
      <c r="C4428" s="59">
        <v>410</v>
      </c>
      <c r="D4428" s="51">
        <v>6045</v>
      </c>
      <c r="E4428" s="51">
        <f t="shared" si="69"/>
        <v>0</v>
      </c>
    </row>
    <row r="4429" spans="1:5">
      <c r="A4429" s="59">
        <v>9</v>
      </c>
      <c r="B4429" s="59">
        <v>64</v>
      </c>
      <c r="C4429" s="59">
        <v>420</v>
      </c>
      <c r="D4429" s="51">
        <v>4299</v>
      </c>
      <c r="E4429" s="51">
        <f t="shared" si="69"/>
        <v>0</v>
      </c>
    </row>
    <row r="4430" spans="1:5">
      <c r="A4430" s="59">
        <v>9</v>
      </c>
      <c r="B4430" s="59">
        <v>64</v>
      </c>
      <c r="C4430" s="59">
        <v>910</v>
      </c>
      <c r="D4430" s="51">
        <v>3942</v>
      </c>
      <c r="E4430" s="51">
        <f t="shared" si="69"/>
        <v>0</v>
      </c>
    </row>
    <row r="4431" spans="1:5">
      <c r="A4431" s="59">
        <v>9</v>
      </c>
      <c r="B4431" s="59">
        <v>13</v>
      </c>
      <c r="C4431" s="59">
        <v>410</v>
      </c>
      <c r="D4431" s="51">
        <v>3660</v>
      </c>
      <c r="E4431" s="51">
        <f t="shared" si="69"/>
        <v>0</v>
      </c>
    </row>
    <row r="4432" spans="1:5">
      <c r="A4432" s="59">
        <v>9</v>
      </c>
      <c r="B4432" s="59">
        <v>63</v>
      </c>
      <c r="C4432" s="59">
        <v>410</v>
      </c>
      <c r="D4432" s="51">
        <v>3347</v>
      </c>
      <c r="E4432" s="51">
        <f t="shared" si="69"/>
        <v>0</v>
      </c>
    </row>
    <row r="4433" spans="1:5">
      <c r="A4433" s="59">
        <v>9</v>
      </c>
      <c r="B4433" s="59">
        <v>64</v>
      </c>
      <c r="C4433" s="59">
        <v>430</v>
      </c>
      <c r="D4433" s="51">
        <v>3328</v>
      </c>
      <c r="E4433" s="51">
        <f t="shared" si="69"/>
        <v>0</v>
      </c>
    </row>
    <row r="4434" spans="1:5">
      <c r="A4434" s="59">
        <v>9</v>
      </c>
      <c r="B4434" s="59">
        <v>42</v>
      </c>
      <c r="C4434" s="59">
        <v>410</v>
      </c>
      <c r="D4434" s="51">
        <v>3039</v>
      </c>
      <c r="E4434" s="51">
        <f t="shared" si="69"/>
        <v>0</v>
      </c>
    </row>
    <row r="4435" spans="1:5">
      <c r="A4435" s="59">
        <v>9</v>
      </c>
      <c r="B4435" s="59">
        <v>14</v>
      </c>
      <c r="C4435" s="59">
        <v>410</v>
      </c>
      <c r="D4435" s="51">
        <v>2512</v>
      </c>
      <c r="E4435" s="51">
        <f t="shared" si="69"/>
        <v>0</v>
      </c>
    </row>
    <row r="4436" spans="1:5">
      <c r="A4436" s="59">
        <v>9</v>
      </c>
      <c r="B4436" s="59">
        <v>31</v>
      </c>
      <c r="C4436" s="59">
        <v>410</v>
      </c>
      <c r="D4436" s="51">
        <v>2192</v>
      </c>
      <c r="E4436" s="51">
        <f t="shared" si="69"/>
        <v>0</v>
      </c>
    </row>
    <row r="4437" spans="1:5">
      <c r="A4437" s="59">
        <v>9</v>
      </c>
      <c r="B4437" s="59">
        <v>32</v>
      </c>
      <c r="C4437" s="59">
        <v>430</v>
      </c>
      <c r="D4437" s="51">
        <v>1801</v>
      </c>
      <c r="E4437" s="51">
        <f t="shared" si="69"/>
        <v>0</v>
      </c>
    </row>
    <row r="4438" spans="1:5">
      <c r="A4438" s="59">
        <v>9</v>
      </c>
      <c r="B4438" s="59">
        <v>16</v>
      </c>
      <c r="C4438" s="59">
        <v>410</v>
      </c>
      <c r="D4438" s="51">
        <v>1775</v>
      </c>
      <c r="E4438" s="51">
        <f t="shared" si="69"/>
        <v>0</v>
      </c>
    </row>
    <row r="4439" spans="1:5">
      <c r="A4439" s="59">
        <v>9</v>
      </c>
      <c r="B4439" s="59">
        <v>62</v>
      </c>
      <c r="C4439" s="59">
        <v>410</v>
      </c>
      <c r="D4439" s="51">
        <v>1606</v>
      </c>
      <c r="E4439" s="51">
        <f t="shared" si="69"/>
        <v>1</v>
      </c>
    </row>
    <row r="4440" spans="1:5">
      <c r="A4440" s="59">
        <v>9</v>
      </c>
      <c r="B4440" s="59">
        <v>33</v>
      </c>
      <c r="C4440" s="59">
        <v>420</v>
      </c>
      <c r="D4440" s="51">
        <v>1543</v>
      </c>
      <c r="E4440" s="51">
        <f t="shared" si="69"/>
        <v>0</v>
      </c>
    </row>
    <row r="4441" spans="1:5">
      <c r="A4441" s="59">
        <v>9</v>
      </c>
      <c r="B4441" s="59">
        <v>32</v>
      </c>
      <c r="C4441" s="59">
        <v>910</v>
      </c>
      <c r="D4441" s="51">
        <v>1313</v>
      </c>
      <c r="E4441" s="51">
        <f t="shared" si="69"/>
        <v>0</v>
      </c>
    </row>
    <row r="4442" spans="1:5">
      <c r="A4442" s="59">
        <v>9</v>
      </c>
      <c r="B4442" s="59">
        <v>43</v>
      </c>
      <c r="C4442" s="59">
        <v>910</v>
      </c>
      <c r="D4442" s="51">
        <v>1190</v>
      </c>
      <c r="E4442" s="51">
        <f t="shared" si="69"/>
        <v>0</v>
      </c>
    </row>
    <row r="4443" spans="1:5">
      <c r="A4443" s="59">
        <v>9</v>
      </c>
      <c r="B4443" s="59">
        <v>64</v>
      </c>
      <c r="C4443" s="59">
        <v>160</v>
      </c>
      <c r="D4443" s="51">
        <v>1063</v>
      </c>
      <c r="E4443" s="51">
        <f t="shared" si="69"/>
        <v>0</v>
      </c>
    </row>
    <row r="4444" spans="1:5">
      <c r="A4444" s="59">
        <v>9</v>
      </c>
      <c r="B4444" s="59">
        <v>43</v>
      </c>
      <c r="C4444" s="59">
        <v>160</v>
      </c>
      <c r="D4444" s="51">
        <v>927</v>
      </c>
      <c r="E4444" s="51">
        <f t="shared" si="69"/>
        <v>0</v>
      </c>
    </row>
    <row r="4445" spans="1:5">
      <c r="A4445" s="59">
        <v>9</v>
      </c>
      <c r="B4445" s="59">
        <v>33</v>
      </c>
      <c r="C4445" s="59">
        <v>430</v>
      </c>
      <c r="D4445" s="51">
        <v>851</v>
      </c>
      <c r="E4445" s="51">
        <f t="shared" si="69"/>
        <v>0</v>
      </c>
    </row>
    <row r="4446" spans="1:5">
      <c r="A4446" s="59">
        <v>9</v>
      </c>
      <c r="B4446" s="59">
        <v>43</v>
      </c>
      <c r="C4446" s="59">
        <v>420</v>
      </c>
      <c r="D4446" s="51">
        <v>800</v>
      </c>
      <c r="E4446" s="51">
        <f t="shared" si="69"/>
        <v>0</v>
      </c>
    </row>
    <row r="4447" spans="1:5">
      <c r="A4447" s="59">
        <v>9</v>
      </c>
      <c r="B4447" s="59">
        <v>43</v>
      </c>
      <c r="C4447" s="59">
        <v>430</v>
      </c>
      <c r="D4447" s="51">
        <v>773</v>
      </c>
      <c r="E4447" s="51">
        <f t="shared" si="69"/>
        <v>0</v>
      </c>
    </row>
    <row r="4448" spans="1:5">
      <c r="A4448" s="59">
        <v>9</v>
      </c>
      <c r="B4448" s="59">
        <v>13</v>
      </c>
      <c r="C4448" s="59">
        <v>160</v>
      </c>
      <c r="D4448" s="51">
        <v>704</v>
      </c>
      <c r="E4448" s="51">
        <f t="shared" si="69"/>
        <v>0</v>
      </c>
    </row>
    <row r="4449" spans="1:5">
      <c r="A4449" s="59">
        <v>9</v>
      </c>
      <c r="B4449" s="59">
        <v>14</v>
      </c>
      <c r="C4449" s="59">
        <v>160</v>
      </c>
      <c r="D4449" s="51">
        <v>630</v>
      </c>
      <c r="E4449" s="51">
        <f t="shared" si="69"/>
        <v>0</v>
      </c>
    </row>
    <row r="4450" spans="1:5">
      <c r="A4450" s="59">
        <v>9</v>
      </c>
      <c r="B4450" s="59">
        <v>14</v>
      </c>
      <c r="C4450" s="59">
        <v>910</v>
      </c>
      <c r="D4450" s="51">
        <v>593</v>
      </c>
      <c r="E4450" s="51">
        <f t="shared" si="69"/>
        <v>0</v>
      </c>
    </row>
    <row r="4451" spans="1:5">
      <c r="A4451" s="59">
        <v>9</v>
      </c>
      <c r="B4451" s="59">
        <v>64</v>
      </c>
      <c r="C4451" s="59">
        <v>210</v>
      </c>
      <c r="D4451" s="51">
        <v>522</v>
      </c>
      <c r="E4451" s="51">
        <f t="shared" si="69"/>
        <v>0</v>
      </c>
    </row>
    <row r="4452" spans="1:5">
      <c r="A4452" s="59">
        <v>9</v>
      </c>
      <c r="B4452" s="59">
        <v>43</v>
      </c>
      <c r="C4452" s="59">
        <v>210</v>
      </c>
      <c r="D4452" s="51">
        <v>432</v>
      </c>
      <c r="E4452" s="51">
        <f t="shared" si="69"/>
        <v>0</v>
      </c>
    </row>
    <row r="4453" spans="1:5">
      <c r="A4453" s="59">
        <v>9</v>
      </c>
      <c r="B4453" s="59">
        <v>14</v>
      </c>
      <c r="C4453" s="59">
        <v>150</v>
      </c>
      <c r="D4453" s="51">
        <v>423</v>
      </c>
      <c r="E4453" s="51">
        <f t="shared" si="69"/>
        <v>0</v>
      </c>
    </row>
    <row r="4454" spans="1:5">
      <c r="A4454" s="59">
        <v>9</v>
      </c>
      <c r="B4454" s="59">
        <v>33</v>
      </c>
      <c r="C4454" s="59">
        <v>910</v>
      </c>
      <c r="D4454" s="51">
        <v>418</v>
      </c>
      <c r="E4454" s="51">
        <f t="shared" si="69"/>
        <v>0</v>
      </c>
    </row>
    <row r="4455" spans="1:5">
      <c r="A4455" s="59">
        <v>9</v>
      </c>
      <c r="B4455" s="59">
        <v>31</v>
      </c>
      <c r="C4455" s="59">
        <v>420</v>
      </c>
      <c r="D4455" s="51">
        <v>392</v>
      </c>
      <c r="E4455" s="51">
        <f t="shared" si="69"/>
        <v>0</v>
      </c>
    </row>
    <row r="4456" spans="1:5">
      <c r="A4456" s="59">
        <v>9</v>
      </c>
      <c r="B4456" s="59">
        <v>32</v>
      </c>
      <c r="C4456" s="59">
        <v>210</v>
      </c>
      <c r="D4456" s="51">
        <v>356</v>
      </c>
      <c r="E4456" s="51">
        <f t="shared" si="69"/>
        <v>0</v>
      </c>
    </row>
    <row r="4457" spans="1:5">
      <c r="A4457" s="59">
        <v>9</v>
      </c>
      <c r="B4457" s="59">
        <v>44</v>
      </c>
      <c r="C4457" s="59">
        <v>410</v>
      </c>
      <c r="D4457" s="51">
        <v>344</v>
      </c>
      <c r="E4457" s="51">
        <f t="shared" si="69"/>
        <v>1</v>
      </c>
    </row>
    <row r="4458" spans="1:5">
      <c r="A4458" s="59">
        <v>9</v>
      </c>
      <c r="B4458" s="59">
        <v>64</v>
      </c>
      <c r="C4458" s="59">
        <v>150</v>
      </c>
      <c r="D4458" s="51">
        <v>342</v>
      </c>
      <c r="E4458" s="51">
        <f t="shared" si="69"/>
        <v>0</v>
      </c>
    </row>
    <row r="4459" spans="1:5">
      <c r="A4459" s="59">
        <v>9</v>
      </c>
      <c r="B4459" s="59">
        <v>81</v>
      </c>
      <c r="C4459" s="59">
        <v>410</v>
      </c>
      <c r="D4459" s="51">
        <v>342</v>
      </c>
      <c r="E4459" s="51">
        <f t="shared" si="69"/>
        <v>0</v>
      </c>
    </row>
    <row r="4460" spans="1:5">
      <c r="A4460" s="59">
        <v>9</v>
      </c>
      <c r="B4460" s="59">
        <v>33</v>
      </c>
      <c r="C4460" s="59">
        <v>210</v>
      </c>
      <c r="D4460" s="51">
        <v>341</v>
      </c>
      <c r="E4460" s="51">
        <f t="shared" si="69"/>
        <v>0</v>
      </c>
    </row>
    <row r="4461" spans="1:5">
      <c r="A4461" s="59">
        <v>9</v>
      </c>
      <c r="B4461" s="59">
        <v>64</v>
      </c>
      <c r="C4461" s="59">
        <v>110</v>
      </c>
      <c r="D4461" s="51">
        <v>338</v>
      </c>
      <c r="E4461" s="51">
        <f t="shared" si="69"/>
        <v>0</v>
      </c>
    </row>
    <row r="4462" spans="1:5">
      <c r="A4462" s="59">
        <v>9</v>
      </c>
      <c r="B4462" s="59">
        <v>33</v>
      </c>
      <c r="C4462" s="59">
        <v>240</v>
      </c>
      <c r="D4462" s="51">
        <v>303</v>
      </c>
      <c r="E4462" s="51">
        <f t="shared" si="69"/>
        <v>0</v>
      </c>
    </row>
    <row r="4463" spans="1:5">
      <c r="A4463" s="59">
        <v>9</v>
      </c>
      <c r="B4463" s="59">
        <v>13</v>
      </c>
      <c r="C4463" s="59">
        <v>910</v>
      </c>
      <c r="D4463" s="51">
        <v>294</v>
      </c>
      <c r="E4463" s="51">
        <f t="shared" si="69"/>
        <v>0</v>
      </c>
    </row>
    <row r="4464" spans="1:5">
      <c r="A4464" s="59">
        <v>9</v>
      </c>
      <c r="B4464" s="59">
        <v>64</v>
      </c>
      <c r="C4464" s="59">
        <v>530</v>
      </c>
      <c r="D4464" s="51">
        <v>294</v>
      </c>
      <c r="E4464" s="51">
        <f t="shared" si="69"/>
        <v>0</v>
      </c>
    </row>
    <row r="4465" spans="1:5">
      <c r="A4465" s="59">
        <v>9</v>
      </c>
      <c r="B4465" s="59">
        <v>71</v>
      </c>
      <c r="C4465" s="59">
        <v>430</v>
      </c>
      <c r="D4465" s="51">
        <v>269</v>
      </c>
      <c r="E4465" s="51">
        <f t="shared" si="69"/>
        <v>0</v>
      </c>
    </row>
    <row r="4466" spans="1:5">
      <c r="A4466" s="59">
        <v>9</v>
      </c>
      <c r="B4466" s="59">
        <v>15</v>
      </c>
      <c r="C4466" s="59">
        <v>410</v>
      </c>
      <c r="D4466" s="51">
        <v>229</v>
      </c>
      <c r="E4466" s="51">
        <f t="shared" si="69"/>
        <v>0</v>
      </c>
    </row>
    <row r="4467" spans="1:5">
      <c r="A4467" s="59">
        <v>9</v>
      </c>
      <c r="B4467" s="59">
        <v>14</v>
      </c>
      <c r="C4467" s="59">
        <v>210</v>
      </c>
      <c r="D4467" s="51">
        <v>224</v>
      </c>
      <c r="E4467" s="51">
        <f t="shared" si="69"/>
        <v>0</v>
      </c>
    </row>
    <row r="4468" spans="1:5">
      <c r="A4468" s="59">
        <v>9</v>
      </c>
      <c r="B4468" s="59">
        <v>13</v>
      </c>
      <c r="C4468" s="59">
        <v>420</v>
      </c>
      <c r="D4468" s="51">
        <v>223</v>
      </c>
      <c r="E4468" s="51">
        <f t="shared" si="69"/>
        <v>0</v>
      </c>
    </row>
    <row r="4469" spans="1:5">
      <c r="A4469" s="59">
        <v>9</v>
      </c>
      <c r="B4469" s="59">
        <v>64</v>
      </c>
      <c r="C4469" s="59">
        <v>510</v>
      </c>
      <c r="D4469" s="51">
        <v>218</v>
      </c>
      <c r="E4469" s="51">
        <f t="shared" si="69"/>
        <v>0</v>
      </c>
    </row>
    <row r="4470" spans="1:5">
      <c r="A4470" s="59">
        <v>9</v>
      </c>
      <c r="B4470" s="59">
        <v>64</v>
      </c>
      <c r="C4470" s="59">
        <v>920</v>
      </c>
      <c r="D4470" s="51">
        <v>214</v>
      </c>
      <c r="E4470" s="51">
        <f t="shared" si="69"/>
        <v>0</v>
      </c>
    </row>
    <row r="4471" spans="1:5">
      <c r="A4471" s="59">
        <v>9</v>
      </c>
      <c r="B4471" s="59">
        <v>22</v>
      </c>
      <c r="C4471" s="59">
        <v>210</v>
      </c>
      <c r="D4471" s="51">
        <v>211</v>
      </c>
      <c r="E4471" s="51">
        <f t="shared" si="69"/>
        <v>0</v>
      </c>
    </row>
    <row r="4472" spans="1:5">
      <c r="A4472" s="59">
        <v>9</v>
      </c>
      <c r="B4472" s="59">
        <v>71</v>
      </c>
      <c r="C4472" s="59">
        <v>160</v>
      </c>
      <c r="D4472" s="51">
        <v>203</v>
      </c>
      <c r="E4472" s="51">
        <f t="shared" si="69"/>
        <v>0</v>
      </c>
    </row>
    <row r="4473" spans="1:5">
      <c r="A4473" s="59">
        <v>9</v>
      </c>
      <c r="B4473" s="59">
        <v>14</v>
      </c>
      <c r="C4473" s="59">
        <v>330</v>
      </c>
      <c r="D4473" s="51">
        <v>185</v>
      </c>
      <c r="E4473" s="51">
        <f t="shared" si="69"/>
        <v>0</v>
      </c>
    </row>
    <row r="4474" spans="1:5">
      <c r="A4474" s="59">
        <v>9</v>
      </c>
      <c r="B4474" s="59">
        <v>64</v>
      </c>
      <c r="C4474" s="59">
        <v>240</v>
      </c>
      <c r="D4474" s="51">
        <v>170</v>
      </c>
      <c r="E4474" s="51">
        <f t="shared" si="69"/>
        <v>0</v>
      </c>
    </row>
    <row r="4475" spans="1:5">
      <c r="A4475" s="59">
        <v>9</v>
      </c>
      <c r="B4475" s="59">
        <v>71</v>
      </c>
      <c r="C4475" s="59">
        <v>630</v>
      </c>
      <c r="D4475" s="51">
        <v>163</v>
      </c>
      <c r="E4475" s="51">
        <f t="shared" si="69"/>
        <v>0</v>
      </c>
    </row>
    <row r="4476" spans="1:5">
      <c r="A4476" s="59">
        <v>9</v>
      </c>
      <c r="B4476" s="59">
        <v>32</v>
      </c>
      <c r="C4476" s="59">
        <v>895</v>
      </c>
      <c r="D4476" s="51">
        <v>161</v>
      </c>
      <c r="E4476" s="51">
        <f t="shared" si="69"/>
        <v>0</v>
      </c>
    </row>
    <row r="4477" spans="1:5">
      <c r="A4477" s="59">
        <v>9</v>
      </c>
      <c r="B4477" s="59">
        <v>14</v>
      </c>
      <c r="C4477" s="59">
        <v>420</v>
      </c>
      <c r="D4477" s="51">
        <v>160</v>
      </c>
      <c r="E4477" s="51">
        <f t="shared" si="69"/>
        <v>0</v>
      </c>
    </row>
    <row r="4478" spans="1:5">
      <c r="A4478" s="59">
        <v>9</v>
      </c>
      <c r="B4478" s="59">
        <v>16</v>
      </c>
      <c r="C4478" s="59">
        <v>420</v>
      </c>
      <c r="D4478" s="51">
        <v>159</v>
      </c>
      <c r="E4478" s="51">
        <f t="shared" si="69"/>
        <v>0</v>
      </c>
    </row>
    <row r="4479" spans="1:5">
      <c r="A4479" s="59">
        <v>9</v>
      </c>
      <c r="B4479" s="59">
        <v>44</v>
      </c>
      <c r="C4479" s="59">
        <v>420</v>
      </c>
      <c r="D4479" s="51">
        <v>155</v>
      </c>
      <c r="E4479" s="51">
        <f t="shared" si="69"/>
        <v>1</v>
      </c>
    </row>
    <row r="4480" spans="1:5">
      <c r="A4480" s="59">
        <v>9</v>
      </c>
      <c r="B4480" s="59">
        <v>16</v>
      </c>
      <c r="C4480" s="59">
        <v>160</v>
      </c>
      <c r="D4480" s="51">
        <v>153</v>
      </c>
      <c r="E4480" s="51">
        <f t="shared" si="69"/>
        <v>0</v>
      </c>
    </row>
    <row r="4481" spans="1:5">
      <c r="A4481" s="59">
        <v>9</v>
      </c>
      <c r="B4481" s="59">
        <v>33</v>
      </c>
      <c r="C4481" s="59">
        <v>330</v>
      </c>
      <c r="D4481" s="51">
        <v>152</v>
      </c>
      <c r="E4481" s="51">
        <f t="shared" si="69"/>
        <v>0</v>
      </c>
    </row>
    <row r="4482" spans="1:5">
      <c r="A4482" s="59">
        <v>9</v>
      </c>
      <c r="B4482" s="59">
        <v>32</v>
      </c>
      <c r="C4482" s="59">
        <v>240</v>
      </c>
      <c r="D4482" s="51">
        <v>147</v>
      </c>
      <c r="E4482" s="51">
        <f t="shared" ref="E4482:E4545" si="70">IF(OR(A4482=6,A4482=7,A4482=14,A4482=15,A4482=16,A4482=17,A4482=18,A4482=19,A4482=20,A4482=21,A4482=22,A4482=23,A4482=25,A4482=26,A4482=27,A4482=28,B4482=41,B4482=44,B4482=62),1,0)</f>
        <v>0</v>
      </c>
    </row>
    <row r="4483" spans="1:5">
      <c r="A4483" s="59">
        <v>9</v>
      </c>
      <c r="B4483" s="59">
        <v>43</v>
      </c>
      <c r="C4483" s="59">
        <v>240</v>
      </c>
      <c r="D4483" s="51">
        <v>147</v>
      </c>
      <c r="E4483" s="51">
        <f t="shared" si="70"/>
        <v>0</v>
      </c>
    </row>
    <row r="4484" spans="1:5">
      <c r="A4484" s="59">
        <v>9</v>
      </c>
      <c r="B4484" s="59">
        <v>16</v>
      </c>
      <c r="C4484" s="59">
        <v>910</v>
      </c>
      <c r="D4484" s="51">
        <v>142</v>
      </c>
      <c r="E4484" s="51">
        <f t="shared" si="70"/>
        <v>0</v>
      </c>
    </row>
    <row r="4485" spans="1:5">
      <c r="A4485" s="59">
        <v>9</v>
      </c>
      <c r="B4485" s="59">
        <v>63</v>
      </c>
      <c r="C4485" s="59">
        <v>160</v>
      </c>
      <c r="D4485" s="51">
        <v>142</v>
      </c>
      <c r="E4485" s="51">
        <f t="shared" si="70"/>
        <v>0</v>
      </c>
    </row>
    <row r="4486" spans="1:5">
      <c r="A4486" s="59">
        <v>9</v>
      </c>
      <c r="B4486" s="59">
        <v>43</v>
      </c>
      <c r="C4486" s="59">
        <v>920</v>
      </c>
      <c r="D4486" s="51">
        <v>140</v>
      </c>
      <c r="E4486" s="51">
        <f t="shared" si="70"/>
        <v>0</v>
      </c>
    </row>
    <row r="4487" spans="1:5">
      <c r="A4487" s="59">
        <v>9</v>
      </c>
      <c r="B4487" s="59">
        <v>64</v>
      </c>
      <c r="C4487" s="59">
        <v>310</v>
      </c>
      <c r="D4487" s="51">
        <v>138</v>
      </c>
      <c r="E4487" s="51">
        <f t="shared" si="70"/>
        <v>0</v>
      </c>
    </row>
    <row r="4488" spans="1:5">
      <c r="A4488" s="59">
        <v>9</v>
      </c>
      <c r="B4488" s="59">
        <v>13</v>
      </c>
      <c r="C4488" s="59">
        <v>430</v>
      </c>
      <c r="D4488" s="51">
        <v>135</v>
      </c>
      <c r="E4488" s="51">
        <f t="shared" si="70"/>
        <v>0</v>
      </c>
    </row>
    <row r="4489" spans="1:5">
      <c r="A4489" s="59">
        <v>9</v>
      </c>
      <c r="B4489" s="59">
        <v>15</v>
      </c>
      <c r="C4489" s="59">
        <v>150</v>
      </c>
      <c r="D4489" s="51">
        <v>134</v>
      </c>
      <c r="E4489" s="51">
        <f t="shared" si="70"/>
        <v>0</v>
      </c>
    </row>
    <row r="4490" spans="1:5">
      <c r="A4490" s="59">
        <v>9</v>
      </c>
      <c r="B4490" s="59">
        <v>62</v>
      </c>
      <c r="C4490" s="59">
        <v>420</v>
      </c>
      <c r="D4490" s="51">
        <v>129</v>
      </c>
      <c r="E4490" s="51">
        <f t="shared" si="70"/>
        <v>1</v>
      </c>
    </row>
    <row r="4491" spans="1:5">
      <c r="A4491" s="59">
        <v>9</v>
      </c>
      <c r="B4491" s="59">
        <v>64</v>
      </c>
      <c r="C4491" s="59">
        <v>610</v>
      </c>
      <c r="D4491" s="51">
        <v>128</v>
      </c>
      <c r="E4491" s="51">
        <f t="shared" si="70"/>
        <v>0</v>
      </c>
    </row>
    <row r="4492" spans="1:5">
      <c r="A4492" s="59">
        <v>9</v>
      </c>
      <c r="B4492" s="59">
        <v>14</v>
      </c>
      <c r="C4492" s="59">
        <v>430</v>
      </c>
      <c r="D4492" s="51">
        <v>124</v>
      </c>
      <c r="E4492" s="51">
        <f t="shared" si="70"/>
        <v>0</v>
      </c>
    </row>
    <row r="4493" spans="1:5">
      <c r="A4493" s="59">
        <v>9</v>
      </c>
      <c r="B4493" s="59">
        <v>63</v>
      </c>
      <c r="C4493" s="59">
        <v>430</v>
      </c>
      <c r="D4493" s="51">
        <v>120</v>
      </c>
      <c r="E4493" s="51">
        <f t="shared" si="70"/>
        <v>0</v>
      </c>
    </row>
    <row r="4494" spans="1:5">
      <c r="A4494" s="59">
        <v>9</v>
      </c>
      <c r="B4494" s="59">
        <v>16</v>
      </c>
      <c r="C4494" s="59">
        <v>210</v>
      </c>
      <c r="D4494" s="51">
        <v>119</v>
      </c>
      <c r="E4494" s="51">
        <f t="shared" si="70"/>
        <v>0</v>
      </c>
    </row>
    <row r="4495" spans="1:5">
      <c r="A4495" s="59">
        <v>9</v>
      </c>
      <c r="B4495" s="59">
        <v>13</v>
      </c>
      <c r="C4495" s="59">
        <v>150</v>
      </c>
      <c r="D4495" s="51">
        <v>116</v>
      </c>
      <c r="E4495" s="51">
        <f t="shared" si="70"/>
        <v>0</v>
      </c>
    </row>
    <row r="4496" spans="1:5">
      <c r="A4496" s="59">
        <v>9</v>
      </c>
      <c r="B4496" s="59">
        <v>71</v>
      </c>
      <c r="C4496" s="59">
        <v>420</v>
      </c>
      <c r="D4496" s="51">
        <v>114</v>
      </c>
      <c r="E4496" s="51">
        <f t="shared" si="70"/>
        <v>0</v>
      </c>
    </row>
    <row r="4497" spans="1:5">
      <c r="A4497" s="59">
        <v>9</v>
      </c>
      <c r="B4497" s="59">
        <v>14</v>
      </c>
      <c r="C4497" s="59">
        <v>310</v>
      </c>
      <c r="D4497" s="51">
        <v>113</v>
      </c>
      <c r="E4497" s="51">
        <f t="shared" si="70"/>
        <v>0</v>
      </c>
    </row>
    <row r="4498" spans="1:5">
      <c r="A4498" s="59">
        <v>9</v>
      </c>
      <c r="B4498" s="59">
        <v>22</v>
      </c>
      <c r="C4498" s="59">
        <v>410</v>
      </c>
      <c r="D4498" s="51">
        <v>109</v>
      </c>
      <c r="E4498" s="51">
        <f t="shared" si="70"/>
        <v>0</v>
      </c>
    </row>
    <row r="4499" spans="1:5">
      <c r="A4499" s="59">
        <v>9</v>
      </c>
      <c r="B4499" s="59">
        <v>14</v>
      </c>
      <c r="C4499" s="59">
        <v>110</v>
      </c>
      <c r="D4499" s="51">
        <v>105</v>
      </c>
      <c r="E4499" s="51">
        <f t="shared" si="70"/>
        <v>0</v>
      </c>
    </row>
    <row r="4500" spans="1:5">
      <c r="A4500" s="59">
        <v>9</v>
      </c>
      <c r="B4500" s="59">
        <v>14</v>
      </c>
      <c r="C4500" s="59">
        <v>240</v>
      </c>
      <c r="D4500" s="51">
        <v>105</v>
      </c>
      <c r="E4500" s="51">
        <f t="shared" si="70"/>
        <v>0</v>
      </c>
    </row>
    <row r="4501" spans="1:5">
      <c r="A4501" s="59">
        <v>9</v>
      </c>
      <c r="B4501" s="59">
        <v>43</v>
      </c>
      <c r="C4501" s="59">
        <v>330</v>
      </c>
      <c r="D4501" s="51">
        <v>105</v>
      </c>
      <c r="E4501" s="51">
        <f t="shared" si="70"/>
        <v>0</v>
      </c>
    </row>
    <row r="4502" spans="1:5">
      <c r="A4502" s="59">
        <v>9</v>
      </c>
      <c r="B4502" s="59">
        <v>64</v>
      </c>
      <c r="C4502" s="59">
        <v>440</v>
      </c>
      <c r="D4502" s="51">
        <v>105</v>
      </c>
      <c r="E4502" s="51">
        <f t="shared" si="70"/>
        <v>0</v>
      </c>
    </row>
    <row r="4503" spans="1:5">
      <c r="A4503" s="59">
        <v>9</v>
      </c>
      <c r="B4503" s="59">
        <v>31</v>
      </c>
      <c r="C4503" s="59">
        <v>430</v>
      </c>
      <c r="D4503" s="51">
        <v>104</v>
      </c>
      <c r="E4503" s="51">
        <f t="shared" si="70"/>
        <v>0</v>
      </c>
    </row>
    <row r="4504" spans="1:5">
      <c r="A4504" s="59">
        <v>9</v>
      </c>
      <c r="B4504" s="59">
        <v>15</v>
      </c>
      <c r="C4504" s="59">
        <v>160</v>
      </c>
      <c r="D4504" s="51">
        <v>103</v>
      </c>
      <c r="E4504" s="51">
        <f t="shared" si="70"/>
        <v>0</v>
      </c>
    </row>
    <row r="4505" spans="1:5">
      <c r="A4505" s="59">
        <v>9</v>
      </c>
      <c r="B4505" s="59">
        <v>71</v>
      </c>
      <c r="C4505" s="59">
        <v>910</v>
      </c>
      <c r="D4505" s="51">
        <v>103</v>
      </c>
      <c r="E4505" s="51">
        <f t="shared" si="70"/>
        <v>0</v>
      </c>
    </row>
    <row r="4506" spans="1:5">
      <c r="A4506" s="59">
        <v>9</v>
      </c>
      <c r="B4506" s="59">
        <v>15</v>
      </c>
      <c r="C4506" s="59">
        <v>210</v>
      </c>
      <c r="D4506" s="51">
        <v>96</v>
      </c>
      <c r="E4506" s="51">
        <f t="shared" si="70"/>
        <v>0</v>
      </c>
    </row>
    <row r="4507" spans="1:5">
      <c r="A4507" s="59">
        <v>9</v>
      </c>
      <c r="B4507" s="59">
        <v>22</v>
      </c>
      <c r="C4507" s="59">
        <v>240</v>
      </c>
      <c r="D4507" s="51">
        <v>96</v>
      </c>
      <c r="E4507" s="51">
        <f t="shared" si="70"/>
        <v>0</v>
      </c>
    </row>
    <row r="4508" spans="1:5">
      <c r="A4508" s="59">
        <v>9</v>
      </c>
      <c r="B4508" s="59">
        <v>22</v>
      </c>
      <c r="C4508" s="59">
        <v>910</v>
      </c>
      <c r="D4508" s="51">
        <v>95</v>
      </c>
      <c r="E4508" s="51">
        <f t="shared" si="70"/>
        <v>0</v>
      </c>
    </row>
    <row r="4509" spans="1:5">
      <c r="A4509" s="59">
        <v>9</v>
      </c>
      <c r="B4509" s="59">
        <v>15</v>
      </c>
      <c r="C4509" s="59">
        <v>910</v>
      </c>
      <c r="D4509" s="51">
        <v>94</v>
      </c>
      <c r="E4509" s="51">
        <f t="shared" si="70"/>
        <v>0</v>
      </c>
    </row>
    <row r="4510" spans="1:5">
      <c r="A4510" s="59">
        <v>9</v>
      </c>
      <c r="B4510" s="59">
        <v>42</v>
      </c>
      <c r="C4510" s="59">
        <v>160</v>
      </c>
      <c r="D4510" s="51">
        <v>93</v>
      </c>
      <c r="E4510" s="51">
        <f t="shared" si="70"/>
        <v>0</v>
      </c>
    </row>
    <row r="4511" spans="1:5">
      <c r="A4511" s="59">
        <v>9</v>
      </c>
      <c r="B4511" s="59">
        <v>43</v>
      </c>
      <c r="C4511" s="59">
        <v>150</v>
      </c>
      <c r="D4511" s="51">
        <v>92</v>
      </c>
      <c r="E4511" s="51">
        <f t="shared" si="70"/>
        <v>0</v>
      </c>
    </row>
    <row r="4512" spans="1:5">
      <c r="A4512" s="59">
        <v>9</v>
      </c>
      <c r="B4512" s="59">
        <v>42</v>
      </c>
      <c r="C4512" s="59">
        <v>430</v>
      </c>
      <c r="D4512" s="51">
        <v>89</v>
      </c>
      <c r="E4512" s="51">
        <f t="shared" si="70"/>
        <v>0</v>
      </c>
    </row>
    <row r="4513" spans="1:5">
      <c r="A4513" s="59">
        <v>9</v>
      </c>
      <c r="B4513" s="59">
        <v>43</v>
      </c>
      <c r="C4513" s="59">
        <v>510</v>
      </c>
      <c r="D4513" s="51">
        <v>87</v>
      </c>
      <c r="E4513" s="51">
        <f t="shared" si="70"/>
        <v>0</v>
      </c>
    </row>
    <row r="4514" spans="1:5">
      <c r="A4514" s="59">
        <v>9</v>
      </c>
      <c r="B4514" s="59">
        <v>64</v>
      </c>
      <c r="C4514" s="59">
        <v>330</v>
      </c>
      <c r="D4514" s="51">
        <v>87</v>
      </c>
      <c r="E4514" s="51">
        <f t="shared" si="70"/>
        <v>0</v>
      </c>
    </row>
    <row r="4515" spans="1:5">
      <c r="A4515" s="59">
        <v>9</v>
      </c>
      <c r="B4515" s="59">
        <v>63</v>
      </c>
      <c r="C4515" s="59">
        <v>420</v>
      </c>
      <c r="D4515" s="51">
        <v>85</v>
      </c>
      <c r="E4515" s="51">
        <f t="shared" si="70"/>
        <v>0</v>
      </c>
    </row>
    <row r="4516" spans="1:5">
      <c r="A4516" s="59">
        <v>9</v>
      </c>
      <c r="B4516" s="59">
        <v>14</v>
      </c>
      <c r="C4516" s="59">
        <v>140</v>
      </c>
      <c r="D4516" s="51">
        <v>83</v>
      </c>
      <c r="E4516" s="51">
        <f t="shared" si="70"/>
        <v>0</v>
      </c>
    </row>
    <row r="4517" spans="1:5">
      <c r="A4517" s="59">
        <v>9</v>
      </c>
      <c r="B4517" s="59">
        <v>43</v>
      </c>
      <c r="C4517" s="59">
        <v>530</v>
      </c>
      <c r="D4517" s="51">
        <v>83</v>
      </c>
      <c r="E4517" s="51">
        <f t="shared" si="70"/>
        <v>0</v>
      </c>
    </row>
    <row r="4518" spans="1:5">
      <c r="A4518" s="59">
        <v>9</v>
      </c>
      <c r="B4518" s="59">
        <v>63</v>
      </c>
      <c r="C4518" s="59">
        <v>910</v>
      </c>
      <c r="D4518" s="51">
        <v>83</v>
      </c>
      <c r="E4518" s="51">
        <f t="shared" si="70"/>
        <v>0</v>
      </c>
    </row>
    <row r="4519" spans="1:5">
      <c r="A4519" s="59">
        <v>9</v>
      </c>
      <c r="B4519" s="59">
        <v>13</v>
      </c>
      <c r="C4519" s="59">
        <v>210</v>
      </c>
      <c r="D4519" s="51">
        <v>82</v>
      </c>
      <c r="E4519" s="51">
        <f t="shared" si="70"/>
        <v>0</v>
      </c>
    </row>
    <row r="4520" spans="1:5">
      <c r="A4520" s="59">
        <v>9</v>
      </c>
      <c r="B4520" s="59">
        <v>16</v>
      </c>
      <c r="C4520" s="59">
        <v>140</v>
      </c>
      <c r="D4520" s="51">
        <v>82</v>
      </c>
      <c r="E4520" s="51">
        <f t="shared" si="70"/>
        <v>0</v>
      </c>
    </row>
    <row r="4521" spans="1:5">
      <c r="A4521" s="59">
        <v>9</v>
      </c>
      <c r="B4521" s="59">
        <v>62</v>
      </c>
      <c r="C4521" s="59">
        <v>910</v>
      </c>
      <c r="D4521" s="51">
        <v>79</v>
      </c>
      <c r="E4521" s="51">
        <f t="shared" si="70"/>
        <v>1</v>
      </c>
    </row>
    <row r="4522" spans="1:5">
      <c r="A4522" s="59">
        <v>9</v>
      </c>
      <c r="B4522" s="59">
        <v>16</v>
      </c>
      <c r="C4522" s="59">
        <v>330</v>
      </c>
      <c r="D4522" s="51">
        <v>78</v>
      </c>
      <c r="E4522" s="51">
        <f t="shared" si="70"/>
        <v>0</v>
      </c>
    </row>
    <row r="4523" spans="1:5">
      <c r="A4523" s="59">
        <v>9</v>
      </c>
      <c r="B4523" s="59">
        <v>16</v>
      </c>
      <c r="C4523" s="59">
        <v>240</v>
      </c>
      <c r="D4523" s="51">
        <v>77</v>
      </c>
      <c r="E4523" s="51">
        <f t="shared" si="70"/>
        <v>0</v>
      </c>
    </row>
    <row r="4524" spans="1:5">
      <c r="A4524" s="59">
        <v>9</v>
      </c>
      <c r="B4524" s="59">
        <v>51</v>
      </c>
      <c r="C4524" s="59">
        <v>410</v>
      </c>
      <c r="D4524" s="51">
        <v>77</v>
      </c>
      <c r="E4524" s="51">
        <f t="shared" si="70"/>
        <v>0</v>
      </c>
    </row>
    <row r="4525" spans="1:5">
      <c r="A4525" s="59">
        <v>9</v>
      </c>
      <c r="B4525" s="59">
        <v>64</v>
      </c>
      <c r="C4525" s="59">
        <v>930</v>
      </c>
      <c r="D4525" s="51">
        <v>77</v>
      </c>
      <c r="E4525" s="51">
        <f t="shared" si="70"/>
        <v>0</v>
      </c>
    </row>
    <row r="4526" spans="1:5">
      <c r="A4526" s="59">
        <v>9</v>
      </c>
      <c r="B4526" s="59">
        <v>71</v>
      </c>
      <c r="C4526" s="59">
        <v>540</v>
      </c>
      <c r="D4526" s="51">
        <v>75</v>
      </c>
      <c r="E4526" s="51">
        <f t="shared" si="70"/>
        <v>0</v>
      </c>
    </row>
    <row r="4527" spans="1:5">
      <c r="A4527" s="59">
        <v>9</v>
      </c>
      <c r="B4527" s="59">
        <v>33</v>
      </c>
      <c r="C4527" s="59">
        <v>160</v>
      </c>
      <c r="D4527" s="51">
        <v>74</v>
      </c>
      <c r="E4527" s="51">
        <f t="shared" si="70"/>
        <v>0</v>
      </c>
    </row>
    <row r="4528" spans="1:5">
      <c r="A4528" s="59">
        <v>9</v>
      </c>
      <c r="B4528" s="59">
        <v>43</v>
      </c>
      <c r="C4528" s="59">
        <v>895</v>
      </c>
      <c r="D4528" s="51">
        <v>74</v>
      </c>
      <c r="E4528" s="51">
        <f t="shared" si="70"/>
        <v>0</v>
      </c>
    </row>
    <row r="4529" spans="1:5">
      <c r="A4529" s="59">
        <v>9</v>
      </c>
      <c r="B4529" s="59">
        <v>41</v>
      </c>
      <c r="C4529" s="59">
        <v>410</v>
      </c>
      <c r="D4529" s="51">
        <v>72</v>
      </c>
      <c r="E4529" s="51">
        <f t="shared" si="70"/>
        <v>1</v>
      </c>
    </row>
    <row r="4530" spans="1:5">
      <c r="A4530" s="59">
        <v>9</v>
      </c>
      <c r="B4530" s="59">
        <v>13</v>
      </c>
      <c r="C4530" s="59">
        <v>330</v>
      </c>
      <c r="D4530" s="51">
        <v>71</v>
      </c>
      <c r="E4530" s="51">
        <f t="shared" si="70"/>
        <v>0</v>
      </c>
    </row>
    <row r="4531" spans="1:5">
      <c r="A4531" s="59">
        <v>9</v>
      </c>
      <c r="B4531" s="59">
        <v>22</v>
      </c>
      <c r="C4531" s="59">
        <v>230</v>
      </c>
      <c r="D4531" s="51">
        <v>71</v>
      </c>
      <c r="E4531" s="51">
        <f t="shared" si="70"/>
        <v>0</v>
      </c>
    </row>
    <row r="4532" spans="1:5">
      <c r="A4532" s="59">
        <v>9</v>
      </c>
      <c r="B4532" s="59">
        <v>16</v>
      </c>
      <c r="C4532" s="59">
        <v>430</v>
      </c>
      <c r="D4532" s="51">
        <v>70</v>
      </c>
      <c r="E4532" s="51">
        <f t="shared" si="70"/>
        <v>0</v>
      </c>
    </row>
    <row r="4533" spans="1:5">
      <c r="A4533" s="59">
        <v>9</v>
      </c>
      <c r="B4533" s="59">
        <v>71</v>
      </c>
      <c r="C4533" s="59">
        <v>620</v>
      </c>
      <c r="D4533" s="51">
        <v>70</v>
      </c>
      <c r="E4533" s="51">
        <f t="shared" si="70"/>
        <v>0</v>
      </c>
    </row>
    <row r="4534" spans="1:5">
      <c r="A4534" s="59">
        <v>9</v>
      </c>
      <c r="B4534" s="59">
        <v>64</v>
      </c>
      <c r="C4534" s="59">
        <v>540</v>
      </c>
      <c r="D4534" s="51">
        <v>67</v>
      </c>
      <c r="E4534" s="51">
        <f t="shared" si="70"/>
        <v>0</v>
      </c>
    </row>
    <row r="4535" spans="1:5">
      <c r="A4535" s="59">
        <v>9</v>
      </c>
      <c r="B4535" s="59">
        <v>32</v>
      </c>
      <c r="C4535" s="59">
        <v>330</v>
      </c>
      <c r="D4535" s="51">
        <v>66</v>
      </c>
      <c r="E4535" s="51">
        <f t="shared" si="70"/>
        <v>0</v>
      </c>
    </row>
    <row r="4536" spans="1:5">
      <c r="A4536" s="59">
        <v>9</v>
      </c>
      <c r="B4536" s="59">
        <v>32</v>
      </c>
      <c r="C4536" s="59">
        <v>920</v>
      </c>
      <c r="D4536" s="51">
        <v>66</v>
      </c>
      <c r="E4536" s="51">
        <f t="shared" si="70"/>
        <v>0</v>
      </c>
    </row>
    <row r="4537" spans="1:5">
      <c r="A4537" s="59">
        <v>9</v>
      </c>
      <c r="B4537" s="59">
        <v>64</v>
      </c>
      <c r="C4537" s="59">
        <v>620</v>
      </c>
      <c r="D4537" s="51">
        <v>66</v>
      </c>
      <c r="E4537" s="51">
        <f t="shared" si="70"/>
        <v>0</v>
      </c>
    </row>
    <row r="4538" spans="1:5">
      <c r="A4538" s="59">
        <v>9</v>
      </c>
      <c r="B4538" s="59">
        <v>32</v>
      </c>
      <c r="C4538" s="59">
        <v>220</v>
      </c>
      <c r="D4538" s="51">
        <v>65</v>
      </c>
      <c r="E4538" s="51">
        <f t="shared" si="70"/>
        <v>0</v>
      </c>
    </row>
    <row r="4539" spans="1:5">
      <c r="A4539" s="59">
        <v>9</v>
      </c>
      <c r="B4539" s="59">
        <v>42</v>
      </c>
      <c r="C4539" s="59">
        <v>910</v>
      </c>
      <c r="D4539" s="51">
        <v>64</v>
      </c>
      <c r="E4539" s="51">
        <f t="shared" si="70"/>
        <v>0</v>
      </c>
    </row>
    <row r="4540" spans="1:5">
      <c r="A4540" s="59">
        <v>9</v>
      </c>
      <c r="B4540" s="59">
        <v>33</v>
      </c>
      <c r="C4540" s="59">
        <v>310</v>
      </c>
      <c r="D4540" s="51">
        <v>63</v>
      </c>
      <c r="E4540" s="51">
        <f t="shared" si="70"/>
        <v>0</v>
      </c>
    </row>
    <row r="4541" spans="1:5">
      <c r="A4541" s="59">
        <v>9</v>
      </c>
      <c r="B4541" s="59">
        <v>15</v>
      </c>
      <c r="C4541" s="59">
        <v>330</v>
      </c>
      <c r="D4541" s="51">
        <v>62</v>
      </c>
      <c r="E4541" s="51">
        <f t="shared" si="70"/>
        <v>0</v>
      </c>
    </row>
    <row r="4542" spans="1:5">
      <c r="A4542" s="59">
        <v>9</v>
      </c>
      <c r="B4542" s="59">
        <v>62</v>
      </c>
      <c r="C4542" s="59">
        <v>160</v>
      </c>
      <c r="D4542" s="51">
        <v>60</v>
      </c>
      <c r="E4542" s="51">
        <f t="shared" si="70"/>
        <v>1</v>
      </c>
    </row>
    <row r="4543" spans="1:5">
      <c r="A4543" s="59">
        <v>9</v>
      </c>
      <c r="B4543" s="59">
        <v>43</v>
      </c>
      <c r="C4543" s="59">
        <v>310</v>
      </c>
      <c r="D4543" s="51">
        <v>58</v>
      </c>
      <c r="E4543" s="51">
        <f t="shared" si="70"/>
        <v>0</v>
      </c>
    </row>
    <row r="4544" spans="1:5">
      <c r="A4544" s="59">
        <v>9</v>
      </c>
      <c r="B4544" s="59">
        <v>33</v>
      </c>
      <c r="C4544" s="59">
        <v>220</v>
      </c>
      <c r="D4544" s="51">
        <v>57</v>
      </c>
      <c r="E4544" s="51">
        <f t="shared" si="70"/>
        <v>0</v>
      </c>
    </row>
    <row r="4545" spans="1:5">
      <c r="A4545" s="59">
        <v>9</v>
      </c>
      <c r="B4545" s="59">
        <v>42</v>
      </c>
      <c r="C4545" s="59">
        <v>210</v>
      </c>
      <c r="D4545" s="51">
        <v>56</v>
      </c>
      <c r="E4545" s="51">
        <f t="shared" si="70"/>
        <v>0</v>
      </c>
    </row>
    <row r="4546" spans="1:5">
      <c r="A4546" s="59">
        <v>9</v>
      </c>
      <c r="B4546" s="59">
        <v>42</v>
      </c>
      <c r="C4546" s="59">
        <v>420</v>
      </c>
      <c r="D4546" s="51">
        <v>56</v>
      </c>
      <c r="E4546" s="51">
        <f t="shared" ref="E4546:E4609" si="71">IF(OR(A4546=6,A4546=7,A4546=14,A4546=15,A4546=16,A4546=17,A4546=18,A4546=19,A4546=20,A4546=21,A4546=22,A4546=23,A4546=25,A4546=26,A4546=27,A4546=28,B4546=41,B4546=44,B4546=62),1,0)</f>
        <v>0</v>
      </c>
    </row>
    <row r="4547" spans="1:5">
      <c r="A4547" s="59">
        <v>9</v>
      </c>
      <c r="B4547" s="59">
        <v>64</v>
      </c>
      <c r="C4547" s="59">
        <v>230</v>
      </c>
      <c r="D4547" s="51">
        <v>56</v>
      </c>
      <c r="E4547" s="51">
        <f t="shared" si="71"/>
        <v>0</v>
      </c>
    </row>
    <row r="4548" spans="1:5">
      <c r="A4548" s="59">
        <v>9</v>
      </c>
      <c r="B4548" s="59">
        <v>32</v>
      </c>
      <c r="C4548" s="59">
        <v>160</v>
      </c>
      <c r="D4548" s="51">
        <v>53</v>
      </c>
      <c r="E4548" s="51">
        <f t="shared" si="71"/>
        <v>0</v>
      </c>
    </row>
    <row r="4549" spans="1:5">
      <c r="A4549" s="59">
        <v>9</v>
      </c>
      <c r="B4549" s="59">
        <v>42</v>
      </c>
      <c r="C4549" s="59">
        <v>240</v>
      </c>
      <c r="D4549" s="51">
        <v>53</v>
      </c>
      <c r="E4549" s="51">
        <f t="shared" si="71"/>
        <v>0</v>
      </c>
    </row>
    <row r="4550" spans="1:5">
      <c r="A4550" s="59">
        <v>9</v>
      </c>
      <c r="B4550" s="59">
        <v>24</v>
      </c>
      <c r="C4550" s="59">
        <v>410</v>
      </c>
      <c r="D4550" s="51">
        <v>52</v>
      </c>
      <c r="E4550" s="51">
        <f t="shared" si="71"/>
        <v>0</v>
      </c>
    </row>
    <row r="4551" spans="1:5">
      <c r="A4551" s="59">
        <v>9</v>
      </c>
      <c r="B4551" s="59">
        <v>33</v>
      </c>
      <c r="C4551" s="59">
        <v>130</v>
      </c>
      <c r="D4551" s="51">
        <v>51</v>
      </c>
      <c r="E4551" s="51">
        <f t="shared" si="71"/>
        <v>0</v>
      </c>
    </row>
    <row r="4552" spans="1:5">
      <c r="A4552" s="59">
        <v>9</v>
      </c>
      <c r="B4552" s="59">
        <v>13</v>
      </c>
      <c r="C4552" s="59">
        <v>240</v>
      </c>
      <c r="D4552" s="51">
        <v>49</v>
      </c>
      <c r="E4552" s="51">
        <f t="shared" si="71"/>
        <v>0</v>
      </c>
    </row>
    <row r="4553" spans="1:5">
      <c r="A4553" s="59">
        <v>9</v>
      </c>
      <c r="B4553" s="59">
        <v>14</v>
      </c>
      <c r="C4553" s="59">
        <v>130</v>
      </c>
      <c r="D4553" s="51">
        <v>48</v>
      </c>
      <c r="E4553" s="51">
        <f t="shared" si="71"/>
        <v>0</v>
      </c>
    </row>
    <row r="4554" spans="1:5">
      <c r="A4554" s="59">
        <v>9</v>
      </c>
      <c r="B4554" s="59">
        <v>14</v>
      </c>
      <c r="C4554" s="59">
        <v>230</v>
      </c>
      <c r="D4554" s="51">
        <v>48</v>
      </c>
      <c r="E4554" s="51">
        <f t="shared" si="71"/>
        <v>0</v>
      </c>
    </row>
    <row r="4555" spans="1:5">
      <c r="A4555" s="59">
        <v>9</v>
      </c>
      <c r="B4555" s="59">
        <v>62</v>
      </c>
      <c r="C4555" s="59">
        <v>430</v>
      </c>
      <c r="D4555" s="51">
        <v>48</v>
      </c>
      <c r="E4555" s="51">
        <f t="shared" si="71"/>
        <v>1</v>
      </c>
    </row>
    <row r="4556" spans="1:5">
      <c r="A4556" s="59">
        <v>9</v>
      </c>
      <c r="B4556" s="59">
        <v>15</v>
      </c>
      <c r="C4556" s="59">
        <v>240</v>
      </c>
      <c r="D4556" s="51">
        <v>46</v>
      </c>
      <c r="E4556" s="51">
        <f t="shared" si="71"/>
        <v>0</v>
      </c>
    </row>
    <row r="4557" spans="1:5">
      <c r="A4557" s="59">
        <v>9</v>
      </c>
      <c r="B4557" s="59">
        <v>64</v>
      </c>
      <c r="C4557" s="59">
        <v>220</v>
      </c>
      <c r="D4557" s="51">
        <v>45</v>
      </c>
      <c r="E4557" s="51">
        <f t="shared" si="71"/>
        <v>0</v>
      </c>
    </row>
    <row r="4558" spans="1:5">
      <c r="A4558" s="59">
        <v>9</v>
      </c>
      <c r="B4558" s="59">
        <v>14</v>
      </c>
      <c r="C4558" s="59">
        <v>320</v>
      </c>
      <c r="D4558" s="51">
        <v>44</v>
      </c>
      <c r="E4558" s="51">
        <f t="shared" si="71"/>
        <v>0</v>
      </c>
    </row>
    <row r="4559" spans="1:5">
      <c r="A4559" s="59">
        <v>9</v>
      </c>
      <c r="B4559" s="59">
        <v>16</v>
      </c>
      <c r="C4559" s="59">
        <v>310</v>
      </c>
      <c r="D4559" s="51">
        <v>44</v>
      </c>
      <c r="E4559" s="51">
        <f t="shared" si="71"/>
        <v>0</v>
      </c>
    </row>
    <row r="4560" spans="1:5">
      <c r="A4560" s="59">
        <v>9</v>
      </c>
      <c r="B4560" s="59">
        <v>22</v>
      </c>
      <c r="C4560" s="59">
        <v>420</v>
      </c>
      <c r="D4560" s="51">
        <v>44</v>
      </c>
      <c r="E4560" s="51">
        <f t="shared" si="71"/>
        <v>0</v>
      </c>
    </row>
    <row r="4561" spans="1:5">
      <c r="A4561" s="59">
        <v>9</v>
      </c>
      <c r="B4561" s="59">
        <v>44</v>
      </c>
      <c r="C4561" s="59">
        <v>910</v>
      </c>
      <c r="D4561" s="51">
        <v>44</v>
      </c>
      <c r="E4561" s="51">
        <f t="shared" si="71"/>
        <v>1</v>
      </c>
    </row>
    <row r="4562" spans="1:5">
      <c r="A4562" s="59">
        <v>9</v>
      </c>
      <c r="B4562" s="59">
        <v>32</v>
      </c>
      <c r="C4562" s="59">
        <v>960</v>
      </c>
      <c r="D4562" s="51">
        <v>43</v>
      </c>
      <c r="E4562" s="51">
        <f t="shared" si="71"/>
        <v>0</v>
      </c>
    </row>
    <row r="4563" spans="1:5">
      <c r="A4563" s="59">
        <v>9</v>
      </c>
      <c r="B4563" s="59">
        <v>13</v>
      </c>
      <c r="C4563" s="59">
        <v>110</v>
      </c>
      <c r="D4563" s="51">
        <v>41</v>
      </c>
      <c r="E4563" s="51">
        <f t="shared" si="71"/>
        <v>0</v>
      </c>
    </row>
    <row r="4564" spans="1:5">
      <c r="A4564" s="59">
        <v>9</v>
      </c>
      <c r="B4564" s="59">
        <v>13</v>
      </c>
      <c r="C4564" s="59">
        <v>310</v>
      </c>
      <c r="D4564" s="51">
        <v>41</v>
      </c>
      <c r="E4564" s="51">
        <f t="shared" si="71"/>
        <v>0</v>
      </c>
    </row>
    <row r="4565" spans="1:5">
      <c r="A4565" s="59">
        <v>9</v>
      </c>
      <c r="B4565" s="59">
        <v>32</v>
      </c>
      <c r="C4565" s="59">
        <v>970</v>
      </c>
      <c r="D4565" s="51">
        <v>41</v>
      </c>
      <c r="E4565" s="51">
        <f t="shared" si="71"/>
        <v>0</v>
      </c>
    </row>
    <row r="4566" spans="1:5">
      <c r="A4566" s="59">
        <v>9</v>
      </c>
      <c r="B4566" s="59">
        <v>43</v>
      </c>
      <c r="C4566" s="59">
        <v>110</v>
      </c>
      <c r="D4566" s="51">
        <v>41</v>
      </c>
      <c r="E4566" s="51">
        <f t="shared" si="71"/>
        <v>0</v>
      </c>
    </row>
    <row r="4567" spans="1:5">
      <c r="A4567" s="59">
        <v>9</v>
      </c>
      <c r="B4567" s="59">
        <v>15</v>
      </c>
      <c r="C4567" s="59">
        <v>140</v>
      </c>
      <c r="D4567" s="51">
        <v>40</v>
      </c>
      <c r="E4567" s="51">
        <f t="shared" si="71"/>
        <v>0</v>
      </c>
    </row>
    <row r="4568" spans="1:5">
      <c r="A4568" s="59">
        <v>9</v>
      </c>
      <c r="B4568" s="59">
        <v>16</v>
      </c>
      <c r="C4568" s="59">
        <v>110</v>
      </c>
      <c r="D4568" s="51">
        <v>40</v>
      </c>
      <c r="E4568" s="51">
        <f t="shared" si="71"/>
        <v>0</v>
      </c>
    </row>
    <row r="4569" spans="1:5">
      <c r="A4569" s="59">
        <v>9</v>
      </c>
      <c r="B4569" s="59">
        <v>31</v>
      </c>
      <c r="C4569" s="59">
        <v>910</v>
      </c>
      <c r="D4569" s="51">
        <v>40</v>
      </c>
      <c r="E4569" s="51">
        <f t="shared" si="71"/>
        <v>0</v>
      </c>
    </row>
    <row r="4570" spans="1:5">
      <c r="A4570" s="59">
        <v>9</v>
      </c>
      <c r="B4570" s="59">
        <v>32</v>
      </c>
      <c r="C4570" s="59">
        <v>310</v>
      </c>
      <c r="D4570" s="51">
        <v>39</v>
      </c>
      <c r="E4570" s="51">
        <f t="shared" si="71"/>
        <v>0</v>
      </c>
    </row>
    <row r="4571" spans="1:5">
      <c r="A4571" s="59">
        <v>9</v>
      </c>
      <c r="B4571" s="59">
        <v>15</v>
      </c>
      <c r="C4571" s="59">
        <v>310</v>
      </c>
      <c r="D4571" s="51">
        <v>38</v>
      </c>
      <c r="E4571" s="51">
        <f t="shared" si="71"/>
        <v>0</v>
      </c>
    </row>
    <row r="4572" spans="1:5">
      <c r="A4572" s="59">
        <v>9</v>
      </c>
      <c r="B4572" s="59">
        <v>62</v>
      </c>
      <c r="C4572" s="59">
        <v>920</v>
      </c>
      <c r="D4572" s="51">
        <v>38</v>
      </c>
      <c r="E4572" s="51">
        <f t="shared" si="71"/>
        <v>1</v>
      </c>
    </row>
    <row r="4573" spans="1:5">
      <c r="A4573" s="59">
        <v>9</v>
      </c>
      <c r="B4573" s="59">
        <v>63</v>
      </c>
      <c r="C4573" s="59">
        <v>530</v>
      </c>
      <c r="D4573" s="51">
        <v>36</v>
      </c>
      <c r="E4573" s="51">
        <f t="shared" si="71"/>
        <v>0</v>
      </c>
    </row>
    <row r="4574" spans="1:5">
      <c r="A4574" s="59">
        <v>9</v>
      </c>
      <c r="B4574" s="59">
        <v>71</v>
      </c>
      <c r="C4574" s="59">
        <v>530</v>
      </c>
      <c r="D4574" s="51">
        <v>36</v>
      </c>
      <c r="E4574" s="51">
        <f t="shared" si="71"/>
        <v>0</v>
      </c>
    </row>
    <row r="4575" spans="1:5">
      <c r="A4575" s="59">
        <v>9</v>
      </c>
      <c r="B4575" s="59">
        <v>64</v>
      </c>
      <c r="C4575" s="59">
        <v>130</v>
      </c>
      <c r="D4575" s="51">
        <v>35</v>
      </c>
      <c r="E4575" s="51">
        <f t="shared" si="71"/>
        <v>0</v>
      </c>
    </row>
    <row r="4576" spans="1:5">
      <c r="A4576" s="59">
        <v>9</v>
      </c>
      <c r="B4576" s="59">
        <v>15</v>
      </c>
      <c r="C4576" s="59">
        <v>420</v>
      </c>
      <c r="D4576" s="51">
        <v>34</v>
      </c>
      <c r="E4576" s="51">
        <f t="shared" si="71"/>
        <v>0</v>
      </c>
    </row>
    <row r="4577" spans="1:5">
      <c r="A4577" s="59">
        <v>9</v>
      </c>
      <c r="B4577" s="59">
        <v>16</v>
      </c>
      <c r="C4577" s="59">
        <v>230</v>
      </c>
      <c r="D4577" s="51">
        <v>34</v>
      </c>
      <c r="E4577" s="51">
        <f t="shared" si="71"/>
        <v>0</v>
      </c>
    </row>
    <row r="4578" spans="1:5">
      <c r="A4578" s="59">
        <v>9</v>
      </c>
      <c r="B4578" s="59">
        <v>33</v>
      </c>
      <c r="C4578" s="59">
        <v>110</v>
      </c>
      <c r="D4578" s="51">
        <v>33</v>
      </c>
      <c r="E4578" s="51">
        <f t="shared" si="71"/>
        <v>0</v>
      </c>
    </row>
    <row r="4579" spans="1:5">
      <c r="A4579" s="59">
        <v>9</v>
      </c>
      <c r="B4579" s="59">
        <v>62</v>
      </c>
      <c r="C4579" s="59">
        <v>530</v>
      </c>
      <c r="D4579" s="51">
        <v>33</v>
      </c>
      <c r="E4579" s="51">
        <f t="shared" si="71"/>
        <v>1</v>
      </c>
    </row>
    <row r="4580" spans="1:5">
      <c r="A4580" s="59">
        <v>9</v>
      </c>
      <c r="B4580" s="59">
        <v>64</v>
      </c>
      <c r="C4580" s="59">
        <v>720</v>
      </c>
      <c r="D4580" s="51">
        <v>33</v>
      </c>
      <c r="E4580" s="51">
        <f t="shared" si="71"/>
        <v>0</v>
      </c>
    </row>
    <row r="4581" spans="1:5">
      <c r="A4581" s="59">
        <v>9</v>
      </c>
      <c r="B4581" s="59">
        <v>22</v>
      </c>
      <c r="C4581" s="59">
        <v>330</v>
      </c>
      <c r="D4581" s="51">
        <v>32</v>
      </c>
      <c r="E4581" s="51">
        <f t="shared" si="71"/>
        <v>0</v>
      </c>
    </row>
    <row r="4582" spans="1:5">
      <c r="A4582" s="59">
        <v>9</v>
      </c>
      <c r="B4582" s="59">
        <v>32</v>
      </c>
      <c r="C4582" s="59">
        <v>150</v>
      </c>
      <c r="D4582" s="51">
        <v>32</v>
      </c>
      <c r="E4582" s="51">
        <f t="shared" si="71"/>
        <v>0</v>
      </c>
    </row>
    <row r="4583" spans="1:5">
      <c r="A4583" s="59">
        <v>9</v>
      </c>
      <c r="B4583" s="59">
        <v>64</v>
      </c>
      <c r="C4583" s="59">
        <v>550</v>
      </c>
      <c r="D4583" s="51">
        <v>32</v>
      </c>
      <c r="E4583" s="51">
        <f t="shared" si="71"/>
        <v>0</v>
      </c>
    </row>
    <row r="4584" spans="1:5">
      <c r="A4584" s="59">
        <v>9</v>
      </c>
      <c r="B4584" s="59">
        <v>16</v>
      </c>
      <c r="C4584" s="59">
        <v>150</v>
      </c>
      <c r="D4584" s="51">
        <v>31</v>
      </c>
      <c r="E4584" s="51">
        <f t="shared" si="71"/>
        <v>0</v>
      </c>
    </row>
    <row r="4585" spans="1:5">
      <c r="A4585" s="59">
        <v>9</v>
      </c>
      <c r="B4585" s="59">
        <v>32</v>
      </c>
      <c r="C4585" s="59">
        <v>230</v>
      </c>
      <c r="D4585" s="51">
        <v>31</v>
      </c>
      <c r="E4585" s="51">
        <f t="shared" si="71"/>
        <v>0</v>
      </c>
    </row>
    <row r="4586" spans="1:5">
      <c r="A4586" s="59">
        <v>9</v>
      </c>
      <c r="B4586" s="59">
        <v>33</v>
      </c>
      <c r="C4586" s="59">
        <v>230</v>
      </c>
      <c r="D4586" s="51">
        <v>30</v>
      </c>
      <c r="E4586" s="51">
        <f t="shared" si="71"/>
        <v>0</v>
      </c>
    </row>
    <row r="4587" spans="1:5">
      <c r="A4587" s="59">
        <v>9</v>
      </c>
      <c r="B4587" s="59">
        <v>43</v>
      </c>
      <c r="C4587" s="59">
        <v>230</v>
      </c>
      <c r="D4587" s="51">
        <v>30</v>
      </c>
      <c r="E4587" s="51">
        <f t="shared" si="71"/>
        <v>0</v>
      </c>
    </row>
    <row r="4588" spans="1:5">
      <c r="A4588" s="59">
        <v>9</v>
      </c>
      <c r="B4588" s="59">
        <v>63</v>
      </c>
      <c r="C4588" s="59">
        <v>440</v>
      </c>
      <c r="D4588" s="51">
        <v>30</v>
      </c>
      <c r="E4588" s="51">
        <f t="shared" si="71"/>
        <v>0</v>
      </c>
    </row>
    <row r="4589" spans="1:5">
      <c r="A4589" s="59">
        <v>9</v>
      </c>
      <c r="B4589" s="59">
        <v>71</v>
      </c>
      <c r="C4589" s="59">
        <v>240</v>
      </c>
      <c r="D4589" s="51">
        <v>30</v>
      </c>
      <c r="E4589" s="51">
        <f t="shared" si="71"/>
        <v>0</v>
      </c>
    </row>
    <row r="4590" spans="1:5">
      <c r="A4590" s="59">
        <v>9</v>
      </c>
      <c r="B4590" s="59">
        <v>15</v>
      </c>
      <c r="C4590" s="59">
        <v>110</v>
      </c>
      <c r="D4590" s="51">
        <v>29</v>
      </c>
      <c r="E4590" s="51">
        <f t="shared" si="71"/>
        <v>0</v>
      </c>
    </row>
    <row r="4591" spans="1:5">
      <c r="A4591" s="59">
        <v>9</v>
      </c>
      <c r="B4591" s="59">
        <v>32</v>
      </c>
      <c r="C4591" s="59">
        <v>110</v>
      </c>
      <c r="D4591" s="51">
        <v>29</v>
      </c>
      <c r="E4591" s="51">
        <f t="shared" si="71"/>
        <v>0</v>
      </c>
    </row>
    <row r="4592" spans="1:5">
      <c r="A4592" s="59">
        <v>9</v>
      </c>
      <c r="B4592" s="59">
        <v>64</v>
      </c>
      <c r="C4592" s="59">
        <v>320</v>
      </c>
      <c r="D4592" s="51">
        <v>29</v>
      </c>
      <c r="E4592" s="51">
        <f t="shared" si="71"/>
        <v>0</v>
      </c>
    </row>
    <row r="4593" spans="1:5">
      <c r="A4593" s="59">
        <v>9</v>
      </c>
      <c r="B4593" s="59">
        <v>64</v>
      </c>
      <c r="C4593" s="59">
        <v>140</v>
      </c>
      <c r="D4593" s="51">
        <v>28</v>
      </c>
      <c r="E4593" s="51">
        <f t="shared" si="71"/>
        <v>0</v>
      </c>
    </row>
    <row r="4594" spans="1:5">
      <c r="A4594" s="59">
        <v>9</v>
      </c>
      <c r="B4594" s="59">
        <v>43</v>
      </c>
      <c r="C4594" s="59">
        <v>610</v>
      </c>
      <c r="D4594" s="51">
        <v>27</v>
      </c>
      <c r="E4594" s="51">
        <f t="shared" si="71"/>
        <v>0</v>
      </c>
    </row>
    <row r="4595" spans="1:5">
      <c r="A4595" s="59">
        <v>9</v>
      </c>
      <c r="B4595" s="59">
        <v>31</v>
      </c>
      <c r="C4595" s="59">
        <v>895</v>
      </c>
      <c r="D4595" s="51">
        <v>26</v>
      </c>
      <c r="E4595" s="51">
        <f t="shared" si="71"/>
        <v>0</v>
      </c>
    </row>
    <row r="4596" spans="1:5">
      <c r="A4596" s="59">
        <v>9</v>
      </c>
      <c r="B4596" s="59">
        <v>43</v>
      </c>
      <c r="C4596" s="59">
        <v>960</v>
      </c>
      <c r="D4596" s="51">
        <v>26</v>
      </c>
      <c r="E4596" s="51">
        <f t="shared" si="71"/>
        <v>0</v>
      </c>
    </row>
    <row r="4597" spans="1:5">
      <c r="A4597" s="59">
        <v>9</v>
      </c>
      <c r="B4597" s="59">
        <v>21</v>
      </c>
      <c r="C4597" s="59">
        <v>420</v>
      </c>
      <c r="D4597" s="51">
        <v>25</v>
      </c>
      <c r="E4597" s="51">
        <f t="shared" si="71"/>
        <v>0</v>
      </c>
    </row>
    <row r="4598" spans="1:5">
      <c r="A4598" s="59">
        <v>9</v>
      </c>
      <c r="B4598" s="59">
        <v>22</v>
      </c>
      <c r="C4598" s="59">
        <v>140</v>
      </c>
      <c r="D4598" s="51">
        <v>25</v>
      </c>
      <c r="E4598" s="51">
        <f t="shared" si="71"/>
        <v>0</v>
      </c>
    </row>
    <row r="4599" spans="1:5">
      <c r="A4599" s="59">
        <v>9</v>
      </c>
      <c r="B4599" s="59">
        <v>42</v>
      </c>
      <c r="C4599" s="59">
        <v>620</v>
      </c>
      <c r="D4599" s="51">
        <v>25</v>
      </c>
      <c r="E4599" s="51">
        <f t="shared" si="71"/>
        <v>0</v>
      </c>
    </row>
    <row r="4600" spans="1:5">
      <c r="A4600" s="59">
        <v>9</v>
      </c>
      <c r="B4600" s="59">
        <v>43</v>
      </c>
      <c r="C4600" s="59">
        <v>930</v>
      </c>
      <c r="D4600" s="51">
        <v>25</v>
      </c>
      <c r="E4600" s="51">
        <f t="shared" si="71"/>
        <v>0</v>
      </c>
    </row>
    <row r="4601" spans="1:5">
      <c r="A4601" s="59">
        <v>9</v>
      </c>
      <c r="B4601" s="59">
        <v>43</v>
      </c>
      <c r="C4601" s="59">
        <v>970</v>
      </c>
      <c r="D4601" s="51">
        <v>25</v>
      </c>
      <c r="E4601" s="51">
        <f t="shared" si="71"/>
        <v>0</v>
      </c>
    </row>
    <row r="4602" spans="1:5">
      <c r="A4602" s="59">
        <v>9</v>
      </c>
      <c r="B4602" s="59">
        <v>71</v>
      </c>
      <c r="C4602" s="59">
        <v>210</v>
      </c>
      <c r="D4602" s="51">
        <v>25</v>
      </c>
      <c r="E4602" s="51">
        <f t="shared" si="71"/>
        <v>0</v>
      </c>
    </row>
    <row r="4603" spans="1:5">
      <c r="A4603" s="59">
        <v>9</v>
      </c>
      <c r="B4603" s="59">
        <v>21</v>
      </c>
      <c r="C4603" s="59">
        <v>210</v>
      </c>
      <c r="D4603" s="51">
        <v>24</v>
      </c>
      <c r="E4603" s="51">
        <f t="shared" si="71"/>
        <v>0</v>
      </c>
    </row>
    <row r="4604" spans="1:5">
      <c r="A4604" s="59">
        <v>9</v>
      </c>
      <c r="B4604" s="59">
        <v>22</v>
      </c>
      <c r="C4604" s="59">
        <v>160</v>
      </c>
      <c r="D4604" s="51">
        <v>24</v>
      </c>
      <c r="E4604" s="51">
        <f t="shared" si="71"/>
        <v>0</v>
      </c>
    </row>
    <row r="4605" spans="1:5">
      <c r="A4605" s="59">
        <v>9</v>
      </c>
      <c r="B4605" s="59">
        <v>33</v>
      </c>
      <c r="C4605" s="59">
        <v>150</v>
      </c>
      <c r="D4605" s="51">
        <v>24</v>
      </c>
      <c r="E4605" s="51">
        <f t="shared" si="71"/>
        <v>0</v>
      </c>
    </row>
    <row r="4606" spans="1:5">
      <c r="A4606" s="59">
        <v>9</v>
      </c>
      <c r="B4606" s="59">
        <v>44</v>
      </c>
      <c r="C4606" s="59">
        <v>430</v>
      </c>
      <c r="D4606" s="51">
        <v>24</v>
      </c>
      <c r="E4606" s="51">
        <f t="shared" si="71"/>
        <v>1</v>
      </c>
    </row>
    <row r="4607" spans="1:5">
      <c r="A4607" s="59">
        <v>9</v>
      </c>
      <c r="B4607" s="59">
        <v>16</v>
      </c>
      <c r="C4607" s="59">
        <v>320</v>
      </c>
      <c r="D4607" s="51">
        <v>23</v>
      </c>
      <c r="E4607" s="51">
        <f t="shared" si="71"/>
        <v>0</v>
      </c>
    </row>
    <row r="4608" spans="1:5">
      <c r="A4608" s="59">
        <v>9</v>
      </c>
      <c r="B4608" s="59">
        <v>33</v>
      </c>
      <c r="C4608" s="59">
        <v>140</v>
      </c>
      <c r="D4608" s="51">
        <v>23</v>
      </c>
      <c r="E4608" s="51">
        <f t="shared" si="71"/>
        <v>0</v>
      </c>
    </row>
    <row r="4609" spans="1:5">
      <c r="A4609" s="59">
        <v>9</v>
      </c>
      <c r="B4609" s="59">
        <v>71</v>
      </c>
      <c r="C4609" s="59">
        <v>610</v>
      </c>
      <c r="D4609" s="51">
        <v>23</v>
      </c>
      <c r="E4609" s="51">
        <f t="shared" si="71"/>
        <v>0</v>
      </c>
    </row>
    <row r="4610" spans="1:5">
      <c r="A4610" s="59">
        <v>9</v>
      </c>
      <c r="B4610" s="59">
        <v>71</v>
      </c>
      <c r="C4610" s="59">
        <v>920</v>
      </c>
      <c r="D4610" s="51">
        <v>23</v>
      </c>
      <c r="E4610" s="51">
        <f t="shared" ref="E4610:E4673" si="72">IF(OR(A4610=6,A4610=7,A4610=14,A4610=15,A4610=16,A4610=17,A4610=18,A4610=19,A4610=20,A4610=21,A4610=22,A4610=23,A4610=25,A4610=26,A4610=27,A4610=28,B4610=41,B4610=44,B4610=62),1,0)</f>
        <v>0</v>
      </c>
    </row>
    <row r="4611" spans="1:5">
      <c r="A4611" s="59">
        <v>9</v>
      </c>
      <c r="B4611" s="59">
        <v>43</v>
      </c>
      <c r="C4611" s="59">
        <v>220</v>
      </c>
      <c r="D4611" s="51">
        <v>22</v>
      </c>
      <c r="E4611" s="51">
        <f t="shared" si="72"/>
        <v>0</v>
      </c>
    </row>
    <row r="4612" spans="1:5">
      <c r="A4612" s="59">
        <v>9</v>
      </c>
      <c r="B4612" s="59">
        <v>43</v>
      </c>
      <c r="C4612" s="59">
        <v>620</v>
      </c>
      <c r="D4612" s="51">
        <v>22</v>
      </c>
      <c r="E4612" s="51">
        <f t="shared" si="72"/>
        <v>0</v>
      </c>
    </row>
    <row r="4613" spans="1:5">
      <c r="A4613" s="59">
        <v>9</v>
      </c>
      <c r="B4613" s="59">
        <v>44</v>
      </c>
      <c r="C4613" s="59">
        <v>530</v>
      </c>
      <c r="D4613" s="51">
        <v>22</v>
      </c>
      <c r="E4613" s="51">
        <f t="shared" si="72"/>
        <v>1</v>
      </c>
    </row>
    <row r="4614" spans="1:5">
      <c r="A4614" s="59">
        <v>9</v>
      </c>
      <c r="B4614" s="59">
        <v>64</v>
      </c>
      <c r="C4614" s="59">
        <v>520</v>
      </c>
      <c r="D4614" s="51">
        <v>22</v>
      </c>
      <c r="E4614" s="51">
        <f t="shared" si="72"/>
        <v>0</v>
      </c>
    </row>
    <row r="4615" spans="1:5">
      <c r="A4615" s="59">
        <v>9</v>
      </c>
      <c r="B4615" s="59">
        <v>81</v>
      </c>
      <c r="C4615" s="59">
        <v>160</v>
      </c>
      <c r="D4615" s="51">
        <v>22</v>
      </c>
      <c r="E4615" s="51">
        <f t="shared" si="72"/>
        <v>0</v>
      </c>
    </row>
    <row r="4616" spans="1:5">
      <c r="A4616" s="59">
        <v>9</v>
      </c>
      <c r="B4616" s="59">
        <v>14</v>
      </c>
      <c r="C4616" s="59">
        <v>930</v>
      </c>
      <c r="D4616" s="51">
        <v>21</v>
      </c>
      <c r="E4616" s="51">
        <f t="shared" si="72"/>
        <v>0</v>
      </c>
    </row>
    <row r="4617" spans="1:5">
      <c r="A4617" s="59">
        <v>9</v>
      </c>
      <c r="B4617" s="59">
        <v>62</v>
      </c>
      <c r="C4617" s="59">
        <v>150</v>
      </c>
      <c r="D4617" s="51">
        <v>21</v>
      </c>
      <c r="E4617" s="51">
        <f t="shared" si="72"/>
        <v>1</v>
      </c>
    </row>
    <row r="4618" spans="1:5">
      <c r="A4618" s="59">
        <v>9</v>
      </c>
      <c r="B4618" s="59">
        <v>62</v>
      </c>
      <c r="C4618" s="59">
        <v>510</v>
      </c>
      <c r="D4618" s="51">
        <v>21</v>
      </c>
      <c r="E4618" s="51">
        <f t="shared" si="72"/>
        <v>1</v>
      </c>
    </row>
    <row r="4619" spans="1:5">
      <c r="A4619" s="59">
        <v>9</v>
      </c>
      <c r="B4619" s="59">
        <v>64</v>
      </c>
      <c r="C4619" s="59">
        <v>950</v>
      </c>
      <c r="D4619" s="51">
        <v>21</v>
      </c>
      <c r="E4619" s="51">
        <f t="shared" si="72"/>
        <v>0</v>
      </c>
    </row>
    <row r="4620" spans="1:5">
      <c r="A4620" s="59">
        <v>9</v>
      </c>
      <c r="B4620" s="59">
        <v>15</v>
      </c>
      <c r="C4620" s="59">
        <v>130</v>
      </c>
      <c r="D4620" s="51">
        <v>20</v>
      </c>
      <c r="E4620" s="51">
        <f t="shared" si="72"/>
        <v>0</v>
      </c>
    </row>
    <row r="4621" spans="1:5">
      <c r="A4621" s="59">
        <v>9</v>
      </c>
      <c r="B4621" s="59">
        <v>16</v>
      </c>
      <c r="C4621" s="59">
        <v>220</v>
      </c>
      <c r="D4621" s="51">
        <v>20</v>
      </c>
      <c r="E4621" s="51">
        <f t="shared" si="72"/>
        <v>0</v>
      </c>
    </row>
    <row r="4622" spans="1:5">
      <c r="A4622" s="59">
        <v>9</v>
      </c>
      <c r="B4622" s="59">
        <v>41</v>
      </c>
      <c r="C4622" s="59">
        <v>420</v>
      </c>
      <c r="D4622" s="51">
        <v>20</v>
      </c>
      <c r="E4622" s="51">
        <f t="shared" si="72"/>
        <v>1</v>
      </c>
    </row>
    <row r="4623" spans="1:5">
      <c r="A4623" s="59">
        <v>9</v>
      </c>
      <c r="B4623" s="59">
        <v>43</v>
      </c>
      <c r="C4623" s="59">
        <v>720</v>
      </c>
      <c r="D4623" s="51">
        <v>20</v>
      </c>
      <c r="E4623" s="51">
        <f t="shared" si="72"/>
        <v>0</v>
      </c>
    </row>
    <row r="4624" spans="1:5">
      <c r="A4624" s="59">
        <v>9</v>
      </c>
      <c r="B4624" s="59">
        <v>32</v>
      </c>
      <c r="C4624" s="59">
        <v>950</v>
      </c>
      <c r="D4624" s="51">
        <v>19</v>
      </c>
      <c r="E4624" s="51">
        <f t="shared" si="72"/>
        <v>0</v>
      </c>
    </row>
    <row r="4625" spans="1:5">
      <c r="A4625" s="59">
        <v>9</v>
      </c>
      <c r="B4625" s="59">
        <v>21</v>
      </c>
      <c r="C4625" s="59">
        <v>410</v>
      </c>
      <c r="D4625" s="51">
        <v>18</v>
      </c>
      <c r="E4625" s="51">
        <f t="shared" si="72"/>
        <v>0</v>
      </c>
    </row>
    <row r="4626" spans="1:5">
      <c r="A4626" s="59">
        <v>9</v>
      </c>
      <c r="B4626" s="59">
        <v>23</v>
      </c>
      <c r="C4626" s="59">
        <v>210</v>
      </c>
      <c r="D4626" s="51">
        <v>18</v>
      </c>
      <c r="E4626" s="51">
        <f t="shared" si="72"/>
        <v>0</v>
      </c>
    </row>
    <row r="4627" spans="1:5">
      <c r="A4627" s="59">
        <v>9</v>
      </c>
      <c r="B4627" s="59">
        <v>33</v>
      </c>
      <c r="C4627" s="59">
        <v>120</v>
      </c>
      <c r="D4627" s="51">
        <v>18</v>
      </c>
      <c r="E4627" s="51">
        <f t="shared" si="72"/>
        <v>0</v>
      </c>
    </row>
    <row r="4628" spans="1:5">
      <c r="A4628" s="59">
        <v>9</v>
      </c>
      <c r="B4628" s="59">
        <v>42</v>
      </c>
      <c r="C4628" s="59">
        <v>330</v>
      </c>
      <c r="D4628" s="51">
        <v>18</v>
      </c>
      <c r="E4628" s="51">
        <f t="shared" si="72"/>
        <v>0</v>
      </c>
    </row>
    <row r="4629" spans="1:5">
      <c r="A4629" s="59">
        <v>9</v>
      </c>
      <c r="B4629" s="59">
        <v>63</v>
      </c>
      <c r="C4629" s="59">
        <v>110</v>
      </c>
      <c r="D4629" s="51">
        <v>17</v>
      </c>
      <c r="E4629" s="51">
        <f t="shared" si="72"/>
        <v>0</v>
      </c>
    </row>
    <row r="4630" spans="1:5">
      <c r="A4630" s="59">
        <v>9</v>
      </c>
      <c r="B4630" s="59">
        <v>64</v>
      </c>
      <c r="C4630" s="59">
        <v>730</v>
      </c>
      <c r="D4630" s="51">
        <v>17</v>
      </c>
      <c r="E4630" s="51">
        <f t="shared" si="72"/>
        <v>0</v>
      </c>
    </row>
    <row r="4631" spans="1:5">
      <c r="A4631" s="59">
        <v>9</v>
      </c>
      <c r="B4631" s="59">
        <v>14</v>
      </c>
      <c r="C4631" s="59">
        <v>220</v>
      </c>
      <c r="D4631" s="51">
        <v>16</v>
      </c>
      <c r="E4631" s="51">
        <f t="shared" si="72"/>
        <v>0</v>
      </c>
    </row>
    <row r="4632" spans="1:5">
      <c r="A4632" s="59">
        <v>9</v>
      </c>
      <c r="B4632" s="59">
        <v>15</v>
      </c>
      <c r="C4632" s="59">
        <v>430</v>
      </c>
      <c r="D4632" s="51">
        <v>16</v>
      </c>
      <c r="E4632" s="51">
        <f t="shared" si="72"/>
        <v>0</v>
      </c>
    </row>
    <row r="4633" spans="1:5">
      <c r="A4633" s="59">
        <v>9</v>
      </c>
      <c r="B4633" s="59">
        <v>71</v>
      </c>
      <c r="C4633" s="59">
        <v>510</v>
      </c>
      <c r="D4633" s="51">
        <v>16</v>
      </c>
      <c r="E4633" s="51">
        <f t="shared" si="72"/>
        <v>0</v>
      </c>
    </row>
    <row r="4634" spans="1:5">
      <c r="A4634" s="59">
        <v>9</v>
      </c>
      <c r="B4634" s="59">
        <v>13</v>
      </c>
      <c r="C4634" s="59">
        <v>130</v>
      </c>
      <c r="D4634" s="51">
        <v>15</v>
      </c>
      <c r="E4634" s="51">
        <f t="shared" si="72"/>
        <v>0</v>
      </c>
    </row>
    <row r="4635" spans="1:5">
      <c r="A4635" s="59">
        <v>9</v>
      </c>
      <c r="B4635" s="59">
        <v>32</v>
      </c>
      <c r="C4635" s="59">
        <v>530</v>
      </c>
      <c r="D4635" s="51">
        <v>15</v>
      </c>
      <c r="E4635" s="51">
        <f t="shared" si="72"/>
        <v>0</v>
      </c>
    </row>
    <row r="4636" spans="1:5">
      <c r="A4636" s="59">
        <v>9</v>
      </c>
      <c r="B4636" s="59">
        <v>32</v>
      </c>
      <c r="C4636" s="59">
        <v>720</v>
      </c>
      <c r="D4636" s="51">
        <v>15</v>
      </c>
      <c r="E4636" s="51">
        <f t="shared" si="72"/>
        <v>0</v>
      </c>
    </row>
    <row r="4637" spans="1:5">
      <c r="A4637" s="59">
        <v>9</v>
      </c>
      <c r="B4637" s="59">
        <v>33</v>
      </c>
      <c r="C4637" s="59">
        <v>960</v>
      </c>
      <c r="D4637" s="51">
        <v>15</v>
      </c>
      <c r="E4637" s="51">
        <f t="shared" si="72"/>
        <v>0</v>
      </c>
    </row>
    <row r="4638" spans="1:5">
      <c r="A4638" s="59">
        <v>9</v>
      </c>
      <c r="B4638" s="59">
        <v>62</v>
      </c>
      <c r="C4638" s="59">
        <v>620</v>
      </c>
      <c r="D4638" s="51">
        <v>15</v>
      </c>
      <c r="E4638" s="51">
        <f t="shared" si="72"/>
        <v>1</v>
      </c>
    </row>
    <row r="4639" spans="1:5">
      <c r="A4639" s="59">
        <v>9</v>
      </c>
      <c r="B4639" s="59">
        <v>63</v>
      </c>
      <c r="C4639" s="59">
        <v>210</v>
      </c>
      <c r="D4639" s="51">
        <v>15</v>
      </c>
      <c r="E4639" s="51">
        <f t="shared" si="72"/>
        <v>0</v>
      </c>
    </row>
    <row r="4640" spans="1:5">
      <c r="A4640" s="59">
        <v>9</v>
      </c>
      <c r="B4640" s="59">
        <v>63</v>
      </c>
      <c r="C4640" s="59">
        <v>540</v>
      </c>
      <c r="D4640" s="51">
        <v>15</v>
      </c>
      <c r="E4640" s="51">
        <f t="shared" si="72"/>
        <v>0</v>
      </c>
    </row>
    <row r="4641" spans="1:5">
      <c r="A4641" s="59">
        <v>9</v>
      </c>
      <c r="B4641" s="59">
        <v>63</v>
      </c>
      <c r="C4641" s="59">
        <v>620</v>
      </c>
      <c r="D4641" s="51">
        <v>15</v>
      </c>
      <c r="E4641" s="51">
        <f t="shared" si="72"/>
        <v>0</v>
      </c>
    </row>
    <row r="4642" spans="1:5">
      <c r="A4642" s="59">
        <v>9</v>
      </c>
      <c r="B4642" s="59">
        <v>41</v>
      </c>
      <c r="C4642" s="59">
        <v>920</v>
      </c>
      <c r="D4642" s="51">
        <v>14</v>
      </c>
      <c r="E4642" s="51">
        <f t="shared" si="72"/>
        <v>1</v>
      </c>
    </row>
    <row r="4643" spans="1:5">
      <c r="A4643" s="59">
        <v>9</v>
      </c>
      <c r="B4643" s="59">
        <v>62</v>
      </c>
      <c r="C4643" s="59">
        <v>110</v>
      </c>
      <c r="D4643" s="51">
        <v>14</v>
      </c>
      <c r="E4643" s="51">
        <f t="shared" si="72"/>
        <v>1</v>
      </c>
    </row>
    <row r="4644" spans="1:5">
      <c r="A4644" s="59">
        <v>9</v>
      </c>
      <c r="B4644" s="59">
        <v>64</v>
      </c>
      <c r="C4644" s="59">
        <v>640</v>
      </c>
      <c r="D4644" s="51">
        <v>14</v>
      </c>
      <c r="E4644" s="51">
        <f t="shared" si="72"/>
        <v>0</v>
      </c>
    </row>
    <row r="4645" spans="1:5">
      <c r="A4645" s="59">
        <v>9</v>
      </c>
      <c r="B4645" s="59">
        <v>64</v>
      </c>
      <c r="C4645" s="59">
        <v>895</v>
      </c>
      <c r="D4645" s="51">
        <v>14</v>
      </c>
      <c r="E4645" s="51">
        <f t="shared" si="72"/>
        <v>0</v>
      </c>
    </row>
    <row r="4646" spans="1:5">
      <c r="A4646" s="59">
        <v>9</v>
      </c>
      <c r="B4646" s="59">
        <v>22</v>
      </c>
      <c r="C4646" s="59">
        <v>110</v>
      </c>
      <c r="D4646" s="51">
        <v>13</v>
      </c>
      <c r="E4646" s="51">
        <f t="shared" si="72"/>
        <v>0</v>
      </c>
    </row>
    <row r="4647" spans="1:5">
      <c r="A4647" s="59">
        <v>9</v>
      </c>
      <c r="B4647" s="59">
        <v>31</v>
      </c>
      <c r="C4647" s="59">
        <v>510</v>
      </c>
      <c r="D4647" s="51">
        <v>13</v>
      </c>
      <c r="E4647" s="51">
        <f t="shared" si="72"/>
        <v>0</v>
      </c>
    </row>
    <row r="4648" spans="1:5">
      <c r="A4648" s="59">
        <v>9</v>
      </c>
      <c r="B4648" s="59">
        <v>31</v>
      </c>
      <c r="C4648" s="59">
        <v>530</v>
      </c>
      <c r="D4648" s="51">
        <v>13</v>
      </c>
      <c r="E4648" s="51">
        <f t="shared" si="72"/>
        <v>0</v>
      </c>
    </row>
    <row r="4649" spans="1:5">
      <c r="A4649" s="59">
        <v>9</v>
      </c>
      <c r="B4649" s="59">
        <v>32</v>
      </c>
      <c r="C4649" s="59">
        <v>510</v>
      </c>
      <c r="D4649" s="51">
        <v>13</v>
      </c>
      <c r="E4649" s="51">
        <f t="shared" si="72"/>
        <v>0</v>
      </c>
    </row>
    <row r="4650" spans="1:5">
      <c r="A4650" s="59">
        <v>9</v>
      </c>
      <c r="B4650" s="59">
        <v>63</v>
      </c>
      <c r="C4650" s="59">
        <v>510</v>
      </c>
      <c r="D4650" s="51">
        <v>13</v>
      </c>
      <c r="E4650" s="51">
        <f t="shared" si="72"/>
        <v>0</v>
      </c>
    </row>
    <row r="4651" spans="1:5">
      <c r="A4651" s="59">
        <v>9</v>
      </c>
      <c r="B4651" s="59">
        <v>13</v>
      </c>
      <c r="C4651" s="59">
        <v>950</v>
      </c>
      <c r="D4651" s="51">
        <v>12</v>
      </c>
      <c r="E4651" s="51">
        <f t="shared" si="72"/>
        <v>0</v>
      </c>
    </row>
    <row r="4652" spans="1:5">
      <c r="A4652" s="59">
        <v>9</v>
      </c>
      <c r="B4652" s="59">
        <v>15</v>
      </c>
      <c r="C4652" s="59">
        <v>930</v>
      </c>
      <c r="D4652" s="51">
        <v>12</v>
      </c>
      <c r="E4652" s="51">
        <f t="shared" si="72"/>
        <v>0</v>
      </c>
    </row>
    <row r="4653" spans="1:5">
      <c r="A4653" s="59">
        <v>9</v>
      </c>
      <c r="B4653" s="59">
        <v>22</v>
      </c>
      <c r="C4653" s="59">
        <v>220</v>
      </c>
      <c r="D4653" s="51">
        <v>12</v>
      </c>
      <c r="E4653" s="51">
        <f t="shared" si="72"/>
        <v>0</v>
      </c>
    </row>
    <row r="4654" spans="1:5">
      <c r="A4654" s="59">
        <v>9</v>
      </c>
      <c r="B4654" s="59">
        <v>22</v>
      </c>
      <c r="C4654" s="59">
        <v>430</v>
      </c>
      <c r="D4654" s="51">
        <v>12</v>
      </c>
      <c r="E4654" s="51">
        <f t="shared" si="72"/>
        <v>0</v>
      </c>
    </row>
    <row r="4655" spans="1:5">
      <c r="A4655" s="59">
        <v>9</v>
      </c>
      <c r="B4655" s="59">
        <v>32</v>
      </c>
      <c r="C4655" s="59">
        <v>730</v>
      </c>
      <c r="D4655" s="51">
        <v>12</v>
      </c>
      <c r="E4655" s="51">
        <f t="shared" si="72"/>
        <v>0</v>
      </c>
    </row>
    <row r="4656" spans="1:5">
      <c r="A4656" s="59">
        <v>9</v>
      </c>
      <c r="B4656" s="59">
        <v>44</v>
      </c>
      <c r="C4656" s="59">
        <v>160</v>
      </c>
      <c r="D4656" s="51">
        <v>12</v>
      </c>
      <c r="E4656" s="51">
        <f t="shared" si="72"/>
        <v>1</v>
      </c>
    </row>
    <row r="4657" spans="1:5">
      <c r="A4657" s="59">
        <v>9</v>
      </c>
      <c r="B4657" s="59">
        <v>71</v>
      </c>
      <c r="C4657" s="59">
        <v>330</v>
      </c>
      <c r="D4657" s="51">
        <v>12</v>
      </c>
      <c r="E4657" s="51">
        <f t="shared" si="72"/>
        <v>0</v>
      </c>
    </row>
    <row r="4658" spans="1:5">
      <c r="A4658" s="59">
        <v>9</v>
      </c>
      <c r="B4658" s="59">
        <v>81</v>
      </c>
      <c r="C4658" s="59">
        <v>420</v>
      </c>
      <c r="D4658" s="51">
        <v>12</v>
      </c>
      <c r="E4658" s="51">
        <f t="shared" si="72"/>
        <v>0</v>
      </c>
    </row>
    <row r="4659" spans="1:5">
      <c r="A4659" s="59">
        <v>9</v>
      </c>
      <c r="B4659" s="59">
        <v>22</v>
      </c>
      <c r="C4659" s="59">
        <v>310</v>
      </c>
      <c r="D4659" s="51">
        <v>11</v>
      </c>
      <c r="E4659" s="51">
        <f t="shared" si="72"/>
        <v>0</v>
      </c>
    </row>
    <row r="4660" spans="1:5">
      <c r="A4660" s="59">
        <v>9</v>
      </c>
      <c r="B4660" s="59">
        <v>23</v>
      </c>
      <c r="C4660" s="59">
        <v>240</v>
      </c>
      <c r="D4660" s="51">
        <v>11</v>
      </c>
      <c r="E4660" s="51">
        <f t="shared" si="72"/>
        <v>0</v>
      </c>
    </row>
    <row r="4661" spans="1:5">
      <c r="A4661" s="59">
        <v>9</v>
      </c>
      <c r="B4661" s="59">
        <v>33</v>
      </c>
      <c r="C4661" s="59">
        <v>320</v>
      </c>
      <c r="D4661" s="51">
        <v>11</v>
      </c>
      <c r="E4661" s="51">
        <f t="shared" si="72"/>
        <v>0</v>
      </c>
    </row>
    <row r="4662" spans="1:5">
      <c r="A4662" s="59">
        <v>9</v>
      </c>
      <c r="B4662" s="59">
        <v>33</v>
      </c>
      <c r="C4662" s="59">
        <v>970</v>
      </c>
      <c r="D4662" s="51">
        <v>11</v>
      </c>
      <c r="E4662" s="51">
        <f t="shared" si="72"/>
        <v>0</v>
      </c>
    </row>
    <row r="4663" spans="1:5">
      <c r="A4663" s="59">
        <v>9</v>
      </c>
      <c r="B4663" s="59">
        <v>62</v>
      </c>
      <c r="C4663" s="59">
        <v>210</v>
      </c>
      <c r="D4663" s="51">
        <v>11</v>
      </c>
      <c r="E4663" s="51">
        <f t="shared" si="72"/>
        <v>1</v>
      </c>
    </row>
    <row r="4664" spans="1:5">
      <c r="A4664" s="59">
        <v>9</v>
      </c>
      <c r="B4664" s="59">
        <v>41</v>
      </c>
      <c r="C4664" s="59">
        <v>160</v>
      </c>
      <c r="D4664" s="51">
        <v>10</v>
      </c>
      <c r="E4664" s="51">
        <f t="shared" si="72"/>
        <v>1</v>
      </c>
    </row>
    <row r="4665" spans="1:5">
      <c r="A4665" s="59">
        <v>9</v>
      </c>
      <c r="B4665" s="59">
        <v>42</v>
      </c>
      <c r="C4665" s="59">
        <v>630</v>
      </c>
      <c r="D4665" s="51">
        <v>10</v>
      </c>
      <c r="E4665" s="51">
        <f t="shared" si="72"/>
        <v>0</v>
      </c>
    </row>
    <row r="4666" spans="1:5">
      <c r="A4666" s="59">
        <v>9</v>
      </c>
      <c r="B4666" s="59">
        <v>43</v>
      </c>
      <c r="C4666" s="59">
        <v>540</v>
      </c>
      <c r="D4666" s="51">
        <v>10</v>
      </c>
      <c r="E4666" s="51">
        <f t="shared" si="72"/>
        <v>0</v>
      </c>
    </row>
    <row r="4667" spans="1:5">
      <c r="A4667" s="59">
        <v>9</v>
      </c>
      <c r="B4667" s="59">
        <v>43</v>
      </c>
      <c r="C4667" s="59">
        <v>940</v>
      </c>
      <c r="D4667" s="51">
        <v>10</v>
      </c>
      <c r="E4667" s="51">
        <f t="shared" si="72"/>
        <v>0</v>
      </c>
    </row>
    <row r="4668" spans="1:5">
      <c r="A4668" s="59">
        <v>9</v>
      </c>
      <c r="B4668" s="59">
        <v>51</v>
      </c>
      <c r="C4668" s="59">
        <v>150</v>
      </c>
      <c r="D4668" s="51">
        <v>10</v>
      </c>
      <c r="E4668" s="51">
        <f t="shared" si="72"/>
        <v>0</v>
      </c>
    </row>
    <row r="4669" spans="1:5">
      <c r="A4669" s="59">
        <v>9</v>
      </c>
      <c r="B4669" s="59">
        <v>63</v>
      </c>
      <c r="C4669" s="59">
        <v>610</v>
      </c>
      <c r="D4669" s="51">
        <v>10</v>
      </c>
      <c r="E4669" s="51">
        <f t="shared" si="72"/>
        <v>0</v>
      </c>
    </row>
    <row r="4670" spans="1:5">
      <c r="A4670" s="59">
        <v>9</v>
      </c>
      <c r="B4670" s="59">
        <v>64</v>
      </c>
      <c r="C4670" s="59">
        <v>630</v>
      </c>
      <c r="D4670" s="51">
        <v>10</v>
      </c>
      <c r="E4670" s="51">
        <f t="shared" si="72"/>
        <v>0</v>
      </c>
    </row>
    <row r="4671" spans="1:5">
      <c r="A4671" s="59">
        <v>9</v>
      </c>
      <c r="B4671" s="59">
        <v>64</v>
      </c>
      <c r="C4671" s="59">
        <v>970</v>
      </c>
      <c r="D4671" s="51">
        <v>10</v>
      </c>
      <c r="E4671" s="51">
        <f t="shared" si="72"/>
        <v>0</v>
      </c>
    </row>
    <row r="4672" spans="1:5">
      <c r="A4672" s="59">
        <v>9</v>
      </c>
      <c r="B4672" s="59">
        <v>64</v>
      </c>
      <c r="C4672" s="59">
        <v>990</v>
      </c>
      <c r="D4672" s="51">
        <v>10</v>
      </c>
      <c r="E4672" s="51">
        <f t="shared" si="72"/>
        <v>0</v>
      </c>
    </row>
    <row r="4673" spans="1:5">
      <c r="A4673" s="59">
        <v>9</v>
      </c>
      <c r="B4673" s="59">
        <v>71</v>
      </c>
      <c r="C4673" s="59">
        <v>110</v>
      </c>
      <c r="D4673" s="51">
        <v>10</v>
      </c>
      <c r="E4673" s="51">
        <f t="shared" si="72"/>
        <v>0</v>
      </c>
    </row>
    <row r="4674" spans="1:5">
      <c r="A4674" s="59">
        <v>9</v>
      </c>
      <c r="B4674" s="59">
        <v>71</v>
      </c>
      <c r="C4674" s="59">
        <v>310</v>
      </c>
      <c r="D4674" s="51">
        <v>10</v>
      </c>
      <c r="E4674" s="51">
        <f t="shared" ref="E4674:E4737" si="73">IF(OR(A4674=6,A4674=7,A4674=14,A4674=15,A4674=16,A4674=17,A4674=18,A4674=19,A4674=20,A4674=21,A4674=22,A4674=23,A4674=25,A4674=26,A4674=27,A4674=28,B4674=41,B4674=44,B4674=62),1,0)</f>
        <v>0</v>
      </c>
    </row>
    <row r="4675" spans="1:5">
      <c r="A4675" s="59">
        <v>9</v>
      </c>
      <c r="B4675" s="59">
        <v>81</v>
      </c>
      <c r="C4675" s="59">
        <v>430</v>
      </c>
      <c r="D4675" s="51">
        <v>10</v>
      </c>
      <c r="E4675" s="51">
        <f t="shared" si="73"/>
        <v>0</v>
      </c>
    </row>
    <row r="4676" spans="1:5">
      <c r="A4676" s="59">
        <v>9</v>
      </c>
      <c r="B4676" s="59">
        <v>81</v>
      </c>
      <c r="C4676" s="59">
        <v>910</v>
      </c>
      <c r="D4676" s="51">
        <v>10</v>
      </c>
      <c r="E4676" s="51">
        <f t="shared" si="73"/>
        <v>0</v>
      </c>
    </row>
    <row r="4677" spans="1:5">
      <c r="A4677" s="59">
        <v>9</v>
      </c>
      <c r="B4677" s="59">
        <v>13</v>
      </c>
      <c r="C4677" s="59">
        <v>510</v>
      </c>
      <c r="D4677" s="51">
        <v>9</v>
      </c>
      <c r="E4677" s="51">
        <f t="shared" si="73"/>
        <v>0</v>
      </c>
    </row>
    <row r="4678" spans="1:5">
      <c r="A4678" s="59">
        <v>9</v>
      </c>
      <c r="B4678" s="59">
        <v>31</v>
      </c>
      <c r="C4678" s="59">
        <v>920</v>
      </c>
      <c r="D4678" s="51">
        <v>9</v>
      </c>
      <c r="E4678" s="51">
        <f t="shared" si="73"/>
        <v>0</v>
      </c>
    </row>
    <row r="4679" spans="1:5">
      <c r="A4679" s="59">
        <v>9</v>
      </c>
      <c r="B4679" s="59">
        <v>32</v>
      </c>
      <c r="C4679" s="59">
        <v>140</v>
      </c>
      <c r="D4679" s="51">
        <v>9</v>
      </c>
      <c r="E4679" s="51">
        <f t="shared" si="73"/>
        <v>0</v>
      </c>
    </row>
    <row r="4680" spans="1:5">
      <c r="A4680" s="59">
        <v>9</v>
      </c>
      <c r="B4680" s="59">
        <v>32</v>
      </c>
      <c r="C4680" s="59">
        <v>930</v>
      </c>
      <c r="D4680" s="51">
        <v>9</v>
      </c>
      <c r="E4680" s="51">
        <f t="shared" si="73"/>
        <v>0</v>
      </c>
    </row>
    <row r="4681" spans="1:5">
      <c r="A4681" s="59">
        <v>9</v>
      </c>
      <c r="B4681" s="59">
        <v>33</v>
      </c>
      <c r="C4681" s="59">
        <v>920</v>
      </c>
      <c r="D4681" s="51">
        <v>9</v>
      </c>
      <c r="E4681" s="51">
        <f t="shared" si="73"/>
        <v>0</v>
      </c>
    </row>
    <row r="4682" spans="1:5">
      <c r="A4682" s="59">
        <v>9</v>
      </c>
      <c r="B4682" s="59">
        <v>41</v>
      </c>
      <c r="C4682" s="59">
        <v>150</v>
      </c>
      <c r="D4682" s="51">
        <v>9</v>
      </c>
      <c r="E4682" s="51">
        <f t="shared" si="73"/>
        <v>1</v>
      </c>
    </row>
    <row r="4683" spans="1:5">
      <c r="A4683" s="59">
        <v>9</v>
      </c>
      <c r="B4683" s="59">
        <v>41</v>
      </c>
      <c r="C4683" s="59">
        <v>530</v>
      </c>
      <c r="D4683" s="51">
        <v>9</v>
      </c>
      <c r="E4683" s="51">
        <f t="shared" si="73"/>
        <v>1</v>
      </c>
    </row>
    <row r="4684" spans="1:5">
      <c r="A4684" s="59">
        <v>9</v>
      </c>
      <c r="B4684" s="59">
        <v>43</v>
      </c>
      <c r="C4684" s="59">
        <v>120</v>
      </c>
      <c r="D4684" s="51">
        <v>9</v>
      </c>
      <c r="E4684" s="51">
        <f t="shared" si="73"/>
        <v>0</v>
      </c>
    </row>
    <row r="4685" spans="1:5">
      <c r="A4685" s="59">
        <v>9</v>
      </c>
      <c r="B4685" s="59">
        <v>44</v>
      </c>
      <c r="C4685" s="59">
        <v>240</v>
      </c>
      <c r="D4685" s="51">
        <v>9</v>
      </c>
      <c r="E4685" s="51">
        <f t="shared" si="73"/>
        <v>1</v>
      </c>
    </row>
    <row r="4686" spans="1:5">
      <c r="A4686" s="59">
        <v>9</v>
      </c>
      <c r="B4686" s="59">
        <v>63</v>
      </c>
      <c r="C4686" s="59">
        <v>240</v>
      </c>
      <c r="D4686" s="51">
        <v>9</v>
      </c>
      <c r="E4686" s="51">
        <f t="shared" si="73"/>
        <v>0</v>
      </c>
    </row>
    <row r="4687" spans="1:5">
      <c r="A4687" s="59">
        <v>9</v>
      </c>
      <c r="B4687" s="59">
        <v>64</v>
      </c>
      <c r="C4687" s="59">
        <v>750</v>
      </c>
      <c r="D4687" s="51">
        <v>9</v>
      </c>
      <c r="E4687" s="51">
        <f t="shared" si="73"/>
        <v>0</v>
      </c>
    </row>
    <row r="4688" spans="1:5">
      <c r="A4688" s="59">
        <v>9</v>
      </c>
      <c r="B4688" s="59">
        <v>13</v>
      </c>
      <c r="C4688" s="59">
        <v>230</v>
      </c>
      <c r="D4688" s="51">
        <v>8</v>
      </c>
      <c r="E4688" s="51">
        <f t="shared" si="73"/>
        <v>0</v>
      </c>
    </row>
    <row r="4689" spans="1:5">
      <c r="A4689" s="59">
        <v>9</v>
      </c>
      <c r="B4689" s="59">
        <v>14</v>
      </c>
      <c r="C4689" s="59">
        <v>530</v>
      </c>
      <c r="D4689" s="51">
        <v>8</v>
      </c>
      <c r="E4689" s="51">
        <f t="shared" si="73"/>
        <v>0</v>
      </c>
    </row>
    <row r="4690" spans="1:5">
      <c r="A4690" s="59">
        <v>9</v>
      </c>
      <c r="B4690" s="59">
        <v>14</v>
      </c>
      <c r="C4690" s="59">
        <v>920</v>
      </c>
      <c r="D4690" s="51">
        <v>8</v>
      </c>
      <c r="E4690" s="51">
        <f t="shared" si="73"/>
        <v>0</v>
      </c>
    </row>
    <row r="4691" spans="1:5">
      <c r="A4691" s="59">
        <v>9</v>
      </c>
      <c r="B4691" s="59">
        <v>15</v>
      </c>
      <c r="C4691" s="59">
        <v>120</v>
      </c>
      <c r="D4691" s="51">
        <v>8</v>
      </c>
      <c r="E4691" s="51">
        <f t="shared" si="73"/>
        <v>0</v>
      </c>
    </row>
    <row r="4692" spans="1:5">
      <c r="A4692" s="59">
        <v>9</v>
      </c>
      <c r="B4692" s="59">
        <v>16</v>
      </c>
      <c r="C4692" s="59">
        <v>130</v>
      </c>
      <c r="D4692" s="51">
        <v>8</v>
      </c>
      <c r="E4692" s="51">
        <f t="shared" si="73"/>
        <v>0</v>
      </c>
    </row>
    <row r="4693" spans="1:5">
      <c r="A4693" s="59">
        <v>9</v>
      </c>
      <c r="B4693" s="59">
        <v>32</v>
      </c>
      <c r="C4693" s="59">
        <v>610</v>
      </c>
      <c r="D4693" s="51">
        <v>8</v>
      </c>
      <c r="E4693" s="51">
        <f t="shared" si="73"/>
        <v>0</v>
      </c>
    </row>
    <row r="4694" spans="1:5">
      <c r="A4694" s="59">
        <v>9</v>
      </c>
      <c r="B4694" s="59">
        <v>42</v>
      </c>
      <c r="C4694" s="59">
        <v>310</v>
      </c>
      <c r="D4694" s="51">
        <v>8</v>
      </c>
      <c r="E4694" s="51">
        <f t="shared" si="73"/>
        <v>0</v>
      </c>
    </row>
    <row r="4695" spans="1:5">
      <c r="A4695" s="59">
        <v>9</v>
      </c>
      <c r="B4695" s="59">
        <v>81</v>
      </c>
      <c r="C4695" s="59">
        <v>620</v>
      </c>
      <c r="D4695" s="51">
        <v>8</v>
      </c>
      <c r="E4695" s="51">
        <f t="shared" si="73"/>
        <v>0</v>
      </c>
    </row>
    <row r="4696" spans="1:5">
      <c r="A4696" s="59">
        <v>9</v>
      </c>
      <c r="B4696" s="59">
        <v>15</v>
      </c>
      <c r="C4696" s="59">
        <v>220</v>
      </c>
      <c r="D4696" s="51">
        <v>7</v>
      </c>
      <c r="E4696" s="51">
        <f t="shared" si="73"/>
        <v>0</v>
      </c>
    </row>
    <row r="4697" spans="1:5">
      <c r="A4697" s="59">
        <v>9</v>
      </c>
      <c r="B4697" s="59">
        <v>22</v>
      </c>
      <c r="C4697" s="59">
        <v>150</v>
      </c>
      <c r="D4697" s="51">
        <v>7</v>
      </c>
      <c r="E4697" s="51">
        <f t="shared" si="73"/>
        <v>0</v>
      </c>
    </row>
    <row r="4698" spans="1:5">
      <c r="A4698" s="59">
        <v>9</v>
      </c>
      <c r="B4698" s="59">
        <v>23</v>
      </c>
      <c r="C4698" s="59">
        <v>230</v>
      </c>
      <c r="D4698" s="51">
        <v>7</v>
      </c>
      <c r="E4698" s="51">
        <f t="shared" si="73"/>
        <v>0</v>
      </c>
    </row>
    <row r="4699" spans="1:5">
      <c r="A4699" s="59">
        <v>9</v>
      </c>
      <c r="B4699" s="59">
        <v>24</v>
      </c>
      <c r="C4699" s="59">
        <v>420</v>
      </c>
      <c r="D4699" s="51">
        <v>7</v>
      </c>
      <c r="E4699" s="51">
        <f t="shared" si="73"/>
        <v>0</v>
      </c>
    </row>
    <row r="4700" spans="1:5">
      <c r="A4700" s="59">
        <v>9</v>
      </c>
      <c r="B4700" s="59">
        <v>41</v>
      </c>
      <c r="C4700" s="59">
        <v>910</v>
      </c>
      <c r="D4700" s="51">
        <v>7</v>
      </c>
      <c r="E4700" s="51">
        <f t="shared" si="73"/>
        <v>1</v>
      </c>
    </row>
    <row r="4701" spans="1:5">
      <c r="A4701" s="59">
        <v>9</v>
      </c>
      <c r="B4701" s="59">
        <v>43</v>
      </c>
      <c r="C4701" s="59">
        <v>730</v>
      </c>
      <c r="D4701" s="51">
        <v>7</v>
      </c>
      <c r="E4701" s="51">
        <f t="shared" si="73"/>
        <v>0</v>
      </c>
    </row>
    <row r="4702" spans="1:5">
      <c r="A4702" s="59">
        <v>9</v>
      </c>
      <c r="B4702" s="59">
        <v>44</v>
      </c>
      <c r="C4702" s="59">
        <v>920</v>
      </c>
      <c r="D4702" s="51">
        <v>7</v>
      </c>
      <c r="E4702" s="51">
        <f t="shared" si="73"/>
        <v>1</v>
      </c>
    </row>
    <row r="4703" spans="1:5">
      <c r="A4703" s="59">
        <v>9</v>
      </c>
      <c r="B4703" s="59">
        <v>64</v>
      </c>
      <c r="C4703" s="59">
        <v>120</v>
      </c>
      <c r="D4703" s="51">
        <v>7</v>
      </c>
      <c r="E4703" s="51">
        <f t="shared" si="73"/>
        <v>0</v>
      </c>
    </row>
    <row r="4704" spans="1:5">
      <c r="A4704" s="59">
        <v>9</v>
      </c>
      <c r="B4704" s="59">
        <v>11</v>
      </c>
      <c r="C4704" s="59">
        <v>410</v>
      </c>
      <c r="D4704" s="51">
        <v>6</v>
      </c>
      <c r="E4704" s="51">
        <f t="shared" si="73"/>
        <v>0</v>
      </c>
    </row>
    <row r="4705" spans="1:5">
      <c r="A4705" s="59">
        <v>9</v>
      </c>
      <c r="B4705" s="59">
        <v>13</v>
      </c>
      <c r="C4705" s="59">
        <v>320</v>
      </c>
      <c r="D4705" s="51">
        <v>6</v>
      </c>
      <c r="E4705" s="51">
        <f t="shared" si="73"/>
        <v>0</v>
      </c>
    </row>
    <row r="4706" spans="1:5">
      <c r="A4706" s="59">
        <v>9</v>
      </c>
      <c r="B4706" s="59">
        <v>14</v>
      </c>
      <c r="C4706" s="59">
        <v>510</v>
      </c>
      <c r="D4706" s="51">
        <v>6</v>
      </c>
      <c r="E4706" s="51">
        <f t="shared" si="73"/>
        <v>0</v>
      </c>
    </row>
    <row r="4707" spans="1:5">
      <c r="A4707" s="59">
        <v>9</v>
      </c>
      <c r="B4707" s="59">
        <v>15</v>
      </c>
      <c r="C4707" s="59">
        <v>230</v>
      </c>
      <c r="D4707" s="51">
        <v>6</v>
      </c>
      <c r="E4707" s="51">
        <f t="shared" si="73"/>
        <v>0</v>
      </c>
    </row>
    <row r="4708" spans="1:5">
      <c r="A4708" s="59">
        <v>9</v>
      </c>
      <c r="B4708" s="59">
        <v>15</v>
      </c>
      <c r="C4708" s="59">
        <v>320</v>
      </c>
      <c r="D4708" s="51">
        <v>6</v>
      </c>
      <c r="E4708" s="51">
        <f t="shared" si="73"/>
        <v>0</v>
      </c>
    </row>
    <row r="4709" spans="1:5">
      <c r="A4709" s="59">
        <v>9</v>
      </c>
      <c r="B4709" s="59">
        <v>15</v>
      </c>
      <c r="C4709" s="59">
        <v>510</v>
      </c>
      <c r="D4709" s="51">
        <v>6</v>
      </c>
      <c r="E4709" s="51">
        <f t="shared" si="73"/>
        <v>0</v>
      </c>
    </row>
    <row r="4710" spans="1:5">
      <c r="A4710" s="59">
        <v>9</v>
      </c>
      <c r="B4710" s="59">
        <v>16</v>
      </c>
      <c r="C4710" s="59">
        <v>920</v>
      </c>
      <c r="D4710" s="51">
        <v>6</v>
      </c>
      <c r="E4710" s="51">
        <f t="shared" si="73"/>
        <v>0</v>
      </c>
    </row>
    <row r="4711" spans="1:5">
      <c r="A4711" s="59">
        <v>9</v>
      </c>
      <c r="B4711" s="59">
        <v>22</v>
      </c>
      <c r="C4711" s="59">
        <v>320</v>
      </c>
      <c r="D4711" s="51">
        <v>6</v>
      </c>
      <c r="E4711" s="51">
        <f t="shared" si="73"/>
        <v>0</v>
      </c>
    </row>
    <row r="4712" spans="1:5">
      <c r="A4712" s="59">
        <v>9</v>
      </c>
      <c r="B4712" s="59">
        <v>62</v>
      </c>
      <c r="C4712" s="59">
        <v>310</v>
      </c>
      <c r="D4712" s="51">
        <v>6</v>
      </c>
      <c r="E4712" s="51">
        <f t="shared" si="73"/>
        <v>1</v>
      </c>
    </row>
    <row r="4713" spans="1:5">
      <c r="A4713" s="59">
        <v>9</v>
      </c>
      <c r="B4713" s="59">
        <v>63</v>
      </c>
      <c r="C4713" s="59">
        <v>150</v>
      </c>
      <c r="D4713" s="51">
        <v>6</v>
      </c>
      <c r="E4713" s="51">
        <f t="shared" si="73"/>
        <v>0</v>
      </c>
    </row>
    <row r="4714" spans="1:5">
      <c r="A4714" s="59">
        <v>9</v>
      </c>
      <c r="B4714" s="59">
        <v>63</v>
      </c>
      <c r="C4714" s="59">
        <v>920</v>
      </c>
      <c r="D4714" s="51">
        <v>6</v>
      </c>
      <c r="E4714" s="51">
        <f t="shared" si="73"/>
        <v>0</v>
      </c>
    </row>
    <row r="4715" spans="1:5">
      <c r="A4715" s="59">
        <v>9</v>
      </c>
      <c r="B4715" s="59">
        <v>64</v>
      </c>
      <c r="C4715" s="59">
        <v>820</v>
      </c>
      <c r="D4715" s="51">
        <v>6</v>
      </c>
      <c r="E4715" s="51">
        <f t="shared" si="73"/>
        <v>0</v>
      </c>
    </row>
    <row r="4716" spans="1:5">
      <c r="A4716" s="59">
        <v>9</v>
      </c>
      <c r="B4716" s="59">
        <v>71</v>
      </c>
      <c r="C4716" s="59">
        <v>640</v>
      </c>
      <c r="D4716" s="51">
        <v>6</v>
      </c>
      <c r="E4716" s="51">
        <f t="shared" si="73"/>
        <v>0</v>
      </c>
    </row>
    <row r="4717" spans="1:5">
      <c r="A4717" s="59">
        <v>9</v>
      </c>
      <c r="B4717" s="59">
        <v>13</v>
      </c>
      <c r="C4717" s="59">
        <v>140</v>
      </c>
      <c r="D4717" s="51">
        <v>5</v>
      </c>
      <c r="E4717" s="51">
        <f t="shared" si="73"/>
        <v>0</v>
      </c>
    </row>
    <row r="4718" spans="1:5">
      <c r="A4718" s="59">
        <v>9</v>
      </c>
      <c r="B4718" s="59">
        <v>13</v>
      </c>
      <c r="C4718" s="59">
        <v>530</v>
      </c>
      <c r="D4718" s="51">
        <v>5</v>
      </c>
      <c r="E4718" s="51">
        <f t="shared" si="73"/>
        <v>0</v>
      </c>
    </row>
    <row r="4719" spans="1:5">
      <c r="A4719" s="59">
        <v>9</v>
      </c>
      <c r="B4719" s="59">
        <v>16</v>
      </c>
      <c r="C4719" s="59">
        <v>510</v>
      </c>
      <c r="D4719" s="51">
        <v>5</v>
      </c>
      <c r="E4719" s="51">
        <f t="shared" si="73"/>
        <v>0</v>
      </c>
    </row>
    <row r="4720" spans="1:5">
      <c r="A4720" s="59">
        <v>9</v>
      </c>
      <c r="B4720" s="59">
        <v>16</v>
      </c>
      <c r="C4720" s="59">
        <v>630</v>
      </c>
      <c r="D4720" s="51">
        <v>5</v>
      </c>
      <c r="E4720" s="51">
        <f t="shared" si="73"/>
        <v>0</v>
      </c>
    </row>
    <row r="4721" spans="1:5">
      <c r="A4721" s="59">
        <v>9</v>
      </c>
      <c r="B4721" s="59">
        <v>16</v>
      </c>
      <c r="C4721" s="59">
        <v>950</v>
      </c>
      <c r="D4721" s="51">
        <v>5</v>
      </c>
      <c r="E4721" s="51">
        <f t="shared" si="73"/>
        <v>0</v>
      </c>
    </row>
    <row r="4722" spans="1:5">
      <c r="A4722" s="59">
        <v>9</v>
      </c>
      <c r="B4722" s="59">
        <v>21</v>
      </c>
      <c r="C4722" s="59">
        <v>240</v>
      </c>
      <c r="D4722" s="51">
        <v>5</v>
      </c>
      <c r="E4722" s="51">
        <f t="shared" si="73"/>
        <v>0</v>
      </c>
    </row>
    <row r="4723" spans="1:5">
      <c r="A4723" s="59">
        <v>9</v>
      </c>
      <c r="B4723" s="59">
        <v>21</v>
      </c>
      <c r="C4723" s="59">
        <v>330</v>
      </c>
      <c r="D4723" s="51">
        <v>5</v>
      </c>
      <c r="E4723" s="51">
        <f t="shared" si="73"/>
        <v>0</v>
      </c>
    </row>
    <row r="4724" spans="1:5">
      <c r="A4724" s="59">
        <v>9</v>
      </c>
      <c r="B4724" s="59">
        <v>23</v>
      </c>
      <c r="C4724" s="59">
        <v>330</v>
      </c>
      <c r="D4724" s="51">
        <v>5</v>
      </c>
      <c r="E4724" s="51">
        <f t="shared" si="73"/>
        <v>0</v>
      </c>
    </row>
    <row r="4725" spans="1:5">
      <c r="A4725" s="59">
        <v>9</v>
      </c>
      <c r="B4725" s="59">
        <v>23</v>
      </c>
      <c r="C4725" s="59">
        <v>410</v>
      </c>
      <c r="D4725" s="51">
        <v>5</v>
      </c>
      <c r="E4725" s="51">
        <f t="shared" si="73"/>
        <v>0</v>
      </c>
    </row>
    <row r="4726" spans="1:5">
      <c r="A4726" s="59">
        <v>9</v>
      </c>
      <c r="B4726" s="59">
        <v>31</v>
      </c>
      <c r="C4726" s="59">
        <v>210</v>
      </c>
      <c r="D4726" s="51">
        <v>5</v>
      </c>
      <c r="E4726" s="51">
        <f t="shared" si="73"/>
        <v>0</v>
      </c>
    </row>
    <row r="4727" spans="1:5">
      <c r="A4727" s="59">
        <v>9</v>
      </c>
      <c r="B4727" s="59">
        <v>33</v>
      </c>
      <c r="C4727" s="59">
        <v>510</v>
      </c>
      <c r="D4727" s="51">
        <v>5</v>
      </c>
      <c r="E4727" s="51">
        <f t="shared" si="73"/>
        <v>0</v>
      </c>
    </row>
    <row r="4728" spans="1:5">
      <c r="A4728" s="59">
        <v>9</v>
      </c>
      <c r="B4728" s="59">
        <v>33</v>
      </c>
      <c r="C4728" s="59">
        <v>930</v>
      </c>
      <c r="D4728" s="51">
        <v>5</v>
      </c>
      <c r="E4728" s="51">
        <f t="shared" si="73"/>
        <v>0</v>
      </c>
    </row>
    <row r="4729" spans="1:5">
      <c r="A4729" s="59">
        <v>9</v>
      </c>
      <c r="B4729" s="59">
        <v>41</v>
      </c>
      <c r="C4729" s="59">
        <v>720</v>
      </c>
      <c r="D4729" s="51">
        <v>5</v>
      </c>
      <c r="E4729" s="51">
        <f t="shared" si="73"/>
        <v>1</v>
      </c>
    </row>
    <row r="4730" spans="1:5">
      <c r="A4730" s="59">
        <v>9</v>
      </c>
      <c r="B4730" s="59">
        <v>42</v>
      </c>
      <c r="C4730" s="59">
        <v>510</v>
      </c>
      <c r="D4730" s="51">
        <v>5</v>
      </c>
      <c r="E4730" s="51">
        <f t="shared" si="73"/>
        <v>0</v>
      </c>
    </row>
    <row r="4731" spans="1:5">
      <c r="A4731" s="59">
        <v>9</v>
      </c>
      <c r="B4731" s="59">
        <v>43</v>
      </c>
      <c r="C4731" s="59">
        <v>440</v>
      </c>
      <c r="D4731" s="51">
        <v>5</v>
      </c>
      <c r="E4731" s="51">
        <f t="shared" si="73"/>
        <v>0</v>
      </c>
    </row>
    <row r="4732" spans="1:5">
      <c r="A4732" s="59">
        <v>9</v>
      </c>
      <c r="B4732" s="59">
        <v>43</v>
      </c>
      <c r="C4732" s="59">
        <v>520</v>
      </c>
      <c r="D4732" s="51">
        <v>5</v>
      </c>
      <c r="E4732" s="51">
        <f t="shared" si="73"/>
        <v>0</v>
      </c>
    </row>
    <row r="4733" spans="1:5">
      <c r="A4733" s="59">
        <v>9</v>
      </c>
      <c r="B4733" s="59">
        <v>43</v>
      </c>
      <c r="C4733" s="59">
        <v>990</v>
      </c>
      <c r="D4733" s="51">
        <v>5</v>
      </c>
      <c r="E4733" s="51">
        <f t="shared" si="73"/>
        <v>0</v>
      </c>
    </row>
    <row r="4734" spans="1:5">
      <c r="A4734" s="59">
        <v>9</v>
      </c>
      <c r="B4734" s="59">
        <v>44</v>
      </c>
      <c r="C4734" s="59">
        <v>510</v>
      </c>
      <c r="D4734" s="51">
        <v>5</v>
      </c>
      <c r="E4734" s="51">
        <f t="shared" si="73"/>
        <v>1</v>
      </c>
    </row>
    <row r="4735" spans="1:5">
      <c r="A4735" s="59">
        <v>9</v>
      </c>
      <c r="B4735" s="59">
        <v>61</v>
      </c>
      <c r="C4735" s="59">
        <v>410</v>
      </c>
      <c r="D4735" s="51">
        <v>5</v>
      </c>
      <c r="E4735" s="51">
        <f t="shared" si="73"/>
        <v>0</v>
      </c>
    </row>
    <row r="4736" spans="1:5">
      <c r="A4736" s="59">
        <v>9</v>
      </c>
      <c r="B4736" s="59">
        <v>63</v>
      </c>
      <c r="C4736" s="59">
        <v>550</v>
      </c>
      <c r="D4736" s="51">
        <v>5</v>
      </c>
      <c r="E4736" s="51">
        <f t="shared" si="73"/>
        <v>0</v>
      </c>
    </row>
    <row r="4737" spans="1:5">
      <c r="A4737" s="59">
        <v>9</v>
      </c>
      <c r="B4737" s="59">
        <v>63</v>
      </c>
      <c r="C4737" s="59">
        <v>630</v>
      </c>
      <c r="D4737" s="51">
        <v>5</v>
      </c>
      <c r="E4737" s="51">
        <f t="shared" si="73"/>
        <v>0</v>
      </c>
    </row>
    <row r="4738" spans="1:5">
      <c r="A4738" s="59">
        <v>9</v>
      </c>
      <c r="B4738" s="59">
        <v>71</v>
      </c>
      <c r="C4738" s="59">
        <v>220</v>
      </c>
      <c r="D4738" s="51">
        <v>5</v>
      </c>
      <c r="E4738" s="51">
        <f t="shared" ref="E4738:E4801" si="74">IF(OR(A4738=6,A4738=7,A4738=14,A4738=15,A4738=16,A4738=17,A4738=18,A4738=19,A4738=20,A4738=21,A4738=22,A4738=23,A4738=25,A4738=26,A4738=27,A4738=28,B4738=41,B4738=44,B4738=62),1,0)</f>
        <v>0</v>
      </c>
    </row>
    <row r="4739" spans="1:5">
      <c r="A4739" s="59">
        <v>9</v>
      </c>
      <c r="B4739" s="59">
        <v>71</v>
      </c>
      <c r="C4739" s="59">
        <v>520</v>
      </c>
      <c r="D4739" s="51">
        <v>5</v>
      </c>
      <c r="E4739" s="51">
        <f t="shared" si="74"/>
        <v>0</v>
      </c>
    </row>
    <row r="4740" spans="1:5">
      <c r="A4740" s="59">
        <v>9</v>
      </c>
      <c r="B4740" s="59">
        <v>13</v>
      </c>
      <c r="C4740" s="59">
        <v>120</v>
      </c>
      <c r="D4740" s="51">
        <v>4</v>
      </c>
      <c r="E4740" s="51">
        <f t="shared" si="74"/>
        <v>0</v>
      </c>
    </row>
    <row r="4741" spans="1:5">
      <c r="A4741" s="59">
        <v>9</v>
      </c>
      <c r="B4741" s="59">
        <v>13</v>
      </c>
      <c r="C4741" s="59">
        <v>220</v>
      </c>
      <c r="D4741" s="51">
        <v>4</v>
      </c>
      <c r="E4741" s="51">
        <f t="shared" si="74"/>
        <v>0</v>
      </c>
    </row>
    <row r="4742" spans="1:5">
      <c r="A4742" s="59">
        <v>9</v>
      </c>
      <c r="B4742" s="59">
        <v>13</v>
      </c>
      <c r="C4742" s="59">
        <v>920</v>
      </c>
      <c r="D4742" s="51">
        <v>4</v>
      </c>
      <c r="E4742" s="51">
        <f t="shared" si="74"/>
        <v>0</v>
      </c>
    </row>
    <row r="4743" spans="1:5">
      <c r="A4743" s="59">
        <v>9</v>
      </c>
      <c r="B4743" s="59">
        <v>13</v>
      </c>
      <c r="C4743" s="59">
        <v>940</v>
      </c>
      <c r="D4743" s="51">
        <v>4</v>
      </c>
      <c r="E4743" s="51">
        <f t="shared" si="74"/>
        <v>0</v>
      </c>
    </row>
    <row r="4744" spans="1:5">
      <c r="A4744" s="59">
        <v>9</v>
      </c>
      <c r="B4744" s="59">
        <v>15</v>
      </c>
      <c r="C4744" s="59">
        <v>920</v>
      </c>
      <c r="D4744" s="51">
        <v>4</v>
      </c>
      <c r="E4744" s="51">
        <f t="shared" si="74"/>
        <v>0</v>
      </c>
    </row>
    <row r="4745" spans="1:5">
      <c r="A4745" s="59">
        <v>9</v>
      </c>
      <c r="B4745" s="59">
        <v>16</v>
      </c>
      <c r="C4745" s="59">
        <v>940</v>
      </c>
      <c r="D4745" s="51">
        <v>4</v>
      </c>
      <c r="E4745" s="51">
        <f t="shared" si="74"/>
        <v>0</v>
      </c>
    </row>
    <row r="4746" spans="1:5">
      <c r="A4746" s="59">
        <v>9</v>
      </c>
      <c r="B4746" s="59">
        <v>21</v>
      </c>
      <c r="C4746" s="59">
        <v>230</v>
      </c>
      <c r="D4746" s="51">
        <v>4</v>
      </c>
      <c r="E4746" s="51">
        <f t="shared" si="74"/>
        <v>0</v>
      </c>
    </row>
    <row r="4747" spans="1:5">
      <c r="A4747" s="59">
        <v>9</v>
      </c>
      <c r="B4747" s="59">
        <v>23</v>
      </c>
      <c r="C4747" s="59">
        <v>420</v>
      </c>
      <c r="D4747" s="51">
        <v>4</v>
      </c>
      <c r="E4747" s="51">
        <f t="shared" si="74"/>
        <v>0</v>
      </c>
    </row>
    <row r="4748" spans="1:5">
      <c r="A4748" s="59">
        <v>9</v>
      </c>
      <c r="B4748" s="59">
        <v>24</v>
      </c>
      <c r="C4748" s="59">
        <v>210</v>
      </c>
      <c r="D4748" s="51">
        <v>4</v>
      </c>
      <c r="E4748" s="51">
        <f t="shared" si="74"/>
        <v>0</v>
      </c>
    </row>
    <row r="4749" spans="1:5">
      <c r="A4749" s="59">
        <v>9</v>
      </c>
      <c r="B4749" s="59">
        <v>24</v>
      </c>
      <c r="C4749" s="59">
        <v>230</v>
      </c>
      <c r="D4749" s="51">
        <v>4</v>
      </c>
      <c r="E4749" s="51">
        <f t="shared" si="74"/>
        <v>0</v>
      </c>
    </row>
    <row r="4750" spans="1:5">
      <c r="A4750" s="59">
        <v>9</v>
      </c>
      <c r="B4750" s="59">
        <v>24</v>
      </c>
      <c r="C4750" s="59">
        <v>910</v>
      </c>
      <c r="D4750" s="51">
        <v>4</v>
      </c>
      <c r="E4750" s="51">
        <f t="shared" si="74"/>
        <v>0</v>
      </c>
    </row>
    <row r="4751" spans="1:5">
      <c r="A4751" s="59">
        <v>9</v>
      </c>
      <c r="B4751" s="59">
        <v>32</v>
      </c>
      <c r="C4751" s="59">
        <v>899</v>
      </c>
      <c r="D4751" s="51">
        <v>4</v>
      </c>
      <c r="E4751" s="51">
        <f t="shared" si="74"/>
        <v>0</v>
      </c>
    </row>
    <row r="4752" spans="1:5">
      <c r="A4752" s="59">
        <v>9</v>
      </c>
      <c r="B4752" s="59">
        <v>32</v>
      </c>
      <c r="C4752" s="59">
        <v>990</v>
      </c>
      <c r="D4752" s="51">
        <v>4</v>
      </c>
      <c r="E4752" s="51">
        <f t="shared" si="74"/>
        <v>0</v>
      </c>
    </row>
    <row r="4753" spans="1:5">
      <c r="A4753" s="59">
        <v>9</v>
      </c>
      <c r="B4753" s="59">
        <v>33</v>
      </c>
      <c r="C4753" s="59">
        <v>530</v>
      </c>
      <c r="D4753" s="51">
        <v>4</v>
      </c>
      <c r="E4753" s="51">
        <f t="shared" si="74"/>
        <v>0</v>
      </c>
    </row>
    <row r="4754" spans="1:5">
      <c r="A4754" s="59">
        <v>9</v>
      </c>
      <c r="B4754" s="59">
        <v>33</v>
      </c>
      <c r="C4754" s="59">
        <v>950</v>
      </c>
      <c r="D4754" s="51">
        <v>4</v>
      </c>
      <c r="E4754" s="51">
        <f t="shared" si="74"/>
        <v>0</v>
      </c>
    </row>
    <row r="4755" spans="1:5">
      <c r="A4755" s="59">
        <v>9</v>
      </c>
      <c r="B4755" s="59">
        <v>42</v>
      </c>
      <c r="C4755" s="59">
        <v>610</v>
      </c>
      <c r="D4755" s="51">
        <v>4</v>
      </c>
      <c r="E4755" s="51">
        <f t="shared" si="74"/>
        <v>0</v>
      </c>
    </row>
    <row r="4756" spans="1:5">
      <c r="A4756" s="59">
        <v>9</v>
      </c>
      <c r="B4756" s="59">
        <v>43</v>
      </c>
      <c r="C4756" s="59">
        <v>130</v>
      </c>
      <c r="D4756" s="51">
        <v>4</v>
      </c>
      <c r="E4756" s="51">
        <f t="shared" si="74"/>
        <v>0</v>
      </c>
    </row>
    <row r="4757" spans="1:5">
      <c r="A4757" s="59">
        <v>9</v>
      </c>
      <c r="B4757" s="59">
        <v>62</v>
      </c>
      <c r="C4757" s="59">
        <v>820</v>
      </c>
      <c r="D4757" s="51">
        <v>4</v>
      </c>
      <c r="E4757" s="51">
        <f t="shared" si="74"/>
        <v>1</v>
      </c>
    </row>
    <row r="4758" spans="1:5">
      <c r="A4758" s="59">
        <v>9</v>
      </c>
      <c r="B4758" s="59">
        <v>63</v>
      </c>
      <c r="C4758" s="59">
        <v>640</v>
      </c>
      <c r="D4758" s="51">
        <v>4</v>
      </c>
      <c r="E4758" s="51">
        <f t="shared" si="74"/>
        <v>0</v>
      </c>
    </row>
    <row r="4759" spans="1:5">
      <c r="A4759" s="59">
        <v>9</v>
      </c>
      <c r="B4759" s="59">
        <v>64</v>
      </c>
      <c r="C4759" s="59">
        <v>960</v>
      </c>
      <c r="D4759" s="51">
        <v>4</v>
      </c>
      <c r="E4759" s="51">
        <f t="shared" si="74"/>
        <v>0</v>
      </c>
    </row>
    <row r="4760" spans="1:5">
      <c r="A4760" s="59">
        <v>9</v>
      </c>
      <c r="B4760" s="59">
        <v>71</v>
      </c>
      <c r="C4760" s="59">
        <v>150</v>
      </c>
      <c r="D4760" s="51">
        <v>4</v>
      </c>
      <c r="E4760" s="51">
        <f t="shared" si="74"/>
        <v>0</v>
      </c>
    </row>
    <row r="4761" spans="1:5">
      <c r="A4761" s="59">
        <v>9</v>
      </c>
      <c r="B4761" s="59">
        <v>14</v>
      </c>
      <c r="C4761" s="59">
        <v>610</v>
      </c>
      <c r="D4761" s="51">
        <v>3</v>
      </c>
      <c r="E4761" s="51">
        <f t="shared" si="74"/>
        <v>0</v>
      </c>
    </row>
    <row r="4762" spans="1:5">
      <c r="A4762" s="59">
        <v>9</v>
      </c>
      <c r="B4762" s="59">
        <v>16</v>
      </c>
      <c r="C4762" s="59">
        <v>530</v>
      </c>
      <c r="D4762" s="51">
        <v>3</v>
      </c>
      <c r="E4762" s="51">
        <f t="shared" si="74"/>
        <v>0</v>
      </c>
    </row>
    <row r="4763" spans="1:5">
      <c r="A4763" s="59">
        <v>9</v>
      </c>
      <c r="B4763" s="59">
        <v>22</v>
      </c>
      <c r="C4763" s="59">
        <v>930</v>
      </c>
      <c r="D4763" s="51">
        <v>3</v>
      </c>
      <c r="E4763" s="51">
        <f t="shared" si="74"/>
        <v>0</v>
      </c>
    </row>
    <row r="4764" spans="1:5">
      <c r="A4764" s="59">
        <v>9</v>
      </c>
      <c r="B4764" s="59">
        <v>22</v>
      </c>
      <c r="C4764" s="59">
        <v>950</v>
      </c>
      <c r="D4764" s="51">
        <v>3</v>
      </c>
      <c r="E4764" s="51">
        <f t="shared" si="74"/>
        <v>0</v>
      </c>
    </row>
    <row r="4765" spans="1:5">
      <c r="A4765" s="59">
        <v>9</v>
      </c>
      <c r="B4765" s="59">
        <v>32</v>
      </c>
      <c r="C4765" s="59">
        <v>320</v>
      </c>
      <c r="D4765" s="51">
        <v>3</v>
      </c>
      <c r="E4765" s="51">
        <f t="shared" si="74"/>
        <v>0</v>
      </c>
    </row>
    <row r="4766" spans="1:5">
      <c r="A4766" s="59">
        <v>9</v>
      </c>
      <c r="B4766" s="59">
        <v>32</v>
      </c>
      <c r="C4766" s="59">
        <v>440</v>
      </c>
      <c r="D4766" s="51">
        <v>3</v>
      </c>
      <c r="E4766" s="51">
        <f t="shared" si="74"/>
        <v>0</v>
      </c>
    </row>
    <row r="4767" spans="1:5">
      <c r="A4767" s="59">
        <v>9</v>
      </c>
      <c r="B4767" s="59">
        <v>41</v>
      </c>
      <c r="C4767" s="59">
        <v>950</v>
      </c>
      <c r="D4767" s="51">
        <v>3</v>
      </c>
      <c r="E4767" s="51">
        <f t="shared" si="74"/>
        <v>1</v>
      </c>
    </row>
    <row r="4768" spans="1:5">
      <c r="A4768" s="59">
        <v>9</v>
      </c>
      <c r="B4768" s="59">
        <v>42</v>
      </c>
      <c r="C4768" s="59">
        <v>110</v>
      </c>
      <c r="D4768" s="51">
        <v>3</v>
      </c>
      <c r="E4768" s="51">
        <f t="shared" si="74"/>
        <v>0</v>
      </c>
    </row>
    <row r="4769" spans="1:5">
      <c r="A4769" s="59">
        <v>9</v>
      </c>
      <c r="B4769" s="59">
        <v>42</v>
      </c>
      <c r="C4769" s="59">
        <v>530</v>
      </c>
      <c r="D4769" s="51">
        <v>3</v>
      </c>
      <c r="E4769" s="51">
        <f t="shared" si="74"/>
        <v>0</v>
      </c>
    </row>
    <row r="4770" spans="1:5">
      <c r="A4770" s="59">
        <v>9</v>
      </c>
      <c r="B4770" s="59">
        <v>42</v>
      </c>
      <c r="C4770" s="59">
        <v>950</v>
      </c>
      <c r="D4770" s="51">
        <v>3</v>
      </c>
      <c r="E4770" s="51">
        <f t="shared" si="74"/>
        <v>0</v>
      </c>
    </row>
    <row r="4771" spans="1:5">
      <c r="A4771" s="59">
        <v>9</v>
      </c>
      <c r="B4771" s="59">
        <v>42</v>
      </c>
      <c r="C4771" s="59">
        <v>970</v>
      </c>
      <c r="D4771" s="51">
        <v>3</v>
      </c>
      <c r="E4771" s="51">
        <f t="shared" si="74"/>
        <v>0</v>
      </c>
    </row>
    <row r="4772" spans="1:5">
      <c r="A4772" s="59">
        <v>9</v>
      </c>
      <c r="B4772" s="59">
        <v>43</v>
      </c>
      <c r="C4772" s="59">
        <v>320</v>
      </c>
      <c r="D4772" s="51">
        <v>3</v>
      </c>
      <c r="E4772" s="51">
        <f t="shared" si="74"/>
        <v>0</v>
      </c>
    </row>
    <row r="4773" spans="1:5">
      <c r="A4773" s="59">
        <v>9</v>
      </c>
      <c r="B4773" s="59">
        <v>43</v>
      </c>
      <c r="C4773" s="59">
        <v>550</v>
      </c>
      <c r="D4773" s="51">
        <v>3</v>
      </c>
      <c r="E4773" s="51">
        <f t="shared" si="74"/>
        <v>0</v>
      </c>
    </row>
    <row r="4774" spans="1:5">
      <c r="A4774" s="59">
        <v>9</v>
      </c>
      <c r="B4774" s="59">
        <v>43</v>
      </c>
      <c r="C4774" s="59">
        <v>950</v>
      </c>
      <c r="D4774" s="51">
        <v>3</v>
      </c>
      <c r="E4774" s="51">
        <f t="shared" si="74"/>
        <v>0</v>
      </c>
    </row>
    <row r="4775" spans="1:5">
      <c r="A4775" s="59">
        <v>9</v>
      </c>
      <c r="B4775" s="59">
        <v>44</v>
      </c>
      <c r="C4775" s="59">
        <v>620</v>
      </c>
      <c r="D4775" s="51">
        <v>3</v>
      </c>
      <c r="E4775" s="51">
        <f t="shared" si="74"/>
        <v>1</v>
      </c>
    </row>
    <row r="4776" spans="1:5">
      <c r="A4776" s="59">
        <v>9</v>
      </c>
      <c r="B4776" s="59">
        <v>44</v>
      </c>
      <c r="C4776" s="59">
        <v>720</v>
      </c>
      <c r="D4776" s="51">
        <v>3</v>
      </c>
      <c r="E4776" s="51">
        <f t="shared" si="74"/>
        <v>1</v>
      </c>
    </row>
    <row r="4777" spans="1:5">
      <c r="A4777" s="59">
        <v>9</v>
      </c>
      <c r="B4777" s="59">
        <v>62</v>
      </c>
      <c r="C4777" s="59">
        <v>990</v>
      </c>
      <c r="D4777" s="51">
        <v>3</v>
      </c>
      <c r="E4777" s="51">
        <f t="shared" si="74"/>
        <v>1</v>
      </c>
    </row>
    <row r="4778" spans="1:5">
      <c r="A4778" s="59">
        <v>9</v>
      </c>
      <c r="B4778" s="59">
        <v>63</v>
      </c>
      <c r="C4778" s="59">
        <v>310</v>
      </c>
      <c r="D4778" s="51">
        <v>3</v>
      </c>
      <c r="E4778" s="51">
        <f t="shared" si="74"/>
        <v>0</v>
      </c>
    </row>
    <row r="4779" spans="1:5">
      <c r="A4779" s="59">
        <v>9</v>
      </c>
      <c r="B4779" s="59">
        <v>64</v>
      </c>
      <c r="C4779" s="59">
        <v>861</v>
      </c>
      <c r="D4779" s="51">
        <v>3</v>
      </c>
      <c r="E4779" s="51">
        <f t="shared" si="74"/>
        <v>0</v>
      </c>
    </row>
    <row r="4780" spans="1:5">
      <c r="A4780" s="59">
        <v>9</v>
      </c>
      <c r="B4780" s="59">
        <v>71</v>
      </c>
      <c r="C4780" s="59">
        <v>230</v>
      </c>
      <c r="D4780" s="51">
        <v>3</v>
      </c>
      <c r="E4780" s="51">
        <f t="shared" si="74"/>
        <v>0</v>
      </c>
    </row>
    <row r="4781" spans="1:5">
      <c r="A4781" s="59">
        <v>9</v>
      </c>
      <c r="B4781" s="59">
        <v>71</v>
      </c>
      <c r="C4781" s="59">
        <v>831</v>
      </c>
      <c r="D4781" s="51">
        <v>3</v>
      </c>
      <c r="E4781" s="51">
        <f t="shared" si="74"/>
        <v>0</v>
      </c>
    </row>
    <row r="4782" spans="1:5">
      <c r="A4782" s="59">
        <v>9</v>
      </c>
      <c r="B4782" s="59">
        <v>81</v>
      </c>
      <c r="C4782" s="59">
        <v>210</v>
      </c>
      <c r="D4782" s="51">
        <v>3</v>
      </c>
      <c r="E4782" s="51">
        <f t="shared" si="74"/>
        <v>0</v>
      </c>
    </row>
    <row r="4783" spans="1:5">
      <c r="A4783" s="59">
        <v>9</v>
      </c>
      <c r="B4783" s="59">
        <v>81</v>
      </c>
      <c r="C4783" s="59">
        <v>220</v>
      </c>
      <c r="D4783" s="51">
        <v>3</v>
      </c>
      <c r="E4783" s="51">
        <f t="shared" si="74"/>
        <v>0</v>
      </c>
    </row>
    <row r="4784" spans="1:5">
      <c r="A4784" s="59">
        <v>9</v>
      </c>
      <c r="B4784" s="59">
        <v>81</v>
      </c>
      <c r="C4784" s="59">
        <v>510</v>
      </c>
      <c r="D4784" s="51">
        <v>3</v>
      </c>
      <c r="E4784" s="51">
        <f t="shared" si="74"/>
        <v>0</v>
      </c>
    </row>
    <row r="4785" spans="1:5">
      <c r="A4785" s="59">
        <v>9</v>
      </c>
      <c r="B4785" s="59">
        <v>81</v>
      </c>
      <c r="C4785" s="59">
        <v>530</v>
      </c>
      <c r="D4785" s="51">
        <v>3</v>
      </c>
      <c r="E4785" s="51">
        <f t="shared" si="74"/>
        <v>0</v>
      </c>
    </row>
    <row r="4786" spans="1:5">
      <c r="A4786" s="59">
        <v>9</v>
      </c>
      <c r="B4786" s="59">
        <v>11</v>
      </c>
      <c r="C4786" s="59">
        <v>160</v>
      </c>
      <c r="D4786" s="51">
        <v>2</v>
      </c>
      <c r="E4786" s="51">
        <f t="shared" si="74"/>
        <v>0</v>
      </c>
    </row>
    <row r="4787" spans="1:5">
      <c r="A4787" s="59">
        <v>9</v>
      </c>
      <c r="B4787" s="59">
        <v>11</v>
      </c>
      <c r="C4787" s="59">
        <v>930</v>
      </c>
      <c r="D4787" s="51">
        <v>2</v>
      </c>
      <c r="E4787" s="51">
        <f t="shared" si="74"/>
        <v>0</v>
      </c>
    </row>
    <row r="4788" spans="1:5">
      <c r="A4788" s="59">
        <v>9</v>
      </c>
      <c r="B4788" s="59">
        <v>14</v>
      </c>
      <c r="C4788" s="59">
        <v>950</v>
      </c>
      <c r="D4788" s="51">
        <v>2</v>
      </c>
      <c r="E4788" s="51">
        <f t="shared" si="74"/>
        <v>0</v>
      </c>
    </row>
    <row r="4789" spans="1:5">
      <c r="A4789" s="59">
        <v>9</v>
      </c>
      <c r="B4789" s="59">
        <v>14</v>
      </c>
      <c r="C4789" s="59">
        <v>960</v>
      </c>
      <c r="D4789" s="51">
        <v>2</v>
      </c>
      <c r="E4789" s="51">
        <f t="shared" si="74"/>
        <v>0</v>
      </c>
    </row>
    <row r="4790" spans="1:5">
      <c r="A4790" s="59">
        <v>9</v>
      </c>
      <c r="B4790" s="59">
        <v>16</v>
      </c>
      <c r="C4790" s="59">
        <v>970</v>
      </c>
      <c r="D4790" s="51">
        <v>2</v>
      </c>
      <c r="E4790" s="51">
        <f t="shared" si="74"/>
        <v>0</v>
      </c>
    </row>
    <row r="4791" spans="1:5">
      <c r="A4791" s="59">
        <v>9</v>
      </c>
      <c r="B4791" s="59">
        <v>21</v>
      </c>
      <c r="C4791" s="59">
        <v>130</v>
      </c>
      <c r="D4791" s="51">
        <v>2</v>
      </c>
      <c r="E4791" s="51">
        <f t="shared" si="74"/>
        <v>0</v>
      </c>
    </row>
    <row r="4792" spans="1:5">
      <c r="A4792" s="59">
        <v>9</v>
      </c>
      <c r="B4792" s="59">
        <v>21</v>
      </c>
      <c r="C4792" s="59">
        <v>310</v>
      </c>
      <c r="D4792" s="51">
        <v>2</v>
      </c>
      <c r="E4792" s="51">
        <f t="shared" si="74"/>
        <v>0</v>
      </c>
    </row>
    <row r="4793" spans="1:5">
      <c r="A4793" s="59">
        <v>9</v>
      </c>
      <c r="B4793" s="59">
        <v>23</v>
      </c>
      <c r="C4793" s="59">
        <v>110</v>
      </c>
      <c r="D4793" s="51">
        <v>2</v>
      </c>
      <c r="E4793" s="51">
        <f t="shared" si="74"/>
        <v>0</v>
      </c>
    </row>
    <row r="4794" spans="1:5">
      <c r="A4794" s="59">
        <v>9</v>
      </c>
      <c r="B4794" s="59">
        <v>23</v>
      </c>
      <c r="C4794" s="59">
        <v>910</v>
      </c>
      <c r="D4794" s="51">
        <v>2</v>
      </c>
      <c r="E4794" s="51">
        <f t="shared" si="74"/>
        <v>0</v>
      </c>
    </row>
    <row r="4795" spans="1:5">
      <c r="A4795" s="59">
        <v>9</v>
      </c>
      <c r="B4795" s="59">
        <v>32</v>
      </c>
      <c r="C4795" s="59">
        <v>630</v>
      </c>
      <c r="D4795" s="51">
        <v>2</v>
      </c>
      <c r="E4795" s="51">
        <f t="shared" si="74"/>
        <v>0</v>
      </c>
    </row>
    <row r="4796" spans="1:5">
      <c r="A4796" s="59">
        <v>9</v>
      </c>
      <c r="B4796" s="59">
        <v>32</v>
      </c>
      <c r="C4796" s="59">
        <v>896</v>
      </c>
      <c r="D4796" s="51">
        <v>2</v>
      </c>
      <c r="E4796" s="51">
        <f t="shared" si="74"/>
        <v>0</v>
      </c>
    </row>
    <row r="4797" spans="1:5">
      <c r="A4797" s="59">
        <v>9</v>
      </c>
      <c r="B4797" s="59">
        <v>32</v>
      </c>
      <c r="C4797" s="59">
        <v>940</v>
      </c>
      <c r="D4797" s="51">
        <v>2</v>
      </c>
      <c r="E4797" s="51">
        <f t="shared" si="74"/>
        <v>0</v>
      </c>
    </row>
    <row r="4798" spans="1:5">
      <c r="A4798" s="59">
        <v>9</v>
      </c>
      <c r="B4798" s="59">
        <v>33</v>
      </c>
      <c r="C4798" s="59">
        <v>720</v>
      </c>
      <c r="D4798" s="51">
        <v>2</v>
      </c>
      <c r="E4798" s="51">
        <f t="shared" si="74"/>
        <v>0</v>
      </c>
    </row>
    <row r="4799" spans="1:5">
      <c r="A4799" s="59">
        <v>9</v>
      </c>
      <c r="B4799" s="59">
        <v>42</v>
      </c>
      <c r="C4799" s="59">
        <v>150</v>
      </c>
      <c r="D4799" s="51">
        <v>2</v>
      </c>
      <c r="E4799" s="51">
        <f t="shared" si="74"/>
        <v>0</v>
      </c>
    </row>
    <row r="4800" spans="1:5">
      <c r="A4800" s="59">
        <v>9</v>
      </c>
      <c r="B4800" s="59">
        <v>42</v>
      </c>
      <c r="C4800" s="59">
        <v>220</v>
      </c>
      <c r="D4800" s="51">
        <v>2</v>
      </c>
      <c r="E4800" s="51">
        <f t="shared" si="74"/>
        <v>0</v>
      </c>
    </row>
    <row r="4801" spans="1:5">
      <c r="A4801" s="59">
        <v>9</v>
      </c>
      <c r="B4801" s="59">
        <v>42</v>
      </c>
      <c r="C4801" s="59">
        <v>920</v>
      </c>
      <c r="D4801" s="51">
        <v>2</v>
      </c>
      <c r="E4801" s="51">
        <f t="shared" si="74"/>
        <v>0</v>
      </c>
    </row>
    <row r="4802" spans="1:5">
      <c r="A4802" s="59">
        <v>9</v>
      </c>
      <c r="B4802" s="59">
        <v>43</v>
      </c>
      <c r="C4802" s="59">
        <v>140</v>
      </c>
      <c r="D4802" s="51">
        <v>2</v>
      </c>
      <c r="E4802" s="51">
        <f t="shared" ref="E4802:E4865" si="75">IF(OR(A4802=6,A4802=7,A4802=14,A4802=15,A4802=16,A4802=17,A4802=18,A4802=19,A4802=20,A4802=21,A4802=22,A4802=23,A4802=25,A4802=26,A4802=27,A4802=28,B4802=41,B4802=44,B4802=62),1,0)</f>
        <v>0</v>
      </c>
    </row>
    <row r="4803" spans="1:5">
      <c r="A4803" s="59">
        <v>9</v>
      </c>
      <c r="B4803" s="59">
        <v>43</v>
      </c>
      <c r="C4803" s="59">
        <v>640</v>
      </c>
      <c r="D4803" s="51">
        <v>2</v>
      </c>
      <c r="E4803" s="51">
        <f t="shared" si="75"/>
        <v>0</v>
      </c>
    </row>
    <row r="4804" spans="1:5">
      <c r="A4804" s="59">
        <v>9</v>
      </c>
      <c r="B4804" s="59">
        <v>43</v>
      </c>
      <c r="C4804" s="59">
        <v>750</v>
      </c>
      <c r="D4804" s="51">
        <v>2</v>
      </c>
      <c r="E4804" s="51">
        <f t="shared" si="75"/>
        <v>0</v>
      </c>
    </row>
    <row r="4805" spans="1:5">
      <c r="A4805" s="59">
        <v>9</v>
      </c>
      <c r="B4805" s="59">
        <v>44</v>
      </c>
      <c r="C4805" s="59">
        <v>150</v>
      </c>
      <c r="D4805" s="51">
        <v>2</v>
      </c>
      <c r="E4805" s="51">
        <f t="shared" si="75"/>
        <v>1</v>
      </c>
    </row>
    <row r="4806" spans="1:5">
      <c r="A4806" s="59">
        <v>9</v>
      </c>
      <c r="B4806" s="59">
        <v>44</v>
      </c>
      <c r="C4806" s="59">
        <v>330</v>
      </c>
      <c r="D4806" s="51">
        <v>2</v>
      </c>
      <c r="E4806" s="51">
        <f t="shared" si="75"/>
        <v>1</v>
      </c>
    </row>
    <row r="4807" spans="1:5">
      <c r="A4807" s="59">
        <v>9</v>
      </c>
      <c r="B4807" s="59">
        <v>51</v>
      </c>
      <c r="C4807" s="59">
        <v>910</v>
      </c>
      <c r="D4807" s="51">
        <v>2</v>
      </c>
      <c r="E4807" s="51">
        <f t="shared" si="75"/>
        <v>0</v>
      </c>
    </row>
    <row r="4808" spans="1:5">
      <c r="A4808" s="59">
        <v>9</v>
      </c>
      <c r="B4808" s="59">
        <v>62</v>
      </c>
      <c r="C4808" s="59">
        <v>240</v>
      </c>
      <c r="D4808" s="51">
        <v>2</v>
      </c>
      <c r="E4808" s="51">
        <f t="shared" si="75"/>
        <v>1</v>
      </c>
    </row>
    <row r="4809" spans="1:5">
      <c r="A4809" s="59">
        <v>9</v>
      </c>
      <c r="B4809" s="59">
        <v>62</v>
      </c>
      <c r="C4809" s="59">
        <v>610</v>
      </c>
      <c r="D4809" s="51">
        <v>2</v>
      </c>
      <c r="E4809" s="51">
        <f t="shared" si="75"/>
        <v>1</v>
      </c>
    </row>
    <row r="4810" spans="1:5">
      <c r="A4810" s="59">
        <v>9</v>
      </c>
      <c r="B4810" s="59">
        <v>62</v>
      </c>
      <c r="C4810" s="59">
        <v>640</v>
      </c>
      <c r="D4810" s="51">
        <v>2</v>
      </c>
      <c r="E4810" s="51">
        <f t="shared" si="75"/>
        <v>1</v>
      </c>
    </row>
    <row r="4811" spans="1:5">
      <c r="A4811" s="59">
        <v>9</v>
      </c>
      <c r="B4811" s="59">
        <v>62</v>
      </c>
      <c r="C4811" s="59">
        <v>730</v>
      </c>
      <c r="D4811" s="51">
        <v>2</v>
      </c>
      <c r="E4811" s="51">
        <f t="shared" si="75"/>
        <v>1</v>
      </c>
    </row>
    <row r="4812" spans="1:5">
      <c r="A4812" s="59">
        <v>9</v>
      </c>
      <c r="B4812" s="59">
        <v>62</v>
      </c>
      <c r="C4812" s="59">
        <v>899</v>
      </c>
      <c r="D4812" s="51">
        <v>2</v>
      </c>
      <c r="E4812" s="51">
        <f t="shared" si="75"/>
        <v>1</v>
      </c>
    </row>
    <row r="4813" spans="1:5">
      <c r="A4813" s="59">
        <v>9</v>
      </c>
      <c r="B4813" s="59">
        <v>63</v>
      </c>
      <c r="C4813" s="59">
        <v>220</v>
      </c>
      <c r="D4813" s="51">
        <v>2</v>
      </c>
      <c r="E4813" s="51">
        <f t="shared" si="75"/>
        <v>0</v>
      </c>
    </row>
    <row r="4814" spans="1:5">
      <c r="A4814" s="59">
        <v>9</v>
      </c>
      <c r="B4814" s="59">
        <v>63</v>
      </c>
      <c r="C4814" s="59">
        <v>230</v>
      </c>
      <c r="D4814" s="51">
        <v>2</v>
      </c>
      <c r="E4814" s="51">
        <f t="shared" si="75"/>
        <v>0</v>
      </c>
    </row>
    <row r="4815" spans="1:5">
      <c r="A4815" s="59">
        <v>9</v>
      </c>
      <c r="B4815" s="59">
        <v>63</v>
      </c>
      <c r="C4815" s="59">
        <v>520</v>
      </c>
      <c r="D4815" s="51">
        <v>2</v>
      </c>
      <c r="E4815" s="51">
        <f t="shared" si="75"/>
        <v>0</v>
      </c>
    </row>
    <row r="4816" spans="1:5">
      <c r="A4816" s="59">
        <v>9</v>
      </c>
      <c r="B4816" s="59">
        <v>63</v>
      </c>
      <c r="C4816" s="59">
        <v>730</v>
      </c>
      <c r="D4816" s="51">
        <v>2</v>
      </c>
      <c r="E4816" s="51">
        <f t="shared" si="75"/>
        <v>0</v>
      </c>
    </row>
    <row r="4817" spans="1:5">
      <c r="A4817" s="59">
        <v>9</v>
      </c>
      <c r="B4817" s="59">
        <v>64</v>
      </c>
      <c r="C4817" s="59">
        <v>840</v>
      </c>
      <c r="D4817" s="51">
        <v>2</v>
      </c>
      <c r="E4817" s="51">
        <f t="shared" si="75"/>
        <v>0</v>
      </c>
    </row>
    <row r="4818" spans="1:5">
      <c r="A4818" s="59">
        <v>9</v>
      </c>
      <c r="B4818" s="59">
        <v>64</v>
      </c>
      <c r="C4818" s="59">
        <v>862</v>
      </c>
      <c r="D4818" s="51">
        <v>2</v>
      </c>
      <c r="E4818" s="51">
        <f t="shared" si="75"/>
        <v>0</v>
      </c>
    </row>
    <row r="4819" spans="1:5">
      <c r="A4819" s="59">
        <v>9</v>
      </c>
      <c r="B4819" s="59">
        <v>71</v>
      </c>
      <c r="C4819" s="59">
        <v>440</v>
      </c>
      <c r="D4819" s="51">
        <v>2</v>
      </c>
      <c r="E4819" s="51">
        <f t="shared" si="75"/>
        <v>0</v>
      </c>
    </row>
    <row r="4820" spans="1:5">
      <c r="A4820" s="59">
        <v>9</v>
      </c>
      <c r="B4820" s="59">
        <v>71</v>
      </c>
      <c r="C4820" s="59">
        <v>550</v>
      </c>
      <c r="D4820" s="51">
        <v>2</v>
      </c>
      <c r="E4820" s="51">
        <f t="shared" si="75"/>
        <v>0</v>
      </c>
    </row>
    <row r="4821" spans="1:5">
      <c r="A4821" s="59">
        <v>9</v>
      </c>
      <c r="B4821" s="59">
        <v>71</v>
      </c>
      <c r="C4821" s="59">
        <v>720</v>
      </c>
      <c r="D4821" s="51">
        <v>2</v>
      </c>
      <c r="E4821" s="51">
        <f t="shared" si="75"/>
        <v>0</v>
      </c>
    </row>
    <row r="4822" spans="1:5">
      <c r="A4822" s="59">
        <v>9</v>
      </c>
      <c r="B4822" s="59">
        <v>81</v>
      </c>
      <c r="C4822" s="59">
        <v>240</v>
      </c>
      <c r="D4822" s="51">
        <v>2</v>
      </c>
      <c r="E4822" s="51">
        <f t="shared" si="75"/>
        <v>0</v>
      </c>
    </row>
    <row r="4823" spans="1:5">
      <c r="A4823" s="59">
        <v>9</v>
      </c>
      <c r="B4823" s="59">
        <v>81</v>
      </c>
      <c r="C4823" s="59">
        <v>540</v>
      </c>
      <c r="D4823" s="51">
        <v>2</v>
      </c>
      <c r="E4823" s="51">
        <f t="shared" si="75"/>
        <v>0</v>
      </c>
    </row>
    <row r="4824" spans="1:5">
      <c r="A4824" s="59">
        <v>9</v>
      </c>
      <c r="B4824" s="59">
        <v>81</v>
      </c>
      <c r="C4824" s="59">
        <v>610</v>
      </c>
      <c r="D4824" s="51">
        <v>2</v>
      </c>
      <c r="E4824" s="51">
        <f t="shared" si="75"/>
        <v>0</v>
      </c>
    </row>
    <row r="4825" spans="1:5">
      <c r="A4825" s="59">
        <v>9</v>
      </c>
      <c r="B4825" s="59">
        <v>13</v>
      </c>
      <c r="C4825" s="59">
        <v>440</v>
      </c>
      <c r="D4825" s="51">
        <v>1</v>
      </c>
      <c r="E4825" s="51">
        <f t="shared" si="75"/>
        <v>0</v>
      </c>
    </row>
    <row r="4826" spans="1:5">
      <c r="A4826" s="59">
        <v>9</v>
      </c>
      <c r="B4826" s="59">
        <v>13</v>
      </c>
      <c r="C4826" s="59">
        <v>610</v>
      </c>
      <c r="D4826" s="51">
        <v>1</v>
      </c>
      <c r="E4826" s="51">
        <f t="shared" si="75"/>
        <v>0</v>
      </c>
    </row>
    <row r="4827" spans="1:5">
      <c r="A4827" s="59">
        <v>9</v>
      </c>
      <c r="B4827" s="59">
        <v>13</v>
      </c>
      <c r="C4827" s="59">
        <v>620</v>
      </c>
      <c r="D4827" s="51">
        <v>1</v>
      </c>
      <c r="E4827" s="51">
        <f t="shared" si="75"/>
        <v>0</v>
      </c>
    </row>
    <row r="4828" spans="1:5">
      <c r="A4828" s="59">
        <v>9</v>
      </c>
      <c r="B4828" s="59">
        <v>13</v>
      </c>
      <c r="C4828" s="59">
        <v>930</v>
      </c>
      <c r="D4828" s="51">
        <v>1</v>
      </c>
      <c r="E4828" s="51">
        <f t="shared" si="75"/>
        <v>0</v>
      </c>
    </row>
    <row r="4829" spans="1:5">
      <c r="A4829" s="59">
        <v>9</v>
      </c>
      <c r="B4829" s="59">
        <v>13</v>
      </c>
      <c r="C4829" s="59">
        <v>960</v>
      </c>
      <c r="D4829" s="51">
        <v>1</v>
      </c>
      <c r="E4829" s="51">
        <f t="shared" si="75"/>
        <v>0</v>
      </c>
    </row>
    <row r="4830" spans="1:5">
      <c r="A4830" s="59">
        <v>9</v>
      </c>
      <c r="B4830" s="59">
        <v>14</v>
      </c>
      <c r="C4830" s="59">
        <v>120</v>
      </c>
      <c r="D4830" s="51">
        <v>1</v>
      </c>
      <c r="E4830" s="51">
        <f t="shared" si="75"/>
        <v>0</v>
      </c>
    </row>
    <row r="4831" spans="1:5">
      <c r="A4831" s="59">
        <v>9</v>
      </c>
      <c r="B4831" s="59">
        <v>14</v>
      </c>
      <c r="C4831" s="59">
        <v>730</v>
      </c>
      <c r="D4831" s="51">
        <v>1</v>
      </c>
      <c r="E4831" s="51">
        <f t="shared" si="75"/>
        <v>0</v>
      </c>
    </row>
    <row r="4832" spans="1:5">
      <c r="A4832" s="59">
        <v>9</v>
      </c>
      <c r="B4832" s="59">
        <v>15</v>
      </c>
      <c r="C4832" s="59">
        <v>950</v>
      </c>
      <c r="D4832" s="51">
        <v>1</v>
      </c>
      <c r="E4832" s="51">
        <f t="shared" si="75"/>
        <v>0</v>
      </c>
    </row>
    <row r="4833" spans="1:5">
      <c r="A4833" s="59">
        <v>9</v>
      </c>
      <c r="B4833" s="59">
        <v>15</v>
      </c>
      <c r="C4833" s="59">
        <v>990</v>
      </c>
      <c r="D4833" s="51">
        <v>1</v>
      </c>
      <c r="E4833" s="51">
        <f t="shared" si="75"/>
        <v>0</v>
      </c>
    </row>
    <row r="4834" spans="1:5">
      <c r="A4834" s="59">
        <v>9</v>
      </c>
      <c r="B4834" s="59">
        <v>16</v>
      </c>
      <c r="C4834" s="59">
        <v>930</v>
      </c>
      <c r="D4834" s="51">
        <v>1</v>
      </c>
      <c r="E4834" s="51">
        <f t="shared" si="75"/>
        <v>0</v>
      </c>
    </row>
    <row r="4835" spans="1:5">
      <c r="A4835" s="59">
        <v>9</v>
      </c>
      <c r="B4835" s="59">
        <v>21</v>
      </c>
      <c r="C4835" s="59">
        <v>110</v>
      </c>
      <c r="D4835" s="51">
        <v>1</v>
      </c>
      <c r="E4835" s="51">
        <f t="shared" si="75"/>
        <v>0</v>
      </c>
    </row>
    <row r="4836" spans="1:5">
      <c r="A4836" s="59">
        <v>9</v>
      </c>
      <c r="B4836" s="59">
        <v>21</v>
      </c>
      <c r="C4836" s="59">
        <v>160</v>
      </c>
      <c r="D4836" s="51">
        <v>1</v>
      </c>
      <c r="E4836" s="51">
        <f t="shared" si="75"/>
        <v>0</v>
      </c>
    </row>
    <row r="4837" spans="1:5">
      <c r="A4837" s="59">
        <v>9</v>
      </c>
      <c r="B4837" s="59">
        <v>21</v>
      </c>
      <c r="C4837" s="59">
        <v>430</v>
      </c>
      <c r="D4837" s="51">
        <v>1</v>
      </c>
      <c r="E4837" s="51">
        <f t="shared" si="75"/>
        <v>0</v>
      </c>
    </row>
    <row r="4838" spans="1:5">
      <c r="A4838" s="59">
        <v>9</v>
      </c>
      <c r="B4838" s="59">
        <v>22</v>
      </c>
      <c r="C4838" s="59">
        <v>120</v>
      </c>
      <c r="D4838" s="51">
        <v>1</v>
      </c>
      <c r="E4838" s="51">
        <f t="shared" si="75"/>
        <v>0</v>
      </c>
    </row>
    <row r="4839" spans="1:5">
      <c r="A4839" s="59">
        <v>9</v>
      </c>
      <c r="B4839" s="59">
        <v>22</v>
      </c>
      <c r="C4839" s="59">
        <v>130</v>
      </c>
      <c r="D4839" s="51">
        <v>1</v>
      </c>
      <c r="E4839" s="51">
        <f t="shared" si="75"/>
        <v>0</v>
      </c>
    </row>
    <row r="4840" spans="1:5">
      <c r="A4840" s="59">
        <v>9</v>
      </c>
      <c r="B4840" s="59">
        <v>23</v>
      </c>
      <c r="C4840" s="59">
        <v>310</v>
      </c>
      <c r="D4840" s="51">
        <v>1</v>
      </c>
      <c r="E4840" s="51">
        <f t="shared" si="75"/>
        <v>0</v>
      </c>
    </row>
    <row r="4841" spans="1:5">
      <c r="A4841" s="59">
        <v>9</v>
      </c>
      <c r="B4841" s="59">
        <v>23</v>
      </c>
      <c r="C4841" s="59">
        <v>320</v>
      </c>
      <c r="D4841" s="51">
        <v>1</v>
      </c>
      <c r="E4841" s="51">
        <f t="shared" si="75"/>
        <v>0</v>
      </c>
    </row>
    <row r="4842" spans="1:5">
      <c r="A4842" s="59">
        <v>9</v>
      </c>
      <c r="B4842" s="59">
        <v>24</v>
      </c>
      <c r="C4842" s="59">
        <v>430</v>
      </c>
      <c r="D4842" s="51">
        <v>1</v>
      </c>
      <c r="E4842" s="51">
        <f t="shared" si="75"/>
        <v>0</v>
      </c>
    </row>
    <row r="4843" spans="1:5">
      <c r="A4843" s="59">
        <v>9</v>
      </c>
      <c r="B4843" s="59">
        <v>31</v>
      </c>
      <c r="C4843" s="59">
        <v>160</v>
      </c>
      <c r="D4843" s="51">
        <v>1</v>
      </c>
      <c r="E4843" s="51">
        <f t="shared" si="75"/>
        <v>0</v>
      </c>
    </row>
    <row r="4844" spans="1:5">
      <c r="A4844" s="59">
        <v>9</v>
      </c>
      <c r="B4844" s="59">
        <v>31</v>
      </c>
      <c r="C4844" s="59">
        <v>620</v>
      </c>
      <c r="D4844" s="51">
        <v>1</v>
      </c>
      <c r="E4844" s="51">
        <f t="shared" si="75"/>
        <v>0</v>
      </c>
    </row>
    <row r="4845" spans="1:5">
      <c r="A4845" s="59">
        <v>9</v>
      </c>
      <c r="B4845" s="59">
        <v>32</v>
      </c>
      <c r="C4845" s="59">
        <v>130</v>
      </c>
      <c r="D4845" s="51">
        <v>1</v>
      </c>
      <c r="E4845" s="51">
        <f t="shared" si="75"/>
        <v>0</v>
      </c>
    </row>
    <row r="4846" spans="1:5">
      <c r="A4846" s="59">
        <v>9</v>
      </c>
      <c r="B4846" s="59">
        <v>32</v>
      </c>
      <c r="C4846" s="59">
        <v>520</v>
      </c>
      <c r="D4846" s="51">
        <v>1</v>
      </c>
      <c r="E4846" s="51">
        <f t="shared" si="75"/>
        <v>0</v>
      </c>
    </row>
    <row r="4847" spans="1:5">
      <c r="A4847" s="59">
        <v>9</v>
      </c>
      <c r="B4847" s="59">
        <v>32</v>
      </c>
      <c r="C4847" s="59">
        <v>620</v>
      </c>
      <c r="D4847" s="51">
        <v>1</v>
      </c>
      <c r="E4847" s="51">
        <f t="shared" si="75"/>
        <v>0</v>
      </c>
    </row>
    <row r="4848" spans="1:5">
      <c r="A4848" s="59">
        <v>9</v>
      </c>
      <c r="B4848" s="59">
        <v>32</v>
      </c>
      <c r="C4848" s="59">
        <v>750</v>
      </c>
      <c r="D4848" s="51">
        <v>1</v>
      </c>
      <c r="E4848" s="51">
        <f t="shared" si="75"/>
        <v>0</v>
      </c>
    </row>
    <row r="4849" spans="1:5">
      <c r="A4849" s="59">
        <v>9</v>
      </c>
      <c r="B4849" s="59">
        <v>33</v>
      </c>
      <c r="C4849" s="59">
        <v>440</v>
      </c>
      <c r="D4849" s="51">
        <v>1</v>
      </c>
      <c r="E4849" s="51">
        <f t="shared" si="75"/>
        <v>0</v>
      </c>
    </row>
    <row r="4850" spans="1:5">
      <c r="A4850" s="59">
        <v>9</v>
      </c>
      <c r="B4850" s="59">
        <v>33</v>
      </c>
      <c r="C4850" s="59">
        <v>520</v>
      </c>
      <c r="D4850" s="51">
        <v>1</v>
      </c>
      <c r="E4850" s="51">
        <f t="shared" si="75"/>
        <v>0</v>
      </c>
    </row>
    <row r="4851" spans="1:5">
      <c r="A4851" s="59">
        <v>9</v>
      </c>
      <c r="B4851" s="59">
        <v>33</v>
      </c>
      <c r="C4851" s="59">
        <v>630</v>
      </c>
      <c r="D4851" s="51">
        <v>1</v>
      </c>
      <c r="E4851" s="51">
        <f t="shared" si="75"/>
        <v>0</v>
      </c>
    </row>
    <row r="4852" spans="1:5">
      <c r="A4852" s="59">
        <v>9</v>
      </c>
      <c r="B4852" s="59">
        <v>33</v>
      </c>
      <c r="C4852" s="59">
        <v>730</v>
      </c>
      <c r="D4852" s="51">
        <v>1</v>
      </c>
      <c r="E4852" s="51">
        <f t="shared" si="75"/>
        <v>0</v>
      </c>
    </row>
    <row r="4853" spans="1:5">
      <c r="A4853" s="59">
        <v>9</v>
      </c>
      <c r="B4853" s="59">
        <v>41</v>
      </c>
      <c r="C4853" s="59">
        <v>210</v>
      </c>
      <c r="D4853" s="51">
        <v>1</v>
      </c>
      <c r="E4853" s="51">
        <f t="shared" si="75"/>
        <v>1</v>
      </c>
    </row>
    <row r="4854" spans="1:5">
      <c r="A4854" s="59">
        <v>9</v>
      </c>
      <c r="B4854" s="59">
        <v>41</v>
      </c>
      <c r="C4854" s="59">
        <v>430</v>
      </c>
      <c r="D4854" s="51">
        <v>1</v>
      </c>
      <c r="E4854" s="51">
        <f t="shared" si="75"/>
        <v>1</v>
      </c>
    </row>
    <row r="4855" spans="1:5">
      <c r="A4855" s="59">
        <v>9</v>
      </c>
      <c r="B4855" s="59">
        <v>41</v>
      </c>
      <c r="C4855" s="59">
        <v>510</v>
      </c>
      <c r="D4855" s="51">
        <v>1</v>
      </c>
      <c r="E4855" s="51">
        <f t="shared" si="75"/>
        <v>1</v>
      </c>
    </row>
    <row r="4856" spans="1:5">
      <c r="A4856" s="59">
        <v>9</v>
      </c>
      <c r="B4856" s="59">
        <v>41</v>
      </c>
      <c r="C4856" s="59">
        <v>730</v>
      </c>
      <c r="D4856" s="51">
        <v>1</v>
      </c>
      <c r="E4856" s="51">
        <f t="shared" si="75"/>
        <v>1</v>
      </c>
    </row>
    <row r="4857" spans="1:5">
      <c r="A4857" s="59">
        <v>9</v>
      </c>
      <c r="B4857" s="59">
        <v>42</v>
      </c>
      <c r="C4857" s="59">
        <v>320</v>
      </c>
      <c r="D4857" s="51">
        <v>1</v>
      </c>
      <c r="E4857" s="51">
        <f t="shared" si="75"/>
        <v>0</v>
      </c>
    </row>
    <row r="4858" spans="1:5">
      <c r="A4858" s="59">
        <v>9</v>
      </c>
      <c r="B4858" s="59">
        <v>42</v>
      </c>
      <c r="C4858" s="59">
        <v>540</v>
      </c>
      <c r="D4858" s="51">
        <v>1</v>
      </c>
      <c r="E4858" s="51">
        <f t="shared" si="75"/>
        <v>0</v>
      </c>
    </row>
    <row r="4859" spans="1:5">
      <c r="A4859" s="59">
        <v>9</v>
      </c>
      <c r="B4859" s="59">
        <v>43</v>
      </c>
      <c r="C4859" s="59">
        <v>630</v>
      </c>
      <c r="D4859" s="51">
        <v>1</v>
      </c>
      <c r="E4859" s="51">
        <f t="shared" si="75"/>
        <v>0</v>
      </c>
    </row>
    <row r="4860" spans="1:5">
      <c r="A4860" s="59">
        <v>9</v>
      </c>
      <c r="B4860" s="59">
        <v>43</v>
      </c>
      <c r="C4860" s="59">
        <v>740</v>
      </c>
      <c r="D4860" s="51">
        <v>1</v>
      </c>
      <c r="E4860" s="51">
        <f t="shared" si="75"/>
        <v>0</v>
      </c>
    </row>
    <row r="4861" spans="1:5">
      <c r="A4861" s="59">
        <v>9</v>
      </c>
      <c r="B4861" s="59">
        <v>43</v>
      </c>
      <c r="C4861" s="59">
        <v>840</v>
      </c>
      <c r="D4861" s="51">
        <v>1</v>
      </c>
      <c r="E4861" s="51">
        <f t="shared" si="75"/>
        <v>0</v>
      </c>
    </row>
    <row r="4862" spans="1:5">
      <c r="A4862" s="59">
        <v>9</v>
      </c>
      <c r="B4862" s="59">
        <v>44</v>
      </c>
      <c r="C4862" s="59">
        <v>110</v>
      </c>
      <c r="D4862" s="51">
        <v>1</v>
      </c>
      <c r="E4862" s="51">
        <f t="shared" si="75"/>
        <v>1</v>
      </c>
    </row>
    <row r="4863" spans="1:5">
      <c r="A4863" s="59">
        <v>9</v>
      </c>
      <c r="B4863" s="59">
        <v>44</v>
      </c>
      <c r="C4863" s="59">
        <v>220</v>
      </c>
      <c r="D4863" s="51">
        <v>1</v>
      </c>
      <c r="E4863" s="51">
        <f t="shared" si="75"/>
        <v>1</v>
      </c>
    </row>
    <row r="4864" spans="1:5">
      <c r="A4864" s="59">
        <v>9</v>
      </c>
      <c r="B4864" s="59">
        <v>44</v>
      </c>
      <c r="C4864" s="59">
        <v>310</v>
      </c>
      <c r="D4864" s="51">
        <v>1</v>
      </c>
      <c r="E4864" s="51">
        <f t="shared" si="75"/>
        <v>1</v>
      </c>
    </row>
    <row r="4865" spans="1:5">
      <c r="A4865" s="59">
        <v>9</v>
      </c>
      <c r="B4865" s="59">
        <v>51</v>
      </c>
      <c r="C4865" s="59">
        <v>420</v>
      </c>
      <c r="D4865" s="51">
        <v>1</v>
      </c>
      <c r="E4865" s="51">
        <f t="shared" si="75"/>
        <v>0</v>
      </c>
    </row>
    <row r="4866" spans="1:5">
      <c r="A4866" s="59">
        <v>9</v>
      </c>
      <c r="B4866" s="59">
        <v>51</v>
      </c>
      <c r="C4866" s="59">
        <v>430</v>
      </c>
      <c r="D4866" s="51">
        <v>1</v>
      </c>
      <c r="E4866" s="51">
        <f t="shared" ref="E4866:E4929" si="76">IF(OR(A4866=6,A4866=7,A4866=14,A4866=15,A4866=16,A4866=17,A4866=18,A4866=19,A4866=20,A4866=21,A4866=22,A4866=23,A4866=25,A4866=26,A4866=27,A4866=28,B4866=41,B4866=44,B4866=62),1,0)</f>
        <v>0</v>
      </c>
    </row>
    <row r="4867" spans="1:5">
      <c r="A4867" s="59">
        <v>9</v>
      </c>
      <c r="B4867" s="59">
        <v>51</v>
      </c>
      <c r="C4867" s="59">
        <v>510</v>
      </c>
      <c r="D4867" s="51">
        <v>1</v>
      </c>
      <c r="E4867" s="51">
        <f t="shared" si="76"/>
        <v>0</v>
      </c>
    </row>
    <row r="4868" spans="1:5">
      <c r="A4868" s="59">
        <v>9</v>
      </c>
      <c r="B4868" s="59">
        <v>51</v>
      </c>
      <c r="C4868" s="59">
        <v>530</v>
      </c>
      <c r="D4868" s="51">
        <v>1</v>
      </c>
      <c r="E4868" s="51">
        <f t="shared" si="76"/>
        <v>0</v>
      </c>
    </row>
    <row r="4869" spans="1:5">
      <c r="A4869" s="59">
        <v>9</v>
      </c>
      <c r="B4869" s="59">
        <v>51</v>
      </c>
      <c r="C4869" s="59">
        <v>610</v>
      </c>
      <c r="D4869" s="51">
        <v>1</v>
      </c>
      <c r="E4869" s="51">
        <f t="shared" si="76"/>
        <v>0</v>
      </c>
    </row>
    <row r="4870" spans="1:5">
      <c r="A4870" s="59">
        <v>9</v>
      </c>
      <c r="B4870" s="59">
        <v>62</v>
      </c>
      <c r="C4870" s="59">
        <v>520</v>
      </c>
      <c r="D4870" s="51">
        <v>1</v>
      </c>
      <c r="E4870" s="51">
        <f t="shared" si="76"/>
        <v>1</v>
      </c>
    </row>
    <row r="4871" spans="1:5">
      <c r="A4871" s="59">
        <v>9</v>
      </c>
      <c r="B4871" s="59">
        <v>62</v>
      </c>
      <c r="C4871" s="59">
        <v>540</v>
      </c>
      <c r="D4871" s="51">
        <v>1</v>
      </c>
      <c r="E4871" s="51">
        <f t="shared" si="76"/>
        <v>1</v>
      </c>
    </row>
    <row r="4872" spans="1:5">
      <c r="A4872" s="59">
        <v>9</v>
      </c>
      <c r="B4872" s="59">
        <v>62</v>
      </c>
      <c r="C4872" s="59">
        <v>550</v>
      </c>
      <c r="D4872" s="51">
        <v>1</v>
      </c>
      <c r="E4872" s="51">
        <f t="shared" si="76"/>
        <v>1</v>
      </c>
    </row>
    <row r="4873" spans="1:5">
      <c r="A4873" s="59">
        <v>9</v>
      </c>
      <c r="B4873" s="59">
        <v>62</v>
      </c>
      <c r="C4873" s="59">
        <v>720</v>
      </c>
      <c r="D4873" s="51">
        <v>1</v>
      </c>
      <c r="E4873" s="51">
        <f t="shared" si="76"/>
        <v>1</v>
      </c>
    </row>
    <row r="4874" spans="1:5">
      <c r="A4874" s="59">
        <v>9</v>
      </c>
      <c r="B4874" s="59">
        <v>62</v>
      </c>
      <c r="C4874" s="59">
        <v>750</v>
      </c>
      <c r="D4874" s="51">
        <v>1</v>
      </c>
      <c r="E4874" s="51">
        <f t="shared" si="76"/>
        <v>1</v>
      </c>
    </row>
    <row r="4875" spans="1:5">
      <c r="A4875" s="59">
        <v>9</v>
      </c>
      <c r="B4875" s="59">
        <v>63</v>
      </c>
      <c r="C4875" s="59">
        <v>330</v>
      </c>
      <c r="D4875" s="51">
        <v>1</v>
      </c>
      <c r="E4875" s="51">
        <f t="shared" si="76"/>
        <v>0</v>
      </c>
    </row>
    <row r="4876" spans="1:5">
      <c r="A4876" s="59">
        <v>9</v>
      </c>
      <c r="B4876" s="59">
        <v>63</v>
      </c>
      <c r="C4876" s="59">
        <v>720</v>
      </c>
      <c r="D4876" s="51">
        <v>1</v>
      </c>
      <c r="E4876" s="51">
        <f t="shared" si="76"/>
        <v>0</v>
      </c>
    </row>
    <row r="4877" spans="1:5">
      <c r="A4877" s="59">
        <v>9</v>
      </c>
      <c r="B4877" s="59">
        <v>63</v>
      </c>
      <c r="C4877" s="59">
        <v>740</v>
      </c>
      <c r="D4877" s="51">
        <v>1</v>
      </c>
      <c r="E4877" s="51">
        <f t="shared" si="76"/>
        <v>0</v>
      </c>
    </row>
    <row r="4878" spans="1:5">
      <c r="A4878" s="59">
        <v>9</v>
      </c>
      <c r="B4878" s="59">
        <v>63</v>
      </c>
      <c r="C4878" s="59">
        <v>820</v>
      </c>
      <c r="D4878" s="51">
        <v>1</v>
      </c>
      <c r="E4878" s="51">
        <f t="shared" si="76"/>
        <v>0</v>
      </c>
    </row>
    <row r="4879" spans="1:5">
      <c r="A4879" s="59">
        <v>9</v>
      </c>
      <c r="B4879" s="59">
        <v>64</v>
      </c>
      <c r="C4879" s="59">
        <v>810</v>
      </c>
      <c r="D4879" s="51">
        <v>1</v>
      </c>
      <c r="E4879" s="51">
        <f t="shared" si="76"/>
        <v>0</v>
      </c>
    </row>
    <row r="4880" spans="1:5">
      <c r="A4880" s="59">
        <v>9</v>
      </c>
      <c r="B4880" s="59">
        <v>64</v>
      </c>
      <c r="C4880" s="59">
        <v>831</v>
      </c>
      <c r="D4880" s="51">
        <v>1</v>
      </c>
      <c r="E4880" s="51">
        <f t="shared" si="76"/>
        <v>0</v>
      </c>
    </row>
    <row r="4881" spans="1:5">
      <c r="A4881" s="59">
        <v>9</v>
      </c>
      <c r="B4881" s="59">
        <v>64</v>
      </c>
      <c r="C4881" s="59">
        <v>860</v>
      </c>
      <c r="D4881" s="51">
        <v>1</v>
      </c>
      <c r="E4881" s="51">
        <f t="shared" si="76"/>
        <v>0</v>
      </c>
    </row>
    <row r="4882" spans="1:5">
      <c r="A4882" s="59">
        <v>9</v>
      </c>
      <c r="B4882" s="59">
        <v>64</v>
      </c>
      <c r="C4882" s="59">
        <v>891</v>
      </c>
      <c r="D4882" s="51">
        <v>1</v>
      </c>
      <c r="E4882" s="51">
        <f t="shared" si="76"/>
        <v>0</v>
      </c>
    </row>
    <row r="4883" spans="1:5">
      <c r="A4883" s="59">
        <v>9</v>
      </c>
      <c r="B4883" s="59">
        <v>64</v>
      </c>
      <c r="C4883" s="59">
        <v>892</v>
      </c>
      <c r="D4883" s="51">
        <v>1</v>
      </c>
      <c r="E4883" s="51">
        <f t="shared" si="76"/>
        <v>0</v>
      </c>
    </row>
    <row r="4884" spans="1:5">
      <c r="A4884" s="59">
        <v>9</v>
      </c>
      <c r="B4884" s="59">
        <v>64</v>
      </c>
      <c r="C4884" s="59">
        <v>899</v>
      </c>
      <c r="D4884" s="51">
        <v>1</v>
      </c>
      <c r="E4884" s="51">
        <f t="shared" si="76"/>
        <v>0</v>
      </c>
    </row>
    <row r="4885" spans="1:5">
      <c r="A4885" s="59">
        <v>9</v>
      </c>
      <c r="B4885" s="59">
        <v>71</v>
      </c>
      <c r="C4885" s="59">
        <v>140</v>
      </c>
      <c r="D4885" s="51">
        <v>1</v>
      </c>
      <c r="E4885" s="51">
        <f t="shared" si="76"/>
        <v>0</v>
      </c>
    </row>
    <row r="4886" spans="1:5">
      <c r="A4886" s="59">
        <v>9</v>
      </c>
      <c r="B4886" s="59">
        <v>71</v>
      </c>
      <c r="C4886" s="59">
        <v>750</v>
      </c>
      <c r="D4886" s="51">
        <v>1</v>
      </c>
      <c r="E4886" s="51">
        <f t="shared" si="76"/>
        <v>0</v>
      </c>
    </row>
    <row r="4887" spans="1:5">
      <c r="A4887" s="59">
        <v>9</v>
      </c>
      <c r="B4887" s="59">
        <v>71</v>
      </c>
      <c r="C4887" s="59">
        <v>970</v>
      </c>
      <c r="D4887" s="51">
        <v>1</v>
      </c>
      <c r="E4887" s="51">
        <f t="shared" si="76"/>
        <v>0</v>
      </c>
    </row>
    <row r="4888" spans="1:5">
      <c r="A4888" s="59">
        <v>9</v>
      </c>
      <c r="B4888" s="59">
        <v>81</v>
      </c>
      <c r="C4888" s="59">
        <v>110</v>
      </c>
      <c r="D4888" s="51">
        <v>1</v>
      </c>
      <c r="E4888" s="51">
        <f t="shared" si="76"/>
        <v>0</v>
      </c>
    </row>
    <row r="4889" spans="1:5">
      <c r="A4889" s="59">
        <v>9</v>
      </c>
      <c r="B4889" s="59">
        <v>81</v>
      </c>
      <c r="C4889" s="59">
        <v>150</v>
      </c>
      <c r="D4889" s="51">
        <v>1</v>
      </c>
      <c r="E4889" s="51">
        <f t="shared" si="76"/>
        <v>0</v>
      </c>
    </row>
    <row r="4890" spans="1:5">
      <c r="A4890" s="59">
        <v>9</v>
      </c>
      <c r="B4890" s="59">
        <v>81</v>
      </c>
      <c r="C4890" s="59">
        <v>830</v>
      </c>
      <c r="D4890" s="51">
        <v>1</v>
      </c>
      <c r="E4890" s="51">
        <f t="shared" si="76"/>
        <v>0</v>
      </c>
    </row>
    <row r="4891" spans="1:5">
      <c r="A4891" s="59">
        <v>9</v>
      </c>
      <c r="B4891" s="59">
        <v>81</v>
      </c>
      <c r="C4891" s="59">
        <v>831</v>
      </c>
      <c r="D4891" s="51">
        <v>1</v>
      </c>
      <c r="E4891" s="51">
        <f t="shared" si="76"/>
        <v>0</v>
      </c>
    </row>
    <row r="4892" spans="1:5">
      <c r="A4892" s="59">
        <v>9</v>
      </c>
      <c r="B4892" s="59">
        <v>81</v>
      </c>
      <c r="C4892" s="59">
        <v>920</v>
      </c>
      <c r="D4892" s="51">
        <v>1</v>
      </c>
      <c r="E4892" s="51">
        <f t="shared" si="76"/>
        <v>0</v>
      </c>
    </row>
    <row r="4893" spans="1:5">
      <c r="A4893" s="59">
        <v>9</v>
      </c>
      <c r="B4893" s="59">
        <v>81</v>
      </c>
      <c r="C4893" s="59">
        <v>990</v>
      </c>
      <c r="D4893" s="51">
        <v>1</v>
      </c>
      <c r="E4893" s="51">
        <f t="shared" si="76"/>
        <v>0</v>
      </c>
    </row>
    <row r="4894" spans="1:5">
      <c r="A4894" s="59">
        <v>10</v>
      </c>
      <c r="B4894" s="59">
        <v>64</v>
      </c>
      <c r="C4894" s="59">
        <v>160</v>
      </c>
      <c r="D4894" s="51">
        <v>10911</v>
      </c>
      <c r="E4894" s="51">
        <f t="shared" si="76"/>
        <v>0</v>
      </c>
    </row>
    <row r="4895" spans="1:5">
      <c r="A4895" s="59">
        <v>10</v>
      </c>
      <c r="B4895" s="59">
        <v>14</v>
      </c>
      <c r="C4895" s="59">
        <v>160</v>
      </c>
      <c r="D4895" s="51">
        <v>10831</v>
      </c>
      <c r="E4895" s="51">
        <f t="shared" si="76"/>
        <v>0</v>
      </c>
    </row>
    <row r="4896" spans="1:5">
      <c r="A4896" s="59">
        <v>10</v>
      </c>
      <c r="B4896" s="59">
        <v>13</v>
      </c>
      <c r="C4896" s="59">
        <v>160</v>
      </c>
      <c r="D4896" s="51">
        <v>6152</v>
      </c>
      <c r="E4896" s="51">
        <f t="shared" si="76"/>
        <v>0</v>
      </c>
    </row>
    <row r="4897" spans="1:5">
      <c r="A4897" s="59">
        <v>10</v>
      </c>
      <c r="B4897" s="59">
        <v>43</v>
      </c>
      <c r="C4897" s="59">
        <v>160</v>
      </c>
      <c r="D4897" s="51">
        <v>4939</v>
      </c>
      <c r="E4897" s="51">
        <f t="shared" si="76"/>
        <v>0</v>
      </c>
    </row>
    <row r="4898" spans="1:5">
      <c r="A4898" s="59">
        <v>10</v>
      </c>
      <c r="B4898" s="59">
        <v>64</v>
      </c>
      <c r="C4898" s="59">
        <v>910</v>
      </c>
      <c r="D4898" s="51">
        <v>1205</v>
      </c>
      <c r="E4898" s="51">
        <f t="shared" si="76"/>
        <v>0</v>
      </c>
    </row>
    <row r="4899" spans="1:5">
      <c r="A4899" s="59">
        <v>10</v>
      </c>
      <c r="B4899" s="59">
        <v>14</v>
      </c>
      <c r="C4899" s="59">
        <v>910</v>
      </c>
      <c r="D4899" s="51">
        <v>1049</v>
      </c>
      <c r="E4899" s="51">
        <f t="shared" si="76"/>
        <v>0</v>
      </c>
    </row>
    <row r="4900" spans="1:5">
      <c r="A4900" s="59">
        <v>10</v>
      </c>
      <c r="B4900" s="59">
        <v>15</v>
      </c>
      <c r="C4900" s="59">
        <v>160</v>
      </c>
      <c r="D4900" s="51">
        <v>995</v>
      </c>
      <c r="E4900" s="51">
        <f t="shared" si="76"/>
        <v>0</v>
      </c>
    </row>
    <row r="4901" spans="1:5">
      <c r="A4901" s="59">
        <v>10</v>
      </c>
      <c r="B4901" s="59">
        <v>14</v>
      </c>
      <c r="C4901" s="59">
        <v>150</v>
      </c>
      <c r="D4901" s="51">
        <v>701</v>
      </c>
      <c r="E4901" s="51">
        <f t="shared" si="76"/>
        <v>0</v>
      </c>
    </row>
    <row r="4902" spans="1:5">
      <c r="A4902" s="59">
        <v>10</v>
      </c>
      <c r="B4902" s="59">
        <v>13</v>
      </c>
      <c r="C4902" s="59">
        <v>910</v>
      </c>
      <c r="D4902" s="51">
        <v>685</v>
      </c>
      <c r="E4902" s="51">
        <f t="shared" si="76"/>
        <v>0</v>
      </c>
    </row>
    <row r="4903" spans="1:5">
      <c r="A4903" s="59">
        <v>10</v>
      </c>
      <c r="B4903" s="59">
        <v>64</v>
      </c>
      <c r="C4903" s="59">
        <v>110</v>
      </c>
      <c r="D4903" s="51">
        <v>600</v>
      </c>
      <c r="E4903" s="51">
        <f t="shared" si="76"/>
        <v>0</v>
      </c>
    </row>
    <row r="4904" spans="1:5">
      <c r="A4904" s="59">
        <v>10</v>
      </c>
      <c r="B4904" s="59">
        <v>64</v>
      </c>
      <c r="C4904" s="59">
        <v>530</v>
      </c>
      <c r="D4904" s="51">
        <v>583</v>
      </c>
      <c r="E4904" s="51">
        <f t="shared" si="76"/>
        <v>0</v>
      </c>
    </row>
    <row r="4905" spans="1:5">
      <c r="A4905" s="59">
        <v>10</v>
      </c>
      <c r="B4905" s="59">
        <v>44</v>
      </c>
      <c r="C4905" s="59">
        <v>160</v>
      </c>
      <c r="D4905" s="51">
        <v>415</v>
      </c>
      <c r="E4905" s="51">
        <f t="shared" si="76"/>
        <v>1</v>
      </c>
    </row>
    <row r="4906" spans="1:5">
      <c r="A4906" s="59">
        <v>10</v>
      </c>
      <c r="B4906" s="59">
        <v>43</v>
      </c>
      <c r="C4906" s="59">
        <v>910</v>
      </c>
      <c r="D4906" s="51">
        <v>404</v>
      </c>
      <c r="E4906" s="51">
        <f t="shared" si="76"/>
        <v>0</v>
      </c>
    </row>
    <row r="4907" spans="1:5">
      <c r="A4907" s="59">
        <v>10</v>
      </c>
      <c r="B4907" s="59">
        <v>14</v>
      </c>
      <c r="C4907" s="59">
        <v>330</v>
      </c>
      <c r="D4907" s="51">
        <v>394</v>
      </c>
      <c r="E4907" s="51">
        <f t="shared" si="76"/>
        <v>0</v>
      </c>
    </row>
    <row r="4908" spans="1:5">
      <c r="A4908" s="59">
        <v>10</v>
      </c>
      <c r="B4908" s="59">
        <v>64</v>
      </c>
      <c r="C4908" s="59">
        <v>510</v>
      </c>
      <c r="D4908" s="51">
        <v>383</v>
      </c>
      <c r="E4908" s="51">
        <f t="shared" si="76"/>
        <v>0</v>
      </c>
    </row>
    <row r="4909" spans="1:5">
      <c r="A4909" s="59">
        <v>10</v>
      </c>
      <c r="B4909" s="59">
        <v>43</v>
      </c>
      <c r="C4909" s="59">
        <v>530</v>
      </c>
      <c r="D4909" s="51">
        <v>380</v>
      </c>
      <c r="E4909" s="51">
        <f t="shared" si="76"/>
        <v>0</v>
      </c>
    </row>
    <row r="4910" spans="1:5">
      <c r="A4910" s="59">
        <v>10</v>
      </c>
      <c r="B4910" s="59">
        <v>64</v>
      </c>
      <c r="C4910" s="59">
        <v>150</v>
      </c>
      <c r="D4910" s="51">
        <v>372</v>
      </c>
      <c r="E4910" s="51">
        <f t="shared" si="76"/>
        <v>0</v>
      </c>
    </row>
    <row r="4911" spans="1:5">
      <c r="A4911" s="59">
        <v>10</v>
      </c>
      <c r="B4911" s="59">
        <v>63</v>
      </c>
      <c r="C4911" s="59">
        <v>160</v>
      </c>
      <c r="D4911" s="51">
        <v>345</v>
      </c>
      <c r="E4911" s="51">
        <f t="shared" si="76"/>
        <v>0</v>
      </c>
    </row>
    <row r="4912" spans="1:5">
      <c r="A4912" s="59">
        <v>10</v>
      </c>
      <c r="B4912" s="59">
        <v>41</v>
      </c>
      <c r="C4912" s="59">
        <v>160</v>
      </c>
      <c r="D4912" s="51">
        <v>342</v>
      </c>
      <c r="E4912" s="51">
        <f t="shared" si="76"/>
        <v>1</v>
      </c>
    </row>
    <row r="4913" spans="1:5">
      <c r="A4913" s="59">
        <v>10</v>
      </c>
      <c r="B4913" s="59">
        <v>62</v>
      </c>
      <c r="C4913" s="59">
        <v>160</v>
      </c>
      <c r="D4913" s="51">
        <v>334</v>
      </c>
      <c r="E4913" s="51">
        <f t="shared" si="76"/>
        <v>1</v>
      </c>
    </row>
    <row r="4914" spans="1:5">
      <c r="A4914" s="59">
        <v>10</v>
      </c>
      <c r="B4914" s="59">
        <v>13</v>
      </c>
      <c r="C4914" s="59">
        <v>150</v>
      </c>
      <c r="D4914" s="51">
        <v>279</v>
      </c>
      <c r="E4914" s="51">
        <f t="shared" si="76"/>
        <v>0</v>
      </c>
    </row>
    <row r="4915" spans="1:5">
      <c r="A4915" s="59">
        <v>10</v>
      </c>
      <c r="B4915" s="59">
        <v>14</v>
      </c>
      <c r="C4915" s="59">
        <v>110</v>
      </c>
      <c r="D4915" s="51">
        <v>240</v>
      </c>
      <c r="E4915" s="51">
        <f t="shared" si="76"/>
        <v>0</v>
      </c>
    </row>
    <row r="4916" spans="1:5">
      <c r="A4916" s="59">
        <v>10</v>
      </c>
      <c r="B4916" s="59">
        <v>16</v>
      </c>
      <c r="C4916" s="59">
        <v>160</v>
      </c>
      <c r="D4916" s="51">
        <v>211</v>
      </c>
      <c r="E4916" s="51">
        <f t="shared" si="76"/>
        <v>0</v>
      </c>
    </row>
    <row r="4917" spans="1:5">
      <c r="A4917" s="59">
        <v>10</v>
      </c>
      <c r="B4917" s="59">
        <v>81</v>
      </c>
      <c r="C4917" s="59">
        <v>160</v>
      </c>
      <c r="D4917" s="51">
        <v>199</v>
      </c>
      <c r="E4917" s="51">
        <f t="shared" si="76"/>
        <v>0</v>
      </c>
    </row>
    <row r="4918" spans="1:5">
      <c r="A4918" s="59">
        <v>10</v>
      </c>
      <c r="B4918" s="59">
        <v>13</v>
      </c>
      <c r="C4918" s="59">
        <v>110</v>
      </c>
      <c r="D4918" s="51">
        <v>196</v>
      </c>
      <c r="E4918" s="51">
        <f t="shared" si="76"/>
        <v>0</v>
      </c>
    </row>
    <row r="4919" spans="1:5">
      <c r="A4919" s="59">
        <v>10</v>
      </c>
      <c r="B4919" s="59">
        <v>64</v>
      </c>
      <c r="C4919" s="59">
        <v>940</v>
      </c>
      <c r="D4919" s="51">
        <v>176</v>
      </c>
      <c r="E4919" s="51">
        <f t="shared" si="76"/>
        <v>0</v>
      </c>
    </row>
    <row r="4920" spans="1:5">
      <c r="A4920" s="59">
        <v>10</v>
      </c>
      <c r="B4920" s="59">
        <v>42</v>
      </c>
      <c r="C4920" s="59">
        <v>160</v>
      </c>
      <c r="D4920" s="51">
        <v>167</v>
      </c>
      <c r="E4920" s="51">
        <f t="shared" si="76"/>
        <v>0</v>
      </c>
    </row>
    <row r="4921" spans="1:5">
      <c r="A4921" s="59">
        <v>10</v>
      </c>
      <c r="B4921" s="59">
        <v>22</v>
      </c>
      <c r="C4921" s="59">
        <v>160</v>
      </c>
      <c r="D4921" s="51">
        <v>139</v>
      </c>
      <c r="E4921" s="51">
        <f t="shared" si="76"/>
        <v>0</v>
      </c>
    </row>
    <row r="4922" spans="1:5">
      <c r="A4922" s="59">
        <v>10</v>
      </c>
      <c r="B4922" s="59">
        <v>64</v>
      </c>
      <c r="C4922" s="59">
        <v>620</v>
      </c>
      <c r="D4922" s="51">
        <v>137</v>
      </c>
      <c r="E4922" s="51">
        <f t="shared" si="76"/>
        <v>0</v>
      </c>
    </row>
    <row r="4923" spans="1:5">
      <c r="A4923" s="59">
        <v>10</v>
      </c>
      <c r="B4923" s="59">
        <v>14</v>
      </c>
      <c r="C4923" s="59">
        <v>240</v>
      </c>
      <c r="D4923" s="51">
        <v>136</v>
      </c>
      <c r="E4923" s="51">
        <f t="shared" si="76"/>
        <v>0</v>
      </c>
    </row>
    <row r="4924" spans="1:5">
      <c r="A4924" s="59">
        <v>10</v>
      </c>
      <c r="B4924" s="59">
        <v>64</v>
      </c>
      <c r="C4924" s="59">
        <v>220</v>
      </c>
      <c r="D4924" s="51">
        <v>125</v>
      </c>
      <c r="E4924" s="51">
        <f t="shared" si="76"/>
        <v>0</v>
      </c>
    </row>
    <row r="4925" spans="1:5">
      <c r="A4925" s="59">
        <v>10</v>
      </c>
      <c r="B4925" s="59">
        <v>13</v>
      </c>
      <c r="C4925" s="59">
        <v>330</v>
      </c>
      <c r="D4925" s="51">
        <v>122</v>
      </c>
      <c r="E4925" s="51">
        <f t="shared" si="76"/>
        <v>0</v>
      </c>
    </row>
    <row r="4926" spans="1:5">
      <c r="A4926" s="59">
        <v>10</v>
      </c>
      <c r="B4926" s="59">
        <v>15</v>
      </c>
      <c r="C4926" s="59">
        <v>150</v>
      </c>
      <c r="D4926" s="51">
        <v>116</v>
      </c>
      <c r="E4926" s="51">
        <f t="shared" si="76"/>
        <v>0</v>
      </c>
    </row>
    <row r="4927" spans="1:5">
      <c r="A4927" s="59">
        <v>10</v>
      </c>
      <c r="B4927" s="59">
        <v>33</v>
      </c>
      <c r="C4927" s="59">
        <v>160</v>
      </c>
      <c r="D4927" s="51">
        <v>116</v>
      </c>
      <c r="E4927" s="51">
        <f t="shared" si="76"/>
        <v>0</v>
      </c>
    </row>
    <row r="4928" spans="1:5">
      <c r="A4928" s="59">
        <v>10</v>
      </c>
      <c r="B4928" s="59">
        <v>64</v>
      </c>
      <c r="C4928" s="59">
        <v>610</v>
      </c>
      <c r="D4928" s="51">
        <v>111</v>
      </c>
      <c r="E4928" s="51">
        <f t="shared" si="76"/>
        <v>0</v>
      </c>
    </row>
    <row r="4929" spans="1:5">
      <c r="A4929" s="59">
        <v>10</v>
      </c>
      <c r="B4929" s="59">
        <v>22</v>
      </c>
      <c r="C4929" s="59">
        <v>240</v>
      </c>
      <c r="D4929" s="51">
        <v>103</v>
      </c>
      <c r="E4929" s="51">
        <f t="shared" si="76"/>
        <v>0</v>
      </c>
    </row>
    <row r="4930" spans="1:5">
      <c r="A4930" s="59">
        <v>10</v>
      </c>
      <c r="B4930" s="59">
        <v>64</v>
      </c>
      <c r="C4930" s="59">
        <v>330</v>
      </c>
      <c r="D4930" s="51">
        <v>103</v>
      </c>
      <c r="E4930" s="51">
        <f t="shared" ref="E4930:E4993" si="77">IF(OR(A4930=6,A4930=7,A4930=14,A4930=15,A4930=16,A4930=17,A4930=18,A4930=19,A4930=20,A4930=21,A4930=22,A4930=23,A4930=25,A4930=26,A4930=27,A4930=28,B4930=41,B4930=44,B4930=62),1,0)</f>
        <v>0</v>
      </c>
    </row>
    <row r="4931" spans="1:5">
      <c r="A4931" s="59">
        <v>10</v>
      </c>
      <c r="B4931" s="59">
        <v>64</v>
      </c>
      <c r="C4931" s="59">
        <v>990</v>
      </c>
      <c r="D4931" s="51">
        <v>103</v>
      </c>
      <c r="E4931" s="51">
        <f t="shared" si="77"/>
        <v>0</v>
      </c>
    </row>
    <row r="4932" spans="1:5">
      <c r="A4932" s="59">
        <v>10</v>
      </c>
      <c r="B4932" s="59">
        <v>43</v>
      </c>
      <c r="C4932" s="59">
        <v>510</v>
      </c>
      <c r="D4932" s="51">
        <v>91</v>
      </c>
      <c r="E4932" s="51">
        <f t="shared" si="77"/>
        <v>0</v>
      </c>
    </row>
    <row r="4933" spans="1:5">
      <c r="A4933" s="59">
        <v>10</v>
      </c>
      <c r="B4933" s="59">
        <v>71</v>
      </c>
      <c r="C4933" s="59">
        <v>160</v>
      </c>
      <c r="D4933" s="51">
        <v>91</v>
      </c>
      <c r="E4933" s="51">
        <f t="shared" si="77"/>
        <v>0</v>
      </c>
    </row>
    <row r="4934" spans="1:5">
      <c r="A4934" s="59">
        <v>10</v>
      </c>
      <c r="B4934" s="59">
        <v>64</v>
      </c>
      <c r="C4934" s="59">
        <v>920</v>
      </c>
      <c r="D4934" s="51">
        <v>89</v>
      </c>
      <c r="E4934" s="51">
        <f t="shared" si="77"/>
        <v>0</v>
      </c>
    </row>
    <row r="4935" spans="1:5">
      <c r="A4935" s="59">
        <v>10</v>
      </c>
      <c r="B4935" s="59">
        <v>33</v>
      </c>
      <c r="C4935" s="59">
        <v>430</v>
      </c>
      <c r="D4935" s="51">
        <v>86</v>
      </c>
      <c r="E4935" s="51">
        <f t="shared" si="77"/>
        <v>0</v>
      </c>
    </row>
    <row r="4936" spans="1:5">
      <c r="A4936" s="59">
        <v>10</v>
      </c>
      <c r="B4936" s="59">
        <v>15</v>
      </c>
      <c r="C4936" s="59">
        <v>910</v>
      </c>
      <c r="D4936" s="51">
        <v>82</v>
      </c>
      <c r="E4936" s="51">
        <f t="shared" si="77"/>
        <v>0</v>
      </c>
    </row>
    <row r="4937" spans="1:5">
      <c r="A4937" s="59">
        <v>10</v>
      </c>
      <c r="B4937" s="59">
        <v>15</v>
      </c>
      <c r="C4937" s="59">
        <v>140</v>
      </c>
      <c r="D4937" s="51">
        <v>80</v>
      </c>
      <c r="E4937" s="51">
        <f t="shared" si="77"/>
        <v>0</v>
      </c>
    </row>
    <row r="4938" spans="1:5">
      <c r="A4938" s="59">
        <v>10</v>
      </c>
      <c r="B4938" s="59">
        <v>43</v>
      </c>
      <c r="C4938" s="59">
        <v>150</v>
      </c>
      <c r="D4938" s="51">
        <v>79</v>
      </c>
      <c r="E4938" s="51">
        <f t="shared" si="77"/>
        <v>0</v>
      </c>
    </row>
    <row r="4939" spans="1:5">
      <c r="A4939" s="59">
        <v>10</v>
      </c>
      <c r="B4939" s="59">
        <v>64</v>
      </c>
      <c r="C4939" s="59">
        <v>440</v>
      </c>
      <c r="D4939" s="51">
        <v>76</v>
      </c>
      <c r="E4939" s="51">
        <f t="shared" si="77"/>
        <v>0</v>
      </c>
    </row>
    <row r="4940" spans="1:5">
      <c r="A4940" s="59">
        <v>10</v>
      </c>
      <c r="B4940" s="59">
        <v>14</v>
      </c>
      <c r="C4940" s="59">
        <v>140</v>
      </c>
      <c r="D4940" s="51">
        <v>75</v>
      </c>
      <c r="E4940" s="51">
        <f t="shared" si="77"/>
        <v>0</v>
      </c>
    </row>
    <row r="4941" spans="1:5">
      <c r="A4941" s="59">
        <v>10</v>
      </c>
      <c r="B4941" s="59">
        <v>63</v>
      </c>
      <c r="C4941" s="59">
        <v>530</v>
      </c>
      <c r="D4941" s="51">
        <v>69</v>
      </c>
      <c r="E4941" s="51">
        <f t="shared" si="77"/>
        <v>0</v>
      </c>
    </row>
    <row r="4942" spans="1:5">
      <c r="A4942" s="59">
        <v>10</v>
      </c>
      <c r="B4942" s="59">
        <v>43</v>
      </c>
      <c r="C4942" s="59">
        <v>750</v>
      </c>
      <c r="D4942" s="51">
        <v>68</v>
      </c>
      <c r="E4942" s="51">
        <f t="shared" si="77"/>
        <v>0</v>
      </c>
    </row>
    <row r="4943" spans="1:5">
      <c r="A4943" s="59">
        <v>10</v>
      </c>
      <c r="B4943" s="59">
        <v>62</v>
      </c>
      <c r="C4943" s="59">
        <v>910</v>
      </c>
      <c r="D4943" s="51">
        <v>68</v>
      </c>
      <c r="E4943" s="51">
        <f t="shared" si="77"/>
        <v>1</v>
      </c>
    </row>
    <row r="4944" spans="1:5">
      <c r="A4944" s="59">
        <v>10</v>
      </c>
      <c r="B4944" s="59">
        <v>22</v>
      </c>
      <c r="C4944" s="59">
        <v>330</v>
      </c>
      <c r="D4944" s="51">
        <v>65</v>
      </c>
      <c r="E4944" s="51">
        <f t="shared" si="77"/>
        <v>0</v>
      </c>
    </row>
    <row r="4945" spans="1:5">
      <c r="A4945" s="59">
        <v>10</v>
      </c>
      <c r="B4945" s="59">
        <v>62</v>
      </c>
      <c r="C4945" s="59">
        <v>530</v>
      </c>
      <c r="D4945" s="51">
        <v>64</v>
      </c>
      <c r="E4945" s="51">
        <f t="shared" si="77"/>
        <v>1</v>
      </c>
    </row>
    <row r="4946" spans="1:5">
      <c r="A4946" s="59">
        <v>10</v>
      </c>
      <c r="B4946" s="59">
        <v>43</v>
      </c>
      <c r="C4946" s="59">
        <v>620</v>
      </c>
      <c r="D4946" s="51">
        <v>60</v>
      </c>
      <c r="E4946" s="51">
        <f t="shared" si="77"/>
        <v>0</v>
      </c>
    </row>
    <row r="4947" spans="1:5">
      <c r="A4947" s="59">
        <v>10</v>
      </c>
      <c r="B4947" s="59">
        <v>43</v>
      </c>
      <c r="C4947" s="59">
        <v>720</v>
      </c>
      <c r="D4947" s="51">
        <v>58</v>
      </c>
      <c r="E4947" s="51">
        <f t="shared" si="77"/>
        <v>0</v>
      </c>
    </row>
    <row r="4948" spans="1:5">
      <c r="A4948" s="59">
        <v>10</v>
      </c>
      <c r="B4948" s="59">
        <v>13</v>
      </c>
      <c r="C4948" s="59">
        <v>530</v>
      </c>
      <c r="D4948" s="51">
        <v>53</v>
      </c>
      <c r="E4948" s="51">
        <f t="shared" si="77"/>
        <v>0</v>
      </c>
    </row>
    <row r="4949" spans="1:5">
      <c r="A4949" s="59">
        <v>10</v>
      </c>
      <c r="B4949" s="59">
        <v>63</v>
      </c>
      <c r="C4949" s="59">
        <v>910</v>
      </c>
      <c r="D4949" s="51">
        <v>53</v>
      </c>
      <c r="E4949" s="51">
        <f t="shared" si="77"/>
        <v>0</v>
      </c>
    </row>
    <row r="4950" spans="1:5">
      <c r="A4950" s="59">
        <v>10</v>
      </c>
      <c r="B4950" s="59">
        <v>11</v>
      </c>
      <c r="C4950" s="59">
        <v>160</v>
      </c>
      <c r="D4950" s="51">
        <v>51</v>
      </c>
      <c r="E4950" s="51">
        <f t="shared" si="77"/>
        <v>0</v>
      </c>
    </row>
    <row r="4951" spans="1:5">
      <c r="A4951" s="59">
        <v>10</v>
      </c>
      <c r="B4951" s="59">
        <v>43</v>
      </c>
      <c r="C4951" s="59">
        <v>240</v>
      </c>
      <c r="D4951" s="51">
        <v>50</v>
      </c>
      <c r="E4951" s="51">
        <f t="shared" si="77"/>
        <v>0</v>
      </c>
    </row>
    <row r="4952" spans="1:5">
      <c r="A4952" s="59">
        <v>10</v>
      </c>
      <c r="B4952" s="59">
        <v>16</v>
      </c>
      <c r="C4952" s="59">
        <v>910</v>
      </c>
      <c r="D4952" s="51">
        <v>48</v>
      </c>
      <c r="E4952" s="51">
        <f t="shared" si="77"/>
        <v>0</v>
      </c>
    </row>
    <row r="4953" spans="1:5">
      <c r="A4953" s="59">
        <v>10</v>
      </c>
      <c r="B4953" s="59">
        <v>22</v>
      </c>
      <c r="C4953" s="59">
        <v>910</v>
      </c>
      <c r="D4953" s="51">
        <v>48</v>
      </c>
      <c r="E4953" s="51">
        <f t="shared" si="77"/>
        <v>0</v>
      </c>
    </row>
    <row r="4954" spans="1:5">
      <c r="A4954" s="59">
        <v>10</v>
      </c>
      <c r="B4954" s="59">
        <v>64</v>
      </c>
      <c r="C4954" s="59">
        <v>410</v>
      </c>
      <c r="D4954" s="51">
        <v>48</v>
      </c>
      <c r="E4954" s="51">
        <f t="shared" si="77"/>
        <v>0</v>
      </c>
    </row>
    <row r="4955" spans="1:5">
      <c r="A4955" s="59">
        <v>10</v>
      </c>
      <c r="B4955" s="59">
        <v>14</v>
      </c>
      <c r="C4955" s="59">
        <v>220</v>
      </c>
      <c r="D4955" s="51">
        <v>47</v>
      </c>
      <c r="E4955" s="51">
        <f t="shared" si="77"/>
        <v>0</v>
      </c>
    </row>
    <row r="4956" spans="1:5">
      <c r="A4956" s="59">
        <v>10</v>
      </c>
      <c r="B4956" s="59">
        <v>13</v>
      </c>
      <c r="C4956" s="59">
        <v>940</v>
      </c>
      <c r="D4956" s="51">
        <v>46</v>
      </c>
      <c r="E4956" s="51">
        <f t="shared" si="77"/>
        <v>0</v>
      </c>
    </row>
    <row r="4957" spans="1:5">
      <c r="A4957" s="59">
        <v>10</v>
      </c>
      <c r="B4957" s="59">
        <v>14</v>
      </c>
      <c r="C4957" s="59">
        <v>320</v>
      </c>
      <c r="D4957" s="51">
        <v>46</v>
      </c>
      <c r="E4957" s="51">
        <f t="shared" si="77"/>
        <v>0</v>
      </c>
    </row>
    <row r="4958" spans="1:5">
      <c r="A4958" s="59">
        <v>10</v>
      </c>
      <c r="B4958" s="59">
        <v>43</v>
      </c>
      <c r="C4958" s="59">
        <v>990</v>
      </c>
      <c r="D4958" s="51">
        <v>46</v>
      </c>
      <c r="E4958" s="51">
        <f t="shared" si="77"/>
        <v>0</v>
      </c>
    </row>
    <row r="4959" spans="1:5">
      <c r="A4959" s="59">
        <v>10</v>
      </c>
      <c r="B4959" s="59">
        <v>63</v>
      </c>
      <c r="C4959" s="59">
        <v>510</v>
      </c>
      <c r="D4959" s="51">
        <v>44</v>
      </c>
      <c r="E4959" s="51">
        <f t="shared" si="77"/>
        <v>0</v>
      </c>
    </row>
    <row r="4960" spans="1:5">
      <c r="A4960" s="59">
        <v>10</v>
      </c>
      <c r="B4960" s="59">
        <v>13</v>
      </c>
      <c r="C4960" s="59">
        <v>310</v>
      </c>
      <c r="D4960" s="51">
        <v>43</v>
      </c>
      <c r="E4960" s="51">
        <f t="shared" si="77"/>
        <v>0</v>
      </c>
    </row>
    <row r="4961" spans="1:5">
      <c r="A4961" s="59">
        <v>10</v>
      </c>
      <c r="B4961" s="59">
        <v>63</v>
      </c>
      <c r="C4961" s="59">
        <v>110</v>
      </c>
      <c r="D4961" s="51">
        <v>43</v>
      </c>
      <c r="E4961" s="51">
        <f t="shared" si="77"/>
        <v>0</v>
      </c>
    </row>
    <row r="4962" spans="1:5">
      <c r="A4962" s="59">
        <v>10</v>
      </c>
      <c r="B4962" s="59">
        <v>14</v>
      </c>
      <c r="C4962" s="59">
        <v>310</v>
      </c>
      <c r="D4962" s="51">
        <v>42</v>
      </c>
      <c r="E4962" s="51">
        <f t="shared" si="77"/>
        <v>0</v>
      </c>
    </row>
    <row r="4963" spans="1:5">
      <c r="A4963" s="59">
        <v>10</v>
      </c>
      <c r="B4963" s="59">
        <v>43</v>
      </c>
      <c r="C4963" s="59">
        <v>330</v>
      </c>
      <c r="D4963" s="51">
        <v>42</v>
      </c>
      <c r="E4963" s="51">
        <f t="shared" si="77"/>
        <v>0</v>
      </c>
    </row>
    <row r="4964" spans="1:5">
      <c r="A4964" s="59">
        <v>10</v>
      </c>
      <c r="B4964" s="59">
        <v>64</v>
      </c>
      <c r="C4964" s="59">
        <v>240</v>
      </c>
      <c r="D4964" s="51">
        <v>42</v>
      </c>
      <c r="E4964" s="51">
        <f t="shared" si="77"/>
        <v>0</v>
      </c>
    </row>
    <row r="4965" spans="1:5">
      <c r="A4965" s="59">
        <v>10</v>
      </c>
      <c r="B4965" s="59">
        <v>12</v>
      </c>
      <c r="C4965" s="59">
        <v>160</v>
      </c>
      <c r="D4965" s="51">
        <v>41</v>
      </c>
      <c r="E4965" s="51">
        <f t="shared" si="77"/>
        <v>0</v>
      </c>
    </row>
    <row r="4966" spans="1:5">
      <c r="A4966" s="59">
        <v>10</v>
      </c>
      <c r="B4966" s="59">
        <v>43</v>
      </c>
      <c r="C4966" s="59">
        <v>920</v>
      </c>
      <c r="D4966" s="51">
        <v>41</v>
      </c>
      <c r="E4966" s="51">
        <f t="shared" si="77"/>
        <v>0</v>
      </c>
    </row>
    <row r="4967" spans="1:5">
      <c r="A4967" s="59">
        <v>10</v>
      </c>
      <c r="B4967" s="59">
        <v>64</v>
      </c>
      <c r="C4967" s="59">
        <v>750</v>
      </c>
      <c r="D4967" s="51">
        <v>40</v>
      </c>
      <c r="E4967" s="51">
        <f t="shared" si="77"/>
        <v>0</v>
      </c>
    </row>
    <row r="4968" spans="1:5">
      <c r="A4968" s="59">
        <v>10</v>
      </c>
      <c r="B4968" s="59">
        <v>71</v>
      </c>
      <c r="C4968" s="59">
        <v>910</v>
      </c>
      <c r="D4968" s="51">
        <v>40</v>
      </c>
      <c r="E4968" s="51">
        <f t="shared" si="77"/>
        <v>0</v>
      </c>
    </row>
    <row r="4969" spans="1:5">
      <c r="A4969" s="59">
        <v>10</v>
      </c>
      <c r="B4969" s="59">
        <v>43</v>
      </c>
      <c r="C4969" s="59">
        <v>110</v>
      </c>
      <c r="D4969" s="51">
        <v>39</v>
      </c>
      <c r="E4969" s="51">
        <f t="shared" si="77"/>
        <v>0</v>
      </c>
    </row>
    <row r="4970" spans="1:5">
      <c r="A4970" s="59">
        <v>10</v>
      </c>
      <c r="B4970" s="59">
        <v>13</v>
      </c>
      <c r="C4970" s="59">
        <v>990</v>
      </c>
      <c r="D4970" s="51">
        <v>37</v>
      </c>
      <c r="E4970" s="51">
        <f t="shared" si="77"/>
        <v>0</v>
      </c>
    </row>
    <row r="4971" spans="1:5">
      <c r="A4971" s="59">
        <v>10</v>
      </c>
      <c r="B4971" s="59">
        <v>43</v>
      </c>
      <c r="C4971" s="59">
        <v>220</v>
      </c>
      <c r="D4971" s="51">
        <v>35</v>
      </c>
      <c r="E4971" s="51">
        <f t="shared" si="77"/>
        <v>0</v>
      </c>
    </row>
    <row r="4972" spans="1:5">
      <c r="A4972" s="59">
        <v>10</v>
      </c>
      <c r="B4972" s="59">
        <v>64</v>
      </c>
      <c r="C4972" s="59">
        <v>210</v>
      </c>
      <c r="D4972" s="51">
        <v>34</v>
      </c>
      <c r="E4972" s="51">
        <f t="shared" si="77"/>
        <v>0</v>
      </c>
    </row>
    <row r="4973" spans="1:5">
      <c r="A4973" s="59">
        <v>10</v>
      </c>
      <c r="B4973" s="59">
        <v>43</v>
      </c>
      <c r="C4973" s="59">
        <v>940</v>
      </c>
      <c r="D4973" s="51">
        <v>33</v>
      </c>
      <c r="E4973" s="51">
        <f t="shared" si="77"/>
        <v>0</v>
      </c>
    </row>
    <row r="4974" spans="1:5">
      <c r="A4974" s="59">
        <v>10</v>
      </c>
      <c r="B4974" s="59">
        <v>14</v>
      </c>
      <c r="C4974" s="59">
        <v>210</v>
      </c>
      <c r="D4974" s="51">
        <v>32</v>
      </c>
      <c r="E4974" s="51">
        <f t="shared" si="77"/>
        <v>0</v>
      </c>
    </row>
    <row r="4975" spans="1:5">
      <c r="A4975" s="59">
        <v>10</v>
      </c>
      <c r="B4975" s="59">
        <v>13</v>
      </c>
      <c r="C4975" s="59">
        <v>240</v>
      </c>
      <c r="D4975" s="51">
        <v>31</v>
      </c>
      <c r="E4975" s="51">
        <f t="shared" si="77"/>
        <v>0</v>
      </c>
    </row>
    <row r="4976" spans="1:5">
      <c r="A4976" s="59">
        <v>10</v>
      </c>
      <c r="B4976" s="59">
        <v>16</v>
      </c>
      <c r="C4976" s="59">
        <v>330</v>
      </c>
      <c r="D4976" s="51">
        <v>30</v>
      </c>
      <c r="E4976" s="51">
        <f t="shared" si="77"/>
        <v>0</v>
      </c>
    </row>
    <row r="4977" spans="1:5">
      <c r="A4977" s="59">
        <v>10</v>
      </c>
      <c r="B4977" s="59">
        <v>21</v>
      </c>
      <c r="C4977" s="59">
        <v>240</v>
      </c>
      <c r="D4977" s="51">
        <v>30</v>
      </c>
      <c r="E4977" s="51">
        <f t="shared" si="77"/>
        <v>0</v>
      </c>
    </row>
    <row r="4978" spans="1:5">
      <c r="A4978" s="59">
        <v>10</v>
      </c>
      <c r="B4978" s="59">
        <v>62</v>
      </c>
      <c r="C4978" s="59">
        <v>150</v>
      </c>
      <c r="D4978" s="51">
        <v>30</v>
      </c>
      <c r="E4978" s="51">
        <f t="shared" si="77"/>
        <v>1</v>
      </c>
    </row>
    <row r="4979" spans="1:5">
      <c r="A4979" s="59">
        <v>10</v>
      </c>
      <c r="B4979" s="59">
        <v>16</v>
      </c>
      <c r="C4979" s="59">
        <v>150</v>
      </c>
      <c r="D4979" s="51">
        <v>29</v>
      </c>
      <c r="E4979" s="51">
        <f t="shared" si="77"/>
        <v>0</v>
      </c>
    </row>
    <row r="4980" spans="1:5">
      <c r="A4980" s="59">
        <v>10</v>
      </c>
      <c r="B4980" s="59">
        <v>43</v>
      </c>
      <c r="C4980" s="59">
        <v>610</v>
      </c>
      <c r="D4980" s="51">
        <v>29</v>
      </c>
      <c r="E4980" s="51">
        <f t="shared" si="77"/>
        <v>0</v>
      </c>
    </row>
    <row r="4981" spans="1:5">
      <c r="A4981" s="59">
        <v>10</v>
      </c>
      <c r="B4981" s="59">
        <v>64</v>
      </c>
      <c r="C4981" s="59">
        <v>310</v>
      </c>
      <c r="D4981" s="51">
        <v>29</v>
      </c>
      <c r="E4981" s="51">
        <f t="shared" si="77"/>
        <v>0</v>
      </c>
    </row>
    <row r="4982" spans="1:5">
      <c r="A4982" s="59">
        <v>10</v>
      </c>
      <c r="B4982" s="59">
        <v>14</v>
      </c>
      <c r="C4982" s="59">
        <v>530</v>
      </c>
      <c r="D4982" s="51">
        <v>28</v>
      </c>
      <c r="E4982" s="51">
        <f t="shared" si="77"/>
        <v>0</v>
      </c>
    </row>
    <row r="4983" spans="1:5">
      <c r="A4983" s="59">
        <v>10</v>
      </c>
      <c r="B4983" s="59">
        <v>14</v>
      </c>
      <c r="C4983" s="59">
        <v>940</v>
      </c>
      <c r="D4983" s="51">
        <v>28</v>
      </c>
      <c r="E4983" s="51">
        <f t="shared" si="77"/>
        <v>0</v>
      </c>
    </row>
    <row r="4984" spans="1:5">
      <c r="A4984" s="59">
        <v>10</v>
      </c>
      <c r="B4984" s="59">
        <v>44</v>
      </c>
      <c r="C4984" s="59">
        <v>910</v>
      </c>
      <c r="D4984" s="51">
        <v>28</v>
      </c>
      <c r="E4984" s="51">
        <f t="shared" si="77"/>
        <v>1</v>
      </c>
    </row>
    <row r="4985" spans="1:5">
      <c r="A4985" s="59">
        <v>10</v>
      </c>
      <c r="B4985" s="59">
        <v>14</v>
      </c>
      <c r="C4985" s="59">
        <v>510</v>
      </c>
      <c r="D4985" s="51">
        <v>27</v>
      </c>
      <c r="E4985" s="51">
        <f t="shared" si="77"/>
        <v>0</v>
      </c>
    </row>
    <row r="4986" spans="1:5">
      <c r="A4986" s="59">
        <v>10</v>
      </c>
      <c r="B4986" s="59">
        <v>22</v>
      </c>
      <c r="C4986" s="59">
        <v>150</v>
      </c>
      <c r="D4986" s="51">
        <v>27</v>
      </c>
      <c r="E4986" s="51">
        <f t="shared" si="77"/>
        <v>0</v>
      </c>
    </row>
    <row r="4987" spans="1:5">
      <c r="A4987" s="59">
        <v>10</v>
      </c>
      <c r="B4987" s="59">
        <v>13</v>
      </c>
      <c r="C4987" s="59">
        <v>720</v>
      </c>
      <c r="D4987" s="51">
        <v>26</v>
      </c>
      <c r="E4987" s="51">
        <f t="shared" si="77"/>
        <v>0</v>
      </c>
    </row>
    <row r="4988" spans="1:5">
      <c r="A4988" s="59">
        <v>10</v>
      </c>
      <c r="B4988" s="59">
        <v>15</v>
      </c>
      <c r="C4988" s="59">
        <v>110</v>
      </c>
      <c r="D4988" s="51">
        <v>26</v>
      </c>
      <c r="E4988" s="51">
        <f t="shared" si="77"/>
        <v>0</v>
      </c>
    </row>
    <row r="4989" spans="1:5">
      <c r="A4989" s="59">
        <v>10</v>
      </c>
      <c r="B4989" s="59">
        <v>23</v>
      </c>
      <c r="C4989" s="59">
        <v>160</v>
      </c>
      <c r="D4989" s="51">
        <v>26</v>
      </c>
      <c r="E4989" s="51">
        <f t="shared" si="77"/>
        <v>0</v>
      </c>
    </row>
    <row r="4990" spans="1:5">
      <c r="A4990" s="59">
        <v>10</v>
      </c>
      <c r="B4990" s="59">
        <v>62</v>
      </c>
      <c r="C4990" s="59">
        <v>620</v>
      </c>
      <c r="D4990" s="51">
        <v>26</v>
      </c>
      <c r="E4990" s="51">
        <f t="shared" si="77"/>
        <v>1</v>
      </c>
    </row>
    <row r="4991" spans="1:5">
      <c r="A4991" s="59">
        <v>10</v>
      </c>
      <c r="B4991" s="59">
        <v>13</v>
      </c>
      <c r="C4991" s="59">
        <v>510</v>
      </c>
      <c r="D4991" s="51">
        <v>25</v>
      </c>
      <c r="E4991" s="51">
        <f t="shared" si="77"/>
        <v>0</v>
      </c>
    </row>
    <row r="4992" spans="1:5">
      <c r="A4992" s="59">
        <v>10</v>
      </c>
      <c r="B4992" s="59">
        <v>62</v>
      </c>
      <c r="C4992" s="59">
        <v>110</v>
      </c>
      <c r="D4992" s="51">
        <v>25</v>
      </c>
      <c r="E4992" s="51">
        <f t="shared" si="77"/>
        <v>1</v>
      </c>
    </row>
    <row r="4993" spans="1:5">
      <c r="A4993" s="59">
        <v>10</v>
      </c>
      <c r="B4993" s="59">
        <v>62</v>
      </c>
      <c r="C4993" s="59">
        <v>920</v>
      </c>
      <c r="D4993" s="51">
        <v>24</v>
      </c>
      <c r="E4993" s="51">
        <f t="shared" si="77"/>
        <v>1</v>
      </c>
    </row>
    <row r="4994" spans="1:5">
      <c r="A4994" s="59">
        <v>10</v>
      </c>
      <c r="B4994" s="59">
        <v>81</v>
      </c>
      <c r="C4994" s="59">
        <v>920</v>
      </c>
      <c r="D4994" s="51">
        <v>23</v>
      </c>
      <c r="E4994" s="51">
        <f t="shared" ref="E4994:E5057" si="78">IF(OR(A4994=6,A4994=7,A4994=14,A4994=15,A4994=16,A4994=17,A4994=18,A4994=19,A4994=20,A4994=21,A4994=22,A4994=23,A4994=25,A4994=26,A4994=27,A4994=28,B4994=41,B4994=44,B4994=62),1,0)</f>
        <v>0</v>
      </c>
    </row>
    <row r="4995" spans="1:5">
      <c r="A4995" s="59">
        <v>10</v>
      </c>
      <c r="B4995" s="59">
        <v>13</v>
      </c>
      <c r="C4995" s="59">
        <v>620</v>
      </c>
      <c r="D4995" s="51">
        <v>22</v>
      </c>
      <c r="E4995" s="51">
        <f t="shared" si="78"/>
        <v>0</v>
      </c>
    </row>
    <row r="4996" spans="1:5">
      <c r="A4996" s="59">
        <v>10</v>
      </c>
      <c r="B4996" s="59">
        <v>14</v>
      </c>
      <c r="C4996" s="59">
        <v>230</v>
      </c>
      <c r="D4996" s="51">
        <v>22</v>
      </c>
      <c r="E4996" s="51">
        <f t="shared" si="78"/>
        <v>0</v>
      </c>
    </row>
    <row r="4997" spans="1:5">
      <c r="A4997" s="59">
        <v>10</v>
      </c>
      <c r="B4997" s="59">
        <v>14</v>
      </c>
      <c r="C4997" s="59">
        <v>990</v>
      </c>
      <c r="D4997" s="51">
        <v>22</v>
      </c>
      <c r="E4997" s="51">
        <f t="shared" si="78"/>
        <v>0</v>
      </c>
    </row>
    <row r="4998" spans="1:5">
      <c r="A4998" s="59">
        <v>10</v>
      </c>
      <c r="B4998" s="59">
        <v>63</v>
      </c>
      <c r="C4998" s="59">
        <v>940</v>
      </c>
      <c r="D4998" s="51">
        <v>22</v>
      </c>
      <c r="E4998" s="51">
        <f t="shared" si="78"/>
        <v>0</v>
      </c>
    </row>
    <row r="4999" spans="1:5">
      <c r="A4999" s="59">
        <v>10</v>
      </c>
      <c r="B4999" s="59">
        <v>64</v>
      </c>
      <c r="C4999" s="59">
        <v>720</v>
      </c>
      <c r="D4999" s="51">
        <v>22</v>
      </c>
      <c r="E4999" s="51">
        <f t="shared" si="78"/>
        <v>0</v>
      </c>
    </row>
    <row r="5000" spans="1:5">
      <c r="A5000" s="59">
        <v>10</v>
      </c>
      <c r="B5000" s="59">
        <v>13</v>
      </c>
      <c r="C5000" s="59">
        <v>210</v>
      </c>
      <c r="D5000" s="51">
        <v>21</v>
      </c>
      <c r="E5000" s="51">
        <f t="shared" si="78"/>
        <v>0</v>
      </c>
    </row>
    <row r="5001" spans="1:5">
      <c r="A5001" s="59">
        <v>10</v>
      </c>
      <c r="B5001" s="59">
        <v>14</v>
      </c>
      <c r="C5001" s="59">
        <v>950</v>
      </c>
      <c r="D5001" s="51">
        <v>21</v>
      </c>
      <c r="E5001" s="51">
        <f t="shared" si="78"/>
        <v>0</v>
      </c>
    </row>
    <row r="5002" spans="1:5">
      <c r="A5002" s="59">
        <v>10</v>
      </c>
      <c r="B5002" s="59">
        <v>15</v>
      </c>
      <c r="C5002" s="59">
        <v>330</v>
      </c>
      <c r="D5002" s="51">
        <v>21</v>
      </c>
      <c r="E5002" s="51">
        <f t="shared" si="78"/>
        <v>0</v>
      </c>
    </row>
    <row r="5003" spans="1:5">
      <c r="A5003" s="59">
        <v>10</v>
      </c>
      <c r="B5003" s="59">
        <v>16</v>
      </c>
      <c r="C5003" s="59">
        <v>240</v>
      </c>
      <c r="D5003" s="51">
        <v>21</v>
      </c>
      <c r="E5003" s="51">
        <f t="shared" si="78"/>
        <v>0</v>
      </c>
    </row>
    <row r="5004" spans="1:5">
      <c r="A5004" s="59">
        <v>10</v>
      </c>
      <c r="B5004" s="59">
        <v>64</v>
      </c>
      <c r="C5004" s="59">
        <v>730</v>
      </c>
      <c r="D5004" s="51">
        <v>21</v>
      </c>
      <c r="E5004" s="51">
        <f t="shared" si="78"/>
        <v>0</v>
      </c>
    </row>
    <row r="5005" spans="1:5">
      <c r="A5005" s="59">
        <v>10</v>
      </c>
      <c r="B5005" s="59">
        <v>44</v>
      </c>
      <c r="C5005" s="59">
        <v>530</v>
      </c>
      <c r="D5005" s="51">
        <v>20</v>
      </c>
      <c r="E5005" s="51">
        <f t="shared" si="78"/>
        <v>1</v>
      </c>
    </row>
    <row r="5006" spans="1:5">
      <c r="A5006" s="59">
        <v>10</v>
      </c>
      <c r="B5006" s="59">
        <v>22</v>
      </c>
      <c r="C5006" s="59">
        <v>210</v>
      </c>
      <c r="D5006" s="51">
        <v>19</v>
      </c>
      <c r="E5006" s="51">
        <f t="shared" si="78"/>
        <v>0</v>
      </c>
    </row>
    <row r="5007" spans="1:5">
      <c r="A5007" s="59">
        <v>10</v>
      </c>
      <c r="B5007" s="59">
        <v>62</v>
      </c>
      <c r="C5007" s="59">
        <v>510</v>
      </c>
      <c r="D5007" s="51">
        <v>19</v>
      </c>
      <c r="E5007" s="51">
        <f t="shared" si="78"/>
        <v>1</v>
      </c>
    </row>
    <row r="5008" spans="1:5">
      <c r="A5008" s="59">
        <v>10</v>
      </c>
      <c r="B5008" s="59">
        <v>81</v>
      </c>
      <c r="C5008" s="59">
        <v>510</v>
      </c>
      <c r="D5008" s="51">
        <v>19</v>
      </c>
      <c r="E5008" s="51">
        <f t="shared" si="78"/>
        <v>0</v>
      </c>
    </row>
    <row r="5009" spans="1:5">
      <c r="A5009" s="59">
        <v>10</v>
      </c>
      <c r="B5009" s="59">
        <v>13</v>
      </c>
      <c r="C5009" s="59">
        <v>920</v>
      </c>
      <c r="D5009" s="51">
        <v>18</v>
      </c>
      <c r="E5009" s="51">
        <f t="shared" si="78"/>
        <v>0</v>
      </c>
    </row>
    <row r="5010" spans="1:5">
      <c r="A5010" s="59">
        <v>10</v>
      </c>
      <c r="B5010" s="59">
        <v>14</v>
      </c>
      <c r="C5010" s="59">
        <v>920</v>
      </c>
      <c r="D5010" s="51">
        <v>18</v>
      </c>
      <c r="E5010" s="51">
        <f t="shared" si="78"/>
        <v>0</v>
      </c>
    </row>
    <row r="5011" spans="1:5">
      <c r="A5011" s="59">
        <v>10</v>
      </c>
      <c r="B5011" s="59">
        <v>33</v>
      </c>
      <c r="C5011" s="59">
        <v>910</v>
      </c>
      <c r="D5011" s="51">
        <v>18</v>
      </c>
      <c r="E5011" s="51">
        <f t="shared" si="78"/>
        <v>0</v>
      </c>
    </row>
    <row r="5012" spans="1:5">
      <c r="A5012" s="59">
        <v>10</v>
      </c>
      <c r="B5012" s="59">
        <v>43</v>
      </c>
      <c r="C5012" s="59">
        <v>930</v>
      </c>
      <c r="D5012" s="51">
        <v>18</v>
      </c>
      <c r="E5012" s="51">
        <f t="shared" si="78"/>
        <v>0</v>
      </c>
    </row>
    <row r="5013" spans="1:5">
      <c r="A5013" s="59">
        <v>10</v>
      </c>
      <c r="B5013" s="59">
        <v>62</v>
      </c>
      <c r="C5013" s="59">
        <v>940</v>
      </c>
      <c r="D5013" s="51">
        <v>17</v>
      </c>
      <c r="E5013" s="51">
        <f t="shared" si="78"/>
        <v>1</v>
      </c>
    </row>
    <row r="5014" spans="1:5">
      <c r="A5014" s="59">
        <v>10</v>
      </c>
      <c r="B5014" s="59">
        <v>13</v>
      </c>
      <c r="C5014" s="59">
        <v>220</v>
      </c>
      <c r="D5014" s="51">
        <v>16</v>
      </c>
      <c r="E5014" s="51">
        <f t="shared" si="78"/>
        <v>0</v>
      </c>
    </row>
    <row r="5015" spans="1:5">
      <c r="A5015" s="59">
        <v>10</v>
      </c>
      <c r="B5015" s="59">
        <v>16</v>
      </c>
      <c r="C5015" s="59">
        <v>110</v>
      </c>
      <c r="D5015" s="51">
        <v>16</v>
      </c>
      <c r="E5015" s="51">
        <f t="shared" si="78"/>
        <v>0</v>
      </c>
    </row>
    <row r="5016" spans="1:5">
      <c r="A5016" s="59">
        <v>10</v>
      </c>
      <c r="B5016" s="59">
        <v>16</v>
      </c>
      <c r="C5016" s="59">
        <v>210</v>
      </c>
      <c r="D5016" s="51">
        <v>16</v>
      </c>
      <c r="E5016" s="51">
        <f t="shared" si="78"/>
        <v>0</v>
      </c>
    </row>
    <row r="5017" spans="1:5">
      <c r="A5017" s="59">
        <v>10</v>
      </c>
      <c r="B5017" s="59">
        <v>44</v>
      </c>
      <c r="C5017" s="59">
        <v>510</v>
      </c>
      <c r="D5017" s="51">
        <v>16</v>
      </c>
      <c r="E5017" s="51">
        <f t="shared" si="78"/>
        <v>1</v>
      </c>
    </row>
    <row r="5018" spans="1:5">
      <c r="A5018" s="59">
        <v>10</v>
      </c>
      <c r="B5018" s="59">
        <v>15</v>
      </c>
      <c r="C5018" s="59">
        <v>240</v>
      </c>
      <c r="D5018" s="51">
        <v>15</v>
      </c>
      <c r="E5018" s="51">
        <f t="shared" si="78"/>
        <v>0</v>
      </c>
    </row>
    <row r="5019" spans="1:5">
      <c r="A5019" s="59">
        <v>10</v>
      </c>
      <c r="B5019" s="59">
        <v>16</v>
      </c>
      <c r="C5019" s="59">
        <v>230</v>
      </c>
      <c r="D5019" s="51">
        <v>15</v>
      </c>
      <c r="E5019" s="51">
        <f t="shared" si="78"/>
        <v>0</v>
      </c>
    </row>
    <row r="5020" spans="1:5">
      <c r="A5020" s="59">
        <v>10</v>
      </c>
      <c r="B5020" s="59">
        <v>42</v>
      </c>
      <c r="C5020" s="59">
        <v>620</v>
      </c>
      <c r="D5020" s="51">
        <v>15</v>
      </c>
      <c r="E5020" s="51">
        <f t="shared" si="78"/>
        <v>0</v>
      </c>
    </row>
    <row r="5021" spans="1:5">
      <c r="A5021" s="59">
        <v>10</v>
      </c>
      <c r="B5021" s="59">
        <v>42</v>
      </c>
      <c r="C5021" s="59">
        <v>910</v>
      </c>
      <c r="D5021" s="51">
        <v>15</v>
      </c>
      <c r="E5021" s="51">
        <f t="shared" si="78"/>
        <v>0</v>
      </c>
    </row>
    <row r="5022" spans="1:5">
      <c r="A5022" s="59">
        <v>10</v>
      </c>
      <c r="B5022" s="59">
        <v>43</v>
      </c>
      <c r="C5022" s="59">
        <v>730</v>
      </c>
      <c r="D5022" s="51">
        <v>15</v>
      </c>
      <c r="E5022" s="51">
        <f t="shared" si="78"/>
        <v>0</v>
      </c>
    </row>
    <row r="5023" spans="1:5">
      <c r="A5023" s="59">
        <v>10</v>
      </c>
      <c r="B5023" s="59">
        <v>63</v>
      </c>
      <c r="C5023" s="59">
        <v>150</v>
      </c>
      <c r="D5023" s="51">
        <v>15</v>
      </c>
      <c r="E5023" s="51">
        <f t="shared" si="78"/>
        <v>0</v>
      </c>
    </row>
    <row r="5024" spans="1:5">
      <c r="A5024" s="59">
        <v>10</v>
      </c>
      <c r="B5024" s="59">
        <v>64</v>
      </c>
      <c r="C5024" s="59">
        <v>520</v>
      </c>
      <c r="D5024" s="51">
        <v>15</v>
      </c>
      <c r="E5024" s="51">
        <f t="shared" si="78"/>
        <v>0</v>
      </c>
    </row>
    <row r="5025" spans="1:5">
      <c r="A5025" s="59">
        <v>10</v>
      </c>
      <c r="B5025" s="59">
        <v>81</v>
      </c>
      <c r="C5025" s="59">
        <v>530</v>
      </c>
      <c r="D5025" s="51">
        <v>15</v>
      </c>
      <c r="E5025" s="51">
        <f t="shared" si="78"/>
        <v>0</v>
      </c>
    </row>
    <row r="5026" spans="1:5">
      <c r="A5026" s="59">
        <v>10</v>
      </c>
      <c r="B5026" s="59">
        <v>22</v>
      </c>
      <c r="C5026" s="59">
        <v>110</v>
      </c>
      <c r="D5026" s="51">
        <v>14</v>
      </c>
      <c r="E5026" s="51">
        <f t="shared" si="78"/>
        <v>0</v>
      </c>
    </row>
    <row r="5027" spans="1:5">
      <c r="A5027" s="59">
        <v>10</v>
      </c>
      <c r="B5027" s="59">
        <v>62</v>
      </c>
      <c r="C5027" s="59">
        <v>610</v>
      </c>
      <c r="D5027" s="51">
        <v>14</v>
      </c>
      <c r="E5027" s="51">
        <f t="shared" si="78"/>
        <v>1</v>
      </c>
    </row>
    <row r="5028" spans="1:5">
      <c r="A5028" s="59">
        <v>10</v>
      </c>
      <c r="B5028" s="59">
        <v>71</v>
      </c>
      <c r="C5028" s="59">
        <v>510</v>
      </c>
      <c r="D5028" s="51">
        <v>14</v>
      </c>
      <c r="E5028" s="51">
        <f t="shared" si="78"/>
        <v>0</v>
      </c>
    </row>
    <row r="5029" spans="1:5">
      <c r="A5029" s="59">
        <v>10</v>
      </c>
      <c r="B5029" s="59">
        <v>22</v>
      </c>
      <c r="C5029" s="59">
        <v>310</v>
      </c>
      <c r="D5029" s="51">
        <v>13</v>
      </c>
      <c r="E5029" s="51">
        <f t="shared" si="78"/>
        <v>0</v>
      </c>
    </row>
    <row r="5030" spans="1:5">
      <c r="A5030" s="59">
        <v>10</v>
      </c>
      <c r="B5030" s="59">
        <v>44</v>
      </c>
      <c r="C5030" s="59">
        <v>620</v>
      </c>
      <c r="D5030" s="51">
        <v>13</v>
      </c>
      <c r="E5030" s="51">
        <f t="shared" si="78"/>
        <v>1</v>
      </c>
    </row>
    <row r="5031" spans="1:5">
      <c r="A5031" s="59">
        <v>10</v>
      </c>
      <c r="B5031" s="59">
        <v>13</v>
      </c>
      <c r="C5031" s="59">
        <v>230</v>
      </c>
      <c r="D5031" s="51">
        <v>12</v>
      </c>
      <c r="E5031" s="51">
        <f t="shared" si="78"/>
        <v>0</v>
      </c>
    </row>
    <row r="5032" spans="1:5">
      <c r="A5032" s="59">
        <v>10</v>
      </c>
      <c r="B5032" s="59">
        <v>13</v>
      </c>
      <c r="C5032" s="59">
        <v>320</v>
      </c>
      <c r="D5032" s="51">
        <v>12</v>
      </c>
      <c r="E5032" s="51">
        <f t="shared" si="78"/>
        <v>0</v>
      </c>
    </row>
    <row r="5033" spans="1:5">
      <c r="A5033" s="59">
        <v>10</v>
      </c>
      <c r="B5033" s="59">
        <v>44</v>
      </c>
      <c r="C5033" s="59">
        <v>110</v>
      </c>
      <c r="D5033" s="51">
        <v>12</v>
      </c>
      <c r="E5033" s="51">
        <f t="shared" si="78"/>
        <v>1</v>
      </c>
    </row>
    <row r="5034" spans="1:5">
      <c r="A5034" s="59">
        <v>10</v>
      </c>
      <c r="B5034" s="59">
        <v>44</v>
      </c>
      <c r="C5034" s="59">
        <v>750</v>
      </c>
      <c r="D5034" s="51">
        <v>12</v>
      </c>
      <c r="E5034" s="51">
        <f t="shared" si="78"/>
        <v>1</v>
      </c>
    </row>
    <row r="5035" spans="1:5">
      <c r="A5035" s="59">
        <v>10</v>
      </c>
      <c r="B5035" s="59">
        <v>81</v>
      </c>
      <c r="C5035" s="59">
        <v>620</v>
      </c>
      <c r="D5035" s="51">
        <v>12</v>
      </c>
      <c r="E5035" s="51">
        <f t="shared" si="78"/>
        <v>0</v>
      </c>
    </row>
    <row r="5036" spans="1:5">
      <c r="A5036" s="59">
        <v>10</v>
      </c>
      <c r="B5036" s="59">
        <v>81</v>
      </c>
      <c r="C5036" s="59">
        <v>910</v>
      </c>
      <c r="D5036" s="51">
        <v>12</v>
      </c>
      <c r="E5036" s="51">
        <f t="shared" si="78"/>
        <v>0</v>
      </c>
    </row>
    <row r="5037" spans="1:5">
      <c r="A5037" s="59">
        <v>10</v>
      </c>
      <c r="B5037" s="59">
        <v>13</v>
      </c>
      <c r="C5037" s="59">
        <v>930</v>
      </c>
      <c r="D5037" s="51">
        <v>11</v>
      </c>
      <c r="E5037" s="51">
        <f t="shared" si="78"/>
        <v>0</v>
      </c>
    </row>
    <row r="5038" spans="1:5">
      <c r="A5038" s="59">
        <v>10</v>
      </c>
      <c r="B5038" s="59">
        <v>22</v>
      </c>
      <c r="C5038" s="59">
        <v>230</v>
      </c>
      <c r="D5038" s="51">
        <v>11</v>
      </c>
      <c r="E5038" s="51">
        <f t="shared" si="78"/>
        <v>0</v>
      </c>
    </row>
    <row r="5039" spans="1:5">
      <c r="A5039" s="59">
        <v>10</v>
      </c>
      <c r="B5039" s="59">
        <v>33</v>
      </c>
      <c r="C5039" s="59">
        <v>240</v>
      </c>
      <c r="D5039" s="51">
        <v>11</v>
      </c>
      <c r="E5039" s="51">
        <f t="shared" si="78"/>
        <v>0</v>
      </c>
    </row>
    <row r="5040" spans="1:5">
      <c r="A5040" s="59">
        <v>10</v>
      </c>
      <c r="B5040" s="59">
        <v>41</v>
      </c>
      <c r="C5040" s="59">
        <v>530</v>
      </c>
      <c r="D5040" s="51">
        <v>11</v>
      </c>
      <c r="E5040" s="51">
        <f t="shared" si="78"/>
        <v>1</v>
      </c>
    </row>
    <row r="5041" spans="1:5">
      <c r="A5041" s="59">
        <v>10</v>
      </c>
      <c r="B5041" s="59">
        <v>41</v>
      </c>
      <c r="C5041" s="59">
        <v>720</v>
      </c>
      <c r="D5041" s="51">
        <v>11</v>
      </c>
      <c r="E5041" s="51">
        <f t="shared" si="78"/>
        <v>1</v>
      </c>
    </row>
    <row r="5042" spans="1:5">
      <c r="A5042" s="59">
        <v>10</v>
      </c>
      <c r="B5042" s="59">
        <v>62</v>
      </c>
      <c r="C5042" s="59">
        <v>520</v>
      </c>
      <c r="D5042" s="51">
        <v>11</v>
      </c>
      <c r="E5042" s="51">
        <f t="shared" si="78"/>
        <v>1</v>
      </c>
    </row>
    <row r="5043" spans="1:5">
      <c r="A5043" s="59">
        <v>10</v>
      </c>
      <c r="B5043" s="59">
        <v>63</v>
      </c>
      <c r="C5043" s="59">
        <v>620</v>
      </c>
      <c r="D5043" s="51">
        <v>11</v>
      </c>
      <c r="E5043" s="51">
        <f t="shared" si="78"/>
        <v>0</v>
      </c>
    </row>
    <row r="5044" spans="1:5">
      <c r="A5044" s="59">
        <v>10</v>
      </c>
      <c r="B5044" s="59">
        <v>63</v>
      </c>
      <c r="C5044" s="59">
        <v>920</v>
      </c>
      <c r="D5044" s="51">
        <v>11</v>
      </c>
      <c r="E5044" s="51">
        <f t="shared" si="78"/>
        <v>0</v>
      </c>
    </row>
    <row r="5045" spans="1:5">
      <c r="A5045" s="59">
        <v>10</v>
      </c>
      <c r="B5045" s="59">
        <v>71</v>
      </c>
      <c r="C5045" s="59">
        <v>530</v>
      </c>
      <c r="D5045" s="51">
        <v>11</v>
      </c>
      <c r="E5045" s="51">
        <f t="shared" si="78"/>
        <v>0</v>
      </c>
    </row>
    <row r="5046" spans="1:5">
      <c r="A5046" s="59">
        <v>10</v>
      </c>
      <c r="B5046" s="59">
        <v>32</v>
      </c>
      <c r="C5046" s="59">
        <v>430</v>
      </c>
      <c r="D5046" s="51">
        <v>10</v>
      </c>
      <c r="E5046" s="51">
        <f t="shared" si="78"/>
        <v>0</v>
      </c>
    </row>
    <row r="5047" spans="1:5">
      <c r="A5047" s="59">
        <v>10</v>
      </c>
      <c r="B5047" s="59">
        <v>22</v>
      </c>
      <c r="C5047" s="59">
        <v>320</v>
      </c>
      <c r="D5047" s="51">
        <v>9</v>
      </c>
      <c r="E5047" s="51">
        <f t="shared" si="78"/>
        <v>0</v>
      </c>
    </row>
    <row r="5048" spans="1:5">
      <c r="A5048" s="59">
        <v>10</v>
      </c>
      <c r="B5048" s="59">
        <v>32</v>
      </c>
      <c r="C5048" s="59">
        <v>160</v>
      </c>
      <c r="D5048" s="51">
        <v>9</v>
      </c>
      <c r="E5048" s="51">
        <f t="shared" si="78"/>
        <v>0</v>
      </c>
    </row>
    <row r="5049" spans="1:5">
      <c r="A5049" s="59">
        <v>10</v>
      </c>
      <c r="B5049" s="59">
        <v>41</v>
      </c>
      <c r="C5049" s="59">
        <v>510</v>
      </c>
      <c r="D5049" s="51">
        <v>9</v>
      </c>
      <c r="E5049" s="51">
        <f t="shared" si="78"/>
        <v>1</v>
      </c>
    </row>
    <row r="5050" spans="1:5">
      <c r="A5050" s="59">
        <v>10</v>
      </c>
      <c r="B5050" s="59">
        <v>43</v>
      </c>
      <c r="C5050" s="59">
        <v>430</v>
      </c>
      <c r="D5050" s="51">
        <v>9</v>
      </c>
      <c r="E5050" s="51">
        <f t="shared" si="78"/>
        <v>0</v>
      </c>
    </row>
    <row r="5051" spans="1:5">
      <c r="A5051" s="59">
        <v>10</v>
      </c>
      <c r="B5051" s="59">
        <v>44</v>
      </c>
      <c r="C5051" s="59">
        <v>940</v>
      </c>
      <c r="D5051" s="51">
        <v>9</v>
      </c>
      <c r="E5051" s="51">
        <f t="shared" si="78"/>
        <v>1</v>
      </c>
    </row>
    <row r="5052" spans="1:5">
      <c r="A5052" s="59">
        <v>10</v>
      </c>
      <c r="B5052" s="59">
        <v>62</v>
      </c>
      <c r="C5052" s="59">
        <v>720</v>
      </c>
      <c r="D5052" s="51">
        <v>9</v>
      </c>
      <c r="E5052" s="51">
        <f t="shared" si="78"/>
        <v>1</v>
      </c>
    </row>
    <row r="5053" spans="1:5">
      <c r="A5053" s="59">
        <v>10</v>
      </c>
      <c r="B5053" s="59">
        <v>62</v>
      </c>
      <c r="C5053" s="59">
        <v>990</v>
      </c>
      <c r="D5053" s="51">
        <v>9</v>
      </c>
      <c r="E5053" s="51">
        <f t="shared" si="78"/>
        <v>1</v>
      </c>
    </row>
    <row r="5054" spans="1:5">
      <c r="A5054" s="59">
        <v>10</v>
      </c>
      <c r="B5054" s="59">
        <v>64</v>
      </c>
      <c r="C5054" s="59">
        <v>430</v>
      </c>
      <c r="D5054" s="51">
        <v>9</v>
      </c>
      <c r="E5054" s="51">
        <f t="shared" si="78"/>
        <v>0</v>
      </c>
    </row>
    <row r="5055" spans="1:5">
      <c r="A5055" s="59">
        <v>10</v>
      </c>
      <c r="B5055" s="59">
        <v>71</v>
      </c>
      <c r="C5055" s="59">
        <v>620</v>
      </c>
      <c r="D5055" s="51">
        <v>9</v>
      </c>
      <c r="E5055" s="51">
        <f t="shared" si="78"/>
        <v>0</v>
      </c>
    </row>
    <row r="5056" spans="1:5">
      <c r="A5056" s="59">
        <v>10</v>
      </c>
      <c r="B5056" s="59">
        <v>71</v>
      </c>
      <c r="C5056" s="59">
        <v>940</v>
      </c>
      <c r="D5056" s="51">
        <v>9</v>
      </c>
      <c r="E5056" s="51">
        <f t="shared" si="78"/>
        <v>0</v>
      </c>
    </row>
    <row r="5057" spans="1:5">
      <c r="A5057" s="59">
        <v>10</v>
      </c>
      <c r="B5057" s="59">
        <v>13</v>
      </c>
      <c r="C5057" s="59">
        <v>610</v>
      </c>
      <c r="D5057" s="51">
        <v>8</v>
      </c>
      <c r="E5057" s="51">
        <f t="shared" si="78"/>
        <v>0</v>
      </c>
    </row>
    <row r="5058" spans="1:5">
      <c r="A5058" s="59">
        <v>10</v>
      </c>
      <c r="B5058" s="59">
        <v>13</v>
      </c>
      <c r="C5058" s="59">
        <v>950</v>
      </c>
      <c r="D5058" s="51">
        <v>8</v>
      </c>
      <c r="E5058" s="51">
        <f t="shared" ref="E5058:E5121" si="79">IF(OR(A5058=6,A5058=7,A5058=14,A5058=15,A5058=16,A5058=17,A5058=18,A5058=19,A5058=20,A5058=21,A5058=22,A5058=23,A5058=25,A5058=26,A5058=27,A5058=28,B5058=41,B5058=44,B5058=62),1,0)</f>
        <v>0</v>
      </c>
    </row>
    <row r="5059" spans="1:5">
      <c r="A5059" s="59">
        <v>10</v>
      </c>
      <c r="B5059" s="59">
        <v>14</v>
      </c>
      <c r="C5059" s="59">
        <v>930</v>
      </c>
      <c r="D5059" s="51">
        <v>8</v>
      </c>
      <c r="E5059" s="51">
        <f t="shared" si="79"/>
        <v>0</v>
      </c>
    </row>
    <row r="5060" spans="1:5">
      <c r="A5060" s="59">
        <v>10</v>
      </c>
      <c r="B5060" s="59">
        <v>16</v>
      </c>
      <c r="C5060" s="59">
        <v>140</v>
      </c>
      <c r="D5060" s="51">
        <v>8</v>
      </c>
      <c r="E5060" s="51">
        <f t="shared" si="79"/>
        <v>0</v>
      </c>
    </row>
    <row r="5061" spans="1:5">
      <c r="A5061" s="59">
        <v>10</v>
      </c>
      <c r="B5061" s="59">
        <v>32</v>
      </c>
      <c r="C5061" s="59">
        <v>410</v>
      </c>
      <c r="D5061" s="51">
        <v>8</v>
      </c>
      <c r="E5061" s="51">
        <f t="shared" si="79"/>
        <v>0</v>
      </c>
    </row>
    <row r="5062" spans="1:5">
      <c r="A5062" s="59">
        <v>10</v>
      </c>
      <c r="B5062" s="59">
        <v>43</v>
      </c>
      <c r="C5062" s="59">
        <v>210</v>
      </c>
      <c r="D5062" s="51">
        <v>8</v>
      </c>
      <c r="E5062" s="51">
        <f t="shared" si="79"/>
        <v>0</v>
      </c>
    </row>
    <row r="5063" spans="1:5">
      <c r="A5063" s="59">
        <v>10</v>
      </c>
      <c r="B5063" s="59">
        <v>63</v>
      </c>
      <c r="C5063" s="59">
        <v>440</v>
      </c>
      <c r="D5063" s="51">
        <v>8</v>
      </c>
      <c r="E5063" s="51">
        <f t="shared" si="79"/>
        <v>0</v>
      </c>
    </row>
    <row r="5064" spans="1:5">
      <c r="A5064" s="59">
        <v>10</v>
      </c>
      <c r="B5064" s="59">
        <v>64</v>
      </c>
      <c r="C5064" s="59">
        <v>320</v>
      </c>
      <c r="D5064" s="51">
        <v>8</v>
      </c>
      <c r="E5064" s="51">
        <f t="shared" si="79"/>
        <v>0</v>
      </c>
    </row>
    <row r="5065" spans="1:5">
      <c r="A5065" s="59">
        <v>10</v>
      </c>
      <c r="B5065" s="59">
        <v>14</v>
      </c>
      <c r="C5065" s="59">
        <v>130</v>
      </c>
      <c r="D5065" s="51">
        <v>7</v>
      </c>
      <c r="E5065" s="51">
        <f t="shared" si="79"/>
        <v>0</v>
      </c>
    </row>
    <row r="5066" spans="1:5">
      <c r="A5066" s="59">
        <v>10</v>
      </c>
      <c r="B5066" s="59">
        <v>14</v>
      </c>
      <c r="C5066" s="59">
        <v>430</v>
      </c>
      <c r="D5066" s="51">
        <v>7</v>
      </c>
      <c r="E5066" s="51">
        <f t="shared" si="79"/>
        <v>0</v>
      </c>
    </row>
    <row r="5067" spans="1:5">
      <c r="A5067" s="59">
        <v>10</v>
      </c>
      <c r="B5067" s="59">
        <v>43</v>
      </c>
      <c r="C5067" s="59">
        <v>895</v>
      </c>
      <c r="D5067" s="51">
        <v>7</v>
      </c>
      <c r="E5067" s="51">
        <f t="shared" si="79"/>
        <v>0</v>
      </c>
    </row>
    <row r="5068" spans="1:5">
      <c r="A5068" s="59">
        <v>10</v>
      </c>
      <c r="B5068" s="59">
        <v>44</v>
      </c>
      <c r="C5068" s="59">
        <v>540</v>
      </c>
      <c r="D5068" s="51">
        <v>7</v>
      </c>
      <c r="E5068" s="51">
        <f t="shared" si="79"/>
        <v>1</v>
      </c>
    </row>
    <row r="5069" spans="1:5">
      <c r="A5069" s="59">
        <v>10</v>
      </c>
      <c r="B5069" s="59">
        <v>63</v>
      </c>
      <c r="C5069" s="59">
        <v>720</v>
      </c>
      <c r="D5069" s="51">
        <v>7</v>
      </c>
      <c r="E5069" s="51">
        <f t="shared" si="79"/>
        <v>0</v>
      </c>
    </row>
    <row r="5070" spans="1:5">
      <c r="A5070" s="59">
        <v>10</v>
      </c>
      <c r="B5070" s="59">
        <v>64</v>
      </c>
      <c r="C5070" s="59">
        <v>120</v>
      </c>
      <c r="D5070" s="51">
        <v>7</v>
      </c>
      <c r="E5070" s="51">
        <f t="shared" si="79"/>
        <v>0</v>
      </c>
    </row>
    <row r="5071" spans="1:5">
      <c r="A5071" s="59">
        <v>10</v>
      </c>
      <c r="B5071" s="59">
        <v>64</v>
      </c>
      <c r="C5071" s="59">
        <v>540</v>
      </c>
      <c r="D5071" s="51">
        <v>7</v>
      </c>
      <c r="E5071" s="51">
        <f t="shared" si="79"/>
        <v>0</v>
      </c>
    </row>
    <row r="5072" spans="1:5">
      <c r="A5072" s="59">
        <v>10</v>
      </c>
      <c r="B5072" s="59">
        <v>64</v>
      </c>
      <c r="C5072" s="59">
        <v>950</v>
      </c>
      <c r="D5072" s="51">
        <v>7</v>
      </c>
      <c r="E5072" s="51">
        <f t="shared" si="79"/>
        <v>0</v>
      </c>
    </row>
    <row r="5073" spans="1:5">
      <c r="A5073" s="59">
        <v>10</v>
      </c>
      <c r="B5073" s="59">
        <v>71</v>
      </c>
      <c r="C5073" s="59">
        <v>610</v>
      </c>
      <c r="D5073" s="51">
        <v>7</v>
      </c>
      <c r="E5073" s="51">
        <f t="shared" si="79"/>
        <v>0</v>
      </c>
    </row>
    <row r="5074" spans="1:5">
      <c r="A5074" s="59">
        <v>10</v>
      </c>
      <c r="B5074" s="59">
        <v>81</v>
      </c>
      <c r="C5074" s="59">
        <v>940</v>
      </c>
      <c r="D5074" s="51">
        <v>7</v>
      </c>
      <c r="E5074" s="51">
        <f t="shared" si="79"/>
        <v>0</v>
      </c>
    </row>
    <row r="5075" spans="1:5">
      <c r="A5075" s="59">
        <v>10</v>
      </c>
      <c r="B5075" s="59">
        <v>81</v>
      </c>
      <c r="C5075" s="59">
        <v>950</v>
      </c>
      <c r="D5075" s="51">
        <v>7</v>
      </c>
      <c r="E5075" s="51">
        <f t="shared" si="79"/>
        <v>0</v>
      </c>
    </row>
    <row r="5076" spans="1:5">
      <c r="A5076" s="59">
        <v>10</v>
      </c>
      <c r="B5076" s="59">
        <v>13</v>
      </c>
      <c r="C5076" s="59">
        <v>730</v>
      </c>
      <c r="D5076" s="51">
        <v>6</v>
      </c>
      <c r="E5076" s="51">
        <f t="shared" si="79"/>
        <v>0</v>
      </c>
    </row>
    <row r="5077" spans="1:5">
      <c r="A5077" s="59">
        <v>10</v>
      </c>
      <c r="B5077" s="59">
        <v>14</v>
      </c>
      <c r="C5077" s="59">
        <v>730</v>
      </c>
      <c r="D5077" s="51">
        <v>6</v>
      </c>
      <c r="E5077" s="51">
        <f t="shared" si="79"/>
        <v>0</v>
      </c>
    </row>
    <row r="5078" spans="1:5">
      <c r="A5078" s="59">
        <v>10</v>
      </c>
      <c r="B5078" s="59">
        <v>15</v>
      </c>
      <c r="C5078" s="59">
        <v>730</v>
      </c>
      <c r="D5078" s="51">
        <v>6</v>
      </c>
      <c r="E5078" s="51">
        <f t="shared" si="79"/>
        <v>0</v>
      </c>
    </row>
    <row r="5079" spans="1:5">
      <c r="A5079" s="59">
        <v>10</v>
      </c>
      <c r="B5079" s="59">
        <v>22</v>
      </c>
      <c r="C5079" s="59">
        <v>220</v>
      </c>
      <c r="D5079" s="51">
        <v>6</v>
      </c>
      <c r="E5079" s="51">
        <f t="shared" si="79"/>
        <v>0</v>
      </c>
    </row>
    <row r="5080" spans="1:5">
      <c r="A5080" s="59">
        <v>10</v>
      </c>
      <c r="B5080" s="59">
        <v>41</v>
      </c>
      <c r="C5080" s="59">
        <v>910</v>
      </c>
      <c r="D5080" s="51">
        <v>6</v>
      </c>
      <c r="E5080" s="51">
        <f t="shared" si="79"/>
        <v>1</v>
      </c>
    </row>
    <row r="5081" spans="1:5">
      <c r="A5081" s="59">
        <v>10</v>
      </c>
      <c r="B5081" s="59">
        <v>42</v>
      </c>
      <c r="C5081" s="59">
        <v>510</v>
      </c>
      <c r="D5081" s="51">
        <v>6</v>
      </c>
      <c r="E5081" s="51">
        <f t="shared" si="79"/>
        <v>0</v>
      </c>
    </row>
    <row r="5082" spans="1:5">
      <c r="A5082" s="59">
        <v>10</v>
      </c>
      <c r="B5082" s="59">
        <v>63</v>
      </c>
      <c r="C5082" s="59">
        <v>610</v>
      </c>
      <c r="D5082" s="51">
        <v>6</v>
      </c>
      <c r="E5082" s="51">
        <f t="shared" si="79"/>
        <v>0</v>
      </c>
    </row>
    <row r="5083" spans="1:5">
      <c r="A5083" s="59">
        <v>10</v>
      </c>
      <c r="B5083" s="59">
        <v>64</v>
      </c>
      <c r="C5083" s="59">
        <v>140</v>
      </c>
      <c r="D5083" s="51">
        <v>6</v>
      </c>
      <c r="E5083" s="51">
        <f t="shared" si="79"/>
        <v>0</v>
      </c>
    </row>
    <row r="5084" spans="1:5">
      <c r="A5084" s="59">
        <v>10</v>
      </c>
      <c r="B5084" s="59">
        <v>81</v>
      </c>
      <c r="C5084" s="59">
        <v>110</v>
      </c>
      <c r="D5084" s="51">
        <v>6</v>
      </c>
      <c r="E5084" s="51">
        <f t="shared" si="79"/>
        <v>0</v>
      </c>
    </row>
    <row r="5085" spans="1:5">
      <c r="A5085" s="59">
        <v>10</v>
      </c>
      <c r="B5085" s="59">
        <v>81</v>
      </c>
      <c r="C5085" s="59">
        <v>150</v>
      </c>
      <c r="D5085" s="51">
        <v>6</v>
      </c>
      <c r="E5085" s="51">
        <f t="shared" si="79"/>
        <v>0</v>
      </c>
    </row>
    <row r="5086" spans="1:5">
      <c r="A5086" s="59">
        <v>10</v>
      </c>
      <c r="B5086" s="59">
        <v>81</v>
      </c>
      <c r="C5086" s="59">
        <v>330</v>
      </c>
      <c r="D5086" s="51">
        <v>6</v>
      </c>
      <c r="E5086" s="51">
        <f t="shared" si="79"/>
        <v>0</v>
      </c>
    </row>
    <row r="5087" spans="1:5">
      <c r="A5087" s="59">
        <v>10</v>
      </c>
      <c r="B5087" s="59">
        <v>81</v>
      </c>
      <c r="C5087" s="59">
        <v>990</v>
      </c>
      <c r="D5087" s="51">
        <v>6</v>
      </c>
      <c r="E5087" s="51">
        <f t="shared" si="79"/>
        <v>0</v>
      </c>
    </row>
    <row r="5088" spans="1:5">
      <c r="A5088" s="59">
        <v>10</v>
      </c>
      <c r="B5088" s="59">
        <v>14</v>
      </c>
      <c r="C5088" s="59">
        <v>120</v>
      </c>
      <c r="D5088" s="51">
        <v>5</v>
      </c>
      <c r="E5088" s="51">
        <f t="shared" si="79"/>
        <v>0</v>
      </c>
    </row>
    <row r="5089" spans="1:5">
      <c r="A5089" s="59">
        <v>10</v>
      </c>
      <c r="B5089" s="59">
        <v>14</v>
      </c>
      <c r="C5089" s="59">
        <v>750</v>
      </c>
      <c r="D5089" s="51">
        <v>5</v>
      </c>
      <c r="E5089" s="51">
        <f t="shared" si="79"/>
        <v>0</v>
      </c>
    </row>
    <row r="5090" spans="1:5">
      <c r="A5090" s="59">
        <v>10</v>
      </c>
      <c r="B5090" s="59">
        <v>33</v>
      </c>
      <c r="C5090" s="59">
        <v>150</v>
      </c>
      <c r="D5090" s="51">
        <v>5</v>
      </c>
      <c r="E5090" s="51">
        <f t="shared" si="79"/>
        <v>0</v>
      </c>
    </row>
    <row r="5091" spans="1:5">
      <c r="A5091" s="59">
        <v>10</v>
      </c>
      <c r="B5091" s="59">
        <v>41</v>
      </c>
      <c r="C5091" s="59">
        <v>150</v>
      </c>
      <c r="D5091" s="51">
        <v>5</v>
      </c>
      <c r="E5091" s="51">
        <f t="shared" si="79"/>
        <v>1</v>
      </c>
    </row>
    <row r="5092" spans="1:5">
      <c r="A5092" s="59">
        <v>10</v>
      </c>
      <c r="B5092" s="59">
        <v>42</v>
      </c>
      <c r="C5092" s="59">
        <v>330</v>
      </c>
      <c r="D5092" s="51">
        <v>5</v>
      </c>
      <c r="E5092" s="51">
        <f t="shared" si="79"/>
        <v>0</v>
      </c>
    </row>
    <row r="5093" spans="1:5">
      <c r="A5093" s="59">
        <v>10</v>
      </c>
      <c r="B5093" s="59">
        <v>43</v>
      </c>
      <c r="C5093" s="59">
        <v>140</v>
      </c>
      <c r="D5093" s="51">
        <v>5</v>
      </c>
      <c r="E5093" s="51">
        <f t="shared" si="79"/>
        <v>0</v>
      </c>
    </row>
    <row r="5094" spans="1:5">
      <c r="A5094" s="59">
        <v>10</v>
      </c>
      <c r="B5094" s="59">
        <v>43</v>
      </c>
      <c r="C5094" s="59">
        <v>420</v>
      </c>
      <c r="D5094" s="51">
        <v>5</v>
      </c>
      <c r="E5094" s="51">
        <f t="shared" si="79"/>
        <v>0</v>
      </c>
    </row>
    <row r="5095" spans="1:5">
      <c r="A5095" s="59">
        <v>10</v>
      </c>
      <c r="B5095" s="59">
        <v>43</v>
      </c>
      <c r="C5095" s="59">
        <v>520</v>
      </c>
      <c r="D5095" s="51">
        <v>5</v>
      </c>
      <c r="E5095" s="51">
        <f t="shared" si="79"/>
        <v>0</v>
      </c>
    </row>
    <row r="5096" spans="1:5">
      <c r="A5096" s="59">
        <v>10</v>
      </c>
      <c r="B5096" s="59">
        <v>43</v>
      </c>
      <c r="C5096" s="59">
        <v>950</v>
      </c>
      <c r="D5096" s="51">
        <v>5</v>
      </c>
      <c r="E5096" s="51">
        <f t="shared" si="79"/>
        <v>0</v>
      </c>
    </row>
    <row r="5097" spans="1:5">
      <c r="A5097" s="59">
        <v>10</v>
      </c>
      <c r="B5097" s="59">
        <v>44</v>
      </c>
      <c r="C5097" s="59">
        <v>150</v>
      </c>
      <c r="D5097" s="51">
        <v>5</v>
      </c>
      <c r="E5097" s="51">
        <f t="shared" si="79"/>
        <v>1</v>
      </c>
    </row>
    <row r="5098" spans="1:5">
      <c r="A5098" s="59">
        <v>10</v>
      </c>
      <c r="B5098" s="59">
        <v>44</v>
      </c>
      <c r="C5098" s="59">
        <v>720</v>
      </c>
      <c r="D5098" s="51">
        <v>5</v>
      </c>
      <c r="E5098" s="51">
        <f t="shared" si="79"/>
        <v>1</v>
      </c>
    </row>
    <row r="5099" spans="1:5">
      <c r="A5099" s="59">
        <v>10</v>
      </c>
      <c r="B5099" s="59">
        <v>51</v>
      </c>
      <c r="C5099" s="59">
        <v>160</v>
      </c>
      <c r="D5099" s="51">
        <v>5</v>
      </c>
      <c r="E5099" s="51">
        <f t="shared" si="79"/>
        <v>0</v>
      </c>
    </row>
    <row r="5100" spans="1:5">
      <c r="A5100" s="59">
        <v>10</v>
      </c>
      <c r="B5100" s="59">
        <v>64</v>
      </c>
      <c r="C5100" s="59">
        <v>420</v>
      </c>
      <c r="D5100" s="51">
        <v>5</v>
      </c>
      <c r="E5100" s="51">
        <f t="shared" si="79"/>
        <v>0</v>
      </c>
    </row>
    <row r="5101" spans="1:5">
      <c r="A5101" s="59">
        <v>10</v>
      </c>
      <c r="B5101" s="59">
        <v>11</v>
      </c>
      <c r="C5101" s="59">
        <v>150</v>
      </c>
      <c r="D5101" s="51">
        <v>4</v>
      </c>
      <c r="E5101" s="51">
        <f t="shared" si="79"/>
        <v>0</v>
      </c>
    </row>
    <row r="5102" spans="1:5">
      <c r="A5102" s="59">
        <v>10</v>
      </c>
      <c r="B5102" s="59">
        <v>13</v>
      </c>
      <c r="C5102" s="59">
        <v>120</v>
      </c>
      <c r="D5102" s="51">
        <v>4</v>
      </c>
      <c r="E5102" s="51">
        <f t="shared" si="79"/>
        <v>0</v>
      </c>
    </row>
    <row r="5103" spans="1:5">
      <c r="A5103" s="59">
        <v>10</v>
      </c>
      <c r="B5103" s="59">
        <v>14</v>
      </c>
      <c r="C5103" s="59">
        <v>610</v>
      </c>
      <c r="D5103" s="51">
        <v>4</v>
      </c>
      <c r="E5103" s="51">
        <f t="shared" si="79"/>
        <v>0</v>
      </c>
    </row>
    <row r="5104" spans="1:5">
      <c r="A5104" s="59">
        <v>10</v>
      </c>
      <c r="B5104" s="59">
        <v>15</v>
      </c>
      <c r="C5104" s="59">
        <v>930</v>
      </c>
      <c r="D5104" s="51">
        <v>4</v>
      </c>
      <c r="E5104" s="51">
        <f t="shared" si="79"/>
        <v>0</v>
      </c>
    </row>
    <row r="5105" spans="1:5">
      <c r="A5105" s="59">
        <v>10</v>
      </c>
      <c r="B5105" s="59">
        <v>21</v>
      </c>
      <c r="C5105" s="59">
        <v>160</v>
      </c>
      <c r="D5105" s="51">
        <v>4</v>
      </c>
      <c r="E5105" s="51">
        <f t="shared" si="79"/>
        <v>0</v>
      </c>
    </row>
    <row r="5106" spans="1:5">
      <c r="A5106" s="59">
        <v>10</v>
      </c>
      <c r="B5106" s="59">
        <v>31</v>
      </c>
      <c r="C5106" s="59">
        <v>430</v>
      </c>
      <c r="D5106" s="51">
        <v>4</v>
      </c>
      <c r="E5106" s="51">
        <f t="shared" si="79"/>
        <v>0</v>
      </c>
    </row>
    <row r="5107" spans="1:5">
      <c r="A5107" s="59">
        <v>10</v>
      </c>
      <c r="B5107" s="59">
        <v>33</v>
      </c>
      <c r="C5107" s="59">
        <v>420</v>
      </c>
      <c r="D5107" s="51">
        <v>4</v>
      </c>
      <c r="E5107" s="51">
        <f t="shared" si="79"/>
        <v>0</v>
      </c>
    </row>
    <row r="5108" spans="1:5">
      <c r="A5108" s="59">
        <v>10</v>
      </c>
      <c r="B5108" s="59">
        <v>41</v>
      </c>
      <c r="C5108" s="59">
        <v>240</v>
      </c>
      <c r="D5108" s="51">
        <v>4</v>
      </c>
      <c r="E5108" s="51">
        <f t="shared" si="79"/>
        <v>1</v>
      </c>
    </row>
    <row r="5109" spans="1:5">
      <c r="A5109" s="59">
        <v>10</v>
      </c>
      <c r="B5109" s="59">
        <v>41</v>
      </c>
      <c r="C5109" s="59">
        <v>920</v>
      </c>
      <c r="D5109" s="51">
        <v>4</v>
      </c>
      <c r="E5109" s="51">
        <f t="shared" si="79"/>
        <v>1</v>
      </c>
    </row>
    <row r="5110" spans="1:5">
      <c r="A5110" s="59">
        <v>10</v>
      </c>
      <c r="B5110" s="59">
        <v>42</v>
      </c>
      <c r="C5110" s="59">
        <v>210</v>
      </c>
      <c r="D5110" s="51">
        <v>4</v>
      </c>
      <c r="E5110" s="51">
        <f t="shared" si="79"/>
        <v>0</v>
      </c>
    </row>
    <row r="5111" spans="1:5">
      <c r="A5111" s="59">
        <v>10</v>
      </c>
      <c r="B5111" s="59">
        <v>42</v>
      </c>
      <c r="C5111" s="59">
        <v>530</v>
      </c>
      <c r="D5111" s="51">
        <v>4</v>
      </c>
      <c r="E5111" s="51">
        <f t="shared" si="79"/>
        <v>0</v>
      </c>
    </row>
    <row r="5112" spans="1:5">
      <c r="A5112" s="59">
        <v>10</v>
      </c>
      <c r="B5112" s="59">
        <v>43</v>
      </c>
      <c r="C5112" s="59">
        <v>410</v>
      </c>
      <c r="D5112" s="51">
        <v>4</v>
      </c>
      <c r="E5112" s="51">
        <f t="shared" si="79"/>
        <v>0</v>
      </c>
    </row>
    <row r="5113" spans="1:5">
      <c r="A5113" s="59">
        <v>10</v>
      </c>
      <c r="B5113" s="59">
        <v>44</v>
      </c>
      <c r="C5113" s="59">
        <v>410</v>
      </c>
      <c r="D5113" s="51">
        <v>4</v>
      </c>
      <c r="E5113" s="51">
        <f t="shared" si="79"/>
        <v>1</v>
      </c>
    </row>
    <row r="5114" spans="1:5">
      <c r="A5114" s="59">
        <v>10</v>
      </c>
      <c r="B5114" s="59">
        <v>44</v>
      </c>
      <c r="C5114" s="59">
        <v>730</v>
      </c>
      <c r="D5114" s="51">
        <v>4</v>
      </c>
      <c r="E5114" s="51">
        <f t="shared" si="79"/>
        <v>1</v>
      </c>
    </row>
    <row r="5115" spans="1:5">
      <c r="A5115" s="59">
        <v>10</v>
      </c>
      <c r="B5115" s="59">
        <v>63</v>
      </c>
      <c r="C5115" s="59">
        <v>730</v>
      </c>
      <c r="D5115" s="51">
        <v>4</v>
      </c>
      <c r="E5115" s="51">
        <f t="shared" si="79"/>
        <v>0</v>
      </c>
    </row>
    <row r="5116" spans="1:5">
      <c r="A5116" s="59">
        <v>10</v>
      </c>
      <c r="B5116" s="59">
        <v>64</v>
      </c>
      <c r="C5116" s="59">
        <v>230</v>
      </c>
      <c r="D5116" s="51">
        <v>4</v>
      </c>
      <c r="E5116" s="51">
        <f t="shared" si="79"/>
        <v>0</v>
      </c>
    </row>
    <row r="5117" spans="1:5">
      <c r="A5117" s="59">
        <v>10</v>
      </c>
      <c r="B5117" s="59">
        <v>64</v>
      </c>
      <c r="C5117" s="59">
        <v>640</v>
      </c>
      <c r="D5117" s="51">
        <v>4</v>
      </c>
      <c r="E5117" s="51">
        <f t="shared" si="79"/>
        <v>0</v>
      </c>
    </row>
    <row r="5118" spans="1:5">
      <c r="A5118" s="59">
        <v>10</v>
      </c>
      <c r="B5118" s="59">
        <v>13</v>
      </c>
      <c r="C5118" s="59">
        <v>130</v>
      </c>
      <c r="D5118" s="51">
        <v>3</v>
      </c>
      <c r="E5118" s="51">
        <f t="shared" si="79"/>
        <v>0</v>
      </c>
    </row>
    <row r="5119" spans="1:5">
      <c r="A5119" s="59">
        <v>10</v>
      </c>
      <c r="B5119" s="59">
        <v>13</v>
      </c>
      <c r="C5119" s="59">
        <v>430</v>
      </c>
      <c r="D5119" s="51">
        <v>3</v>
      </c>
      <c r="E5119" s="51">
        <f t="shared" si="79"/>
        <v>0</v>
      </c>
    </row>
    <row r="5120" spans="1:5">
      <c r="A5120" s="59">
        <v>10</v>
      </c>
      <c r="B5120" s="59">
        <v>13</v>
      </c>
      <c r="C5120" s="59">
        <v>520</v>
      </c>
      <c r="D5120" s="51">
        <v>3</v>
      </c>
      <c r="E5120" s="51">
        <f t="shared" si="79"/>
        <v>0</v>
      </c>
    </row>
    <row r="5121" spans="1:5">
      <c r="A5121" s="59">
        <v>10</v>
      </c>
      <c r="B5121" s="59">
        <v>14</v>
      </c>
      <c r="C5121" s="59">
        <v>520</v>
      </c>
      <c r="D5121" s="51">
        <v>3</v>
      </c>
      <c r="E5121" s="51">
        <f t="shared" si="79"/>
        <v>0</v>
      </c>
    </row>
    <row r="5122" spans="1:5">
      <c r="A5122" s="59">
        <v>10</v>
      </c>
      <c r="B5122" s="59">
        <v>15</v>
      </c>
      <c r="C5122" s="59">
        <v>210</v>
      </c>
      <c r="D5122" s="51">
        <v>3</v>
      </c>
      <c r="E5122" s="51">
        <f t="shared" ref="E5122:E5185" si="80">IF(OR(A5122=6,A5122=7,A5122=14,A5122=15,A5122=16,A5122=17,A5122=18,A5122=19,A5122=20,A5122=21,A5122=22,A5122=23,A5122=25,A5122=26,A5122=27,A5122=28,B5122=41,B5122=44,B5122=62),1,0)</f>
        <v>0</v>
      </c>
    </row>
    <row r="5123" spans="1:5">
      <c r="A5123" s="59">
        <v>10</v>
      </c>
      <c r="B5123" s="59">
        <v>15</v>
      </c>
      <c r="C5123" s="59">
        <v>230</v>
      </c>
      <c r="D5123" s="51">
        <v>3</v>
      </c>
      <c r="E5123" s="51">
        <f t="shared" si="80"/>
        <v>0</v>
      </c>
    </row>
    <row r="5124" spans="1:5">
      <c r="A5124" s="59">
        <v>10</v>
      </c>
      <c r="B5124" s="59">
        <v>15</v>
      </c>
      <c r="C5124" s="59">
        <v>310</v>
      </c>
      <c r="D5124" s="51">
        <v>3</v>
      </c>
      <c r="E5124" s="51">
        <f t="shared" si="80"/>
        <v>0</v>
      </c>
    </row>
    <row r="5125" spans="1:5">
      <c r="A5125" s="59">
        <v>10</v>
      </c>
      <c r="B5125" s="59">
        <v>16</v>
      </c>
      <c r="C5125" s="59">
        <v>220</v>
      </c>
      <c r="D5125" s="51">
        <v>3</v>
      </c>
      <c r="E5125" s="51">
        <f t="shared" si="80"/>
        <v>0</v>
      </c>
    </row>
    <row r="5126" spans="1:5">
      <c r="A5126" s="59">
        <v>10</v>
      </c>
      <c r="B5126" s="59">
        <v>16</v>
      </c>
      <c r="C5126" s="59">
        <v>320</v>
      </c>
      <c r="D5126" s="51">
        <v>3</v>
      </c>
      <c r="E5126" s="51">
        <f t="shared" si="80"/>
        <v>0</v>
      </c>
    </row>
    <row r="5127" spans="1:5">
      <c r="A5127" s="59">
        <v>10</v>
      </c>
      <c r="B5127" s="59">
        <v>16</v>
      </c>
      <c r="C5127" s="59">
        <v>410</v>
      </c>
      <c r="D5127" s="51">
        <v>3</v>
      </c>
      <c r="E5127" s="51">
        <f t="shared" si="80"/>
        <v>0</v>
      </c>
    </row>
    <row r="5128" spans="1:5">
      <c r="A5128" s="59">
        <v>10</v>
      </c>
      <c r="B5128" s="59">
        <v>16</v>
      </c>
      <c r="C5128" s="59">
        <v>430</v>
      </c>
      <c r="D5128" s="51">
        <v>3</v>
      </c>
      <c r="E5128" s="51">
        <f t="shared" si="80"/>
        <v>0</v>
      </c>
    </row>
    <row r="5129" spans="1:5">
      <c r="A5129" s="59">
        <v>10</v>
      </c>
      <c r="B5129" s="59">
        <v>22</v>
      </c>
      <c r="C5129" s="59">
        <v>430</v>
      </c>
      <c r="D5129" s="51">
        <v>3</v>
      </c>
      <c r="E5129" s="51">
        <f t="shared" si="80"/>
        <v>0</v>
      </c>
    </row>
    <row r="5130" spans="1:5">
      <c r="A5130" s="59">
        <v>10</v>
      </c>
      <c r="B5130" s="59">
        <v>23</v>
      </c>
      <c r="C5130" s="59">
        <v>210</v>
      </c>
      <c r="D5130" s="51">
        <v>3</v>
      </c>
      <c r="E5130" s="51">
        <f t="shared" si="80"/>
        <v>0</v>
      </c>
    </row>
    <row r="5131" spans="1:5">
      <c r="A5131" s="59">
        <v>10</v>
      </c>
      <c r="B5131" s="59">
        <v>32</v>
      </c>
      <c r="C5131" s="59">
        <v>910</v>
      </c>
      <c r="D5131" s="51">
        <v>3</v>
      </c>
      <c r="E5131" s="51">
        <f t="shared" si="80"/>
        <v>0</v>
      </c>
    </row>
    <row r="5132" spans="1:5">
      <c r="A5132" s="59">
        <v>10</v>
      </c>
      <c r="B5132" s="59">
        <v>41</v>
      </c>
      <c r="C5132" s="59">
        <v>220</v>
      </c>
      <c r="D5132" s="51">
        <v>3</v>
      </c>
      <c r="E5132" s="51">
        <f t="shared" si="80"/>
        <v>1</v>
      </c>
    </row>
    <row r="5133" spans="1:5">
      <c r="A5133" s="59">
        <v>10</v>
      </c>
      <c r="B5133" s="59">
        <v>43</v>
      </c>
      <c r="C5133" s="59">
        <v>230</v>
      </c>
      <c r="D5133" s="51">
        <v>3</v>
      </c>
      <c r="E5133" s="51">
        <f t="shared" si="80"/>
        <v>0</v>
      </c>
    </row>
    <row r="5134" spans="1:5">
      <c r="A5134" s="59">
        <v>10</v>
      </c>
      <c r="B5134" s="59">
        <v>43</v>
      </c>
      <c r="C5134" s="59">
        <v>310</v>
      </c>
      <c r="D5134" s="51">
        <v>3</v>
      </c>
      <c r="E5134" s="51">
        <f t="shared" si="80"/>
        <v>0</v>
      </c>
    </row>
    <row r="5135" spans="1:5">
      <c r="A5135" s="59">
        <v>10</v>
      </c>
      <c r="B5135" s="59">
        <v>43</v>
      </c>
      <c r="C5135" s="59">
        <v>320</v>
      </c>
      <c r="D5135" s="51">
        <v>3</v>
      </c>
      <c r="E5135" s="51">
        <f t="shared" si="80"/>
        <v>0</v>
      </c>
    </row>
    <row r="5136" spans="1:5">
      <c r="A5136" s="59">
        <v>10</v>
      </c>
      <c r="B5136" s="59">
        <v>44</v>
      </c>
      <c r="C5136" s="59">
        <v>610</v>
      </c>
      <c r="D5136" s="51">
        <v>3</v>
      </c>
      <c r="E5136" s="51">
        <f t="shared" si="80"/>
        <v>1</v>
      </c>
    </row>
    <row r="5137" spans="1:5">
      <c r="A5137" s="59">
        <v>10</v>
      </c>
      <c r="B5137" s="59">
        <v>62</v>
      </c>
      <c r="C5137" s="59">
        <v>130</v>
      </c>
      <c r="D5137" s="51">
        <v>3</v>
      </c>
      <c r="E5137" s="51">
        <f t="shared" si="80"/>
        <v>1</v>
      </c>
    </row>
    <row r="5138" spans="1:5">
      <c r="A5138" s="59">
        <v>10</v>
      </c>
      <c r="B5138" s="59">
        <v>62</v>
      </c>
      <c r="C5138" s="59">
        <v>440</v>
      </c>
      <c r="D5138" s="51">
        <v>3</v>
      </c>
      <c r="E5138" s="51">
        <f t="shared" si="80"/>
        <v>1</v>
      </c>
    </row>
    <row r="5139" spans="1:5">
      <c r="A5139" s="59">
        <v>10</v>
      </c>
      <c r="B5139" s="59">
        <v>62</v>
      </c>
      <c r="C5139" s="59">
        <v>750</v>
      </c>
      <c r="D5139" s="51">
        <v>3</v>
      </c>
      <c r="E5139" s="51">
        <f t="shared" si="80"/>
        <v>1</v>
      </c>
    </row>
    <row r="5140" spans="1:5">
      <c r="A5140" s="59">
        <v>10</v>
      </c>
      <c r="B5140" s="59">
        <v>63</v>
      </c>
      <c r="C5140" s="59">
        <v>750</v>
      </c>
      <c r="D5140" s="51">
        <v>3</v>
      </c>
      <c r="E5140" s="51">
        <f t="shared" si="80"/>
        <v>0</v>
      </c>
    </row>
    <row r="5141" spans="1:5">
      <c r="A5141" s="59">
        <v>10</v>
      </c>
      <c r="B5141" s="59">
        <v>64</v>
      </c>
      <c r="C5141" s="59">
        <v>550</v>
      </c>
      <c r="D5141" s="51">
        <v>3</v>
      </c>
      <c r="E5141" s="51">
        <f t="shared" si="80"/>
        <v>0</v>
      </c>
    </row>
    <row r="5142" spans="1:5">
      <c r="A5142" s="59">
        <v>10</v>
      </c>
      <c r="B5142" s="59">
        <v>64</v>
      </c>
      <c r="C5142" s="59">
        <v>881</v>
      </c>
      <c r="D5142" s="51">
        <v>3</v>
      </c>
      <c r="E5142" s="51">
        <f t="shared" si="80"/>
        <v>0</v>
      </c>
    </row>
    <row r="5143" spans="1:5">
      <c r="A5143" s="59">
        <v>10</v>
      </c>
      <c r="B5143" s="59">
        <v>71</v>
      </c>
      <c r="C5143" s="59">
        <v>150</v>
      </c>
      <c r="D5143" s="51">
        <v>3</v>
      </c>
      <c r="E5143" s="51">
        <f t="shared" si="80"/>
        <v>0</v>
      </c>
    </row>
    <row r="5144" spans="1:5">
      <c r="A5144" s="59">
        <v>10</v>
      </c>
      <c r="B5144" s="59">
        <v>71</v>
      </c>
      <c r="C5144" s="59">
        <v>520</v>
      </c>
      <c r="D5144" s="51">
        <v>3</v>
      </c>
      <c r="E5144" s="51">
        <f t="shared" si="80"/>
        <v>0</v>
      </c>
    </row>
    <row r="5145" spans="1:5">
      <c r="A5145" s="59">
        <v>10</v>
      </c>
      <c r="B5145" s="59">
        <v>71</v>
      </c>
      <c r="C5145" s="59">
        <v>920</v>
      </c>
      <c r="D5145" s="51">
        <v>3</v>
      </c>
      <c r="E5145" s="51">
        <f t="shared" si="80"/>
        <v>0</v>
      </c>
    </row>
    <row r="5146" spans="1:5">
      <c r="A5146" s="59">
        <v>10</v>
      </c>
      <c r="B5146" s="59">
        <v>71</v>
      </c>
      <c r="C5146" s="59">
        <v>990</v>
      </c>
      <c r="D5146" s="51">
        <v>3</v>
      </c>
      <c r="E5146" s="51">
        <f t="shared" si="80"/>
        <v>0</v>
      </c>
    </row>
    <row r="5147" spans="1:5">
      <c r="A5147" s="59">
        <v>10</v>
      </c>
      <c r="B5147" s="59">
        <v>13</v>
      </c>
      <c r="C5147" s="59">
        <v>140</v>
      </c>
      <c r="D5147" s="51">
        <v>2</v>
      </c>
      <c r="E5147" s="51">
        <f t="shared" si="80"/>
        <v>0</v>
      </c>
    </row>
    <row r="5148" spans="1:5">
      <c r="A5148" s="59">
        <v>10</v>
      </c>
      <c r="B5148" s="59">
        <v>13</v>
      </c>
      <c r="C5148" s="59">
        <v>750</v>
      </c>
      <c r="D5148" s="51">
        <v>2</v>
      </c>
      <c r="E5148" s="51">
        <f t="shared" si="80"/>
        <v>0</v>
      </c>
    </row>
    <row r="5149" spans="1:5">
      <c r="A5149" s="59">
        <v>10</v>
      </c>
      <c r="B5149" s="59">
        <v>14</v>
      </c>
      <c r="C5149" s="59">
        <v>620</v>
      </c>
      <c r="D5149" s="51">
        <v>2</v>
      </c>
      <c r="E5149" s="51">
        <f t="shared" si="80"/>
        <v>0</v>
      </c>
    </row>
    <row r="5150" spans="1:5">
      <c r="A5150" s="59">
        <v>10</v>
      </c>
      <c r="B5150" s="59">
        <v>14</v>
      </c>
      <c r="C5150" s="59">
        <v>720</v>
      </c>
      <c r="D5150" s="51">
        <v>2</v>
      </c>
      <c r="E5150" s="51">
        <f t="shared" si="80"/>
        <v>0</v>
      </c>
    </row>
    <row r="5151" spans="1:5">
      <c r="A5151" s="59">
        <v>10</v>
      </c>
      <c r="B5151" s="59">
        <v>15</v>
      </c>
      <c r="C5151" s="59">
        <v>220</v>
      </c>
      <c r="D5151" s="51">
        <v>2</v>
      </c>
      <c r="E5151" s="51">
        <f t="shared" si="80"/>
        <v>0</v>
      </c>
    </row>
    <row r="5152" spans="1:5">
      <c r="A5152" s="59">
        <v>10</v>
      </c>
      <c r="B5152" s="59">
        <v>15</v>
      </c>
      <c r="C5152" s="59">
        <v>320</v>
      </c>
      <c r="D5152" s="51">
        <v>2</v>
      </c>
      <c r="E5152" s="51">
        <f t="shared" si="80"/>
        <v>0</v>
      </c>
    </row>
    <row r="5153" spans="1:5">
      <c r="A5153" s="59">
        <v>10</v>
      </c>
      <c r="B5153" s="59">
        <v>15</v>
      </c>
      <c r="C5153" s="59">
        <v>920</v>
      </c>
      <c r="D5153" s="51">
        <v>2</v>
      </c>
      <c r="E5153" s="51">
        <f t="shared" si="80"/>
        <v>0</v>
      </c>
    </row>
    <row r="5154" spans="1:5">
      <c r="A5154" s="59">
        <v>10</v>
      </c>
      <c r="B5154" s="59">
        <v>15</v>
      </c>
      <c r="C5154" s="59">
        <v>950</v>
      </c>
      <c r="D5154" s="51">
        <v>2</v>
      </c>
      <c r="E5154" s="51">
        <f t="shared" si="80"/>
        <v>0</v>
      </c>
    </row>
    <row r="5155" spans="1:5">
      <c r="A5155" s="59">
        <v>10</v>
      </c>
      <c r="B5155" s="59">
        <v>16</v>
      </c>
      <c r="C5155" s="59">
        <v>950</v>
      </c>
      <c r="D5155" s="51">
        <v>2</v>
      </c>
      <c r="E5155" s="51">
        <f t="shared" si="80"/>
        <v>0</v>
      </c>
    </row>
    <row r="5156" spans="1:5">
      <c r="A5156" s="59">
        <v>10</v>
      </c>
      <c r="B5156" s="59">
        <v>22</v>
      </c>
      <c r="C5156" s="59">
        <v>950</v>
      </c>
      <c r="D5156" s="51">
        <v>2</v>
      </c>
      <c r="E5156" s="51">
        <f t="shared" si="80"/>
        <v>0</v>
      </c>
    </row>
    <row r="5157" spans="1:5">
      <c r="A5157" s="59">
        <v>10</v>
      </c>
      <c r="B5157" s="59">
        <v>23</v>
      </c>
      <c r="C5157" s="59">
        <v>240</v>
      </c>
      <c r="D5157" s="51">
        <v>2</v>
      </c>
      <c r="E5157" s="51">
        <f t="shared" si="80"/>
        <v>0</v>
      </c>
    </row>
    <row r="5158" spans="1:5">
      <c r="A5158" s="59">
        <v>10</v>
      </c>
      <c r="B5158" s="59">
        <v>24</v>
      </c>
      <c r="C5158" s="59">
        <v>910</v>
      </c>
      <c r="D5158" s="51">
        <v>2</v>
      </c>
      <c r="E5158" s="51">
        <f t="shared" si="80"/>
        <v>0</v>
      </c>
    </row>
    <row r="5159" spans="1:5">
      <c r="A5159" s="59">
        <v>10</v>
      </c>
      <c r="B5159" s="59">
        <v>32</v>
      </c>
      <c r="C5159" s="59">
        <v>420</v>
      </c>
      <c r="D5159" s="51">
        <v>2</v>
      </c>
      <c r="E5159" s="51">
        <f t="shared" si="80"/>
        <v>0</v>
      </c>
    </row>
    <row r="5160" spans="1:5">
      <c r="A5160" s="59">
        <v>10</v>
      </c>
      <c r="B5160" s="59">
        <v>32</v>
      </c>
      <c r="C5160" s="59">
        <v>510</v>
      </c>
      <c r="D5160" s="51">
        <v>2</v>
      </c>
      <c r="E5160" s="51">
        <f t="shared" si="80"/>
        <v>0</v>
      </c>
    </row>
    <row r="5161" spans="1:5">
      <c r="A5161" s="59">
        <v>10</v>
      </c>
      <c r="B5161" s="59">
        <v>33</v>
      </c>
      <c r="C5161" s="59">
        <v>330</v>
      </c>
      <c r="D5161" s="51">
        <v>2</v>
      </c>
      <c r="E5161" s="51">
        <f t="shared" si="80"/>
        <v>0</v>
      </c>
    </row>
    <row r="5162" spans="1:5">
      <c r="A5162" s="59">
        <v>10</v>
      </c>
      <c r="B5162" s="59">
        <v>33</v>
      </c>
      <c r="C5162" s="59">
        <v>410</v>
      </c>
      <c r="D5162" s="51">
        <v>2</v>
      </c>
      <c r="E5162" s="51">
        <f t="shared" si="80"/>
        <v>0</v>
      </c>
    </row>
    <row r="5163" spans="1:5">
      <c r="A5163" s="59">
        <v>10</v>
      </c>
      <c r="B5163" s="59">
        <v>42</v>
      </c>
      <c r="C5163" s="59">
        <v>150</v>
      </c>
      <c r="D5163" s="51">
        <v>2</v>
      </c>
      <c r="E5163" s="51">
        <f t="shared" si="80"/>
        <v>0</v>
      </c>
    </row>
    <row r="5164" spans="1:5">
      <c r="A5164" s="59">
        <v>10</v>
      </c>
      <c r="B5164" s="59">
        <v>42</v>
      </c>
      <c r="C5164" s="59">
        <v>220</v>
      </c>
      <c r="D5164" s="51">
        <v>2</v>
      </c>
      <c r="E5164" s="51">
        <f t="shared" si="80"/>
        <v>0</v>
      </c>
    </row>
    <row r="5165" spans="1:5">
      <c r="A5165" s="59">
        <v>10</v>
      </c>
      <c r="B5165" s="59">
        <v>43</v>
      </c>
      <c r="C5165" s="59">
        <v>130</v>
      </c>
      <c r="D5165" s="51">
        <v>2</v>
      </c>
      <c r="E5165" s="51">
        <f t="shared" si="80"/>
        <v>0</v>
      </c>
    </row>
    <row r="5166" spans="1:5">
      <c r="A5166" s="59">
        <v>10</v>
      </c>
      <c r="B5166" s="59">
        <v>62</v>
      </c>
      <c r="C5166" s="59">
        <v>410</v>
      </c>
      <c r="D5166" s="51">
        <v>2</v>
      </c>
      <c r="E5166" s="51">
        <f t="shared" si="80"/>
        <v>1</v>
      </c>
    </row>
    <row r="5167" spans="1:5">
      <c r="A5167" s="59">
        <v>10</v>
      </c>
      <c r="B5167" s="59">
        <v>62</v>
      </c>
      <c r="C5167" s="59">
        <v>730</v>
      </c>
      <c r="D5167" s="51">
        <v>2</v>
      </c>
      <c r="E5167" s="51">
        <f t="shared" si="80"/>
        <v>1</v>
      </c>
    </row>
    <row r="5168" spans="1:5">
      <c r="A5168" s="59">
        <v>10</v>
      </c>
      <c r="B5168" s="59">
        <v>63</v>
      </c>
      <c r="C5168" s="59">
        <v>330</v>
      </c>
      <c r="D5168" s="51">
        <v>2</v>
      </c>
      <c r="E5168" s="51">
        <f t="shared" si="80"/>
        <v>0</v>
      </c>
    </row>
    <row r="5169" spans="1:5">
      <c r="A5169" s="59">
        <v>10</v>
      </c>
      <c r="B5169" s="59">
        <v>63</v>
      </c>
      <c r="C5169" s="59">
        <v>410</v>
      </c>
      <c r="D5169" s="51">
        <v>2</v>
      </c>
      <c r="E5169" s="51">
        <f t="shared" si="80"/>
        <v>0</v>
      </c>
    </row>
    <row r="5170" spans="1:5">
      <c r="A5170" s="59">
        <v>10</v>
      </c>
      <c r="B5170" s="59">
        <v>63</v>
      </c>
      <c r="C5170" s="59">
        <v>520</v>
      </c>
      <c r="D5170" s="51">
        <v>2</v>
      </c>
      <c r="E5170" s="51">
        <f t="shared" si="80"/>
        <v>0</v>
      </c>
    </row>
    <row r="5171" spans="1:5">
      <c r="A5171" s="59">
        <v>10</v>
      </c>
      <c r="B5171" s="59">
        <v>64</v>
      </c>
      <c r="C5171" s="59">
        <v>710</v>
      </c>
      <c r="D5171" s="51">
        <v>2</v>
      </c>
      <c r="E5171" s="51">
        <f t="shared" si="80"/>
        <v>0</v>
      </c>
    </row>
    <row r="5172" spans="1:5">
      <c r="A5172" s="59">
        <v>10</v>
      </c>
      <c r="B5172" s="59">
        <v>64</v>
      </c>
      <c r="C5172" s="59">
        <v>930</v>
      </c>
      <c r="D5172" s="51">
        <v>2</v>
      </c>
      <c r="E5172" s="51">
        <f t="shared" si="80"/>
        <v>0</v>
      </c>
    </row>
    <row r="5173" spans="1:5">
      <c r="A5173" s="59">
        <v>10</v>
      </c>
      <c r="B5173" s="59">
        <v>71</v>
      </c>
      <c r="C5173" s="59">
        <v>110</v>
      </c>
      <c r="D5173" s="51">
        <v>2</v>
      </c>
      <c r="E5173" s="51">
        <f t="shared" si="80"/>
        <v>0</v>
      </c>
    </row>
    <row r="5174" spans="1:5">
      <c r="A5174" s="59">
        <v>10</v>
      </c>
      <c r="B5174" s="59">
        <v>71</v>
      </c>
      <c r="C5174" s="59">
        <v>210</v>
      </c>
      <c r="D5174" s="51">
        <v>2</v>
      </c>
      <c r="E5174" s="51">
        <f t="shared" si="80"/>
        <v>0</v>
      </c>
    </row>
    <row r="5175" spans="1:5">
      <c r="A5175" s="59">
        <v>10</v>
      </c>
      <c r="B5175" s="59">
        <v>71</v>
      </c>
      <c r="C5175" s="59">
        <v>220</v>
      </c>
      <c r="D5175" s="51">
        <v>2</v>
      </c>
      <c r="E5175" s="51">
        <f t="shared" si="80"/>
        <v>0</v>
      </c>
    </row>
    <row r="5176" spans="1:5">
      <c r="A5176" s="59">
        <v>10</v>
      </c>
      <c r="B5176" s="59">
        <v>71</v>
      </c>
      <c r="C5176" s="59">
        <v>720</v>
      </c>
      <c r="D5176" s="51">
        <v>2</v>
      </c>
      <c r="E5176" s="51">
        <f t="shared" si="80"/>
        <v>0</v>
      </c>
    </row>
    <row r="5177" spans="1:5">
      <c r="A5177" s="59">
        <v>10</v>
      </c>
      <c r="B5177" s="59">
        <v>81</v>
      </c>
      <c r="C5177" s="59">
        <v>310</v>
      </c>
      <c r="D5177" s="51">
        <v>2</v>
      </c>
      <c r="E5177" s="51">
        <f t="shared" si="80"/>
        <v>0</v>
      </c>
    </row>
    <row r="5178" spans="1:5">
      <c r="A5178" s="59">
        <v>10</v>
      </c>
      <c r="B5178" s="59">
        <v>81</v>
      </c>
      <c r="C5178" s="59">
        <v>730</v>
      </c>
      <c r="D5178" s="51">
        <v>2</v>
      </c>
      <c r="E5178" s="51">
        <f t="shared" si="80"/>
        <v>0</v>
      </c>
    </row>
    <row r="5179" spans="1:5">
      <c r="A5179" s="59">
        <v>10</v>
      </c>
      <c r="B5179" s="59">
        <v>81</v>
      </c>
      <c r="C5179" s="59">
        <v>750</v>
      </c>
      <c r="D5179" s="51">
        <v>2</v>
      </c>
      <c r="E5179" s="51">
        <f t="shared" si="80"/>
        <v>0</v>
      </c>
    </row>
    <row r="5180" spans="1:5">
      <c r="A5180" s="59">
        <v>10</v>
      </c>
      <c r="B5180" s="59">
        <v>11</v>
      </c>
      <c r="C5180" s="59">
        <v>910</v>
      </c>
      <c r="D5180" s="51">
        <v>1</v>
      </c>
      <c r="E5180" s="51">
        <f t="shared" si="80"/>
        <v>0</v>
      </c>
    </row>
    <row r="5181" spans="1:5">
      <c r="A5181" s="59">
        <v>10</v>
      </c>
      <c r="B5181" s="59">
        <v>12</v>
      </c>
      <c r="C5181" s="59">
        <v>750</v>
      </c>
      <c r="D5181" s="51">
        <v>1</v>
      </c>
      <c r="E5181" s="51">
        <f t="shared" si="80"/>
        <v>0</v>
      </c>
    </row>
    <row r="5182" spans="1:5">
      <c r="A5182" s="59">
        <v>10</v>
      </c>
      <c r="B5182" s="59">
        <v>13</v>
      </c>
      <c r="C5182" s="59">
        <v>410</v>
      </c>
      <c r="D5182" s="51">
        <v>1</v>
      </c>
      <c r="E5182" s="51">
        <f t="shared" si="80"/>
        <v>0</v>
      </c>
    </row>
    <row r="5183" spans="1:5">
      <c r="A5183" s="59">
        <v>10</v>
      </c>
      <c r="B5183" s="59">
        <v>13</v>
      </c>
      <c r="C5183" s="59">
        <v>740</v>
      </c>
      <c r="D5183" s="51">
        <v>1</v>
      </c>
      <c r="E5183" s="51">
        <f t="shared" si="80"/>
        <v>0</v>
      </c>
    </row>
    <row r="5184" spans="1:5">
      <c r="A5184" s="59">
        <v>10</v>
      </c>
      <c r="B5184" s="59">
        <v>14</v>
      </c>
      <c r="C5184" s="59">
        <v>420</v>
      </c>
      <c r="D5184" s="51">
        <v>1</v>
      </c>
      <c r="E5184" s="51">
        <f t="shared" si="80"/>
        <v>0</v>
      </c>
    </row>
    <row r="5185" spans="1:5">
      <c r="A5185" s="59">
        <v>10</v>
      </c>
      <c r="B5185" s="59">
        <v>15</v>
      </c>
      <c r="C5185" s="59">
        <v>510</v>
      </c>
      <c r="D5185" s="51">
        <v>1</v>
      </c>
      <c r="E5185" s="51">
        <f t="shared" si="80"/>
        <v>0</v>
      </c>
    </row>
    <row r="5186" spans="1:5">
      <c r="A5186" s="59">
        <v>10</v>
      </c>
      <c r="B5186" s="59">
        <v>15</v>
      </c>
      <c r="C5186" s="59">
        <v>720</v>
      </c>
      <c r="D5186" s="51">
        <v>1</v>
      </c>
      <c r="E5186" s="51">
        <f t="shared" ref="E5186:E5249" si="81">IF(OR(A5186=6,A5186=7,A5186=14,A5186=15,A5186=16,A5186=17,A5186=18,A5186=19,A5186=20,A5186=21,A5186=22,A5186=23,A5186=25,A5186=26,A5186=27,A5186=28,B5186=41,B5186=44,B5186=62),1,0)</f>
        <v>0</v>
      </c>
    </row>
    <row r="5187" spans="1:5">
      <c r="A5187" s="59">
        <v>10</v>
      </c>
      <c r="B5187" s="59">
        <v>15</v>
      </c>
      <c r="C5187" s="59">
        <v>940</v>
      </c>
      <c r="D5187" s="51">
        <v>1</v>
      </c>
      <c r="E5187" s="51">
        <f t="shared" si="81"/>
        <v>0</v>
      </c>
    </row>
    <row r="5188" spans="1:5">
      <c r="A5188" s="59">
        <v>10</v>
      </c>
      <c r="B5188" s="59">
        <v>15</v>
      </c>
      <c r="C5188" s="59">
        <v>960</v>
      </c>
      <c r="D5188" s="51">
        <v>1</v>
      </c>
      <c r="E5188" s="51">
        <f t="shared" si="81"/>
        <v>0</v>
      </c>
    </row>
    <row r="5189" spans="1:5">
      <c r="A5189" s="59">
        <v>10</v>
      </c>
      <c r="B5189" s="59">
        <v>15</v>
      </c>
      <c r="C5189" s="59">
        <v>990</v>
      </c>
      <c r="D5189" s="51">
        <v>1</v>
      </c>
      <c r="E5189" s="51">
        <f t="shared" si="81"/>
        <v>0</v>
      </c>
    </row>
    <row r="5190" spans="1:5">
      <c r="A5190" s="59">
        <v>10</v>
      </c>
      <c r="B5190" s="59">
        <v>16</v>
      </c>
      <c r="C5190" s="59">
        <v>310</v>
      </c>
      <c r="D5190" s="51">
        <v>1</v>
      </c>
      <c r="E5190" s="51">
        <f t="shared" si="81"/>
        <v>0</v>
      </c>
    </row>
    <row r="5191" spans="1:5">
      <c r="A5191" s="59">
        <v>10</v>
      </c>
      <c r="B5191" s="59">
        <v>16</v>
      </c>
      <c r="C5191" s="59">
        <v>940</v>
      </c>
      <c r="D5191" s="51">
        <v>1</v>
      </c>
      <c r="E5191" s="51">
        <f t="shared" si="81"/>
        <v>0</v>
      </c>
    </row>
    <row r="5192" spans="1:5">
      <c r="A5192" s="59">
        <v>10</v>
      </c>
      <c r="B5192" s="59">
        <v>16</v>
      </c>
      <c r="C5192" s="59">
        <v>990</v>
      </c>
      <c r="D5192" s="51">
        <v>1</v>
      </c>
      <c r="E5192" s="51">
        <f t="shared" si="81"/>
        <v>0</v>
      </c>
    </row>
    <row r="5193" spans="1:5">
      <c r="A5193" s="59">
        <v>10</v>
      </c>
      <c r="B5193" s="59">
        <v>21</v>
      </c>
      <c r="C5193" s="59">
        <v>110</v>
      </c>
      <c r="D5193" s="51">
        <v>1</v>
      </c>
      <c r="E5193" s="51">
        <f t="shared" si="81"/>
        <v>0</v>
      </c>
    </row>
    <row r="5194" spans="1:5">
      <c r="A5194" s="59">
        <v>10</v>
      </c>
      <c r="B5194" s="59">
        <v>21</v>
      </c>
      <c r="C5194" s="59">
        <v>210</v>
      </c>
      <c r="D5194" s="51">
        <v>1</v>
      </c>
      <c r="E5194" s="51">
        <f t="shared" si="81"/>
        <v>0</v>
      </c>
    </row>
    <row r="5195" spans="1:5">
      <c r="A5195" s="59">
        <v>10</v>
      </c>
      <c r="B5195" s="59">
        <v>21</v>
      </c>
      <c r="C5195" s="59">
        <v>910</v>
      </c>
      <c r="D5195" s="51">
        <v>1</v>
      </c>
      <c r="E5195" s="51">
        <f t="shared" si="81"/>
        <v>0</v>
      </c>
    </row>
    <row r="5196" spans="1:5">
      <c r="A5196" s="59">
        <v>10</v>
      </c>
      <c r="B5196" s="59">
        <v>22</v>
      </c>
      <c r="C5196" s="59">
        <v>920</v>
      </c>
      <c r="D5196" s="51">
        <v>1</v>
      </c>
      <c r="E5196" s="51">
        <f t="shared" si="81"/>
        <v>0</v>
      </c>
    </row>
    <row r="5197" spans="1:5">
      <c r="A5197" s="59">
        <v>10</v>
      </c>
      <c r="B5197" s="59">
        <v>22</v>
      </c>
      <c r="C5197" s="59">
        <v>930</v>
      </c>
      <c r="D5197" s="51">
        <v>1</v>
      </c>
      <c r="E5197" s="51">
        <f t="shared" si="81"/>
        <v>0</v>
      </c>
    </row>
    <row r="5198" spans="1:5">
      <c r="A5198" s="59">
        <v>10</v>
      </c>
      <c r="B5198" s="59">
        <v>22</v>
      </c>
      <c r="C5198" s="59">
        <v>990</v>
      </c>
      <c r="D5198" s="51">
        <v>1</v>
      </c>
      <c r="E5198" s="51">
        <f t="shared" si="81"/>
        <v>0</v>
      </c>
    </row>
    <row r="5199" spans="1:5">
      <c r="A5199" s="59">
        <v>10</v>
      </c>
      <c r="B5199" s="59">
        <v>23</v>
      </c>
      <c r="C5199" s="59">
        <v>230</v>
      </c>
      <c r="D5199" s="51">
        <v>1</v>
      </c>
      <c r="E5199" s="51">
        <f t="shared" si="81"/>
        <v>0</v>
      </c>
    </row>
    <row r="5200" spans="1:5">
      <c r="A5200" s="59">
        <v>10</v>
      </c>
      <c r="B5200" s="59">
        <v>32</v>
      </c>
      <c r="C5200" s="59">
        <v>150</v>
      </c>
      <c r="D5200" s="51">
        <v>1</v>
      </c>
      <c r="E5200" s="51">
        <f t="shared" si="81"/>
        <v>0</v>
      </c>
    </row>
    <row r="5201" spans="1:5">
      <c r="A5201" s="59">
        <v>10</v>
      </c>
      <c r="B5201" s="59">
        <v>32</v>
      </c>
      <c r="C5201" s="59">
        <v>895</v>
      </c>
      <c r="D5201" s="51">
        <v>1</v>
      </c>
      <c r="E5201" s="51">
        <f t="shared" si="81"/>
        <v>0</v>
      </c>
    </row>
    <row r="5202" spans="1:5">
      <c r="A5202" s="59">
        <v>10</v>
      </c>
      <c r="B5202" s="59">
        <v>32</v>
      </c>
      <c r="C5202" s="59">
        <v>950</v>
      </c>
      <c r="D5202" s="51">
        <v>1</v>
      </c>
      <c r="E5202" s="51">
        <f t="shared" si="81"/>
        <v>0</v>
      </c>
    </row>
    <row r="5203" spans="1:5">
      <c r="A5203" s="59">
        <v>10</v>
      </c>
      <c r="B5203" s="59">
        <v>33</v>
      </c>
      <c r="C5203" s="59">
        <v>110</v>
      </c>
      <c r="D5203" s="51">
        <v>1</v>
      </c>
      <c r="E5203" s="51">
        <f t="shared" si="81"/>
        <v>0</v>
      </c>
    </row>
    <row r="5204" spans="1:5">
      <c r="A5204" s="59">
        <v>10</v>
      </c>
      <c r="B5204" s="59">
        <v>33</v>
      </c>
      <c r="C5204" s="59">
        <v>510</v>
      </c>
      <c r="D5204" s="51">
        <v>1</v>
      </c>
      <c r="E5204" s="51">
        <f t="shared" si="81"/>
        <v>0</v>
      </c>
    </row>
    <row r="5205" spans="1:5">
      <c r="A5205" s="59">
        <v>10</v>
      </c>
      <c r="B5205" s="59">
        <v>33</v>
      </c>
      <c r="C5205" s="59">
        <v>720</v>
      </c>
      <c r="D5205" s="51">
        <v>1</v>
      </c>
      <c r="E5205" s="51">
        <f t="shared" si="81"/>
        <v>0</v>
      </c>
    </row>
    <row r="5206" spans="1:5">
      <c r="A5206" s="59">
        <v>10</v>
      </c>
      <c r="B5206" s="59">
        <v>41</v>
      </c>
      <c r="C5206" s="59">
        <v>110</v>
      </c>
      <c r="D5206" s="51">
        <v>1</v>
      </c>
      <c r="E5206" s="51">
        <f t="shared" si="81"/>
        <v>1</v>
      </c>
    </row>
    <row r="5207" spans="1:5">
      <c r="A5207" s="59">
        <v>10</v>
      </c>
      <c r="B5207" s="59">
        <v>41</v>
      </c>
      <c r="C5207" s="59">
        <v>930</v>
      </c>
      <c r="D5207" s="51">
        <v>1</v>
      </c>
      <c r="E5207" s="51">
        <f t="shared" si="81"/>
        <v>1</v>
      </c>
    </row>
    <row r="5208" spans="1:5">
      <c r="A5208" s="59">
        <v>10</v>
      </c>
      <c r="B5208" s="59">
        <v>42</v>
      </c>
      <c r="C5208" s="59">
        <v>310</v>
      </c>
      <c r="D5208" s="51">
        <v>1</v>
      </c>
      <c r="E5208" s="51">
        <f t="shared" si="81"/>
        <v>0</v>
      </c>
    </row>
    <row r="5209" spans="1:5">
      <c r="A5209" s="59">
        <v>10</v>
      </c>
      <c r="B5209" s="59">
        <v>42</v>
      </c>
      <c r="C5209" s="59">
        <v>610</v>
      </c>
      <c r="D5209" s="51">
        <v>1</v>
      </c>
      <c r="E5209" s="51">
        <f t="shared" si="81"/>
        <v>0</v>
      </c>
    </row>
    <row r="5210" spans="1:5">
      <c r="A5210" s="59">
        <v>10</v>
      </c>
      <c r="B5210" s="59">
        <v>42</v>
      </c>
      <c r="C5210" s="59">
        <v>920</v>
      </c>
      <c r="D5210" s="51">
        <v>1</v>
      </c>
      <c r="E5210" s="51">
        <f t="shared" si="81"/>
        <v>0</v>
      </c>
    </row>
    <row r="5211" spans="1:5">
      <c r="A5211" s="59">
        <v>10</v>
      </c>
      <c r="B5211" s="59">
        <v>42</v>
      </c>
      <c r="C5211" s="59">
        <v>940</v>
      </c>
      <c r="D5211" s="51">
        <v>1</v>
      </c>
      <c r="E5211" s="51">
        <f t="shared" si="81"/>
        <v>0</v>
      </c>
    </row>
    <row r="5212" spans="1:5">
      <c r="A5212" s="59">
        <v>10</v>
      </c>
      <c r="B5212" s="59">
        <v>43</v>
      </c>
      <c r="C5212" s="59">
        <v>440</v>
      </c>
      <c r="D5212" s="51">
        <v>1</v>
      </c>
      <c r="E5212" s="51">
        <f t="shared" si="81"/>
        <v>0</v>
      </c>
    </row>
    <row r="5213" spans="1:5">
      <c r="A5213" s="59">
        <v>10</v>
      </c>
      <c r="B5213" s="59">
        <v>43</v>
      </c>
      <c r="C5213" s="59">
        <v>540</v>
      </c>
      <c r="D5213" s="51">
        <v>1</v>
      </c>
      <c r="E5213" s="51">
        <f t="shared" si="81"/>
        <v>0</v>
      </c>
    </row>
    <row r="5214" spans="1:5">
      <c r="A5214" s="59">
        <v>10</v>
      </c>
      <c r="B5214" s="59">
        <v>43</v>
      </c>
      <c r="C5214" s="59">
        <v>891</v>
      </c>
      <c r="D5214" s="51">
        <v>1</v>
      </c>
      <c r="E5214" s="51">
        <f t="shared" si="81"/>
        <v>0</v>
      </c>
    </row>
    <row r="5215" spans="1:5">
      <c r="A5215" s="59">
        <v>10</v>
      </c>
      <c r="B5215" s="59">
        <v>44</v>
      </c>
      <c r="C5215" s="59">
        <v>220</v>
      </c>
      <c r="D5215" s="51">
        <v>1</v>
      </c>
      <c r="E5215" s="51">
        <f t="shared" si="81"/>
        <v>1</v>
      </c>
    </row>
    <row r="5216" spans="1:5">
      <c r="A5216" s="59">
        <v>10</v>
      </c>
      <c r="B5216" s="59">
        <v>44</v>
      </c>
      <c r="C5216" s="59">
        <v>310</v>
      </c>
      <c r="D5216" s="51">
        <v>1</v>
      </c>
      <c r="E5216" s="51">
        <f t="shared" si="81"/>
        <v>1</v>
      </c>
    </row>
    <row r="5217" spans="1:5">
      <c r="A5217" s="59">
        <v>10</v>
      </c>
      <c r="B5217" s="59">
        <v>44</v>
      </c>
      <c r="C5217" s="59">
        <v>420</v>
      </c>
      <c r="D5217" s="51">
        <v>1</v>
      </c>
      <c r="E5217" s="51">
        <f t="shared" si="81"/>
        <v>1</v>
      </c>
    </row>
    <row r="5218" spans="1:5">
      <c r="A5218" s="59">
        <v>10</v>
      </c>
      <c r="B5218" s="59">
        <v>44</v>
      </c>
      <c r="C5218" s="59">
        <v>430</v>
      </c>
      <c r="D5218" s="51">
        <v>1</v>
      </c>
      <c r="E5218" s="51">
        <f t="shared" si="81"/>
        <v>1</v>
      </c>
    </row>
    <row r="5219" spans="1:5">
      <c r="A5219" s="59">
        <v>10</v>
      </c>
      <c r="B5219" s="59">
        <v>51</v>
      </c>
      <c r="C5219" s="59">
        <v>150</v>
      </c>
      <c r="D5219" s="51">
        <v>1</v>
      </c>
      <c r="E5219" s="51">
        <f t="shared" si="81"/>
        <v>0</v>
      </c>
    </row>
    <row r="5220" spans="1:5">
      <c r="A5220" s="59">
        <v>10</v>
      </c>
      <c r="B5220" s="59">
        <v>61</v>
      </c>
      <c r="C5220" s="59">
        <v>530</v>
      </c>
      <c r="D5220" s="51">
        <v>1</v>
      </c>
      <c r="E5220" s="51">
        <f t="shared" si="81"/>
        <v>0</v>
      </c>
    </row>
    <row r="5221" spans="1:5">
      <c r="A5221" s="59">
        <v>10</v>
      </c>
      <c r="B5221" s="59">
        <v>62</v>
      </c>
      <c r="C5221" s="59">
        <v>220</v>
      </c>
      <c r="D5221" s="51">
        <v>1</v>
      </c>
      <c r="E5221" s="51">
        <f t="shared" si="81"/>
        <v>1</v>
      </c>
    </row>
    <row r="5222" spans="1:5">
      <c r="A5222" s="59">
        <v>10</v>
      </c>
      <c r="B5222" s="59">
        <v>62</v>
      </c>
      <c r="C5222" s="59">
        <v>310</v>
      </c>
      <c r="D5222" s="51">
        <v>1</v>
      </c>
      <c r="E5222" s="51">
        <f t="shared" si="81"/>
        <v>1</v>
      </c>
    </row>
    <row r="5223" spans="1:5">
      <c r="A5223" s="59">
        <v>10</v>
      </c>
      <c r="B5223" s="59">
        <v>62</v>
      </c>
      <c r="C5223" s="59">
        <v>330</v>
      </c>
      <c r="D5223" s="51">
        <v>1</v>
      </c>
      <c r="E5223" s="51">
        <f t="shared" si="81"/>
        <v>1</v>
      </c>
    </row>
    <row r="5224" spans="1:5">
      <c r="A5224" s="59">
        <v>10</v>
      </c>
      <c r="B5224" s="59">
        <v>63</v>
      </c>
      <c r="C5224" s="59">
        <v>220</v>
      </c>
      <c r="D5224" s="51">
        <v>1</v>
      </c>
      <c r="E5224" s="51">
        <f t="shared" si="81"/>
        <v>0</v>
      </c>
    </row>
    <row r="5225" spans="1:5">
      <c r="A5225" s="59">
        <v>10</v>
      </c>
      <c r="B5225" s="59">
        <v>63</v>
      </c>
      <c r="C5225" s="59">
        <v>240</v>
      </c>
      <c r="D5225" s="51">
        <v>1</v>
      </c>
      <c r="E5225" s="51">
        <f t="shared" si="81"/>
        <v>0</v>
      </c>
    </row>
    <row r="5226" spans="1:5">
      <c r="A5226" s="59">
        <v>10</v>
      </c>
      <c r="B5226" s="59">
        <v>63</v>
      </c>
      <c r="C5226" s="59">
        <v>540</v>
      </c>
      <c r="D5226" s="51">
        <v>1</v>
      </c>
      <c r="E5226" s="51">
        <f t="shared" si="81"/>
        <v>0</v>
      </c>
    </row>
    <row r="5227" spans="1:5">
      <c r="A5227" s="59">
        <v>10</v>
      </c>
      <c r="B5227" s="59">
        <v>63</v>
      </c>
      <c r="C5227" s="59">
        <v>630</v>
      </c>
      <c r="D5227" s="51">
        <v>1</v>
      </c>
      <c r="E5227" s="51">
        <f t="shared" si="81"/>
        <v>0</v>
      </c>
    </row>
    <row r="5228" spans="1:5">
      <c r="A5228" s="59">
        <v>10</v>
      </c>
      <c r="B5228" s="59">
        <v>63</v>
      </c>
      <c r="C5228" s="59">
        <v>990</v>
      </c>
      <c r="D5228" s="51">
        <v>1</v>
      </c>
      <c r="E5228" s="51">
        <f t="shared" si="81"/>
        <v>0</v>
      </c>
    </row>
    <row r="5229" spans="1:5">
      <c r="A5229" s="59">
        <v>10</v>
      </c>
      <c r="B5229" s="59">
        <v>64</v>
      </c>
      <c r="C5229" s="59">
        <v>130</v>
      </c>
      <c r="D5229" s="51">
        <v>1</v>
      </c>
      <c r="E5229" s="51">
        <f t="shared" si="81"/>
        <v>0</v>
      </c>
    </row>
    <row r="5230" spans="1:5">
      <c r="A5230" s="59">
        <v>10</v>
      </c>
      <c r="B5230" s="59">
        <v>64</v>
      </c>
      <c r="C5230" s="59">
        <v>860</v>
      </c>
      <c r="D5230" s="51">
        <v>1</v>
      </c>
      <c r="E5230" s="51">
        <f t="shared" si="81"/>
        <v>0</v>
      </c>
    </row>
    <row r="5231" spans="1:5">
      <c r="A5231" s="59">
        <v>10</v>
      </c>
      <c r="B5231" s="59">
        <v>64</v>
      </c>
      <c r="C5231" s="59">
        <v>970</v>
      </c>
      <c r="D5231" s="51">
        <v>1</v>
      </c>
      <c r="E5231" s="51">
        <f t="shared" si="81"/>
        <v>0</v>
      </c>
    </row>
    <row r="5232" spans="1:5">
      <c r="A5232" s="59">
        <v>10</v>
      </c>
      <c r="B5232" s="59">
        <v>71</v>
      </c>
      <c r="C5232" s="59">
        <v>640</v>
      </c>
      <c r="D5232" s="51">
        <v>1</v>
      </c>
      <c r="E5232" s="51">
        <f t="shared" si="81"/>
        <v>0</v>
      </c>
    </row>
    <row r="5233" spans="1:5">
      <c r="A5233" s="59">
        <v>10</v>
      </c>
      <c r="B5233" s="59">
        <v>81</v>
      </c>
      <c r="C5233" s="59">
        <v>220</v>
      </c>
      <c r="D5233" s="51">
        <v>1</v>
      </c>
      <c r="E5233" s="51">
        <f t="shared" si="81"/>
        <v>0</v>
      </c>
    </row>
    <row r="5234" spans="1:5">
      <c r="A5234" s="59">
        <v>10</v>
      </c>
      <c r="B5234" s="59">
        <v>81</v>
      </c>
      <c r="C5234" s="59">
        <v>831</v>
      </c>
      <c r="D5234" s="51">
        <v>1</v>
      </c>
      <c r="E5234" s="51">
        <f t="shared" si="81"/>
        <v>0</v>
      </c>
    </row>
    <row r="5235" spans="1:5">
      <c r="A5235" s="59">
        <v>11</v>
      </c>
      <c r="B5235" s="59">
        <v>14</v>
      </c>
      <c r="C5235" s="59">
        <v>950</v>
      </c>
      <c r="D5235" s="51">
        <v>3016</v>
      </c>
      <c r="E5235" s="51">
        <f t="shared" si="81"/>
        <v>0</v>
      </c>
    </row>
    <row r="5236" spans="1:5">
      <c r="A5236" s="59">
        <v>11</v>
      </c>
      <c r="B5236" s="59">
        <v>64</v>
      </c>
      <c r="C5236" s="59">
        <v>160</v>
      </c>
      <c r="D5236" s="51">
        <v>2554</v>
      </c>
      <c r="E5236" s="51">
        <f t="shared" si="81"/>
        <v>0</v>
      </c>
    </row>
    <row r="5237" spans="1:5">
      <c r="A5237" s="59">
        <v>11</v>
      </c>
      <c r="B5237" s="59">
        <v>64</v>
      </c>
      <c r="C5237" s="59">
        <v>950</v>
      </c>
      <c r="D5237" s="51">
        <v>2490</v>
      </c>
      <c r="E5237" s="51">
        <f t="shared" si="81"/>
        <v>0</v>
      </c>
    </row>
    <row r="5238" spans="1:5">
      <c r="A5238" s="59">
        <v>11</v>
      </c>
      <c r="B5238" s="59">
        <v>13</v>
      </c>
      <c r="C5238" s="59">
        <v>950</v>
      </c>
      <c r="D5238" s="51">
        <v>1993</v>
      </c>
      <c r="E5238" s="51">
        <f t="shared" si="81"/>
        <v>0</v>
      </c>
    </row>
    <row r="5239" spans="1:5">
      <c r="A5239" s="59">
        <v>11</v>
      </c>
      <c r="B5239" s="59">
        <v>14</v>
      </c>
      <c r="C5239" s="59">
        <v>160</v>
      </c>
      <c r="D5239" s="51">
        <v>1711</v>
      </c>
      <c r="E5239" s="51">
        <f t="shared" si="81"/>
        <v>0</v>
      </c>
    </row>
    <row r="5240" spans="1:5">
      <c r="A5240" s="59">
        <v>11</v>
      </c>
      <c r="B5240" s="59">
        <v>22</v>
      </c>
      <c r="C5240" s="59">
        <v>950</v>
      </c>
      <c r="D5240" s="51">
        <v>1530</v>
      </c>
      <c r="E5240" s="51">
        <f t="shared" si="81"/>
        <v>0</v>
      </c>
    </row>
    <row r="5241" spans="1:5">
      <c r="A5241" s="59">
        <v>11</v>
      </c>
      <c r="B5241" s="59">
        <v>43</v>
      </c>
      <c r="C5241" s="59">
        <v>160</v>
      </c>
      <c r="D5241" s="51">
        <v>1371</v>
      </c>
      <c r="E5241" s="51">
        <f t="shared" si="81"/>
        <v>0</v>
      </c>
    </row>
    <row r="5242" spans="1:5">
      <c r="A5242" s="59">
        <v>11</v>
      </c>
      <c r="B5242" s="59">
        <v>43</v>
      </c>
      <c r="C5242" s="59">
        <v>950</v>
      </c>
      <c r="D5242" s="51">
        <v>1297</v>
      </c>
      <c r="E5242" s="51">
        <f t="shared" si="81"/>
        <v>0</v>
      </c>
    </row>
    <row r="5243" spans="1:5">
      <c r="A5243" s="59">
        <v>11</v>
      </c>
      <c r="B5243" s="59">
        <v>64</v>
      </c>
      <c r="C5243" s="59">
        <v>530</v>
      </c>
      <c r="D5243" s="51">
        <v>1047</v>
      </c>
      <c r="E5243" s="51">
        <f t="shared" si="81"/>
        <v>0</v>
      </c>
    </row>
    <row r="5244" spans="1:5">
      <c r="A5244" s="59">
        <v>11</v>
      </c>
      <c r="B5244" s="59">
        <v>14</v>
      </c>
      <c r="C5244" s="59">
        <v>150</v>
      </c>
      <c r="D5244" s="51">
        <v>1045</v>
      </c>
      <c r="E5244" s="51">
        <f t="shared" si="81"/>
        <v>0</v>
      </c>
    </row>
    <row r="5245" spans="1:5">
      <c r="A5245" s="59">
        <v>11</v>
      </c>
      <c r="B5245" s="59">
        <v>16</v>
      </c>
      <c r="C5245" s="59">
        <v>950</v>
      </c>
      <c r="D5245" s="51">
        <v>1023</v>
      </c>
      <c r="E5245" s="51">
        <f t="shared" si="81"/>
        <v>0</v>
      </c>
    </row>
    <row r="5246" spans="1:5">
      <c r="A5246" s="59">
        <v>11</v>
      </c>
      <c r="B5246" s="59">
        <v>13</v>
      </c>
      <c r="C5246" s="59">
        <v>160</v>
      </c>
      <c r="D5246" s="51">
        <v>1017</v>
      </c>
      <c r="E5246" s="51">
        <f t="shared" si="81"/>
        <v>0</v>
      </c>
    </row>
    <row r="5247" spans="1:5">
      <c r="A5247" s="59">
        <v>11</v>
      </c>
      <c r="B5247" s="59">
        <v>43</v>
      </c>
      <c r="C5247" s="59">
        <v>530</v>
      </c>
      <c r="D5247" s="51">
        <v>774</v>
      </c>
      <c r="E5247" s="51">
        <f t="shared" si="81"/>
        <v>0</v>
      </c>
    </row>
    <row r="5248" spans="1:5">
      <c r="A5248" s="59">
        <v>11</v>
      </c>
      <c r="B5248" s="59">
        <v>44</v>
      </c>
      <c r="C5248" s="59">
        <v>530</v>
      </c>
      <c r="D5248" s="51">
        <v>630</v>
      </c>
      <c r="E5248" s="51">
        <f t="shared" si="81"/>
        <v>1</v>
      </c>
    </row>
    <row r="5249" spans="1:5">
      <c r="A5249" s="59">
        <v>11</v>
      </c>
      <c r="B5249" s="59">
        <v>13</v>
      </c>
      <c r="C5249" s="59">
        <v>150</v>
      </c>
      <c r="D5249" s="51">
        <v>628</v>
      </c>
      <c r="E5249" s="51">
        <f t="shared" si="81"/>
        <v>0</v>
      </c>
    </row>
    <row r="5250" spans="1:5">
      <c r="A5250" s="59">
        <v>11</v>
      </c>
      <c r="B5250" s="59">
        <v>64</v>
      </c>
      <c r="C5250" s="59">
        <v>430</v>
      </c>
      <c r="D5250" s="51">
        <v>602</v>
      </c>
      <c r="E5250" s="51">
        <f t="shared" ref="E5250:E5313" si="82">IF(OR(A5250=6,A5250=7,A5250=14,A5250=15,A5250=16,A5250=17,A5250=18,A5250=19,A5250=20,A5250=21,A5250=22,A5250=23,A5250=25,A5250=26,A5250=27,A5250=28,B5250=41,B5250=44,B5250=62),1,0)</f>
        <v>0</v>
      </c>
    </row>
    <row r="5251" spans="1:5">
      <c r="A5251" s="59">
        <v>11</v>
      </c>
      <c r="B5251" s="59">
        <v>64</v>
      </c>
      <c r="C5251" s="59">
        <v>150</v>
      </c>
      <c r="D5251" s="51">
        <v>594</v>
      </c>
      <c r="E5251" s="51">
        <f t="shared" si="82"/>
        <v>0</v>
      </c>
    </row>
    <row r="5252" spans="1:5">
      <c r="A5252" s="59">
        <v>11</v>
      </c>
      <c r="B5252" s="59">
        <v>32</v>
      </c>
      <c r="C5252" s="59">
        <v>950</v>
      </c>
      <c r="D5252" s="51">
        <v>588</v>
      </c>
      <c r="E5252" s="51">
        <f t="shared" si="82"/>
        <v>0</v>
      </c>
    </row>
    <row r="5253" spans="1:5">
      <c r="A5253" s="59">
        <v>11</v>
      </c>
      <c r="B5253" s="59">
        <v>22</v>
      </c>
      <c r="C5253" s="59">
        <v>240</v>
      </c>
      <c r="D5253" s="51">
        <v>526</v>
      </c>
      <c r="E5253" s="51">
        <f t="shared" si="82"/>
        <v>0</v>
      </c>
    </row>
    <row r="5254" spans="1:5">
      <c r="A5254" s="59">
        <v>11</v>
      </c>
      <c r="B5254" s="59">
        <v>22</v>
      </c>
      <c r="C5254" s="59">
        <v>230</v>
      </c>
      <c r="D5254" s="51">
        <v>402</v>
      </c>
      <c r="E5254" s="51">
        <f t="shared" si="82"/>
        <v>0</v>
      </c>
    </row>
    <row r="5255" spans="1:5">
      <c r="A5255" s="59">
        <v>11</v>
      </c>
      <c r="B5255" s="59">
        <v>43</v>
      </c>
      <c r="C5255" s="59">
        <v>430</v>
      </c>
      <c r="D5255" s="51">
        <v>384</v>
      </c>
      <c r="E5255" s="51">
        <f t="shared" si="82"/>
        <v>0</v>
      </c>
    </row>
    <row r="5256" spans="1:5">
      <c r="A5256" s="59">
        <v>11</v>
      </c>
      <c r="B5256" s="59">
        <v>15</v>
      </c>
      <c r="C5256" s="59">
        <v>950</v>
      </c>
      <c r="D5256" s="51">
        <v>362</v>
      </c>
      <c r="E5256" s="51">
        <f t="shared" si="82"/>
        <v>0</v>
      </c>
    </row>
    <row r="5257" spans="1:5">
      <c r="A5257" s="59">
        <v>11</v>
      </c>
      <c r="B5257" s="59">
        <v>33</v>
      </c>
      <c r="C5257" s="59">
        <v>950</v>
      </c>
      <c r="D5257" s="51">
        <v>353</v>
      </c>
      <c r="E5257" s="51">
        <f t="shared" si="82"/>
        <v>0</v>
      </c>
    </row>
    <row r="5258" spans="1:5">
      <c r="A5258" s="59">
        <v>11</v>
      </c>
      <c r="B5258" s="59">
        <v>14</v>
      </c>
      <c r="C5258" s="59">
        <v>330</v>
      </c>
      <c r="D5258" s="51">
        <v>350</v>
      </c>
      <c r="E5258" s="51">
        <f t="shared" si="82"/>
        <v>0</v>
      </c>
    </row>
    <row r="5259" spans="1:5">
      <c r="A5259" s="59">
        <v>11</v>
      </c>
      <c r="B5259" s="59">
        <v>44</v>
      </c>
      <c r="C5259" s="59">
        <v>950</v>
      </c>
      <c r="D5259" s="51">
        <v>323</v>
      </c>
      <c r="E5259" s="51">
        <f t="shared" si="82"/>
        <v>1</v>
      </c>
    </row>
    <row r="5260" spans="1:5">
      <c r="A5260" s="59">
        <v>11</v>
      </c>
      <c r="B5260" s="59">
        <v>43</v>
      </c>
      <c r="C5260" s="59">
        <v>210</v>
      </c>
      <c r="D5260" s="51">
        <v>317</v>
      </c>
      <c r="E5260" s="51">
        <f t="shared" si="82"/>
        <v>0</v>
      </c>
    </row>
    <row r="5261" spans="1:5">
      <c r="A5261" s="59">
        <v>11</v>
      </c>
      <c r="B5261" s="59">
        <v>43</v>
      </c>
      <c r="C5261" s="59">
        <v>240</v>
      </c>
      <c r="D5261" s="51">
        <v>304</v>
      </c>
      <c r="E5261" s="51">
        <f t="shared" si="82"/>
        <v>0</v>
      </c>
    </row>
    <row r="5262" spans="1:5">
      <c r="A5262" s="59">
        <v>11</v>
      </c>
      <c r="B5262" s="59">
        <v>64</v>
      </c>
      <c r="C5262" s="59">
        <v>620</v>
      </c>
      <c r="D5262" s="51">
        <v>297</v>
      </c>
      <c r="E5262" s="51">
        <f t="shared" si="82"/>
        <v>0</v>
      </c>
    </row>
    <row r="5263" spans="1:5">
      <c r="A5263" s="59">
        <v>11</v>
      </c>
      <c r="B5263" s="59">
        <v>64</v>
      </c>
      <c r="C5263" s="59">
        <v>240</v>
      </c>
      <c r="D5263" s="51">
        <v>294</v>
      </c>
      <c r="E5263" s="51">
        <f t="shared" si="82"/>
        <v>0</v>
      </c>
    </row>
    <row r="5264" spans="1:5">
      <c r="A5264" s="59">
        <v>11</v>
      </c>
      <c r="B5264" s="59">
        <v>22</v>
      </c>
      <c r="C5264" s="59">
        <v>210</v>
      </c>
      <c r="D5264" s="51">
        <v>289</v>
      </c>
      <c r="E5264" s="51">
        <f t="shared" si="82"/>
        <v>0</v>
      </c>
    </row>
    <row r="5265" spans="1:5">
      <c r="A5265" s="59">
        <v>11</v>
      </c>
      <c r="B5265" s="59">
        <v>22</v>
      </c>
      <c r="C5265" s="59">
        <v>160</v>
      </c>
      <c r="D5265" s="51">
        <v>280</v>
      </c>
      <c r="E5265" s="51">
        <f t="shared" si="82"/>
        <v>0</v>
      </c>
    </row>
    <row r="5266" spans="1:5">
      <c r="A5266" s="59">
        <v>11</v>
      </c>
      <c r="B5266" s="59">
        <v>64</v>
      </c>
      <c r="C5266" s="59">
        <v>230</v>
      </c>
      <c r="D5266" s="51">
        <v>276</v>
      </c>
      <c r="E5266" s="51">
        <f t="shared" si="82"/>
        <v>0</v>
      </c>
    </row>
    <row r="5267" spans="1:5">
      <c r="A5267" s="59">
        <v>11</v>
      </c>
      <c r="B5267" s="59">
        <v>63</v>
      </c>
      <c r="C5267" s="59">
        <v>160</v>
      </c>
      <c r="D5267" s="51">
        <v>263</v>
      </c>
      <c r="E5267" s="51">
        <f t="shared" si="82"/>
        <v>0</v>
      </c>
    </row>
    <row r="5268" spans="1:5">
      <c r="A5268" s="59">
        <v>11</v>
      </c>
      <c r="B5268" s="59">
        <v>81</v>
      </c>
      <c r="C5268" s="59">
        <v>950</v>
      </c>
      <c r="D5268" s="51">
        <v>252</v>
      </c>
      <c r="E5268" s="51">
        <f t="shared" si="82"/>
        <v>0</v>
      </c>
    </row>
    <row r="5269" spans="1:5">
      <c r="A5269" s="59">
        <v>11</v>
      </c>
      <c r="B5269" s="59">
        <v>43</v>
      </c>
      <c r="C5269" s="59">
        <v>150</v>
      </c>
      <c r="D5269" s="51">
        <v>244</v>
      </c>
      <c r="E5269" s="51">
        <f t="shared" si="82"/>
        <v>0</v>
      </c>
    </row>
    <row r="5270" spans="1:5">
      <c r="A5270" s="59">
        <v>11</v>
      </c>
      <c r="B5270" s="59">
        <v>11</v>
      </c>
      <c r="C5270" s="59">
        <v>950</v>
      </c>
      <c r="D5270" s="51">
        <v>238</v>
      </c>
      <c r="E5270" s="51">
        <f t="shared" si="82"/>
        <v>0</v>
      </c>
    </row>
    <row r="5271" spans="1:5">
      <c r="A5271" s="59">
        <v>11</v>
      </c>
      <c r="B5271" s="59">
        <v>63</v>
      </c>
      <c r="C5271" s="59">
        <v>950</v>
      </c>
      <c r="D5271" s="51">
        <v>231</v>
      </c>
      <c r="E5271" s="51">
        <f t="shared" si="82"/>
        <v>0</v>
      </c>
    </row>
    <row r="5272" spans="1:5">
      <c r="A5272" s="59">
        <v>11</v>
      </c>
      <c r="B5272" s="59">
        <v>32</v>
      </c>
      <c r="C5272" s="59">
        <v>430</v>
      </c>
      <c r="D5272" s="51">
        <v>229</v>
      </c>
      <c r="E5272" s="51">
        <f t="shared" si="82"/>
        <v>0</v>
      </c>
    </row>
    <row r="5273" spans="1:5">
      <c r="A5273" s="59">
        <v>11</v>
      </c>
      <c r="B5273" s="59">
        <v>64</v>
      </c>
      <c r="C5273" s="59">
        <v>210</v>
      </c>
      <c r="D5273" s="51">
        <v>228</v>
      </c>
      <c r="E5273" s="51">
        <f t="shared" si="82"/>
        <v>0</v>
      </c>
    </row>
    <row r="5274" spans="1:5">
      <c r="A5274" s="59">
        <v>11</v>
      </c>
      <c r="B5274" s="59">
        <v>62</v>
      </c>
      <c r="C5274" s="59">
        <v>950</v>
      </c>
      <c r="D5274" s="51">
        <v>217</v>
      </c>
      <c r="E5274" s="51">
        <f t="shared" si="82"/>
        <v>1</v>
      </c>
    </row>
    <row r="5275" spans="1:5">
      <c r="A5275" s="59">
        <v>11</v>
      </c>
      <c r="B5275" s="59">
        <v>44</v>
      </c>
      <c r="C5275" s="59">
        <v>160</v>
      </c>
      <c r="D5275" s="51">
        <v>216</v>
      </c>
      <c r="E5275" s="51">
        <f t="shared" si="82"/>
        <v>1</v>
      </c>
    </row>
    <row r="5276" spans="1:5">
      <c r="A5276" s="59">
        <v>11</v>
      </c>
      <c r="B5276" s="59">
        <v>44</v>
      </c>
      <c r="C5276" s="59">
        <v>330</v>
      </c>
      <c r="D5276" s="51">
        <v>205</v>
      </c>
      <c r="E5276" s="51">
        <f t="shared" si="82"/>
        <v>1</v>
      </c>
    </row>
    <row r="5277" spans="1:5">
      <c r="A5277" s="59">
        <v>11</v>
      </c>
      <c r="B5277" s="59">
        <v>14</v>
      </c>
      <c r="C5277" s="59">
        <v>320</v>
      </c>
      <c r="D5277" s="51">
        <v>198</v>
      </c>
      <c r="E5277" s="51">
        <f t="shared" si="82"/>
        <v>0</v>
      </c>
    </row>
    <row r="5278" spans="1:5">
      <c r="A5278" s="59">
        <v>11</v>
      </c>
      <c r="B5278" s="59">
        <v>63</v>
      </c>
      <c r="C5278" s="59">
        <v>530</v>
      </c>
      <c r="D5278" s="51">
        <v>195</v>
      </c>
      <c r="E5278" s="51">
        <f t="shared" si="82"/>
        <v>0</v>
      </c>
    </row>
    <row r="5279" spans="1:5">
      <c r="A5279" s="59">
        <v>11</v>
      </c>
      <c r="B5279" s="59">
        <v>14</v>
      </c>
      <c r="C5279" s="59">
        <v>240</v>
      </c>
      <c r="D5279" s="51">
        <v>193</v>
      </c>
      <c r="E5279" s="51">
        <f t="shared" si="82"/>
        <v>0</v>
      </c>
    </row>
    <row r="5280" spans="1:5">
      <c r="A5280" s="59">
        <v>11</v>
      </c>
      <c r="B5280" s="59">
        <v>22</v>
      </c>
      <c r="C5280" s="59">
        <v>330</v>
      </c>
      <c r="D5280" s="51">
        <v>192</v>
      </c>
      <c r="E5280" s="51">
        <f t="shared" si="82"/>
        <v>0</v>
      </c>
    </row>
    <row r="5281" spans="1:5">
      <c r="A5281" s="59">
        <v>11</v>
      </c>
      <c r="B5281" s="59">
        <v>71</v>
      </c>
      <c r="C5281" s="59">
        <v>950</v>
      </c>
      <c r="D5281" s="51">
        <v>180</v>
      </c>
      <c r="E5281" s="51">
        <f t="shared" si="82"/>
        <v>0</v>
      </c>
    </row>
    <row r="5282" spans="1:5">
      <c r="A5282" s="59">
        <v>11</v>
      </c>
      <c r="B5282" s="59">
        <v>13</v>
      </c>
      <c r="C5282" s="59">
        <v>320</v>
      </c>
      <c r="D5282" s="51">
        <v>177</v>
      </c>
      <c r="E5282" s="51">
        <f t="shared" si="82"/>
        <v>0</v>
      </c>
    </row>
    <row r="5283" spans="1:5">
      <c r="A5283" s="59">
        <v>11</v>
      </c>
      <c r="B5283" s="59">
        <v>14</v>
      </c>
      <c r="C5283" s="59">
        <v>210</v>
      </c>
      <c r="D5283" s="51">
        <v>174</v>
      </c>
      <c r="E5283" s="51">
        <f t="shared" si="82"/>
        <v>0</v>
      </c>
    </row>
    <row r="5284" spans="1:5">
      <c r="A5284" s="59">
        <v>11</v>
      </c>
      <c r="B5284" s="59">
        <v>43</v>
      </c>
      <c r="C5284" s="59">
        <v>230</v>
      </c>
      <c r="D5284" s="51">
        <v>172</v>
      </c>
      <c r="E5284" s="51">
        <f t="shared" si="82"/>
        <v>0</v>
      </c>
    </row>
    <row r="5285" spans="1:5">
      <c r="A5285" s="59">
        <v>11</v>
      </c>
      <c r="B5285" s="59">
        <v>16</v>
      </c>
      <c r="C5285" s="59">
        <v>160</v>
      </c>
      <c r="D5285" s="51">
        <v>170</v>
      </c>
      <c r="E5285" s="51">
        <f t="shared" si="82"/>
        <v>0</v>
      </c>
    </row>
    <row r="5286" spans="1:5">
      <c r="A5286" s="59">
        <v>11</v>
      </c>
      <c r="B5286" s="59">
        <v>43</v>
      </c>
      <c r="C5286" s="59">
        <v>620</v>
      </c>
      <c r="D5286" s="51">
        <v>164</v>
      </c>
      <c r="E5286" s="51">
        <f t="shared" si="82"/>
        <v>0</v>
      </c>
    </row>
    <row r="5287" spans="1:5">
      <c r="A5287" s="59">
        <v>11</v>
      </c>
      <c r="B5287" s="59">
        <v>64</v>
      </c>
      <c r="C5287" s="59">
        <v>910</v>
      </c>
      <c r="D5287" s="51">
        <v>161</v>
      </c>
      <c r="E5287" s="51">
        <f t="shared" si="82"/>
        <v>0</v>
      </c>
    </row>
    <row r="5288" spans="1:5">
      <c r="A5288" s="59">
        <v>11</v>
      </c>
      <c r="B5288" s="59">
        <v>64</v>
      </c>
      <c r="C5288" s="59">
        <v>330</v>
      </c>
      <c r="D5288" s="51">
        <v>159</v>
      </c>
      <c r="E5288" s="51">
        <f t="shared" si="82"/>
        <v>0</v>
      </c>
    </row>
    <row r="5289" spans="1:5">
      <c r="A5289" s="59">
        <v>11</v>
      </c>
      <c r="B5289" s="59">
        <v>14</v>
      </c>
      <c r="C5289" s="59">
        <v>230</v>
      </c>
      <c r="D5289" s="51">
        <v>157</v>
      </c>
      <c r="E5289" s="51">
        <f t="shared" si="82"/>
        <v>0</v>
      </c>
    </row>
    <row r="5290" spans="1:5">
      <c r="A5290" s="59">
        <v>11</v>
      </c>
      <c r="B5290" s="59">
        <v>22</v>
      </c>
      <c r="C5290" s="59">
        <v>150</v>
      </c>
      <c r="D5290" s="51">
        <v>155</v>
      </c>
      <c r="E5290" s="51">
        <f t="shared" si="82"/>
        <v>0</v>
      </c>
    </row>
    <row r="5291" spans="1:5">
      <c r="A5291" s="59">
        <v>11</v>
      </c>
      <c r="B5291" s="59">
        <v>62</v>
      </c>
      <c r="C5291" s="59">
        <v>160</v>
      </c>
      <c r="D5291" s="51">
        <v>153</v>
      </c>
      <c r="E5291" s="51">
        <f t="shared" si="82"/>
        <v>1</v>
      </c>
    </row>
    <row r="5292" spans="1:5">
      <c r="A5292" s="59">
        <v>11</v>
      </c>
      <c r="B5292" s="59">
        <v>13</v>
      </c>
      <c r="C5292" s="59">
        <v>330</v>
      </c>
      <c r="D5292" s="51">
        <v>149</v>
      </c>
      <c r="E5292" s="51">
        <f t="shared" si="82"/>
        <v>0</v>
      </c>
    </row>
    <row r="5293" spans="1:5">
      <c r="A5293" s="59">
        <v>11</v>
      </c>
      <c r="B5293" s="59">
        <v>64</v>
      </c>
      <c r="C5293" s="59">
        <v>420</v>
      </c>
      <c r="D5293" s="51">
        <v>146</v>
      </c>
      <c r="E5293" s="51">
        <f t="shared" si="82"/>
        <v>0</v>
      </c>
    </row>
    <row r="5294" spans="1:5">
      <c r="A5294" s="59">
        <v>11</v>
      </c>
      <c r="B5294" s="59">
        <v>16</v>
      </c>
      <c r="C5294" s="59">
        <v>230</v>
      </c>
      <c r="D5294" s="51">
        <v>135</v>
      </c>
      <c r="E5294" s="51">
        <f t="shared" si="82"/>
        <v>0</v>
      </c>
    </row>
    <row r="5295" spans="1:5">
      <c r="A5295" s="59">
        <v>11</v>
      </c>
      <c r="B5295" s="59">
        <v>21</v>
      </c>
      <c r="C5295" s="59">
        <v>950</v>
      </c>
      <c r="D5295" s="51">
        <v>135</v>
      </c>
      <c r="E5295" s="51">
        <f t="shared" si="82"/>
        <v>0</v>
      </c>
    </row>
    <row r="5296" spans="1:5">
      <c r="A5296" s="59">
        <v>11</v>
      </c>
      <c r="B5296" s="59">
        <v>21</v>
      </c>
      <c r="C5296" s="59">
        <v>240</v>
      </c>
      <c r="D5296" s="51">
        <v>131</v>
      </c>
      <c r="E5296" s="51">
        <f t="shared" si="82"/>
        <v>0</v>
      </c>
    </row>
    <row r="5297" spans="1:5">
      <c r="A5297" s="59">
        <v>11</v>
      </c>
      <c r="B5297" s="59">
        <v>43</v>
      </c>
      <c r="C5297" s="59">
        <v>330</v>
      </c>
      <c r="D5297" s="51">
        <v>129</v>
      </c>
      <c r="E5297" s="51">
        <f t="shared" si="82"/>
        <v>0</v>
      </c>
    </row>
    <row r="5298" spans="1:5">
      <c r="A5298" s="59">
        <v>11</v>
      </c>
      <c r="B5298" s="59">
        <v>23</v>
      </c>
      <c r="C5298" s="59">
        <v>950</v>
      </c>
      <c r="D5298" s="51">
        <v>128</v>
      </c>
      <c r="E5298" s="51">
        <f t="shared" si="82"/>
        <v>0</v>
      </c>
    </row>
    <row r="5299" spans="1:5">
      <c r="A5299" s="59">
        <v>11</v>
      </c>
      <c r="B5299" s="59">
        <v>14</v>
      </c>
      <c r="C5299" s="59">
        <v>110</v>
      </c>
      <c r="D5299" s="51">
        <v>127</v>
      </c>
      <c r="E5299" s="51">
        <f t="shared" si="82"/>
        <v>0</v>
      </c>
    </row>
    <row r="5300" spans="1:5">
      <c r="A5300" s="59">
        <v>11</v>
      </c>
      <c r="B5300" s="59">
        <v>15</v>
      </c>
      <c r="C5300" s="59">
        <v>160</v>
      </c>
      <c r="D5300" s="51">
        <v>122</v>
      </c>
      <c r="E5300" s="51">
        <f t="shared" si="82"/>
        <v>0</v>
      </c>
    </row>
    <row r="5301" spans="1:5">
      <c r="A5301" s="59">
        <v>11</v>
      </c>
      <c r="B5301" s="59">
        <v>13</v>
      </c>
      <c r="C5301" s="59">
        <v>240</v>
      </c>
      <c r="D5301" s="51">
        <v>117</v>
      </c>
      <c r="E5301" s="51">
        <f t="shared" si="82"/>
        <v>0</v>
      </c>
    </row>
    <row r="5302" spans="1:5">
      <c r="A5302" s="59">
        <v>11</v>
      </c>
      <c r="B5302" s="59">
        <v>16</v>
      </c>
      <c r="C5302" s="59">
        <v>240</v>
      </c>
      <c r="D5302" s="51">
        <v>117</v>
      </c>
      <c r="E5302" s="51">
        <f t="shared" si="82"/>
        <v>0</v>
      </c>
    </row>
    <row r="5303" spans="1:5">
      <c r="A5303" s="59">
        <v>11</v>
      </c>
      <c r="B5303" s="59">
        <v>11</v>
      </c>
      <c r="C5303" s="59">
        <v>910</v>
      </c>
      <c r="D5303" s="51">
        <v>114</v>
      </c>
      <c r="E5303" s="51">
        <f t="shared" si="82"/>
        <v>0</v>
      </c>
    </row>
    <row r="5304" spans="1:5">
      <c r="A5304" s="59">
        <v>11</v>
      </c>
      <c r="B5304" s="59">
        <v>13</v>
      </c>
      <c r="C5304" s="59">
        <v>230</v>
      </c>
      <c r="D5304" s="51">
        <v>113</v>
      </c>
      <c r="E5304" s="51">
        <f t="shared" si="82"/>
        <v>0</v>
      </c>
    </row>
    <row r="5305" spans="1:5">
      <c r="A5305" s="59">
        <v>11</v>
      </c>
      <c r="B5305" s="59">
        <v>16</v>
      </c>
      <c r="C5305" s="59">
        <v>210</v>
      </c>
      <c r="D5305" s="51">
        <v>112</v>
      </c>
      <c r="E5305" s="51">
        <f t="shared" si="82"/>
        <v>0</v>
      </c>
    </row>
    <row r="5306" spans="1:5">
      <c r="A5306" s="59">
        <v>11</v>
      </c>
      <c r="B5306" s="59">
        <v>33</v>
      </c>
      <c r="C5306" s="59">
        <v>430</v>
      </c>
      <c r="D5306" s="51">
        <v>112</v>
      </c>
      <c r="E5306" s="51">
        <f t="shared" si="82"/>
        <v>0</v>
      </c>
    </row>
    <row r="5307" spans="1:5">
      <c r="A5307" s="59">
        <v>11</v>
      </c>
      <c r="B5307" s="59">
        <v>43</v>
      </c>
      <c r="C5307" s="59">
        <v>910</v>
      </c>
      <c r="D5307" s="51">
        <v>112</v>
      </c>
      <c r="E5307" s="51">
        <f t="shared" si="82"/>
        <v>0</v>
      </c>
    </row>
    <row r="5308" spans="1:5">
      <c r="A5308" s="59">
        <v>11</v>
      </c>
      <c r="B5308" s="59">
        <v>16</v>
      </c>
      <c r="C5308" s="59">
        <v>150</v>
      </c>
      <c r="D5308" s="51">
        <v>110</v>
      </c>
      <c r="E5308" s="51">
        <f t="shared" si="82"/>
        <v>0</v>
      </c>
    </row>
    <row r="5309" spans="1:5">
      <c r="A5309" s="59">
        <v>11</v>
      </c>
      <c r="B5309" s="59">
        <v>16</v>
      </c>
      <c r="C5309" s="59">
        <v>330</v>
      </c>
      <c r="D5309" s="51">
        <v>108</v>
      </c>
      <c r="E5309" s="51">
        <f t="shared" si="82"/>
        <v>0</v>
      </c>
    </row>
    <row r="5310" spans="1:5">
      <c r="A5310" s="59">
        <v>11</v>
      </c>
      <c r="B5310" s="59">
        <v>14</v>
      </c>
      <c r="C5310" s="59">
        <v>910</v>
      </c>
      <c r="D5310" s="51">
        <v>105</v>
      </c>
      <c r="E5310" s="51">
        <f t="shared" si="82"/>
        <v>0</v>
      </c>
    </row>
    <row r="5311" spans="1:5">
      <c r="A5311" s="59">
        <v>11</v>
      </c>
      <c r="B5311" s="59">
        <v>44</v>
      </c>
      <c r="C5311" s="59">
        <v>240</v>
      </c>
      <c r="D5311" s="51">
        <v>105</v>
      </c>
      <c r="E5311" s="51">
        <f t="shared" si="82"/>
        <v>1</v>
      </c>
    </row>
    <row r="5312" spans="1:5">
      <c r="A5312" s="59">
        <v>11</v>
      </c>
      <c r="B5312" s="59">
        <v>42</v>
      </c>
      <c r="C5312" s="59">
        <v>160</v>
      </c>
      <c r="D5312" s="51">
        <v>103</v>
      </c>
      <c r="E5312" s="51">
        <f t="shared" si="82"/>
        <v>0</v>
      </c>
    </row>
    <row r="5313" spans="1:5">
      <c r="A5313" s="59">
        <v>11</v>
      </c>
      <c r="B5313" s="59">
        <v>13</v>
      </c>
      <c r="C5313" s="59">
        <v>310</v>
      </c>
      <c r="D5313" s="51">
        <v>97</v>
      </c>
      <c r="E5313" s="51">
        <f t="shared" si="82"/>
        <v>0</v>
      </c>
    </row>
    <row r="5314" spans="1:5">
      <c r="A5314" s="59">
        <v>11</v>
      </c>
      <c r="B5314" s="59">
        <v>62</v>
      </c>
      <c r="C5314" s="59">
        <v>530</v>
      </c>
      <c r="D5314" s="51">
        <v>87</v>
      </c>
      <c r="E5314" s="51">
        <f t="shared" ref="E5314:E5377" si="83">IF(OR(A5314=6,A5314=7,A5314=14,A5314=15,A5314=16,A5314=17,A5314=18,A5314=19,A5314=20,A5314=21,A5314=22,A5314=23,A5314=25,A5314=26,A5314=27,A5314=28,B5314=41,B5314=44,B5314=62),1,0)</f>
        <v>1</v>
      </c>
    </row>
    <row r="5315" spans="1:5">
      <c r="A5315" s="59">
        <v>11</v>
      </c>
      <c r="B5315" s="59">
        <v>71</v>
      </c>
      <c r="C5315" s="59">
        <v>620</v>
      </c>
      <c r="D5315" s="51">
        <v>82</v>
      </c>
      <c r="E5315" s="51">
        <f t="shared" si="83"/>
        <v>0</v>
      </c>
    </row>
    <row r="5316" spans="1:5">
      <c r="A5316" s="59">
        <v>11</v>
      </c>
      <c r="B5316" s="59">
        <v>64</v>
      </c>
      <c r="C5316" s="59">
        <v>510</v>
      </c>
      <c r="D5316" s="51">
        <v>78</v>
      </c>
      <c r="E5316" s="51">
        <f t="shared" si="83"/>
        <v>0</v>
      </c>
    </row>
    <row r="5317" spans="1:5">
      <c r="A5317" s="59">
        <v>11</v>
      </c>
      <c r="B5317" s="59">
        <v>71</v>
      </c>
      <c r="C5317" s="59">
        <v>160</v>
      </c>
      <c r="D5317" s="51">
        <v>78</v>
      </c>
      <c r="E5317" s="51">
        <f t="shared" si="83"/>
        <v>0</v>
      </c>
    </row>
    <row r="5318" spans="1:5">
      <c r="A5318" s="59">
        <v>11</v>
      </c>
      <c r="B5318" s="59">
        <v>63</v>
      </c>
      <c r="C5318" s="59">
        <v>620</v>
      </c>
      <c r="D5318" s="51">
        <v>77</v>
      </c>
      <c r="E5318" s="51">
        <f t="shared" si="83"/>
        <v>0</v>
      </c>
    </row>
    <row r="5319" spans="1:5">
      <c r="A5319" s="59">
        <v>11</v>
      </c>
      <c r="B5319" s="59">
        <v>15</v>
      </c>
      <c r="C5319" s="59">
        <v>150</v>
      </c>
      <c r="D5319" s="51">
        <v>76</v>
      </c>
      <c r="E5319" s="51">
        <f t="shared" si="83"/>
        <v>0</v>
      </c>
    </row>
    <row r="5320" spans="1:5">
      <c r="A5320" s="59">
        <v>11</v>
      </c>
      <c r="B5320" s="59">
        <v>22</v>
      </c>
      <c r="C5320" s="59">
        <v>890</v>
      </c>
      <c r="D5320" s="51">
        <v>76</v>
      </c>
      <c r="E5320" s="51">
        <f t="shared" si="83"/>
        <v>0</v>
      </c>
    </row>
    <row r="5321" spans="1:5">
      <c r="A5321" s="59">
        <v>11</v>
      </c>
      <c r="B5321" s="59">
        <v>63</v>
      </c>
      <c r="C5321" s="59">
        <v>430</v>
      </c>
      <c r="D5321" s="51">
        <v>76</v>
      </c>
      <c r="E5321" s="51">
        <f t="shared" si="83"/>
        <v>0</v>
      </c>
    </row>
    <row r="5322" spans="1:5">
      <c r="A5322" s="59">
        <v>11</v>
      </c>
      <c r="B5322" s="59">
        <v>64</v>
      </c>
      <c r="C5322" s="59">
        <v>410</v>
      </c>
      <c r="D5322" s="51">
        <v>76</v>
      </c>
      <c r="E5322" s="51">
        <f t="shared" si="83"/>
        <v>0</v>
      </c>
    </row>
    <row r="5323" spans="1:5">
      <c r="A5323" s="59">
        <v>11</v>
      </c>
      <c r="B5323" s="59">
        <v>32</v>
      </c>
      <c r="C5323" s="59">
        <v>420</v>
      </c>
      <c r="D5323" s="51">
        <v>75</v>
      </c>
      <c r="E5323" s="51">
        <f t="shared" si="83"/>
        <v>0</v>
      </c>
    </row>
    <row r="5324" spans="1:5">
      <c r="A5324" s="59">
        <v>11</v>
      </c>
      <c r="B5324" s="59">
        <v>13</v>
      </c>
      <c r="C5324" s="59">
        <v>210</v>
      </c>
      <c r="D5324" s="51">
        <v>73</v>
      </c>
      <c r="E5324" s="51">
        <f t="shared" si="83"/>
        <v>0</v>
      </c>
    </row>
    <row r="5325" spans="1:5">
      <c r="A5325" s="59">
        <v>11</v>
      </c>
      <c r="B5325" s="59">
        <v>42</v>
      </c>
      <c r="C5325" s="59">
        <v>950</v>
      </c>
      <c r="D5325" s="51">
        <v>72</v>
      </c>
      <c r="E5325" s="51">
        <f t="shared" si="83"/>
        <v>0</v>
      </c>
    </row>
    <row r="5326" spans="1:5">
      <c r="A5326" s="59">
        <v>11</v>
      </c>
      <c r="B5326" s="59">
        <v>15</v>
      </c>
      <c r="C5326" s="59">
        <v>330</v>
      </c>
      <c r="D5326" s="51">
        <v>71</v>
      </c>
      <c r="E5326" s="51">
        <f t="shared" si="83"/>
        <v>0</v>
      </c>
    </row>
    <row r="5327" spans="1:5">
      <c r="A5327" s="59">
        <v>11</v>
      </c>
      <c r="B5327" s="59">
        <v>43</v>
      </c>
      <c r="C5327" s="59">
        <v>420</v>
      </c>
      <c r="D5327" s="51">
        <v>71</v>
      </c>
      <c r="E5327" s="51">
        <f t="shared" si="83"/>
        <v>0</v>
      </c>
    </row>
    <row r="5328" spans="1:5">
      <c r="A5328" s="59">
        <v>11</v>
      </c>
      <c r="B5328" s="59">
        <v>81</v>
      </c>
      <c r="C5328" s="59">
        <v>530</v>
      </c>
      <c r="D5328" s="51">
        <v>68</v>
      </c>
      <c r="E5328" s="51">
        <f t="shared" si="83"/>
        <v>0</v>
      </c>
    </row>
    <row r="5329" spans="1:5">
      <c r="A5329" s="59">
        <v>11</v>
      </c>
      <c r="B5329" s="59">
        <v>22</v>
      </c>
      <c r="C5329" s="59">
        <v>320</v>
      </c>
      <c r="D5329" s="51">
        <v>67</v>
      </c>
      <c r="E5329" s="51">
        <f t="shared" si="83"/>
        <v>0</v>
      </c>
    </row>
    <row r="5330" spans="1:5">
      <c r="A5330" s="59">
        <v>11</v>
      </c>
      <c r="B5330" s="59">
        <v>44</v>
      </c>
      <c r="C5330" s="59">
        <v>320</v>
      </c>
      <c r="D5330" s="51">
        <v>66</v>
      </c>
      <c r="E5330" s="51">
        <f t="shared" si="83"/>
        <v>1</v>
      </c>
    </row>
    <row r="5331" spans="1:5">
      <c r="A5331" s="59">
        <v>11</v>
      </c>
      <c r="B5331" s="59">
        <v>64</v>
      </c>
      <c r="C5331" s="59">
        <v>610</v>
      </c>
      <c r="D5331" s="51">
        <v>64</v>
      </c>
      <c r="E5331" s="51">
        <f t="shared" si="83"/>
        <v>0</v>
      </c>
    </row>
    <row r="5332" spans="1:5">
      <c r="A5332" s="59">
        <v>11</v>
      </c>
      <c r="B5332" s="59">
        <v>43</v>
      </c>
      <c r="C5332" s="59">
        <v>220</v>
      </c>
      <c r="D5332" s="51">
        <v>63</v>
      </c>
      <c r="E5332" s="51">
        <f t="shared" si="83"/>
        <v>0</v>
      </c>
    </row>
    <row r="5333" spans="1:5">
      <c r="A5333" s="59">
        <v>11</v>
      </c>
      <c r="B5333" s="59">
        <v>44</v>
      </c>
      <c r="C5333" s="59">
        <v>150</v>
      </c>
      <c r="D5333" s="51">
        <v>62</v>
      </c>
      <c r="E5333" s="51">
        <f t="shared" si="83"/>
        <v>1</v>
      </c>
    </row>
    <row r="5334" spans="1:5">
      <c r="A5334" s="59">
        <v>11</v>
      </c>
      <c r="B5334" s="59">
        <v>62</v>
      </c>
      <c r="C5334" s="59">
        <v>150</v>
      </c>
      <c r="D5334" s="51">
        <v>62</v>
      </c>
      <c r="E5334" s="51">
        <f t="shared" si="83"/>
        <v>1</v>
      </c>
    </row>
    <row r="5335" spans="1:5">
      <c r="A5335" s="59">
        <v>11</v>
      </c>
      <c r="B5335" s="59">
        <v>63</v>
      </c>
      <c r="C5335" s="59">
        <v>150</v>
      </c>
      <c r="D5335" s="51">
        <v>62</v>
      </c>
      <c r="E5335" s="51">
        <f t="shared" si="83"/>
        <v>0</v>
      </c>
    </row>
    <row r="5336" spans="1:5">
      <c r="A5336" s="59">
        <v>11</v>
      </c>
      <c r="B5336" s="59">
        <v>14</v>
      </c>
      <c r="C5336" s="59">
        <v>310</v>
      </c>
      <c r="D5336" s="51">
        <v>61</v>
      </c>
      <c r="E5336" s="51">
        <f t="shared" si="83"/>
        <v>0</v>
      </c>
    </row>
    <row r="5337" spans="1:5">
      <c r="A5337" s="59">
        <v>11</v>
      </c>
      <c r="B5337" s="59">
        <v>16</v>
      </c>
      <c r="C5337" s="59">
        <v>320</v>
      </c>
      <c r="D5337" s="51">
        <v>61</v>
      </c>
      <c r="E5337" s="51">
        <f t="shared" si="83"/>
        <v>0</v>
      </c>
    </row>
    <row r="5338" spans="1:5">
      <c r="A5338" s="59">
        <v>11</v>
      </c>
      <c r="B5338" s="59">
        <v>64</v>
      </c>
      <c r="C5338" s="59">
        <v>220</v>
      </c>
      <c r="D5338" s="51">
        <v>55</v>
      </c>
      <c r="E5338" s="51">
        <f t="shared" si="83"/>
        <v>0</v>
      </c>
    </row>
    <row r="5339" spans="1:5">
      <c r="A5339" s="59">
        <v>11</v>
      </c>
      <c r="B5339" s="59">
        <v>64</v>
      </c>
      <c r="C5339" s="59">
        <v>320</v>
      </c>
      <c r="D5339" s="51">
        <v>55</v>
      </c>
      <c r="E5339" s="51">
        <f t="shared" si="83"/>
        <v>0</v>
      </c>
    </row>
    <row r="5340" spans="1:5">
      <c r="A5340" s="59">
        <v>11</v>
      </c>
      <c r="B5340" s="59">
        <v>13</v>
      </c>
      <c r="C5340" s="59">
        <v>910</v>
      </c>
      <c r="D5340" s="51">
        <v>54</v>
      </c>
      <c r="E5340" s="51">
        <f t="shared" si="83"/>
        <v>0</v>
      </c>
    </row>
    <row r="5341" spans="1:5">
      <c r="A5341" s="59">
        <v>11</v>
      </c>
      <c r="B5341" s="59">
        <v>13</v>
      </c>
      <c r="C5341" s="59">
        <v>110</v>
      </c>
      <c r="D5341" s="51">
        <v>53</v>
      </c>
      <c r="E5341" s="51">
        <f t="shared" si="83"/>
        <v>0</v>
      </c>
    </row>
    <row r="5342" spans="1:5">
      <c r="A5342" s="59">
        <v>11</v>
      </c>
      <c r="B5342" s="59">
        <v>44</v>
      </c>
      <c r="C5342" s="59">
        <v>910</v>
      </c>
      <c r="D5342" s="51">
        <v>53</v>
      </c>
      <c r="E5342" s="51">
        <f t="shared" si="83"/>
        <v>1</v>
      </c>
    </row>
    <row r="5343" spans="1:5">
      <c r="A5343" s="59">
        <v>11</v>
      </c>
      <c r="B5343" s="59">
        <v>43</v>
      </c>
      <c r="C5343" s="59">
        <v>410</v>
      </c>
      <c r="D5343" s="51">
        <v>51</v>
      </c>
      <c r="E5343" s="51">
        <f t="shared" si="83"/>
        <v>0</v>
      </c>
    </row>
    <row r="5344" spans="1:5">
      <c r="A5344" s="59">
        <v>11</v>
      </c>
      <c r="B5344" s="59">
        <v>21</v>
      </c>
      <c r="C5344" s="59">
        <v>230</v>
      </c>
      <c r="D5344" s="51">
        <v>50</v>
      </c>
      <c r="E5344" s="51">
        <f t="shared" si="83"/>
        <v>0</v>
      </c>
    </row>
    <row r="5345" spans="1:5">
      <c r="A5345" s="59">
        <v>11</v>
      </c>
      <c r="B5345" s="59">
        <v>64</v>
      </c>
      <c r="C5345" s="59">
        <v>110</v>
      </c>
      <c r="D5345" s="51">
        <v>48</v>
      </c>
      <c r="E5345" s="51">
        <f t="shared" si="83"/>
        <v>0</v>
      </c>
    </row>
    <row r="5346" spans="1:5">
      <c r="A5346" s="59">
        <v>11</v>
      </c>
      <c r="B5346" s="59">
        <v>42</v>
      </c>
      <c r="C5346" s="59">
        <v>430</v>
      </c>
      <c r="D5346" s="51">
        <v>47</v>
      </c>
      <c r="E5346" s="51">
        <f t="shared" si="83"/>
        <v>0</v>
      </c>
    </row>
    <row r="5347" spans="1:5">
      <c r="A5347" s="59">
        <v>11</v>
      </c>
      <c r="B5347" s="59">
        <v>64</v>
      </c>
      <c r="C5347" s="59">
        <v>310</v>
      </c>
      <c r="D5347" s="51">
        <v>47</v>
      </c>
      <c r="E5347" s="51">
        <f t="shared" si="83"/>
        <v>0</v>
      </c>
    </row>
    <row r="5348" spans="1:5">
      <c r="A5348" s="59">
        <v>11</v>
      </c>
      <c r="B5348" s="59">
        <v>42</v>
      </c>
      <c r="C5348" s="59">
        <v>530</v>
      </c>
      <c r="D5348" s="51">
        <v>44</v>
      </c>
      <c r="E5348" s="51">
        <f t="shared" si="83"/>
        <v>0</v>
      </c>
    </row>
    <row r="5349" spans="1:5">
      <c r="A5349" s="59">
        <v>11</v>
      </c>
      <c r="B5349" s="59">
        <v>15</v>
      </c>
      <c r="C5349" s="59">
        <v>140</v>
      </c>
      <c r="D5349" s="51">
        <v>43</v>
      </c>
      <c r="E5349" s="51">
        <f t="shared" si="83"/>
        <v>0</v>
      </c>
    </row>
    <row r="5350" spans="1:5">
      <c r="A5350" s="59">
        <v>11</v>
      </c>
      <c r="B5350" s="59">
        <v>22</v>
      </c>
      <c r="C5350" s="59">
        <v>910</v>
      </c>
      <c r="D5350" s="51">
        <v>43</v>
      </c>
      <c r="E5350" s="51">
        <f t="shared" si="83"/>
        <v>0</v>
      </c>
    </row>
    <row r="5351" spans="1:5">
      <c r="A5351" s="59">
        <v>11</v>
      </c>
      <c r="B5351" s="59">
        <v>13</v>
      </c>
      <c r="C5351" s="59">
        <v>530</v>
      </c>
      <c r="D5351" s="51">
        <v>42</v>
      </c>
      <c r="E5351" s="51">
        <f t="shared" si="83"/>
        <v>0</v>
      </c>
    </row>
    <row r="5352" spans="1:5">
      <c r="A5352" s="59">
        <v>11</v>
      </c>
      <c r="B5352" s="59">
        <v>43</v>
      </c>
      <c r="C5352" s="59">
        <v>320</v>
      </c>
      <c r="D5352" s="51">
        <v>42</v>
      </c>
      <c r="E5352" s="51">
        <f t="shared" si="83"/>
        <v>0</v>
      </c>
    </row>
    <row r="5353" spans="1:5">
      <c r="A5353" s="59">
        <v>11</v>
      </c>
      <c r="B5353" s="59">
        <v>13</v>
      </c>
      <c r="C5353" s="59">
        <v>430</v>
      </c>
      <c r="D5353" s="51">
        <v>39</v>
      </c>
      <c r="E5353" s="51">
        <f t="shared" si="83"/>
        <v>0</v>
      </c>
    </row>
    <row r="5354" spans="1:5">
      <c r="A5354" s="59">
        <v>11</v>
      </c>
      <c r="B5354" s="59">
        <v>15</v>
      </c>
      <c r="C5354" s="59">
        <v>210</v>
      </c>
      <c r="D5354" s="51">
        <v>39</v>
      </c>
      <c r="E5354" s="51">
        <f t="shared" si="83"/>
        <v>0</v>
      </c>
    </row>
    <row r="5355" spans="1:5">
      <c r="A5355" s="59">
        <v>11</v>
      </c>
      <c r="B5355" s="59">
        <v>33</v>
      </c>
      <c r="C5355" s="59">
        <v>240</v>
      </c>
      <c r="D5355" s="51">
        <v>39</v>
      </c>
      <c r="E5355" s="51">
        <f t="shared" si="83"/>
        <v>0</v>
      </c>
    </row>
    <row r="5356" spans="1:5">
      <c r="A5356" s="59">
        <v>11</v>
      </c>
      <c r="B5356" s="59">
        <v>14</v>
      </c>
      <c r="C5356" s="59">
        <v>530</v>
      </c>
      <c r="D5356" s="51">
        <v>38</v>
      </c>
      <c r="E5356" s="51">
        <f t="shared" si="83"/>
        <v>0</v>
      </c>
    </row>
    <row r="5357" spans="1:5">
      <c r="A5357" s="59">
        <v>11</v>
      </c>
      <c r="B5357" s="59">
        <v>12</v>
      </c>
      <c r="C5357" s="59">
        <v>950</v>
      </c>
      <c r="D5357" s="51">
        <v>36</v>
      </c>
      <c r="E5357" s="51">
        <f t="shared" si="83"/>
        <v>0</v>
      </c>
    </row>
    <row r="5358" spans="1:5">
      <c r="A5358" s="59">
        <v>11</v>
      </c>
      <c r="B5358" s="59">
        <v>21</v>
      </c>
      <c r="C5358" s="59">
        <v>210</v>
      </c>
      <c r="D5358" s="51">
        <v>36</v>
      </c>
      <c r="E5358" s="51">
        <f t="shared" si="83"/>
        <v>0</v>
      </c>
    </row>
    <row r="5359" spans="1:5">
      <c r="A5359" s="59">
        <v>11</v>
      </c>
      <c r="B5359" s="59">
        <v>32</v>
      </c>
      <c r="C5359" s="59">
        <v>410</v>
      </c>
      <c r="D5359" s="51">
        <v>36</v>
      </c>
      <c r="E5359" s="51">
        <f t="shared" si="83"/>
        <v>0</v>
      </c>
    </row>
    <row r="5360" spans="1:5">
      <c r="A5360" s="59">
        <v>11</v>
      </c>
      <c r="B5360" s="59">
        <v>42</v>
      </c>
      <c r="C5360" s="59">
        <v>620</v>
      </c>
      <c r="D5360" s="51">
        <v>36</v>
      </c>
      <c r="E5360" s="51">
        <f t="shared" si="83"/>
        <v>0</v>
      </c>
    </row>
    <row r="5361" spans="1:5">
      <c r="A5361" s="59">
        <v>11</v>
      </c>
      <c r="B5361" s="59">
        <v>71</v>
      </c>
      <c r="C5361" s="59">
        <v>530</v>
      </c>
      <c r="D5361" s="51">
        <v>36</v>
      </c>
      <c r="E5361" s="51">
        <f t="shared" si="83"/>
        <v>0</v>
      </c>
    </row>
    <row r="5362" spans="1:5">
      <c r="A5362" s="59">
        <v>11</v>
      </c>
      <c r="B5362" s="59">
        <v>11</v>
      </c>
      <c r="C5362" s="59">
        <v>150</v>
      </c>
      <c r="D5362" s="51">
        <v>35</v>
      </c>
      <c r="E5362" s="51">
        <f t="shared" si="83"/>
        <v>0</v>
      </c>
    </row>
    <row r="5363" spans="1:5">
      <c r="A5363" s="59">
        <v>11</v>
      </c>
      <c r="B5363" s="59">
        <v>23</v>
      </c>
      <c r="C5363" s="59">
        <v>230</v>
      </c>
      <c r="D5363" s="51">
        <v>35</v>
      </c>
      <c r="E5363" s="51">
        <f t="shared" si="83"/>
        <v>0</v>
      </c>
    </row>
    <row r="5364" spans="1:5">
      <c r="A5364" s="59">
        <v>11</v>
      </c>
      <c r="B5364" s="59">
        <v>33</v>
      </c>
      <c r="C5364" s="59">
        <v>210</v>
      </c>
      <c r="D5364" s="51">
        <v>34</v>
      </c>
      <c r="E5364" s="51">
        <f t="shared" si="83"/>
        <v>0</v>
      </c>
    </row>
    <row r="5365" spans="1:5">
      <c r="A5365" s="59">
        <v>11</v>
      </c>
      <c r="B5365" s="59">
        <v>33</v>
      </c>
      <c r="C5365" s="59">
        <v>420</v>
      </c>
      <c r="D5365" s="51">
        <v>34</v>
      </c>
      <c r="E5365" s="51">
        <f t="shared" si="83"/>
        <v>0</v>
      </c>
    </row>
    <row r="5366" spans="1:5">
      <c r="A5366" s="59">
        <v>11</v>
      </c>
      <c r="B5366" s="59">
        <v>43</v>
      </c>
      <c r="C5366" s="59">
        <v>510</v>
      </c>
      <c r="D5366" s="51">
        <v>34</v>
      </c>
      <c r="E5366" s="51">
        <f t="shared" si="83"/>
        <v>0</v>
      </c>
    </row>
    <row r="5367" spans="1:5">
      <c r="A5367" s="59">
        <v>11</v>
      </c>
      <c r="B5367" s="59">
        <v>15</v>
      </c>
      <c r="C5367" s="59">
        <v>320</v>
      </c>
      <c r="D5367" s="51">
        <v>32</v>
      </c>
      <c r="E5367" s="51">
        <f t="shared" si="83"/>
        <v>0</v>
      </c>
    </row>
    <row r="5368" spans="1:5">
      <c r="A5368" s="59">
        <v>11</v>
      </c>
      <c r="B5368" s="59">
        <v>44</v>
      </c>
      <c r="C5368" s="59">
        <v>230</v>
      </c>
      <c r="D5368" s="51">
        <v>31</v>
      </c>
      <c r="E5368" s="51">
        <f t="shared" si="83"/>
        <v>1</v>
      </c>
    </row>
    <row r="5369" spans="1:5">
      <c r="A5369" s="59">
        <v>11</v>
      </c>
      <c r="B5369" s="59">
        <v>15</v>
      </c>
      <c r="C5369" s="59">
        <v>230</v>
      </c>
      <c r="D5369" s="51">
        <v>30</v>
      </c>
      <c r="E5369" s="51">
        <f t="shared" si="83"/>
        <v>0</v>
      </c>
    </row>
    <row r="5370" spans="1:5">
      <c r="A5370" s="59">
        <v>11</v>
      </c>
      <c r="B5370" s="59">
        <v>33</v>
      </c>
      <c r="C5370" s="59">
        <v>230</v>
      </c>
      <c r="D5370" s="51">
        <v>30</v>
      </c>
      <c r="E5370" s="51">
        <f t="shared" si="83"/>
        <v>0</v>
      </c>
    </row>
    <row r="5371" spans="1:5">
      <c r="A5371" s="59">
        <v>11</v>
      </c>
      <c r="B5371" s="59">
        <v>81</v>
      </c>
      <c r="C5371" s="59">
        <v>160</v>
      </c>
      <c r="D5371" s="51">
        <v>30</v>
      </c>
      <c r="E5371" s="51">
        <f t="shared" si="83"/>
        <v>0</v>
      </c>
    </row>
    <row r="5372" spans="1:5">
      <c r="A5372" s="59">
        <v>11</v>
      </c>
      <c r="B5372" s="59">
        <v>22</v>
      </c>
      <c r="C5372" s="59">
        <v>220</v>
      </c>
      <c r="D5372" s="51">
        <v>29</v>
      </c>
      <c r="E5372" s="51">
        <f t="shared" si="83"/>
        <v>0</v>
      </c>
    </row>
    <row r="5373" spans="1:5">
      <c r="A5373" s="59">
        <v>11</v>
      </c>
      <c r="B5373" s="59">
        <v>32</v>
      </c>
      <c r="C5373" s="59">
        <v>160</v>
      </c>
      <c r="D5373" s="51">
        <v>29</v>
      </c>
      <c r="E5373" s="51">
        <f t="shared" si="83"/>
        <v>0</v>
      </c>
    </row>
    <row r="5374" spans="1:5">
      <c r="A5374" s="59">
        <v>11</v>
      </c>
      <c r="B5374" s="59">
        <v>41</v>
      </c>
      <c r="C5374" s="59">
        <v>950</v>
      </c>
      <c r="D5374" s="51">
        <v>29</v>
      </c>
      <c r="E5374" s="51">
        <f t="shared" si="83"/>
        <v>1</v>
      </c>
    </row>
    <row r="5375" spans="1:5">
      <c r="A5375" s="59">
        <v>11</v>
      </c>
      <c r="B5375" s="59">
        <v>62</v>
      </c>
      <c r="C5375" s="59">
        <v>620</v>
      </c>
      <c r="D5375" s="51">
        <v>29</v>
      </c>
      <c r="E5375" s="51">
        <f t="shared" si="83"/>
        <v>1</v>
      </c>
    </row>
    <row r="5376" spans="1:5">
      <c r="A5376" s="59">
        <v>11</v>
      </c>
      <c r="B5376" s="59">
        <v>14</v>
      </c>
      <c r="C5376" s="59">
        <v>140</v>
      </c>
      <c r="D5376" s="51">
        <v>28</v>
      </c>
      <c r="E5376" s="51">
        <f t="shared" si="83"/>
        <v>0</v>
      </c>
    </row>
    <row r="5377" spans="1:5">
      <c r="A5377" s="59">
        <v>11</v>
      </c>
      <c r="B5377" s="59">
        <v>42</v>
      </c>
      <c r="C5377" s="59">
        <v>210</v>
      </c>
      <c r="D5377" s="51">
        <v>28</v>
      </c>
      <c r="E5377" s="51">
        <f t="shared" si="83"/>
        <v>0</v>
      </c>
    </row>
    <row r="5378" spans="1:5">
      <c r="A5378" s="59">
        <v>11</v>
      </c>
      <c r="B5378" s="59">
        <v>22</v>
      </c>
      <c r="C5378" s="59">
        <v>310</v>
      </c>
      <c r="D5378" s="51">
        <v>27</v>
      </c>
      <c r="E5378" s="51">
        <f t="shared" ref="E5378:E5441" si="84">IF(OR(A5378=6,A5378=7,A5378=14,A5378=15,A5378=16,A5378=17,A5378=18,A5378=19,A5378=20,A5378=21,A5378=22,A5378=23,A5378=25,A5378=26,A5378=27,A5378=28,B5378=41,B5378=44,B5378=62),1,0)</f>
        <v>0</v>
      </c>
    </row>
    <row r="5379" spans="1:5">
      <c r="A5379" s="59">
        <v>11</v>
      </c>
      <c r="B5379" s="59">
        <v>64</v>
      </c>
      <c r="C5379" s="59">
        <v>750</v>
      </c>
      <c r="D5379" s="51">
        <v>26</v>
      </c>
      <c r="E5379" s="51">
        <f t="shared" si="84"/>
        <v>0</v>
      </c>
    </row>
    <row r="5380" spans="1:5">
      <c r="A5380" s="59">
        <v>11</v>
      </c>
      <c r="B5380" s="59">
        <v>21</v>
      </c>
      <c r="C5380" s="59">
        <v>330</v>
      </c>
      <c r="D5380" s="51">
        <v>25</v>
      </c>
      <c r="E5380" s="51">
        <f t="shared" si="84"/>
        <v>0</v>
      </c>
    </row>
    <row r="5381" spans="1:5">
      <c r="A5381" s="59">
        <v>11</v>
      </c>
      <c r="B5381" s="59">
        <v>63</v>
      </c>
      <c r="C5381" s="59">
        <v>210</v>
      </c>
      <c r="D5381" s="51">
        <v>25</v>
      </c>
      <c r="E5381" s="51">
        <f t="shared" si="84"/>
        <v>0</v>
      </c>
    </row>
    <row r="5382" spans="1:5">
      <c r="A5382" s="59">
        <v>11</v>
      </c>
      <c r="B5382" s="59">
        <v>71</v>
      </c>
      <c r="C5382" s="59">
        <v>150</v>
      </c>
      <c r="D5382" s="51">
        <v>25</v>
      </c>
      <c r="E5382" s="51">
        <f t="shared" si="84"/>
        <v>0</v>
      </c>
    </row>
    <row r="5383" spans="1:5">
      <c r="A5383" s="59">
        <v>11</v>
      </c>
      <c r="B5383" s="59">
        <v>14</v>
      </c>
      <c r="C5383" s="59">
        <v>220</v>
      </c>
      <c r="D5383" s="51">
        <v>24</v>
      </c>
      <c r="E5383" s="51">
        <f t="shared" si="84"/>
        <v>0</v>
      </c>
    </row>
    <row r="5384" spans="1:5">
      <c r="A5384" s="59">
        <v>11</v>
      </c>
      <c r="B5384" s="59">
        <v>16</v>
      </c>
      <c r="C5384" s="59">
        <v>530</v>
      </c>
      <c r="D5384" s="51">
        <v>24</v>
      </c>
      <c r="E5384" s="51">
        <f t="shared" si="84"/>
        <v>0</v>
      </c>
    </row>
    <row r="5385" spans="1:5">
      <c r="A5385" s="59">
        <v>11</v>
      </c>
      <c r="B5385" s="59">
        <v>22</v>
      </c>
      <c r="C5385" s="59">
        <v>110</v>
      </c>
      <c r="D5385" s="51">
        <v>24</v>
      </c>
      <c r="E5385" s="51">
        <f t="shared" si="84"/>
        <v>0</v>
      </c>
    </row>
    <row r="5386" spans="1:5">
      <c r="A5386" s="59">
        <v>11</v>
      </c>
      <c r="B5386" s="59">
        <v>42</v>
      </c>
      <c r="C5386" s="59">
        <v>240</v>
      </c>
      <c r="D5386" s="51">
        <v>24</v>
      </c>
      <c r="E5386" s="51">
        <f t="shared" si="84"/>
        <v>0</v>
      </c>
    </row>
    <row r="5387" spans="1:5">
      <c r="A5387" s="59">
        <v>11</v>
      </c>
      <c r="B5387" s="59">
        <v>22</v>
      </c>
      <c r="C5387" s="59">
        <v>140</v>
      </c>
      <c r="D5387" s="51">
        <v>23</v>
      </c>
      <c r="E5387" s="51">
        <f t="shared" si="84"/>
        <v>0</v>
      </c>
    </row>
    <row r="5388" spans="1:5">
      <c r="A5388" s="59">
        <v>11</v>
      </c>
      <c r="B5388" s="59">
        <v>24</v>
      </c>
      <c r="C5388" s="59">
        <v>950</v>
      </c>
      <c r="D5388" s="51">
        <v>23</v>
      </c>
      <c r="E5388" s="51">
        <f t="shared" si="84"/>
        <v>0</v>
      </c>
    </row>
    <row r="5389" spans="1:5">
      <c r="A5389" s="59">
        <v>11</v>
      </c>
      <c r="B5389" s="59">
        <v>44</v>
      </c>
      <c r="C5389" s="59">
        <v>510</v>
      </c>
      <c r="D5389" s="51">
        <v>23</v>
      </c>
      <c r="E5389" s="51">
        <f t="shared" si="84"/>
        <v>1</v>
      </c>
    </row>
    <row r="5390" spans="1:5">
      <c r="A5390" s="59">
        <v>11</v>
      </c>
      <c r="B5390" s="59">
        <v>23</v>
      </c>
      <c r="C5390" s="59">
        <v>240</v>
      </c>
      <c r="D5390" s="51">
        <v>22</v>
      </c>
      <c r="E5390" s="51">
        <f t="shared" si="84"/>
        <v>0</v>
      </c>
    </row>
    <row r="5391" spans="1:5">
      <c r="A5391" s="59">
        <v>11</v>
      </c>
      <c r="B5391" s="59">
        <v>33</v>
      </c>
      <c r="C5391" s="59">
        <v>160</v>
      </c>
      <c r="D5391" s="51">
        <v>22</v>
      </c>
      <c r="E5391" s="51">
        <f t="shared" si="84"/>
        <v>0</v>
      </c>
    </row>
    <row r="5392" spans="1:5">
      <c r="A5392" s="59">
        <v>11</v>
      </c>
      <c r="B5392" s="59">
        <v>43</v>
      </c>
      <c r="C5392" s="59">
        <v>310</v>
      </c>
      <c r="D5392" s="51">
        <v>22</v>
      </c>
      <c r="E5392" s="51">
        <f t="shared" si="84"/>
        <v>0</v>
      </c>
    </row>
    <row r="5393" spans="1:5">
      <c r="A5393" s="59">
        <v>11</v>
      </c>
      <c r="B5393" s="59">
        <v>62</v>
      </c>
      <c r="C5393" s="59">
        <v>910</v>
      </c>
      <c r="D5393" s="51">
        <v>22</v>
      </c>
      <c r="E5393" s="51">
        <f t="shared" si="84"/>
        <v>1</v>
      </c>
    </row>
    <row r="5394" spans="1:5">
      <c r="A5394" s="59">
        <v>11</v>
      </c>
      <c r="B5394" s="59">
        <v>15</v>
      </c>
      <c r="C5394" s="59">
        <v>240</v>
      </c>
      <c r="D5394" s="51">
        <v>21</v>
      </c>
      <c r="E5394" s="51">
        <f t="shared" si="84"/>
        <v>0</v>
      </c>
    </row>
    <row r="5395" spans="1:5">
      <c r="A5395" s="59">
        <v>11</v>
      </c>
      <c r="B5395" s="59">
        <v>23</v>
      </c>
      <c r="C5395" s="59">
        <v>210</v>
      </c>
      <c r="D5395" s="51">
        <v>21</v>
      </c>
      <c r="E5395" s="51">
        <f t="shared" si="84"/>
        <v>0</v>
      </c>
    </row>
    <row r="5396" spans="1:5">
      <c r="A5396" s="59">
        <v>11</v>
      </c>
      <c r="B5396" s="59">
        <v>33</v>
      </c>
      <c r="C5396" s="59">
        <v>410</v>
      </c>
      <c r="D5396" s="51">
        <v>21</v>
      </c>
      <c r="E5396" s="51">
        <f t="shared" si="84"/>
        <v>0</v>
      </c>
    </row>
    <row r="5397" spans="1:5">
      <c r="A5397" s="59">
        <v>11</v>
      </c>
      <c r="B5397" s="59">
        <v>64</v>
      </c>
      <c r="C5397" s="59">
        <v>540</v>
      </c>
      <c r="D5397" s="51">
        <v>21</v>
      </c>
      <c r="E5397" s="51">
        <f t="shared" si="84"/>
        <v>0</v>
      </c>
    </row>
    <row r="5398" spans="1:5">
      <c r="A5398" s="59">
        <v>11</v>
      </c>
      <c r="B5398" s="59">
        <v>62</v>
      </c>
      <c r="C5398" s="59">
        <v>240</v>
      </c>
      <c r="D5398" s="51">
        <v>20</v>
      </c>
      <c r="E5398" s="51">
        <f t="shared" si="84"/>
        <v>1</v>
      </c>
    </row>
    <row r="5399" spans="1:5">
      <c r="A5399" s="59">
        <v>11</v>
      </c>
      <c r="B5399" s="59">
        <v>63</v>
      </c>
      <c r="C5399" s="59">
        <v>420</v>
      </c>
      <c r="D5399" s="51">
        <v>20</v>
      </c>
      <c r="E5399" s="51">
        <f t="shared" si="84"/>
        <v>0</v>
      </c>
    </row>
    <row r="5400" spans="1:5">
      <c r="A5400" s="59">
        <v>11</v>
      </c>
      <c r="B5400" s="59">
        <v>32</v>
      </c>
      <c r="C5400" s="59">
        <v>230</v>
      </c>
      <c r="D5400" s="51">
        <v>19</v>
      </c>
      <c r="E5400" s="51">
        <f t="shared" si="84"/>
        <v>0</v>
      </c>
    </row>
    <row r="5401" spans="1:5">
      <c r="A5401" s="59">
        <v>11</v>
      </c>
      <c r="B5401" s="59">
        <v>44</v>
      </c>
      <c r="C5401" s="59">
        <v>620</v>
      </c>
      <c r="D5401" s="51">
        <v>19</v>
      </c>
      <c r="E5401" s="51">
        <f t="shared" si="84"/>
        <v>1</v>
      </c>
    </row>
    <row r="5402" spans="1:5">
      <c r="A5402" s="59">
        <v>11</v>
      </c>
      <c r="B5402" s="59">
        <v>15</v>
      </c>
      <c r="C5402" s="59">
        <v>110</v>
      </c>
      <c r="D5402" s="51">
        <v>18</v>
      </c>
      <c r="E5402" s="51">
        <f t="shared" si="84"/>
        <v>0</v>
      </c>
    </row>
    <row r="5403" spans="1:5">
      <c r="A5403" s="59">
        <v>11</v>
      </c>
      <c r="B5403" s="59">
        <v>16</v>
      </c>
      <c r="C5403" s="59">
        <v>910</v>
      </c>
      <c r="D5403" s="51">
        <v>18</v>
      </c>
      <c r="E5403" s="51">
        <f t="shared" si="84"/>
        <v>0</v>
      </c>
    </row>
    <row r="5404" spans="1:5">
      <c r="A5404" s="59">
        <v>11</v>
      </c>
      <c r="B5404" s="59">
        <v>43</v>
      </c>
      <c r="C5404" s="59">
        <v>610</v>
      </c>
      <c r="D5404" s="51">
        <v>17</v>
      </c>
      <c r="E5404" s="51">
        <f t="shared" si="84"/>
        <v>0</v>
      </c>
    </row>
    <row r="5405" spans="1:5">
      <c r="A5405" s="59">
        <v>11</v>
      </c>
      <c r="B5405" s="59">
        <v>63</v>
      </c>
      <c r="C5405" s="59">
        <v>240</v>
      </c>
      <c r="D5405" s="51">
        <v>17</v>
      </c>
      <c r="E5405" s="51">
        <f t="shared" si="84"/>
        <v>0</v>
      </c>
    </row>
    <row r="5406" spans="1:5">
      <c r="A5406" s="59">
        <v>11</v>
      </c>
      <c r="B5406" s="59">
        <v>63</v>
      </c>
      <c r="C5406" s="59">
        <v>910</v>
      </c>
      <c r="D5406" s="51">
        <v>17</v>
      </c>
      <c r="E5406" s="51">
        <f t="shared" si="84"/>
        <v>0</v>
      </c>
    </row>
    <row r="5407" spans="1:5">
      <c r="A5407" s="59">
        <v>11</v>
      </c>
      <c r="B5407" s="59">
        <v>81</v>
      </c>
      <c r="C5407" s="59">
        <v>240</v>
      </c>
      <c r="D5407" s="51">
        <v>17</v>
      </c>
      <c r="E5407" s="51">
        <f t="shared" si="84"/>
        <v>0</v>
      </c>
    </row>
    <row r="5408" spans="1:5">
      <c r="A5408" s="59">
        <v>11</v>
      </c>
      <c r="B5408" s="59">
        <v>13</v>
      </c>
      <c r="C5408" s="59">
        <v>620</v>
      </c>
      <c r="D5408" s="51">
        <v>16</v>
      </c>
      <c r="E5408" s="51">
        <f t="shared" si="84"/>
        <v>0</v>
      </c>
    </row>
    <row r="5409" spans="1:5">
      <c r="A5409" s="59">
        <v>11</v>
      </c>
      <c r="B5409" s="59">
        <v>16</v>
      </c>
      <c r="C5409" s="59">
        <v>430</v>
      </c>
      <c r="D5409" s="51">
        <v>16</v>
      </c>
      <c r="E5409" s="51">
        <f t="shared" si="84"/>
        <v>0</v>
      </c>
    </row>
    <row r="5410" spans="1:5">
      <c r="A5410" s="59">
        <v>11</v>
      </c>
      <c r="B5410" s="59">
        <v>11</v>
      </c>
      <c r="C5410" s="59">
        <v>160</v>
      </c>
      <c r="D5410" s="51">
        <v>15</v>
      </c>
      <c r="E5410" s="51">
        <f t="shared" si="84"/>
        <v>0</v>
      </c>
    </row>
    <row r="5411" spans="1:5">
      <c r="A5411" s="59">
        <v>11</v>
      </c>
      <c r="B5411" s="59">
        <v>13</v>
      </c>
      <c r="C5411" s="59">
        <v>220</v>
      </c>
      <c r="D5411" s="51">
        <v>15</v>
      </c>
      <c r="E5411" s="51">
        <f t="shared" si="84"/>
        <v>0</v>
      </c>
    </row>
    <row r="5412" spans="1:5">
      <c r="A5412" s="59">
        <v>11</v>
      </c>
      <c r="B5412" s="59">
        <v>42</v>
      </c>
      <c r="C5412" s="59">
        <v>330</v>
      </c>
      <c r="D5412" s="51">
        <v>15</v>
      </c>
      <c r="E5412" s="51">
        <f t="shared" si="84"/>
        <v>0</v>
      </c>
    </row>
    <row r="5413" spans="1:5">
      <c r="A5413" s="59">
        <v>11</v>
      </c>
      <c r="B5413" s="59">
        <v>43</v>
      </c>
      <c r="C5413" s="59">
        <v>930</v>
      </c>
      <c r="D5413" s="51">
        <v>15</v>
      </c>
      <c r="E5413" s="51">
        <f t="shared" si="84"/>
        <v>0</v>
      </c>
    </row>
    <row r="5414" spans="1:5">
      <c r="A5414" s="59">
        <v>11</v>
      </c>
      <c r="B5414" s="59">
        <v>13</v>
      </c>
      <c r="C5414" s="59">
        <v>920</v>
      </c>
      <c r="D5414" s="51">
        <v>14</v>
      </c>
      <c r="E5414" s="51">
        <f t="shared" si="84"/>
        <v>0</v>
      </c>
    </row>
    <row r="5415" spans="1:5">
      <c r="A5415" s="59">
        <v>11</v>
      </c>
      <c r="B5415" s="59">
        <v>14</v>
      </c>
      <c r="C5415" s="59">
        <v>430</v>
      </c>
      <c r="D5415" s="51">
        <v>14</v>
      </c>
      <c r="E5415" s="51">
        <f t="shared" si="84"/>
        <v>0</v>
      </c>
    </row>
    <row r="5416" spans="1:5">
      <c r="A5416" s="59">
        <v>11</v>
      </c>
      <c r="B5416" s="59">
        <v>15</v>
      </c>
      <c r="C5416" s="59">
        <v>530</v>
      </c>
      <c r="D5416" s="51">
        <v>14</v>
      </c>
      <c r="E5416" s="51">
        <f t="shared" si="84"/>
        <v>0</v>
      </c>
    </row>
    <row r="5417" spans="1:5">
      <c r="A5417" s="59">
        <v>11</v>
      </c>
      <c r="B5417" s="59">
        <v>22</v>
      </c>
      <c r="C5417" s="59">
        <v>430</v>
      </c>
      <c r="D5417" s="51">
        <v>14</v>
      </c>
      <c r="E5417" s="51">
        <f t="shared" si="84"/>
        <v>0</v>
      </c>
    </row>
    <row r="5418" spans="1:5">
      <c r="A5418" s="59">
        <v>11</v>
      </c>
      <c r="B5418" s="59">
        <v>43</v>
      </c>
      <c r="C5418" s="59">
        <v>960</v>
      </c>
      <c r="D5418" s="51">
        <v>14</v>
      </c>
      <c r="E5418" s="51">
        <f t="shared" si="84"/>
        <v>0</v>
      </c>
    </row>
    <row r="5419" spans="1:5">
      <c r="A5419" s="59">
        <v>11</v>
      </c>
      <c r="B5419" s="59">
        <v>64</v>
      </c>
      <c r="C5419" s="59">
        <v>520</v>
      </c>
      <c r="D5419" s="51">
        <v>14</v>
      </c>
      <c r="E5419" s="51">
        <f t="shared" si="84"/>
        <v>0</v>
      </c>
    </row>
    <row r="5420" spans="1:5">
      <c r="A5420" s="59">
        <v>11</v>
      </c>
      <c r="B5420" s="59">
        <v>64</v>
      </c>
      <c r="C5420" s="59">
        <v>720</v>
      </c>
      <c r="D5420" s="51">
        <v>14</v>
      </c>
      <c r="E5420" s="51">
        <f t="shared" si="84"/>
        <v>0</v>
      </c>
    </row>
    <row r="5421" spans="1:5">
      <c r="A5421" s="59">
        <v>11</v>
      </c>
      <c r="B5421" s="59">
        <v>64</v>
      </c>
      <c r="C5421" s="59">
        <v>920</v>
      </c>
      <c r="D5421" s="51">
        <v>14</v>
      </c>
      <c r="E5421" s="51">
        <f t="shared" si="84"/>
        <v>0</v>
      </c>
    </row>
    <row r="5422" spans="1:5">
      <c r="A5422" s="59">
        <v>11</v>
      </c>
      <c r="B5422" s="59">
        <v>16</v>
      </c>
      <c r="C5422" s="59">
        <v>310</v>
      </c>
      <c r="D5422" s="51">
        <v>13</v>
      </c>
      <c r="E5422" s="51">
        <f t="shared" si="84"/>
        <v>0</v>
      </c>
    </row>
    <row r="5423" spans="1:5">
      <c r="A5423" s="59">
        <v>11</v>
      </c>
      <c r="B5423" s="59">
        <v>21</v>
      </c>
      <c r="C5423" s="59">
        <v>320</v>
      </c>
      <c r="D5423" s="51">
        <v>13</v>
      </c>
      <c r="E5423" s="51">
        <f t="shared" si="84"/>
        <v>0</v>
      </c>
    </row>
    <row r="5424" spans="1:5">
      <c r="A5424" s="59">
        <v>11</v>
      </c>
      <c r="B5424" s="59">
        <v>31</v>
      </c>
      <c r="C5424" s="59">
        <v>430</v>
      </c>
      <c r="D5424" s="51">
        <v>13</v>
      </c>
      <c r="E5424" s="51">
        <f t="shared" si="84"/>
        <v>0</v>
      </c>
    </row>
    <row r="5425" spans="1:5">
      <c r="A5425" s="59">
        <v>11</v>
      </c>
      <c r="B5425" s="59">
        <v>43</v>
      </c>
      <c r="C5425" s="59">
        <v>750</v>
      </c>
      <c r="D5425" s="51">
        <v>13</v>
      </c>
      <c r="E5425" s="51">
        <f t="shared" si="84"/>
        <v>0</v>
      </c>
    </row>
    <row r="5426" spans="1:5">
      <c r="A5426" s="59">
        <v>11</v>
      </c>
      <c r="B5426" s="59">
        <v>51</v>
      </c>
      <c r="C5426" s="59">
        <v>950</v>
      </c>
      <c r="D5426" s="51">
        <v>13</v>
      </c>
      <c r="E5426" s="51">
        <f t="shared" si="84"/>
        <v>0</v>
      </c>
    </row>
    <row r="5427" spans="1:5">
      <c r="A5427" s="59">
        <v>11</v>
      </c>
      <c r="B5427" s="59">
        <v>62</v>
      </c>
      <c r="C5427" s="59">
        <v>230</v>
      </c>
      <c r="D5427" s="51">
        <v>13</v>
      </c>
      <c r="E5427" s="51">
        <f t="shared" si="84"/>
        <v>1</v>
      </c>
    </row>
    <row r="5428" spans="1:5">
      <c r="A5428" s="59">
        <v>11</v>
      </c>
      <c r="B5428" s="59">
        <v>71</v>
      </c>
      <c r="C5428" s="59">
        <v>610</v>
      </c>
      <c r="D5428" s="51">
        <v>13</v>
      </c>
      <c r="E5428" s="51">
        <f t="shared" si="84"/>
        <v>0</v>
      </c>
    </row>
    <row r="5429" spans="1:5">
      <c r="A5429" s="59">
        <v>11</v>
      </c>
      <c r="B5429" s="59">
        <v>21</v>
      </c>
      <c r="C5429" s="59">
        <v>160</v>
      </c>
      <c r="D5429" s="51">
        <v>12</v>
      </c>
      <c r="E5429" s="51">
        <f t="shared" si="84"/>
        <v>0</v>
      </c>
    </row>
    <row r="5430" spans="1:5">
      <c r="A5430" s="59">
        <v>11</v>
      </c>
      <c r="B5430" s="59">
        <v>23</v>
      </c>
      <c r="C5430" s="59">
        <v>160</v>
      </c>
      <c r="D5430" s="51">
        <v>12</v>
      </c>
      <c r="E5430" s="51">
        <f t="shared" si="84"/>
        <v>0</v>
      </c>
    </row>
    <row r="5431" spans="1:5">
      <c r="A5431" s="59">
        <v>11</v>
      </c>
      <c r="B5431" s="59">
        <v>32</v>
      </c>
      <c r="C5431" s="59">
        <v>240</v>
      </c>
      <c r="D5431" s="51">
        <v>12</v>
      </c>
      <c r="E5431" s="51">
        <f t="shared" si="84"/>
        <v>0</v>
      </c>
    </row>
    <row r="5432" spans="1:5">
      <c r="A5432" s="59">
        <v>11</v>
      </c>
      <c r="B5432" s="59">
        <v>62</v>
      </c>
      <c r="C5432" s="59">
        <v>330</v>
      </c>
      <c r="D5432" s="51">
        <v>12</v>
      </c>
      <c r="E5432" s="51">
        <f t="shared" si="84"/>
        <v>1</v>
      </c>
    </row>
    <row r="5433" spans="1:5">
      <c r="A5433" s="59">
        <v>11</v>
      </c>
      <c r="B5433" s="59">
        <v>63</v>
      </c>
      <c r="C5433" s="59">
        <v>510</v>
      </c>
      <c r="D5433" s="51">
        <v>12</v>
      </c>
      <c r="E5433" s="51">
        <f t="shared" si="84"/>
        <v>0</v>
      </c>
    </row>
    <row r="5434" spans="1:5">
      <c r="A5434" s="59">
        <v>11</v>
      </c>
      <c r="B5434" s="59">
        <v>64</v>
      </c>
      <c r="C5434" s="59">
        <v>440</v>
      </c>
      <c r="D5434" s="51">
        <v>12</v>
      </c>
      <c r="E5434" s="51">
        <f t="shared" si="84"/>
        <v>0</v>
      </c>
    </row>
    <row r="5435" spans="1:5">
      <c r="A5435" s="59">
        <v>11</v>
      </c>
      <c r="B5435" s="59">
        <v>64</v>
      </c>
      <c r="C5435" s="59">
        <v>630</v>
      </c>
      <c r="D5435" s="51">
        <v>12</v>
      </c>
      <c r="E5435" s="51">
        <f t="shared" si="84"/>
        <v>0</v>
      </c>
    </row>
    <row r="5436" spans="1:5">
      <c r="A5436" s="59">
        <v>11</v>
      </c>
      <c r="B5436" s="59">
        <v>64</v>
      </c>
      <c r="C5436" s="59">
        <v>870</v>
      </c>
      <c r="D5436" s="51">
        <v>12</v>
      </c>
      <c r="E5436" s="51">
        <f t="shared" si="84"/>
        <v>0</v>
      </c>
    </row>
    <row r="5437" spans="1:5">
      <c r="A5437" s="59">
        <v>11</v>
      </c>
      <c r="B5437" s="59">
        <v>64</v>
      </c>
      <c r="C5437" s="59">
        <v>930</v>
      </c>
      <c r="D5437" s="51">
        <v>12</v>
      </c>
      <c r="E5437" s="51">
        <f t="shared" si="84"/>
        <v>0</v>
      </c>
    </row>
    <row r="5438" spans="1:5">
      <c r="A5438" s="59">
        <v>11</v>
      </c>
      <c r="B5438" s="59">
        <v>16</v>
      </c>
      <c r="C5438" s="59">
        <v>110</v>
      </c>
      <c r="D5438" s="51">
        <v>11</v>
      </c>
      <c r="E5438" s="51">
        <f t="shared" si="84"/>
        <v>0</v>
      </c>
    </row>
    <row r="5439" spans="1:5">
      <c r="A5439" s="59">
        <v>11</v>
      </c>
      <c r="B5439" s="59">
        <v>24</v>
      </c>
      <c r="C5439" s="59">
        <v>230</v>
      </c>
      <c r="D5439" s="51">
        <v>11</v>
      </c>
      <c r="E5439" s="51">
        <f t="shared" si="84"/>
        <v>0</v>
      </c>
    </row>
    <row r="5440" spans="1:5">
      <c r="A5440" s="59">
        <v>11</v>
      </c>
      <c r="B5440" s="59">
        <v>43</v>
      </c>
      <c r="C5440" s="59">
        <v>110</v>
      </c>
      <c r="D5440" s="51">
        <v>11</v>
      </c>
      <c r="E5440" s="51">
        <f t="shared" si="84"/>
        <v>0</v>
      </c>
    </row>
    <row r="5441" spans="1:5">
      <c r="A5441" s="59">
        <v>11</v>
      </c>
      <c r="B5441" s="59">
        <v>43</v>
      </c>
      <c r="C5441" s="59">
        <v>540</v>
      </c>
      <c r="D5441" s="51">
        <v>11</v>
      </c>
      <c r="E5441" s="51">
        <f t="shared" si="84"/>
        <v>0</v>
      </c>
    </row>
    <row r="5442" spans="1:5">
      <c r="A5442" s="59">
        <v>11</v>
      </c>
      <c r="B5442" s="59">
        <v>43</v>
      </c>
      <c r="C5442" s="59">
        <v>940</v>
      </c>
      <c r="D5442" s="51">
        <v>11</v>
      </c>
      <c r="E5442" s="51">
        <f t="shared" ref="E5442:E5505" si="85">IF(OR(A5442=6,A5442=7,A5442=14,A5442=15,A5442=16,A5442=17,A5442=18,A5442=19,A5442=20,A5442=21,A5442=22,A5442=23,A5442=25,A5442=26,A5442=27,A5442=28,B5442=41,B5442=44,B5442=62),1,0)</f>
        <v>0</v>
      </c>
    </row>
    <row r="5443" spans="1:5">
      <c r="A5443" s="59">
        <v>11</v>
      </c>
      <c r="B5443" s="59">
        <v>62</v>
      </c>
      <c r="C5443" s="59">
        <v>430</v>
      </c>
      <c r="D5443" s="51">
        <v>11</v>
      </c>
      <c r="E5443" s="51">
        <f t="shared" si="85"/>
        <v>1</v>
      </c>
    </row>
    <row r="5444" spans="1:5">
      <c r="A5444" s="59">
        <v>11</v>
      </c>
      <c r="B5444" s="59">
        <v>63</v>
      </c>
      <c r="C5444" s="59">
        <v>220</v>
      </c>
      <c r="D5444" s="51">
        <v>11</v>
      </c>
      <c r="E5444" s="51">
        <f t="shared" si="85"/>
        <v>0</v>
      </c>
    </row>
    <row r="5445" spans="1:5">
      <c r="A5445" s="59">
        <v>11</v>
      </c>
      <c r="B5445" s="59">
        <v>64</v>
      </c>
      <c r="C5445" s="59">
        <v>891</v>
      </c>
      <c r="D5445" s="51">
        <v>11</v>
      </c>
      <c r="E5445" s="51">
        <f t="shared" si="85"/>
        <v>0</v>
      </c>
    </row>
    <row r="5446" spans="1:5">
      <c r="A5446" s="59">
        <v>11</v>
      </c>
      <c r="B5446" s="59">
        <v>71</v>
      </c>
      <c r="C5446" s="59">
        <v>910</v>
      </c>
      <c r="D5446" s="51">
        <v>11</v>
      </c>
      <c r="E5446" s="51">
        <f t="shared" si="85"/>
        <v>0</v>
      </c>
    </row>
    <row r="5447" spans="1:5">
      <c r="A5447" s="59">
        <v>11</v>
      </c>
      <c r="B5447" s="59">
        <v>16</v>
      </c>
      <c r="C5447" s="59">
        <v>220</v>
      </c>
      <c r="D5447" s="51">
        <v>10</v>
      </c>
      <c r="E5447" s="51">
        <f t="shared" si="85"/>
        <v>0</v>
      </c>
    </row>
    <row r="5448" spans="1:5">
      <c r="A5448" s="59">
        <v>11</v>
      </c>
      <c r="B5448" s="59">
        <v>33</v>
      </c>
      <c r="C5448" s="59">
        <v>330</v>
      </c>
      <c r="D5448" s="51">
        <v>10</v>
      </c>
      <c r="E5448" s="51">
        <f t="shared" si="85"/>
        <v>0</v>
      </c>
    </row>
    <row r="5449" spans="1:5">
      <c r="A5449" s="59">
        <v>11</v>
      </c>
      <c r="B5449" s="59">
        <v>42</v>
      </c>
      <c r="C5449" s="59">
        <v>230</v>
      </c>
      <c r="D5449" s="51">
        <v>10</v>
      </c>
      <c r="E5449" s="51">
        <f t="shared" si="85"/>
        <v>0</v>
      </c>
    </row>
    <row r="5450" spans="1:5">
      <c r="A5450" s="59">
        <v>11</v>
      </c>
      <c r="B5450" s="59">
        <v>44</v>
      </c>
      <c r="C5450" s="59">
        <v>430</v>
      </c>
      <c r="D5450" s="51">
        <v>10</v>
      </c>
      <c r="E5450" s="51">
        <f t="shared" si="85"/>
        <v>1</v>
      </c>
    </row>
    <row r="5451" spans="1:5">
      <c r="A5451" s="59">
        <v>11</v>
      </c>
      <c r="B5451" s="59">
        <v>62</v>
      </c>
      <c r="C5451" s="59">
        <v>210</v>
      </c>
      <c r="D5451" s="51">
        <v>10</v>
      </c>
      <c r="E5451" s="51">
        <f t="shared" si="85"/>
        <v>1</v>
      </c>
    </row>
    <row r="5452" spans="1:5">
      <c r="A5452" s="59">
        <v>11</v>
      </c>
      <c r="B5452" s="59">
        <v>64</v>
      </c>
      <c r="C5452" s="59">
        <v>890</v>
      </c>
      <c r="D5452" s="51">
        <v>10</v>
      </c>
      <c r="E5452" s="51">
        <f t="shared" si="85"/>
        <v>0</v>
      </c>
    </row>
    <row r="5453" spans="1:5">
      <c r="A5453" s="59">
        <v>11</v>
      </c>
      <c r="B5453" s="59">
        <v>15</v>
      </c>
      <c r="C5453" s="59">
        <v>310</v>
      </c>
      <c r="D5453" s="51">
        <v>9</v>
      </c>
      <c r="E5453" s="51">
        <f t="shared" si="85"/>
        <v>0</v>
      </c>
    </row>
    <row r="5454" spans="1:5">
      <c r="A5454" s="59">
        <v>11</v>
      </c>
      <c r="B5454" s="59">
        <v>32</v>
      </c>
      <c r="C5454" s="59">
        <v>210</v>
      </c>
      <c r="D5454" s="51">
        <v>9</v>
      </c>
      <c r="E5454" s="51">
        <f t="shared" si="85"/>
        <v>0</v>
      </c>
    </row>
    <row r="5455" spans="1:5">
      <c r="A5455" s="59">
        <v>11</v>
      </c>
      <c r="B5455" s="59">
        <v>32</v>
      </c>
      <c r="C5455" s="59">
        <v>530</v>
      </c>
      <c r="D5455" s="51">
        <v>9</v>
      </c>
      <c r="E5455" s="51">
        <f t="shared" si="85"/>
        <v>0</v>
      </c>
    </row>
    <row r="5456" spans="1:5">
      <c r="A5456" s="59">
        <v>11</v>
      </c>
      <c r="B5456" s="59">
        <v>42</v>
      </c>
      <c r="C5456" s="59">
        <v>150</v>
      </c>
      <c r="D5456" s="51">
        <v>9</v>
      </c>
      <c r="E5456" s="51">
        <f t="shared" si="85"/>
        <v>0</v>
      </c>
    </row>
    <row r="5457" spans="1:5">
      <c r="A5457" s="59">
        <v>11</v>
      </c>
      <c r="B5457" s="59">
        <v>62</v>
      </c>
      <c r="C5457" s="59">
        <v>110</v>
      </c>
      <c r="D5457" s="51">
        <v>9</v>
      </c>
      <c r="E5457" s="51">
        <f t="shared" si="85"/>
        <v>1</v>
      </c>
    </row>
    <row r="5458" spans="1:5">
      <c r="A5458" s="59">
        <v>11</v>
      </c>
      <c r="B5458" s="59">
        <v>62</v>
      </c>
      <c r="C5458" s="59">
        <v>750</v>
      </c>
      <c r="D5458" s="51">
        <v>9</v>
      </c>
      <c r="E5458" s="51">
        <f t="shared" si="85"/>
        <v>1</v>
      </c>
    </row>
    <row r="5459" spans="1:5">
      <c r="A5459" s="59">
        <v>11</v>
      </c>
      <c r="B5459" s="59">
        <v>63</v>
      </c>
      <c r="C5459" s="59">
        <v>610</v>
      </c>
      <c r="D5459" s="51">
        <v>9</v>
      </c>
      <c r="E5459" s="51">
        <f t="shared" si="85"/>
        <v>0</v>
      </c>
    </row>
    <row r="5460" spans="1:5">
      <c r="A5460" s="59">
        <v>11</v>
      </c>
      <c r="B5460" s="59">
        <v>64</v>
      </c>
      <c r="C5460" s="59">
        <v>840</v>
      </c>
      <c r="D5460" s="51">
        <v>9</v>
      </c>
      <c r="E5460" s="51">
        <f t="shared" si="85"/>
        <v>0</v>
      </c>
    </row>
    <row r="5461" spans="1:5">
      <c r="A5461" s="59">
        <v>11</v>
      </c>
      <c r="B5461" s="59">
        <v>64</v>
      </c>
      <c r="C5461" s="59">
        <v>960</v>
      </c>
      <c r="D5461" s="51">
        <v>9</v>
      </c>
      <c r="E5461" s="51">
        <f t="shared" si="85"/>
        <v>0</v>
      </c>
    </row>
    <row r="5462" spans="1:5">
      <c r="A5462" s="59">
        <v>11</v>
      </c>
      <c r="B5462" s="59">
        <v>21</v>
      </c>
      <c r="C5462" s="59">
        <v>150</v>
      </c>
      <c r="D5462" s="51">
        <v>8</v>
      </c>
      <c r="E5462" s="51">
        <f t="shared" si="85"/>
        <v>0</v>
      </c>
    </row>
    <row r="5463" spans="1:5">
      <c r="A5463" s="59">
        <v>11</v>
      </c>
      <c r="B5463" s="59">
        <v>41</v>
      </c>
      <c r="C5463" s="59">
        <v>530</v>
      </c>
      <c r="D5463" s="51">
        <v>8</v>
      </c>
      <c r="E5463" s="51">
        <f t="shared" si="85"/>
        <v>1</v>
      </c>
    </row>
    <row r="5464" spans="1:5">
      <c r="A5464" s="59">
        <v>11</v>
      </c>
      <c r="B5464" s="59">
        <v>44</v>
      </c>
      <c r="C5464" s="59">
        <v>310</v>
      </c>
      <c r="D5464" s="51">
        <v>8</v>
      </c>
      <c r="E5464" s="51">
        <f t="shared" si="85"/>
        <v>1</v>
      </c>
    </row>
    <row r="5465" spans="1:5">
      <c r="A5465" s="59">
        <v>11</v>
      </c>
      <c r="B5465" s="59">
        <v>44</v>
      </c>
      <c r="C5465" s="59">
        <v>540</v>
      </c>
      <c r="D5465" s="51">
        <v>8</v>
      </c>
      <c r="E5465" s="51">
        <f t="shared" si="85"/>
        <v>1</v>
      </c>
    </row>
    <row r="5466" spans="1:5">
      <c r="A5466" s="59">
        <v>11</v>
      </c>
      <c r="B5466" s="59">
        <v>62</v>
      </c>
      <c r="C5466" s="59">
        <v>510</v>
      </c>
      <c r="D5466" s="51">
        <v>8</v>
      </c>
      <c r="E5466" s="51">
        <f t="shared" si="85"/>
        <v>1</v>
      </c>
    </row>
    <row r="5467" spans="1:5">
      <c r="A5467" s="59">
        <v>11</v>
      </c>
      <c r="B5467" s="59">
        <v>63</v>
      </c>
      <c r="C5467" s="59">
        <v>230</v>
      </c>
      <c r="D5467" s="51">
        <v>8</v>
      </c>
      <c r="E5467" s="51">
        <f t="shared" si="85"/>
        <v>0</v>
      </c>
    </row>
    <row r="5468" spans="1:5">
      <c r="A5468" s="59">
        <v>11</v>
      </c>
      <c r="B5468" s="59">
        <v>14</v>
      </c>
      <c r="C5468" s="59">
        <v>610</v>
      </c>
      <c r="D5468" s="51">
        <v>7</v>
      </c>
      <c r="E5468" s="51">
        <f t="shared" si="85"/>
        <v>0</v>
      </c>
    </row>
    <row r="5469" spans="1:5">
      <c r="A5469" s="59">
        <v>11</v>
      </c>
      <c r="B5469" s="59">
        <v>14</v>
      </c>
      <c r="C5469" s="59">
        <v>930</v>
      </c>
      <c r="D5469" s="51">
        <v>7</v>
      </c>
      <c r="E5469" s="51">
        <f t="shared" si="85"/>
        <v>0</v>
      </c>
    </row>
    <row r="5470" spans="1:5">
      <c r="A5470" s="59">
        <v>11</v>
      </c>
      <c r="B5470" s="59">
        <v>32</v>
      </c>
      <c r="C5470" s="59">
        <v>330</v>
      </c>
      <c r="D5470" s="51">
        <v>7</v>
      </c>
      <c r="E5470" s="51">
        <f t="shared" si="85"/>
        <v>0</v>
      </c>
    </row>
    <row r="5471" spans="1:5">
      <c r="A5471" s="59">
        <v>11</v>
      </c>
      <c r="B5471" s="59">
        <v>32</v>
      </c>
      <c r="C5471" s="59">
        <v>910</v>
      </c>
      <c r="D5471" s="51">
        <v>7</v>
      </c>
      <c r="E5471" s="51">
        <f t="shared" si="85"/>
        <v>0</v>
      </c>
    </row>
    <row r="5472" spans="1:5">
      <c r="A5472" s="59">
        <v>11</v>
      </c>
      <c r="B5472" s="59">
        <v>43</v>
      </c>
      <c r="C5472" s="59">
        <v>920</v>
      </c>
      <c r="D5472" s="51">
        <v>7</v>
      </c>
      <c r="E5472" s="51">
        <f t="shared" si="85"/>
        <v>0</v>
      </c>
    </row>
    <row r="5473" spans="1:5">
      <c r="A5473" s="59">
        <v>11</v>
      </c>
      <c r="B5473" s="59">
        <v>44</v>
      </c>
      <c r="C5473" s="59">
        <v>610</v>
      </c>
      <c r="D5473" s="51">
        <v>7</v>
      </c>
      <c r="E5473" s="51">
        <f t="shared" si="85"/>
        <v>1</v>
      </c>
    </row>
    <row r="5474" spans="1:5">
      <c r="A5474" s="59">
        <v>11</v>
      </c>
      <c r="B5474" s="59">
        <v>44</v>
      </c>
      <c r="C5474" s="59">
        <v>930</v>
      </c>
      <c r="D5474" s="51">
        <v>7</v>
      </c>
      <c r="E5474" s="51">
        <f t="shared" si="85"/>
        <v>1</v>
      </c>
    </row>
    <row r="5475" spans="1:5">
      <c r="A5475" s="59">
        <v>11</v>
      </c>
      <c r="B5475" s="59">
        <v>51</v>
      </c>
      <c r="C5475" s="59">
        <v>240</v>
      </c>
      <c r="D5475" s="51">
        <v>7</v>
      </c>
      <c r="E5475" s="51">
        <f t="shared" si="85"/>
        <v>0</v>
      </c>
    </row>
    <row r="5476" spans="1:5">
      <c r="A5476" s="59">
        <v>11</v>
      </c>
      <c r="B5476" s="59">
        <v>63</v>
      </c>
      <c r="C5476" s="59">
        <v>540</v>
      </c>
      <c r="D5476" s="51">
        <v>7</v>
      </c>
      <c r="E5476" s="51">
        <f t="shared" si="85"/>
        <v>0</v>
      </c>
    </row>
    <row r="5477" spans="1:5">
      <c r="A5477" s="59">
        <v>11</v>
      </c>
      <c r="B5477" s="59">
        <v>64</v>
      </c>
      <c r="C5477" s="59">
        <v>550</v>
      </c>
      <c r="D5477" s="51">
        <v>7</v>
      </c>
      <c r="E5477" s="51">
        <f t="shared" si="85"/>
        <v>0</v>
      </c>
    </row>
    <row r="5478" spans="1:5">
      <c r="A5478" s="59">
        <v>11</v>
      </c>
      <c r="B5478" s="59">
        <v>64</v>
      </c>
      <c r="C5478" s="59">
        <v>970</v>
      </c>
      <c r="D5478" s="51">
        <v>7</v>
      </c>
      <c r="E5478" s="51">
        <f t="shared" si="85"/>
        <v>0</v>
      </c>
    </row>
    <row r="5479" spans="1:5">
      <c r="A5479" s="59">
        <v>11</v>
      </c>
      <c r="B5479" s="59">
        <v>21</v>
      </c>
      <c r="C5479" s="59">
        <v>140</v>
      </c>
      <c r="D5479" s="51">
        <v>6</v>
      </c>
      <c r="E5479" s="51">
        <f t="shared" si="85"/>
        <v>0</v>
      </c>
    </row>
    <row r="5480" spans="1:5">
      <c r="A5480" s="59">
        <v>11</v>
      </c>
      <c r="B5480" s="59">
        <v>22</v>
      </c>
      <c r="C5480" s="59">
        <v>530</v>
      </c>
      <c r="D5480" s="51">
        <v>6</v>
      </c>
      <c r="E5480" s="51">
        <f t="shared" si="85"/>
        <v>0</v>
      </c>
    </row>
    <row r="5481" spans="1:5">
      <c r="A5481" s="59">
        <v>11</v>
      </c>
      <c r="B5481" s="59">
        <v>24</v>
      </c>
      <c r="C5481" s="59">
        <v>240</v>
      </c>
      <c r="D5481" s="51">
        <v>6</v>
      </c>
      <c r="E5481" s="51">
        <f t="shared" si="85"/>
        <v>0</v>
      </c>
    </row>
    <row r="5482" spans="1:5">
      <c r="A5482" s="59">
        <v>11</v>
      </c>
      <c r="B5482" s="59">
        <v>31</v>
      </c>
      <c r="C5482" s="59">
        <v>950</v>
      </c>
      <c r="D5482" s="51">
        <v>6</v>
      </c>
      <c r="E5482" s="51">
        <f t="shared" si="85"/>
        <v>0</v>
      </c>
    </row>
    <row r="5483" spans="1:5">
      <c r="A5483" s="59">
        <v>11</v>
      </c>
      <c r="B5483" s="59">
        <v>33</v>
      </c>
      <c r="C5483" s="59">
        <v>150</v>
      </c>
      <c r="D5483" s="51">
        <v>6</v>
      </c>
      <c r="E5483" s="51">
        <f t="shared" si="85"/>
        <v>0</v>
      </c>
    </row>
    <row r="5484" spans="1:5">
      <c r="A5484" s="59">
        <v>11</v>
      </c>
      <c r="B5484" s="59">
        <v>33</v>
      </c>
      <c r="C5484" s="59">
        <v>320</v>
      </c>
      <c r="D5484" s="51">
        <v>6</v>
      </c>
      <c r="E5484" s="51">
        <f t="shared" si="85"/>
        <v>0</v>
      </c>
    </row>
    <row r="5485" spans="1:5">
      <c r="A5485" s="59">
        <v>11</v>
      </c>
      <c r="B5485" s="59">
        <v>41</v>
      </c>
      <c r="C5485" s="59">
        <v>160</v>
      </c>
      <c r="D5485" s="51">
        <v>6</v>
      </c>
      <c r="E5485" s="51">
        <f t="shared" si="85"/>
        <v>1</v>
      </c>
    </row>
    <row r="5486" spans="1:5">
      <c r="A5486" s="59">
        <v>11</v>
      </c>
      <c r="B5486" s="59">
        <v>43</v>
      </c>
      <c r="C5486" s="59">
        <v>630</v>
      </c>
      <c r="D5486" s="51">
        <v>6</v>
      </c>
      <c r="E5486" s="51">
        <f t="shared" si="85"/>
        <v>0</v>
      </c>
    </row>
    <row r="5487" spans="1:5">
      <c r="A5487" s="59">
        <v>11</v>
      </c>
      <c r="B5487" s="59">
        <v>43</v>
      </c>
      <c r="C5487" s="59">
        <v>720</v>
      </c>
      <c r="D5487" s="51">
        <v>6</v>
      </c>
      <c r="E5487" s="51">
        <f t="shared" si="85"/>
        <v>0</v>
      </c>
    </row>
    <row r="5488" spans="1:5">
      <c r="A5488" s="59">
        <v>11</v>
      </c>
      <c r="B5488" s="59">
        <v>43</v>
      </c>
      <c r="C5488" s="59">
        <v>840</v>
      </c>
      <c r="D5488" s="51">
        <v>6</v>
      </c>
      <c r="E5488" s="51">
        <f t="shared" si="85"/>
        <v>0</v>
      </c>
    </row>
    <row r="5489" spans="1:5">
      <c r="A5489" s="59">
        <v>11</v>
      </c>
      <c r="B5489" s="59">
        <v>62</v>
      </c>
      <c r="C5489" s="59">
        <v>610</v>
      </c>
      <c r="D5489" s="51">
        <v>6</v>
      </c>
      <c r="E5489" s="51">
        <f t="shared" si="85"/>
        <v>1</v>
      </c>
    </row>
    <row r="5490" spans="1:5">
      <c r="A5490" s="59">
        <v>11</v>
      </c>
      <c r="B5490" s="59">
        <v>63</v>
      </c>
      <c r="C5490" s="59">
        <v>320</v>
      </c>
      <c r="D5490" s="51">
        <v>6</v>
      </c>
      <c r="E5490" s="51">
        <f t="shared" si="85"/>
        <v>0</v>
      </c>
    </row>
    <row r="5491" spans="1:5">
      <c r="A5491" s="59">
        <v>11</v>
      </c>
      <c r="B5491" s="59">
        <v>63</v>
      </c>
      <c r="C5491" s="59">
        <v>330</v>
      </c>
      <c r="D5491" s="51">
        <v>6</v>
      </c>
      <c r="E5491" s="51">
        <f t="shared" si="85"/>
        <v>0</v>
      </c>
    </row>
    <row r="5492" spans="1:5">
      <c r="A5492" s="59">
        <v>11</v>
      </c>
      <c r="B5492" s="59">
        <v>63</v>
      </c>
      <c r="C5492" s="59">
        <v>440</v>
      </c>
      <c r="D5492" s="51">
        <v>6</v>
      </c>
      <c r="E5492" s="51">
        <f t="shared" si="85"/>
        <v>0</v>
      </c>
    </row>
    <row r="5493" spans="1:5">
      <c r="A5493" s="59">
        <v>11</v>
      </c>
      <c r="B5493" s="59">
        <v>13</v>
      </c>
      <c r="C5493" s="59">
        <v>420</v>
      </c>
      <c r="D5493" s="51">
        <v>5</v>
      </c>
      <c r="E5493" s="51">
        <f t="shared" si="85"/>
        <v>0</v>
      </c>
    </row>
    <row r="5494" spans="1:5">
      <c r="A5494" s="59">
        <v>11</v>
      </c>
      <c r="B5494" s="59">
        <v>13</v>
      </c>
      <c r="C5494" s="59">
        <v>510</v>
      </c>
      <c r="D5494" s="51">
        <v>5</v>
      </c>
      <c r="E5494" s="51">
        <f t="shared" si="85"/>
        <v>0</v>
      </c>
    </row>
    <row r="5495" spans="1:5">
      <c r="A5495" s="59">
        <v>11</v>
      </c>
      <c r="B5495" s="59">
        <v>14</v>
      </c>
      <c r="C5495" s="59">
        <v>120</v>
      </c>
      <c r="D5495" s="51">
        <v>5</v>
      </c>
      <c r="E5495" s="51">
        <f t="shared" si="85"/>
        <v>0</v>
      </c>
    </row>
    <row r="5496" spans="1:5">
      <c r="A5496" s="59">
        <v>11</v>
      </c>
      <c r="B5496" s="59">
        <v>14</v>
      </c>
      <c r="C5496" s="59">
        <v>410</v>
      </c>
      <c r="D5496" s="51">
        <v>5</v>
      </c>
      <c r="E5496" s="51">
        <f t="shared" si="85"/>
        <v>0</v>
      </c>
    </row>
    <row r="5497" spans="1:5">
      <c r="A5497" s="59">
        <v>11</v>
      </c>
      <c r="B5497" s="59">
        <v>14</v>
      </c>
      <c r="C5497" s="59">
        <v>510</v>
      </c>
      <c r="D5497" s="51">
        <v>5</v>
      </c>
      <c r="E5497" s="51">
        <f t="shared" si="85"/>
        <v>0</v>
      </c>
    </row>
    <row r="5498" spans="1:5">
      <c r="A5498" s="59">
        <v>11</v>
      </c>
      <c r="B5498" s="59">
        <v>24</v>
      </c>
      <c r="C5498" s="59">
        <v>210</v>
      </c>
      <c r="D5498" s="51">
        <v>5</v>
      </c>
      <c r="E5498" s="51">
        <f t="shared" si="85"/>
        <v>0</v>
      </c>
    </row>
    <row r="5499" spans="1:5">
      <c r="A5499" s="59">
        <v>11</v>
      </c>
      <c r="B5499" s="59">
        <v>42</v>
      </c>
      <c r="C5499" s="59">
        <v>420</v>
      </c>
      <c r="D5499" s="51">
        <v>5</v>
      </c>
      <c r="E5499" s="51">
        <f t="shared" si="85"/>
        <v>0</v>
      </c>
    </row>
    <row r="5500" spans="1:5">
      <c r="A5500" s="59">
        <v>11</v>
      </c>
      <c r="B5500" s="59">
        <v>63</v>
      </c>
      <c r="C5500" s="59">
        <v>750</v>
      </c>
      <c r="D5500" s="51">
        <v>5</v>
      </c>
      <c r="E5500" s="51">
        <f t="shared" si="85"/>
        <v>0</v>
      </c>
    </row>
    <row r="5501" spans="1:5">
      <c r="A5501" s="59">
        <v>11</v>
      </c>
      <c r="B5501" s="59">
        <v>64</v>
      </c>
      <c r="C5501" s="59">
        <v>850</v>
      </c>
      <c r="D5501" s="51">
        <v>5</v>
      </c>
      <c r="E5501" s="51">
        <f t="shared" si="85"/>
        <v>0</v>
      </c>
    </row>
    <row r="5502" spans="1:5">
      <c r="A5502" s="59">
        <v>11</v>
      </c>
      <c r="B5502" s="59">
        <v>64</v>
      </c>
      <c r="C5502" s="59">
        <v>860</v>
      </c>
      <c r="D5502" s="51">
        <v>5</v>
      </c>
      <c r="E5502" s="51">
        <f t="shared" si="85"/>
        <v>0</v>
      </c>
    </row>
    <row r="5503" spans="1:5">
      <c r="A5503" s="59">
        <v>11</v>
      </c>
      <c r="B5503" s="59">
        <v>64</v>
      </c>
      <c r="C5503" s="59">
        <v>940</v>
      </c>
      <c r="D5503" s="51">
        <v>5</v>
      </c>
      <c r="E5503" s="51">
        <f t="shared" si="85"/>
        <v>0</v>
      </c>
    </row>
    <row r="5504" spans="1:5">
      <c r="A5504" s="59">
        <v>11</v>
      </c>
      <c r="B5504" s="59">
        <v>64</v>
      </c>
      <c r="C5504" s="59">
        <v>990</v>
      </c>
      <c r="D5504" s="51">
        <v>5</v>
      </c>
      <c r="E5504" s="51">
        <f t="shared" si="85"/>
        <v>0</v>
      </c>
    </row>
    <row r="5505" spans="1:5">
      <c r="A5505" s="59">
        <v>11</v>
      </c>
      <c r="B5505" s="59">
        <v>81</v>
      </c>
      <c r="C5505" s="59">
        <v>510</v>
      </c>
      <c r="D5505" s="51">
        <v>5</v>
      </c>
      <c r="E5505" s="51">
        <f t="shared" si="85"/>
        <v>0</v>
      </c>
    </row>
    <row r="5506" spans="1:5">
      <c r="A5506" s="59">
        <v>11</v>
      </c>
      <c r="B5506" s="59">
        <v>81</v>
      </c>
      <c r="C5506" s="59">
        <v>910</v>
      </c>
      <c r="D5506" s="51">
        <v>5</v>
      </c>
      <c r="E5506" s="51">
        <f t="shared" ref="E5506:E5569" si="86">IF(OR(A5506=6,A5506=7,A5506=14,A5506=15,A5506=16,A5506=17,A5506=18,A5506=19,A5506=20,A5506=21,A5506=22,A5506=23,A5506=25,A5506=26,A5506=27,A5506=28,B5506=41,B5506=44,B5506=62),1,0)</f>
        <v>0</v>
      </c>
    </row>
    <row r="5507" spans="1:5">
      <c r="A5507" s="59">
        <v>11</v>
      </c>
      <c r="B5507" s="59">
        <v>14</v>
      </c>
      <c r="C5507" s="59">
        <v>940</v>
      </c>
      <c r="D5507" s="51">
        <v>4</v>
      </c>
      <c r="E5507" s="51">
        <f t="shared" si="86"/>
        <v>0</v>
      </c>
    </row>
    <row r="5508" spans="1:5">
      <c r="A5508" s="59">
        <v>11</v>
      </c>
      <c r="B5508" s="59">
        <v>16</v>
      </c>
      <c r="C5508" s="59">
        <v>890</v>
      </c>
      <c r="D5508" s="51">
        <v>4</v>
      </c>
      <c r="E5508" s="51">
        <f t="shared" si="86"/>
        <v>0</v>
      </c>
    </row>
    <row r="5509" spans="1:5">
      <c r="A5509" s="59">
        <v>11</v>
      </c>
      <c r="B5509" s="59">
        <v>23</v>
      </c>
      <c r="C5509" s="59">
        <v>330</v>
      </c>
      <c r="D5509" s="51">
        <v>4</v>
      </c>
      <c r="E5509" s="51">
        <f t="shared" si="86"/>
        <v>0</v>
      </c>
    </row>
    <row r="5510" spans="1:5">
      <c r="A5510" s="59">
        <v>11</v>
      </c>
      <c r="B5510" s="59">
        <v>32</v>
      </c>
      <c r="C5510" s="59">
        <v>150</v>
      </c>
      <c r="D5510" s="51">
        <v>4</v>
      </c>
      <c r="E5510" s="51">
        <f t="shared" si="86"/>
        <v>0</v>
      </c>
    </row>
    <row r="5511" spans="1:5">
      <c r="A5511" s="59">
        <v>11</v>
      </c>
      <c r="B5511" s="59">
        <v>32</v>
      </c>
      <c r="C5511" s="59">
        <v>220</v>
      </c>
      <c r="D5511" s="51">
        <v>4</v>
      </c>
      <c r="E5511" s="51">
        <f t="shared" si="86"/>
        <v>0</v>
      </c>
    </row>
    <row r="5512" spans="1:5">
      <c r="A5512" s="59">
        <v>11</v>
      </c>
      <c r="B5512" s="59">
        <v>33</v>
      </c>
      <c r="C5512" s="59">
        <v>220</v>
      </c>
      <c r="D5512" s="51">
        <v>4</v>
      </c>
      <c r="E5512" s="51">
        <f t="shared" si="86"/>
        <v>0</v>
      </c>
    </row>
    <row r="5513" spans="1:5">
      <c r="A5513" s="59">
        <v>11</v>
      </c>
      <c r="B5513" s="59">
        <v>41</v>
      </c>
      <c r="C5513" s="59">
        <v>330</v>
      </c>
      <c r="D5513" s="51">
        <v>4</v>
      </c>
      <c r="E5513" s="51">
        <f t="shared" si="86"/>
        <v>1</v>
      </c>
    </row>
    <row r="5514" spans="1:5">
      <c r="A5514" s="59">
        <v>11</v>
      </c>
      <c r="B5514" s="59">
        <v>42</v>
      </c>
      <c r="C5514" s="59">
        <v>220</v>
      </c>
      <c r="D5514" s="51">
        <v>4</v>
      </c>
      <c r="E5514" s="51">
        <f t="shared" si="86"/>
        <v>0</v>
      </c>
    </row>
    <row r="5515" spans="1:5">
      <c r="A5515" s="59">
        <v>11</v>
      </c>
      <c r="B5515" s="59">
        <v>42</v>
      </c>
      <c r="C5515" s="59">
        <v>410</v>
      </c>
      <c r="D5515" s="51">
        <v>4</v>
      </c>
      <c r="E5515" s="51">
        <f t="shared" si="86"/>
        <v>0</v>
      </c>
    </row>
    <row r="5516" spans="1:5">
      <c r="A5516" s="59">
        <v>11</v>
      </c>
      <c r="B5516" s="59">
        <v>42</v>
      </c>
      <c r="C5516" s="59">
        <v>540</v>
      </c>
      <c r="D5516" s="51">
        <v>4</v>
      </c>
      <c r="E5516" s="51">
        <f t="shared" si="86"/>
        <v>0</v>
      </c>
    </row>
    <row r="5517" spans="1:5">
      <c r="A5517" s="59">
        <v>11</v>
      </c>
      <c r="B5517" s="59">
        <v>42</v>
      </c>
      <c r="C5517" s="59">
        <v>610</v>
      </c>
      <c r="D5517" s="51">
        <v>4</v>
      </c>
      <c r="E5517" s="51">
        <f t="shared" si="86"/>
        <v>0</v>
      </c>
    </row>
    <row r="5518" spans="1:5">
      <c r="A5518" s="59">
        <v>11</v>
      </c>
      <c r="B5518" s="59">
        <v>44</v>
      </c>
      <c r="C5518" s="59">
        <v>210</v>
      </c>
      <c r="D5518" s="51">
        <v>4</v>
      </c>
      <c r="E5518" s="51">
        <f t="shared" si="86"/>
        <v>1</v>
      </c>
    </row>
    <row r="5519" spans="1:5">
      <c r="A5519" s="59">
        <v>11</v>
      </c>
      <c r="B5519" s="59">
        <v>62</v>
      </c>
      <c r="C5519" s="59">
        <v>420</v>
      </c>
      <c r="D5519" s="51">
        <v>4</v>
      </c>
      <c r="E5519" s="51">
        <f t="shared" si="86"/>
        <v>1</v>
      </c>
    </row>
    <row r="5520" spans="1:5">
      <c r="A5520" s="59">
        <v>11</v>
      </c>
      <c r="B5520" s="59">
        <v>63</v>
      </c>
      <c r="C5520" s="59">
        <v>730</v>
      </c>
      <c r="D5520" s="51">
        <v>4</v>
      </c>
      <c r="E5520" s="51">
        <f t="shared" si="86"/>
        <v>0</v>
      </c>
    </row>
    <row r="5521" spans="1:5">
      <c r="A5521" s="59">
        <v>11</v>
      </c>
      <c r="B5521" s="59">
        <v>64</v>
      </c>
      <c r="C5521" s="59">
        <v>861</v>
      </c>
      <c r="D5521" s="51">
        <v>4</v>
      </c>
      <c r="E5521" s="51">
        <f t="shared" si="86"/>
        <v>0</v>
      </c>
    </row>
    <row r="5522" spans="1:5">
      <c r="A5522" s="59">
        <v>11</v>
      </c>
      <c r="B5522" s="59">
        <v>64</v>
      </c>
      <c r="C5522" s="59">
        <v>892</v>
      </c>
      <c r="D5522" s="51">
        <v>4</v>
      </c>
      <c r="E5522" s="51">
        <f t="shared" si="86"/>
        <v>0</v>
      </c>
    </row>
    <row r="5523" spans="1:5">
      <c r="A5523" s="59">
        <v>11</v>
      </c>
      <c r="B5523" s="59">
        <v>71</v>
      </c>
      <c r="C5523" s="59">
        <v>220</v>
      </c>
      <c r="D5523" s="51">
        <v>4</v>
      </c>
      <c r="E5523" s="51">
        <f t="shared" si="86"/>
        <v>0</v>
      </c>
    </row>
    <row r="5524" spans="1:5">
      <c r="A5524" s="59">
        <v>11</v>
      </c>
      <c r="B5524" s="59">
        <v>71</v>
      </c>
      <c r="C5524" s="59">
        <v>230</v>
      </c>
      <c r="D5524" s="51">
        <v>4</v>
      </c>
      <c r="E5524" s="51">
        <f t="shared" si="86"/>
        <v>0</v>
      </c>
    </row>
    <row r="5525" spans="1:5">
      <c r="A5525" s="59">
        <v>11</v>
      </c>
      <c r="B5525" s="59">
        <v>71</v>
      </c>
      <c r="C5525" s="59">
        <v>420</v>
      </c>
      <c r="D5525" s="51">
        <v>4</v>
      </c>
      <c r="E5525" s="51">
        <f t="shared" si="86"/>
        <v>0</v>
      </c>
    </row>
    <row r="5526" spans="1:5">
      <c r="A5526" s="59">
        <v>11</v>
      </c>
      <c r="B5526" s="59">
        <v>71</v>
      </c>
      <c r="C5526" s="59">
        <v>430</v>
      </c>
      <c r="D5526" s="51">
        <v>4</v>
      </c>
      <c r="E5526" s="51">
        <f t="shared" si="86"/>
        <v>0</v>
      </c>
    </row>
    <row r="5527" spans="1:5">
      <c r="A5527" s="59">
        <v>11</v>
      </c>
      <c r="B5527" s="59">
        <v>71</v>
      </c>
      <c r="C5527" s="59">
        <v>510</v>
      </c>
      <c r="D5527" s="51">
        <v>4</v>
      </c>
      <c r="E5527" s="51">
        <f t="shared" si="86"/>
        <v>0</v>
      </c>
    </row>
    <row r="5528" spans="1:5">
      <c r="A5528" s="59">
        <v>11</v>
      </c>
      <c r="B5528" s="59">
        <v>71</v>
      </c>
      <c r="C5528" s="59">
        <v>920</v>
      </c>
      <c r="D5528" s="51">
        <v>4</v>
      </c>
      <c r="E5528" s="51">
        <f t="shared" si="86"/>
        <v>0</v>
      </c>
    </row>
    <row r="5529" spans="1:5">
      <c r="A5529" s="59">
        <v>11</v>
      </c>
      <c r="B5529" s="59">
        <v>81</v>
      </c>
      <c r="C5529" s="59">
        <v>620</v>
      </c>
      <c r="D5529" s="51">
        <v>4</v>
      </c>
      <c r="E5529" s="51">
        <f t="shared" si="86"/>
        <v>0</v>
      </c>
    </row>
    <row r="5530" spans="1:5">
      <c r="A5530" s="59">
        <v>11</v>
      </c>
      <c r="B5530" s="59">
        <v>13</v>
      </c>
      <c r="C5530" s="59">
        <v>130</v>
      </c>
      <c r="D5530" s="51">
        <v>3</v>
      </c>
      <c r="E5530" s="51">
        <f t="shared" si="86"/>
        <v>0</v>
      </c>
    </row>
    <row r="5531" spans="1:5">
      <c r="A5531" s="59">
        <v>11</v>
      </c>
      <c r="B5531" s="59">
        <v>13</v>
      </c>
      <c r="C5531" s="59">
        <v>930</v>
      </c>
      <c r="D5531" s="51">
        <v>3</v>
      </c>
      <c r="E5531" s="51">
        <f t="shared" si="86"/>
        <v>0</v>
      </c>
    </row>
    <row r="5532" spans="1:5">
      <c r="A5532" s="59">
        <v>11</v>
      </c>
      <c r="B5532" s="59">
        <v>14</v>
      </c>
      <c r="C5532" s="59">
        <v>130</v>
      </c>
      <c r="D5532" s="51">
        <v>3</v>
      </c>
      <c r="E5532" s="51">
        <f t="shared" si="86"/>
        <v>0</v>
      </c>
    </row>
    <row r="5533" spans="1:5">
      <c r="A5533" s="59">
        <v>11</v>
      </c>
      <c r="B5533" s="59">
        <v>14</v>
      </c>
      <c r="C5533" s="59">
        <v>420</v>
      </c>
      <c r="D5533" s="51">
        <v>3</v>
      </c>
      <c r="E5533" s="51">
        <f t="shared" si="86"/>
        <v>0</v>
      </c>
    </row>
    <row r="5534" spans="1:5">
      <c r="A5534" s="59">
        <v>11</v>
      </c>
      <c r="B5534" s="59">
        <v>14</v>
      </c>
      <c r="C5534" s="59">
        <v>620</v>
      </c>
      <c r="D5534" s="51">
        <v>3</v>
      </c>
      <c r="E5534" s="51">
        <f t="shared" si="86"/>
        <v>0</v>
      </c>
    </row>
    <row r="5535" spans="1:5">
      <c r="A5535" s="59">
        <v>11</v>
      </c>
      <c r="B5535" s="59">
        <v>16</v>
      </c>
      <c r="C5535" s="59">
        <v>410</v>
      </c>
      <c r="D5535" s="51">
        <v>3</v>
      </c>
      <c r="E5535" s="51">
        <f t="shared" si="86"/>
        <v>0</v>
      </c>
    </row>
    <row r="5536" spans="1:5">
      <c r="A5536" s="59">
        <v>11</v>
      </c>
      <c r="B5536" s="59">
        <v>21</v>
      </c>
      <c r="C5536" s="59">
        <v>110</v>
      </c>
      <c r="D5536" s="51">
        <v>3</v>
      </c>
      <c r="E5536" s="51">
        <f t="shared" si="86"/>
        <v>0</v>
      </c>
    </row>
    <row r="5537" spans="1:5">
      <c r="A5537" s="59">
        <v>11</v>
      </c>
      <c r="B5537" s="59">
        <v>23</v>
      </c>
      <c r="C5537" s="59">
        <v>150</v>
      </c>
      <c r="D5537" s="51">
        <v>3</v>
      </c>
      <c r="E5537" s="51">
        <f t="shared" si="86"/>
        <v>0</v>
      </c>
    </row>
    <row r="5538" spans="1:5">
      <c r="A5538" s="59">
        <v>11</v>
      </c>
      <c r="B5538" s="59">
        <v>33</v>
      </c>
      <c r="C5538" s="59">
        <v>910</v>
      </c>
      <c r="D5538" s="51">
        <v>3</v>
      </c>
      <c r="E5538" s="51">
        <f t="shared" si="86"/>
        <v>0</v>
      </c>
    </row>
    <row r="5539" spans="1:5">
      <c r="A5539" s="59">
        <v>11</v>
      </c>
      <c r="B5539" s="59">
        <v>33</v>
      </c>
      <c r="C5539" s="59">
        <v>930</v>
      </c>
      <c r="D5539" s="51">
        <v>3</v>
      </c>
      <c r="E5539" s="51">
        <f t="shared" si="86"/>
        <v>0</v>
      </c>
    </row>
    <row r="5540" spans="1:5">
      <c r="A5540" s="59">
        <v>11</v>
      </c>
      <c r="B5540" s="59">
        <v>41</v>
      </c>
      <c r="C5540" s="59">
        <v>150</v>
      </c>
      <c r="D5540" s="51">
        <v>3</v>
      </c>
      <c r="E5540" s="51">
        <f t="shared" si="86"/>
        <v>1</v>
      </c>
    </row>
    <row r="5541" spans="1:5">
      <c r="A5541" s="59">
        <v>11</v>
      </c>
      <c r="B5541" s="59">
        <v>41</v>
      </c>
      <c r="C5541" s="59">
        <v>230</v>
      </c>
      <c r="D5541" s="51">
        <v>3</v>
      </c>
      <c r="E5541" s="51">
        <f t="shared" si="86"/>
        <v>1</v>
      </c>
    </row>
    <row r="5542" spans="1:5">
      <c r="A5542" s="59">
        <v>11</v>
      </c>
      <c r="B5542" s="59">
        <v>41</v>
      </c>
      <c r="C5542" s="59">
        <v>430</v>
      </c>
      <c r="D5542" s="51">
        <v>3</v>
      </c>
      <c r="E5542" s="51">
        <f t="shared" si="86"/>
        <v>1</v>
      </c>
    </row>
    <row r="5543" spans="1:5">
      <c r="A5543" s="59">
        <v>11</v>
      </c>
      <c r="B5543" s="59">
        <v>42</v>
      </c>
      <c r="C5543" s="59">
        <v>320</v>
      </c>
      <c r="D5543" s="51">
        <v>3</v>
      </c>
      <c r="E5543" s="51">
        <f t="shared" si="86"/>
        <v>0</v>
      </c>
    </row>
    <row r="5544" spans="1:5">
      <c r="A5544" s="59">
        <v>11</v>
      </c>
      <c r="B5544" s="59">
        <v>43</v>
      </c>
      <c r="C5544" s="59">
        <v>520</v>
      </c>
      <c r="D5544" s="51">
        <v>3</v>
      </c>
      <c r="E5544" s="51">
        <f t="shared" si="86"/>
        <v>0</v>
      </c>
    </row>
    <row r="5545" spans="1:5">
      <c r="A5545" s="59">
        <v>11</v>
      </c>
      <c r="B5545" s="59">
        <v>43</v>
      </c>
      <c r="C5545" s="59">
        <v>730</v>
      </c>
      <c r="D5545" s="51">
        <v>3</v>
      </c>
      <c r="E5545" s="51">
        <f t="shared" si="86"/>
        <v>0</v>
      </c>
    </row>
    <row r="5546" spans="1:5">
      <c r="A5546" s="59">
        <v>11</v>
      </c>
      <c r="B5546" s="59">
        <v>44</v>
      </c>
      <c r="C5546" s="59">
        <v>730</v>
      </c>
      <c r="D5546" s="51">
        <v>3</v>
      </c>
      <c r="E5546" s="51">
        <f t="shared" si="86"/>
        <v>1</v>
      </c>
    </row>
    <row r="5547" spans="1:5">
      <c r="A5547" s="59">
        <v>11</v>
      </c>
      <c r="B5547" s="59">
        <v>51</v>
      </c>
      <c r="C5547" s="59">
        <v>530</v>
      </c>
      <c r="D5547" s="51">
        <v>3</v>
      </c>
      <c r="E5547" s="51">
        <f t="shared" si="86"/>
        <v>0</v>
      </c>
    </row>
    <row r="5548" spans="1:5">
      <c r="A5548" s="59">
        <v>11</v>
      </c>
      <c r="B5548" s="59">
        <v>62</v>
      </c>
      <c r="C5548" s="59">
        <v>320</v>
      </c>
      <c r="D5548" s="51">
        <v>3</v>
      </c>
      <c r="E5548" s="51">
        <f t="shared" si="86"/>
        <v>1</v>
      </c>
    </row>
    <row r="5549" spans="1:5">
      <c r="A5549" s="59">
        <v>11</v>
      </c>
      <c r="B5549" s="59">
        <v>62</v>
      </c>
      <c r="C5549" s="59">
        <v>540</v>
      </c>
      <c r="D5549" s="51">
        <v>3</v>
      </c>
      <c r="E5549" s="51">
        <f t="shared" si="86"/>
        <v>1</v>
      </c>
    </row>
    <row r="5550" spans="1:5">
      <c r="A5550" s="59">
        <v>11</v>
      </c>
      <c r="B5550" s="59">
        <v>62</v>
      </c>
      <c r="C5550" s="59">
        <v>920</v>
      </c>
      <c r="D5550" s="51">
        <v>3</v>
      </c>
      <c r="E5550" s="51">
        <f t="shared" si="86"/>
        <v>1</v>
      </c>
    </row>
    <row r="5551" spans="1:5">
      <c r="A5551" s="59">
        <v>11</v>
      </c>
      <c r="B5551" s="59">
        <v>63</v>
      </c>
      <c r="C5551" s="59">
        <v>310</v>
      </c>
      <c r="D5551" s="51">
        <v>3</v>
      </c>
      <c r="E5551" s="51">
        <f t="shared" si="86"/>
        <v>0</v>
      </c>
    </row>
    <row r="5552" spans="1:5">
      <c r="A5552" s="59">
        <v>11</v>
      </c>
      <c r="B5552" s="59">
        <v>71</v>
      </c>
      <c r="C5552" s="59">
        <v>210</v>
      </c>
      <c r="D5552" s="51">
        <v>3</v>
      </c>
      <c r="E5552" s="51">
        <f t="shared" si="86"/>
        <v>0</v>
      </c>
    </row>
    <row r="5553" spans="1:5">
      <c r="A5553" s="59">
        <v>11</v>
      </c>
      <c r="B5553" s="59">
        <v>71</v>
      </c>
      <c r="C5553" s="59">
        <v>750</v>
      </c>
      <c r="D5553" s="51">
        <v>3</v>
      </c>
      <c r="E5553" s="51">
        <f t="shared" si="86"/>
        <v>0</v>
      </c>
    </row>
    <row r="5554" spans="1:5">
      <c r="A5554" s="59">
        <v>11</v>
      </c>
      <c r="B5554" s="59">
        <v>12</v>
      </c>
      <c r="C5554" s="59">
        <v>160</v>
      </c>
      <c r="D5554" s="51">
        <v>2</v>
      </c>
      <c r="E5554" s="51">
        <f t="shared" si="86"/>
        <v>0</v>
      </c>
    </row>
    <row r="5555" spans="1:5">
      <c r="A5555" s="59">
        <v>11</v>
      </c>
      <c r="B5555" s="59">
        <v>13</v>
      </c>
      <c r="C5555" s="59">
        <v>410</v>
      </c>
      <c r="D5555" s="51">
        <v>2</v>
      </c>
      <c r="E5555" s="51">
        <f t="shared" si="86"/>
        <v>0</v>
      </c>
    </row>
    <row r="5556" spans="1:5">
      <c r="A5556" s="59">
        <v>11</v>
      </c>
      <c r="B5556" s="59">
        <v>13</v>
      </c>
      <c r="C5556" s="59">
        <v>610</v>
      </c>
      <c r="D5556" s="51">
        <v>2</v>
      </c>
      <c r="E5556" s="51">
        <f t="shared" si="86"/>
        <v>0</v>
      </c>
    </row>
    <row r="5557" spans="1:5">
      <c r="A5557" s="59">
        <v>11</v>
      </c>
      <c r="B5557" s="59">
        <v>15</v>
      </c>
      <c r="C5557" s="59">
        <v>430</v>
      </c>
      <c r="D5557" s="51">
        <v>2</v>
      </c>
      <c r="E5557" s="51">
        <f t="shared" si="86"/>
        <v>0</v>
      </c>
    </row>
    <row r="5558" spans="1:5">
      <c r="A5558" s="59">
        <v>11</v>
      </c>
      <c r="B5558" s="59">
        <v>15</v>
      </c>
      <c r="C5558" s="59">
        <v>910</v>
      </c>
      <c r="D5558" s="51">
        <v>2</v>
      </c>
      <c r="E5558" s="51">
        <f t="shared" si="86"/>
        <v>0</v>
      </c>
    </row>
    <row r="5559" spans="1:5">
      <c r="A5559" s="59">
        <v>11</v>
      </c>
      <c r="B5559" s="59">
        <v>16</v>
      </c>
      <c r="C5559" s="59">
        <v>140</v>
      </c>
      <c r="D5559" s="51">
        <v>2</v>
      </c>
      <c r="E5559" s="51">
        <f t="shared" si="86"/>
        <v>0</v>
      </c>
    </row>
    <row r="5560" spans="1:5">
      <c r="A5560" s="59">
        <v>11</v>
      </c>
      <c r="B5560" s="59">
        <v>16</v>
      </c>
      <c r="C5560" s="59">
        <v>420</v>
      </c>
      <c r="D5560" s="51">
        <v>2</v>
      </c>
      <c r="E5560" s="51">
        <f t="shared" si="86"/>
        <v>0</v>
      </c>
    </row>
    <row r="5561" spans="1:5">
      <c r="A5561" s="59">
        <v>11</v>
      </c>
      <c r="B5561" s="59">
        <v>21</v>
      </c>
      <c r="C5561" s="59">
        <v>220</v>
      </c>
      <c r="D5561" s="51">
        <v>2</v>
      </c>
      <c r="E5561" s="51">
        <f t="shared" si="86"/>
        <v>0</v>
      </c>
    </row>
    <row r="5562" spans="1:5">
      <c r="A5562" s="59">
        <v>11</v>
      </c>
      <c r="B5562" s="59">
        <v>21</v>
      </c>
      <c r="C5562" s="59">
        <v>890</v>
      </c>
      <c r="D5562" s="51">
        <v>2</v>
      </c>
      <c r="E5562" s="51">
        <f t="shared" si="86"/>
        <v>0</v>
      </c>
    </row>
    <row r="5563" spans="1:5">
      <c r="A5563" s="59">
        <v>11</v>
      </c>
      <c r="B5563" s="59">
        <v>21</v>
      </c>
      <c r="C5563" s="59">
        <v>910</v>
      </c>
      <c r="D5563" s="51">
        <v>2</v>
      </c>
      <c r="E5563" s="51">
        <f t="shared" si="86"/>
        <v>0</v>
      </c>
    </row>
    <row r="5564" spans="1:5">
      <c r="A5564" s="59">
        <v>11</v>
      </c>
      <c r="B5564" s="59">
        <v>22</v>
      </c>
      <c r="C5564" s="59">
        <v>930</v>
      </c>
      <c r="D5564" s="51">
        <v>2</v>
      </c>
      <c r="E5564" s="51">
        <f t="shared" si="86"/>
        <v>0</v>
      </c>
    </row>
    <row r="5565" spans="1:5">
      <c r="A5565" s="59">
        <v>11</v>
      </c>
      <c r="B5565" s="59">
        <v>22</v>
      </c>
      <c r="C5565" s="59">
        <v>940</v>
      </c>
      <c r="D5565" s="51">
        <v>2</v>
      </c>
      <c r="E5565" s="51">
        <f t="shared" si="86"/>
        <v>0</v>
      </c>
    </row>
    <row r="5566" spans="1:5">
      <c r="A5566" s="59">
        <v>11</v>
      </c>
      <c r="B5566" s="59">
        <v>22</v>
      </c>
      <c r="C5566" s="59">
        <v>960</v>
      </c>
      <c r="D5566" s="51">
        <v>2</v>
      </c>
      <c r="E5566" s="51">
        <f t="shared" si="86"/>
        <v>0</v>
      </c>
    </row>
    <row r="5567" spans="1:5">
      <c r="A5567" s="59">
        <v>11</v>
      </c>
      <c r="B5567" s="59">
        <v>22</v>
      </c>
      <c r="C5567" s="59">
        <v>990</v>
      </c>
      <c r="D5567" s="51">
        <v>2</v>
      </c>
      <c r="E5567" s="51">
        <f t="shared" si="86"/>
        <v>0</v>
      </c>
    </row>
    <row r="5568" spans="1:5">
      <c r="A5568" s="59">
        <v>11</v>
      </c>
      <c r="B5568" s="59">
        <v>23</v>
      </c>
      <c r="C5568" s="59">
        <v>320</v>
      </c>
      <c r="D5568" s="51">
        <v>2</v>
      </c>
      <c r="E5568" s="51">
        <f t="shared" si="86"/>
        <v>0</v>
      </c>
    </row>
    <row r="5569" spans="1:5">
      <c r="A5569" s="59">
        <v>11</v>
      </c>
      <c r="B5569" s="59">
        <v>31</v>
      </c>
      <c r="C5569" s="59">
        <v>230</v>
      </c>
      <c r="D5569" s="51">
        <v>2</v>
      </c>
      <c r="E5569" s="51">
        <f t="shared" si="86"/>
        <v>0</v>
      </c>
    </row>
    <row r="5570" spans="1:5">
      <c r="A5570" s="59">
        <v>11</v>
      </c>
      <c r="B5570" s="59">
        <v>31</v>
      </c>
      <c r="C5570" s="59">
        <v>895</v>
      </c>
      <c r="D5570" s="51">
        <v>2</v>
      </c>
      <c r="E5570" s="51">
        <f t="shared" ref="E5570:E5633" si="87">IF(OR(A5570=6,A5570=7,A5570=14,A5570=15,A5570=16,A5570=17,A5570=18,A5570=19,A5570=20,A5570=21,A5570=22,A5570=23,A5570=25,A5570=26,A5570=27,A5570=28,B5570=41,B5570=44,B5570=62),1,0)</f>
        <v>0</v>
      </c>
    </row>
    <row r="5571" spans="1:5">
      <c r="A5571" s="59">
        <v>11</v>
      </c>
      <c r="B5571" s="59">
        <v>32</v>
      </c>
      <c r="C5571" s="59">
        <v>620</v>
      </c>
      <c r="D5571" s="51">
        <v>2</v>
      </c>
      <c r="E5571" s="51">
        <f t="shared" si="87"/>
        <v>0</v>
      </c>
    </row>
    <row r="5572" spans="1:5">
      <c r="A5572" s="59">
        <v>11</v>
      </c>
      <c r="B5572" s="59">
        <v>32</v>
      </c>
      <c r="C5572" s="59">
        <v>930</v>
      </c>
      <c r="D5572" s="51">
        <v>2</v>
      </c>
      <c r="E5572" s="51">
        <f t="shared" si="87"/>
        <v>0</v>
      </c>
    </row>
    <row r="5573" spans="1:5">
      <c r="A5573" s="59">
        <v>11</v>
      </c>
      <c r="B5573" s="59">
        <v>33</v>
      </c>
      <c r="C5573" s="59">
        <v>530</v>
      </c>
      <c r="D5573" s="51">
        <v>2</v>
      </c>
      <c r="E5573" s="51">
        <f t="shared" si="87"/>
        <v>0</v>
      </c>
    </row>
    <row r="5574" spans="1:5">
      <c r="A5574" s="59">
        <v>11</v>
      </c>
      <c r="B5574" s="59">
        <v>33</v>
      </c>
      <c r="C5574" s="59">
        <v>620</v>
      </c>
      <c r="D5574" s="51">
        <v>2</v>
      </c>
      <c r="E5574" s="51">
        <f t="shared" si="87"/>
        <v>0</v>
      </c>
    </row>
    <row r="5575" spans="1:5">
      <c r="A5575" s="59">
        <v>11</v>
      </c>
      <c r="B5575" s="59">
        <v>41</v>
      </c>
      <c r="C5575" s="59">
        <v>210</v>
      </c>
      <c r="D5575" s="51">
        <v>2</v>
      </c>
      <c r="E5575" s="51">
        <f t="shared" si="87"/>
        <v>1</v>
      </c>
    </row>
    <row r="5576" spans="1:5">
      <c r="A5576" s="59">
        <v>11</v>
      </c>
      <c r="B5576" s="59">
        <v>41</v>
      </c>
      <c r="C5576" s="59">
        <v>910</v>
      </c>
      <c r="D5576" s="51">
        <v>2</v>
      </c>
      <c r="E5576" s="51">
        <f t="shared" si="87"/>
        <v>1</v>
      </c>
    </row>
    <row r="5577" spans="1:5">
      <c r="A5577" s="59">
        <v>11</v>
      </c>
      <c r="B5577" s="59">
        <v>42</v>
      </c>
      <c r="C5577" s="59">
        <v>630</v>
      </c>
      <c r="D5577" s="51">
        <v>2</v>
      </c>
      <c r="E5577" s="51">
        <f t="shared" si="87"/>
        <v>0</v>
      </c>
    </row>
    <row r="5578" spans="1:5">
      <c r="A5578" s="59">
        <v>11</v>
      </c>
      <c r="B5578" s="59">
        <v>42</v>
      </c>
      <c r="C5578" s="59">
        <v>910</v>
      </c>
      <c r="D5578" s="51">
        <v>2</v>
      </c>
      <c r="E5578" s="51">
        <f t="shared" si="87"/>
        <v>0</v>
      </c>
    </row>
    <row r="5579" spans="1:5">
      <c r="A5579" s="59">
        <v>11</v>
      </c>
      <c r="B5579" s="59">
        <v>43</v>
      </c>
      <c r="C5579" s="59">
        <v>130</v>
      </c>
      <c r="D5579" s="51">
        <v>2</v>
      </c>
      <c r="E5579" s="51">
        <f t="shared" si="87"/>
        <v>0</v>
      </c>
    </row>
    <row r="5580" spans="1:5">
      <c r="A5580" s="59">
        <v>11</v>
      </c>
      <c r="B5580" s="59">
        <v>43</v>
      </c>
      <c r="C5580" s="59">
        <v>550</v>
      </c>
      <c r="D5580" s="51">
        <v>2</v>
      </c>
      <c r="E5580" s="51">
        <f t="shared" si="87"/>
        <v>0</v>
      </c>
    </row>
    <row r="5581" spans="1:5">
      <c r="A5581" s="59">
        <v>11</v>
      </c>
      <c r="B5581" s="59">
        <v>43</v>
      </c>
      <c r="C5581" s="59">
        <v>891</v>
      </c>
      <c r="D5581" s="51">
        <v>2</v>
      </c>
      <c r="E5581" s="51">
        <f t="shared" si="87"/>
        <v>0</v>
      </c>
    </row>
    <row r="5582" spans="1:5">
      <c r="A5582" s="59">
        <v>11</v>
      </c>
      <c r="B5582" s="59">
        <v>43</v>
      </c>
      <c r="C5582" s="59">
        <v>990</v>
      </c>
      <c r="D5582" s="51">
        <v>2</v>
      </c>
      <c r="E5582" s="51">
        <f t="shared" si="87"/>
        <v>0</v>
      </c>
    </row>
    <row r="5583" spans="1:5">
      <c r="A5583" s="59">
        <v>11</v>
      </c>
      <c r="B5583" s="59">
        <v>44</v>
      </c>
      <c r="C5583" s="59">
        <v>920</v>
      </c>
      <c r="D5583" s="51">
        <v>2</v>
      </c>
      <c r="E5583" s="51">
        <f t="shared" si="87"/>
        <v>1</v>
      </c>
    </row>
    <row r="5584" spans="1:5">
      <c r="A5584" s="59">
        <v>11</v>
      </c>
      <c r="B5584" s="59">
        <v>51</v>
      </c>
      <c r="C5584" s="59">
        <v>160</v>
      </c>
      <c r="D5584" s="51">
        <v>2</v>
      </c>
      <c r="E5584" s="51">
        <f t="shared" si="87"/>
        <v>0</v>
      </c>
    </row>
    <row r="5585" spans="1:5">
      <c r="A5585" s="59">
        <v>11</v>
      </c>
      <c r="B5585" s="59">
        <v>61</v>
      </c>
      <c r="C5585" s="59">
        <v>950</v>
      </c>
      <c r="D5585" s="51">
        <v>2</v>
      </c>
      <c r="E5585" s="51">
        <f t="shared" si="87"/>
        <v>0</v>
      </c>
    </row>
    <row r="5586" spans="1:5">
      <c r="A5586" s="59">
        <v>11</v>
      </c>
      <c r="B5586" s="59">
        <v>63</v>
      </c>
      <c r="C5586" s="59">
        <v>410</v>
      </c>
      <c r="D5586" s="51">
        <v>2</v>
      </c>
      <c r="E5586" s="51">
        <f t="shared" si="87"/>
        <v>0</v>
      </c>
    </row>
    <row r="5587" spans="1:5">
      <c r="A5587" s="59">
        <v>11</v>
      </c>
      <c r="B5587" s="59">
        <v>63</v>
      </c>
      <c r="C5587" s="59">
        <v>520</v>
      </c>
      <c r="D5587" s="51">
        <v>2</v>
      </c>
      <c r="E5587" s="51">
        <f t="shared" si="87"/>
        <v>0</v>
      </c>
    </row>
    <row r="5588" spans="1:5">
      <c r="A5588" s="59">
        <v>11</v>
      </c>
      <c r="B5588" s="59">
        <v>63</v>
      </c>
      <c r="C5588" s="59">
        <v>630</v>
      </c>
      <c r="D5588" s="51">
        <v>2</v>
      </c>
      <c r="E5588" s="51">
        <f t="shared" si="87"/>
        <v>0</v>
      </c>
    </row>
    <row r="5589" spans="1:5">
      <c r="A5589" s="59">
        <v>11</v>
      </c>
      <c r="B5589" s="59">
        <v>64</v>
      </c>
      <c r="C5589" s="59">
        <v>120</v>
      </c>
      <c r="D5589" s="51">
        <v>2</v>
      </c>
      <c r="E5589" s="51">
        <f t="shared" si="87"/>
        <v>0</v>
      </c>
    </row>
    <row r="5590" spans="1:5">
      <c r="A5590" s="59">
        <v>11</v>
      </c>
      <c r="B5590" s="59">
        <v>64</v>
      </c>
      <c r="C5590" s="59">
        <v>730</v>
      </c>
      <c r="D5590" s="51">
        <v>2</v>
      </c>
      <c r="E5590" s="51">
        <f t="shared" si="87"/>
        <v>0</v>
      </c>
    </row>
    <row r="5591" spans="1:5">
      <c r="A5591" s="59">
        <v>11</v>
      </c>
      <c r="B5591" s="59">
        <v>64</v>
      </c>
      <c r="C5591" s="59">
        <v>862</v>
      </c>
      <c r="D5591" s="51">
        <v>2</v>
      </c>
      <c r="E5591" s="51">
        <f t="shared" si="87"/>
        <v>0</v>
      </c>
    </row>
    <row r="5592" spans="1:5">
      <c r="A5592" s="59">
        <v>11</v>
      </c>
      <c r="B5592" s="59">
        <v>71</v>
      </c>
      <c r="C5592" s="59">
        <v>410</v>
      </c>
      <c r="D5592" s="51">
        <v>2</v>
      </c>
      <c r="E5592" s="51">
        <f t="shared" si="87"/>
        <v>0</v>
      </c>
    </row>
    <row r="5593" spans="1:5">
      <c r="A5593" s="59">
        <v>11</v>
      </c>
      <c r="B5593" s="59">
        <v>71</v>
      </c>
      <c r="C5593" s="59">
        <v>930</v>
      </c>
      <c r="D5593" s="51">
        <v>2</v>
      </c>
      <c r="E5593" s="51">
        <f t="shared" si="87"/>
        <v>0</v>
      </c>
    </row>
    <row r="5594" spans="1:5">
      <c r="A5594" s="59">
        <v>11</v>
      </c>
      <c r="B5594" s="59">
        <v>81</v>
      </c>
      <c r="C5594" s="59">
        <v>150</v>
      </c>
      <c r="D5594" s="51">
        <v>2</v>
      </c>
      <c r="E5594" s="51">
        <f t="shared" si="87"/>
        <v>0</v>
      </c>
    </row>
    <row r="5595" spans="1:5">
      <c r="A5595" s="59">
        <v>11</v>
      </c>
      <c r="B5595" s="59">
        <v>81</v>
      </c>
      <c r="C5595" s="59">
        <v>730</v>
      </c>
      <c r="D5595" s="51">
        <v>2</v>
      </c>
      <c r="E5595" s="51">
        <f t="shared" si="87"/>
        <v>0</v>
      </c>
    </row>
    <row r="5596" spans="1:5">
      <c r="A5596" s="59">
        <v>11</v>
      </c>
      <c r="B5596" s="59">
        <v>11</v>
      </c>
      <c r="C5596" s="59">
        <v>210</v>
      </c>
      <c r="D5596" s="51">
        <v>1</v>
      </c>
      <c r="E5596" s="51">
        <f t="shared" si="87"/>
        <v>0</v>
      </c>
    </row>
    <row r="5597" spans="1:5">
      <c r="A5597" s="59">
        <v>11</v>
      </c>
      <c r="B5597" s="59">
        <v>11</v>
      </c>
      <c r="C5597" s="59">
        <v>240</v>
      </c>
      <c r="D5597" s="51">
        <v>1</v>
      </c>
      <c r="E5597" s="51">
        <f t="shared" si="87"/>
        <v>0</v>
      </c>
    </row>
    <row r="5598" spans="1:5">
      <c r="A5598" s="59">
        <v>11</v>
      </c>
      <c r="B5598" s="59">
        <v>11</v>
      </c>
      <c r="C5598" s="59">
        <v>320</v>
      </c>
      <c r="D5598" s="51">
        <v>1</v>
      </c>
      <c r="E5598" s="51">
        <f t="shared" si="87"/>
        <v>0</v>
      </c>
    </row>
    <row r="5599" spans="1:5">
      <c r="A5599" s="59">
        <v>11</v>
      </c>
      <c r="B5599" s="59">
        <v>11</v>
      </c>
      <c r="C5599" s="59">
        <v>430</v>
      </c>
      <c r="D5599" s="51">
        <v>1</v>
      </c>
      <c r="E5599" s="51">
        <f t="shared" si="87"/>
        <v>0</v>
      </c>
    </row>
    <row r="5600" spans="1:5">
      <c r="A5600" s="59">
        <v>11</v>
      </c>
      <c r="B5600" s="59">
        <v>12</v>
      </c>
      <c r="C5600" s="59">
        <v>150</v>
      </c>
      <c r="D5600" s="51">
        <v>1</v>
      </c>
      <c r="E5600" s="51">
        <f t="shared" si="87"/>
        <v>0</v>
      </c>
    </row>
    <row r="5601" spans="1:5">
      <c r="A5601" s="59">
        <v>11</v>
      </c>
      <c r="B5601" s="59">
        <v>12</v>
      </c>
      <c r="C5601" s="59">
        <v>240</v>
      </c>
      <c r="D5601" s="51">
        <v>1</v>
      </c>
      <c r="E5601" s="51">
        <f t="shared" si="87"/>
        <v>0</v>
      </c>
    </row>
    <row r="5602" spans="1:5">
      <c r="A5602" s="59">
        <v>11</v>
      </c>
      <c r="B5602" s="59">
        <v>12</v>
      </c>
      <c r="C5602" s="59">
        <v>920</v>
      </c>
      <c r="D5602" s="51">
        <v>1</v>
      </c>
      <c r="E5602" s="51">
        <f t="shared" si="87"/>
        <v>0</v>
      </c>
    </row>
    <row r="5603" spans="1:5">
      <c r="A5603" s="59">
        <v>11</v>
      </c>
      <c r="B5603" s="59">
        <v>13</v>
      </c>
      <c r="C5603" s="59">
        <v>120</v>
      </c>
      <c r="D5603" s="51">
        <v>1</v>
      </c>
      <c r="E5603" s="51">
        <f t="shared" si="87"/>
        <v>0</v>
      </c>
    </row>
    <row r="5604" spans="1:5">
      <c r="A5604" s="59">
        <v>11</v>
      </c>
      <c r="B5604" s="59">
        <v>13</v>
      </c>
      <c r="C5604" s="59">
        <v>140</v>
      </c>
      <c r="D5604" s="51">
        <v>1</v>
      </c>
      <c r="E5604" s="51">
        <f t="shared" si="87"/>
        <v>0</v>
      </c>
    </row>
    <row r="5605" spans="1:5">
      <c r="A5605" s="59">
        <v>11</v>
      </c>
      <c r="B5605" s="59">
        <v>13</v>
      </c>
      <c r="C5605" s="59">
        <v>970</v>
      </c>
      <c r="D5605" s="51">
        <v>1</v>
      </c>
      <c r="E5605" s="51">
        <f t="shared" si="87"/>
        <v>0</v>
      </c>
    </row>
    <row r="5606" spans="1:5">
      <c r="A5606" s="59">
        <v>11</v>
      </c>
      <c r="B5606" s="59">
        <v>14</v>
      </c>
      <c r="C5606" s="59">
        <v>920</v>
      </c>
      <c r="D5606" s="51">
        <v>1</v>
      </c>
      <c r="E5606" s="51">
        <f t="shared" si="87"/>
        <v>0</v>
      </c>
    </row>
    <row r="5607" spans="1:5">
      <c r="A5607" s="59">
        <v>11</v>
      </c>
      <c r="B5607" s="59">
        <v>14</v>
      </c>
      <c r="C5607" s="59">
        <v>960</v>
      </c>
      <c r="D5607" s="51">
        <v>1</v>
      </c>
      <c r="E5607" s="51">
        <f t="shared" si="87"/>
        <v>0</v>
      </c>
    </row>
    <row r="5608" spans="1:5">
      <c r="A5608" s="59">
        <v>11</v>
      </c>
      <c r="B5608" s="59">
        <v>14</v>
      </c>
      <c r="C5608" s="59">
        <v>990</v>
      </c>
      <c r="D5608" s="51">
        <v>1</v>
      </c>
      <c r="E5608" s="51">
        <f t="shared" si="87"/>
        <v>0</v>
      </c>
    </row>
    <row r="5609" spans="1:5">
      <c r="A5609" s="59">
        <v>11</v>
      </c>
      <c r="B5609" s="59">
        <v>15</v>
      </c>
      <c r="C5609" s="59">
        <v>120</v>
      </c>
      <c r="D5609" s="51">
        <v>1</v>
      </c>
      <c r="E5609" s="51">
        <f t="shared" si="87"/>
        <v>0</v>
      </c>
    </row>
    <row r="5610" spans="1:5">
      <c r="A5610" s="59">
        <v>11</v>
      </c>
      <c r="B5610" s="59">
        <v>15</v>
      </c>
      <c r="C5610" s="59">
        <v>130</v>
      </c>
      <c r="D5610" s="51">
        <v>1</v>
      </c>
      <c r="E5610" s="51">
        <f t="shared" si="87"/>
        <v>0</v>
      </c>
    </row>
    <row r="5611" spans="1:5">
      <c r="A5611" s="59">
        <v>11</v>
      </c>
      <c r="B5611" s="59">
        <v>15</v>
      </c>
      <c r="C5611" s="59">
        <v>220</v>
      </c>
      <c r="D5611" s="51">
        <v>1</v>
      </c>
      <c r="E5611" s="51">
        <f t="shared" si="87"/>
        <v>0</v>
      </c>
    </row>
    <row r="5612" spans="1:5">
      <c r="A5612" s="59">
        <v>11</v>
      </c>
      <c r="B5612" s="59">
        <v>15</v>
      </c>
      <c r="C5612" s="59">
        <v>540</v>
      </c>
      <c r="D5612" s="51">
        <v>1</v>
      </c>
      <c r="E5612" s="51">
        <f t="shared" si="87"/>
        <v>0</v>
      </c>
    </row>
    <row r="5613" spans="1:5">
      <c r="A5613" s="59">
        <v>11</v>
      </c>
      <c r="B5613" s="59">
        <v>15</v>
      </c>
      <c r="C5613" s="59">
        <v>930</v>
      </c>
      <c r="D5613" s="51">
        <v>1</v>
      </c>
      <c r="E5613" s="51">
        <f t="shared" si="87"/>
        <v>0</v>
      </c>
    </row>
    <row r="5614" spans="1:5">
      <c r="A5614" s="59">
        <v>11</v>
      </c>
      <c r="B5614" s="59">
        <v>15</v>
      </c>
      <c r="C5614" s="59">
        <v>940</v>
      </c>
      <c r="D5614" s="51">
        <v>1</v>
      </c>
      <c r="E5614" s="51">
        <f t="shared" si="87"/>
        <v>0</v>
      </c>
    </row>
    <row r="5615" spans="1:5">
      <c r="A5615" s="59">
        <v>11</v>
      </c>
      <c r="B5615" s="59">
        <v>16</v>
      </c>
      <c r="C5615" s="59">
        <v>120</v>
      </c>
      <c r="D5615" s="51">
        <v>1</v>
      </c>
      <c r="E5615" s="51">
        <f t="shared" si="87"/>
        <v>0</v>
      </c>
    </row>
    <row r="5616" spans="1:5">
      <c r="A5616" s="59">
        <v>11</v>
      </c>
      <c r="B5616" s="59">
        <v>16</v>
      </c>
      <c r="C5616" s="59">
        <v>840</v>
      </c>
      <c r="D5616" s="51">
        <v>1</v>
      </c>
      <c r="E5616" s="51">
        <f t="shared" si="87"/>
        <v>0</v>
      </c>
    </row>
    <row r="5617" spans="1:5">
      <c r="A5617" s="59">
        <v>11</v>
      </c>
      <c r="B5617" s="59">
        <v>21</v>
      </c>
      <c r="C5617" s="59">
        <v>930</v>
      </c>
      <c r="D5617" s="51">
        <v>1</v>
      </c>
      <c r="E5617" s="51">
        <f t="shared" si="87"/>
        <v>0</v>
      </c>
    </row>
    <row r="5618" spans="1:5">
      <c r="A5618" s="59">
        <v>11</v>
      </c>
      <c r="B5618" s="59">
        <v>21</v>
      </c>
      <c r="C5618" s="59">
        <v>990</v>
      </c>
      <c r="D5618" s="51">
        <v>1</v>
      </c>
      <c r="E5618" s="51">
        <f t="shared" si="87"/>
        <v>0</v>
      </c>
    </row>
    <row r="5619" spans="1:5">
      <c r="A5619" s="59">
        <v>11</v>
      </c>
      <c r="B5619" s="59">
        <v>22</v>
      </c>
      <c r="C5619" s="59">
        <v>120</v>
      </c>
      <c r="D5619" s="51">
        <v>1</v>
      </c>
      <c r="E5619" s="51">
        <f t="shared" si="87"/>
        <v>0</v>
      </c>
    </row>
    <row r="5620" spans="1:5">
      <c r="A5620" s="59">
        <v>11</v>
      </c>
      <c r="B5620" s="59">
        <v>22</v>
      </c>
      <c r="C5620" s="59">
        <v>130</v>
      </c>
      <c r="D5620" s="51">
        <v>1</v>
      </c>
      <c r="E5620" s="51">
        <f t="shared" si="87"/>
        <v>0</v>
      </c>
    </row>
    <row r="5621" spans="1:5">
      <c r="A5621" s="59">
        <v>11</v>
      </c>
      <c r="B5621" s="59">
        <v>22</v>
      </c>
      <c r="C5621" s="59">
        <v>720</v>
      </c>
      <c r="D5621" s="51">
        <v>1</v>
      </c>
      <c r="E5621" s="51">
        <f t="shared" si="87"/>
        <v>0</v>
      </c>
    </row>
    <row r="5622" spans="1:5">
      <c r="A5622" s="59">
        <v>11</v>
      </c>
      <c r="B5622" s="59">
        <v>22</v>
      </c>
      <c r="C5622" s="59">
        <v>920</v>
      </c>
      <c r="D5622" s="51">
        <v>1</v>
      </c>
      <c r="E5622" s="51">
        <f t="shared" si="87"/>
        <v>0</v>
      </c>
    </row>
    <row r="5623" spans="1:5">
      <c r="A5623" s="59">
        <v>11</v>
      </c>
      <c r="B5623" s="59">
        <v>23</v>
      </c>
      <c r="C5623" s="59">
        <v>530</v>
      </c>
      <c r="D5623" s="51">
        <v>1</v>
      </c>
      <c r="E5623" s="51">
        <f t="shared" si="87"/>
        <v>0</v>
      </c>
    </row>
    <row r="5624" spans="1:5">
      <c r="A5624" s="59">
        <v>11</v>
      </c>
      <c r="B5624" s="59">
        <v>24</v>
      </c>
      <c r="C5624" s="59">
        <v>150</v>
      </c>
      <c r="D5624" s="51">
        <v>1</v>
      </c>
      <c r="E5624" s="51">
        <f t="shared" si="87"/>
        <v>0</v>
      </c>
    </row>
    <row r="5625" spans="1:5">
      <c r="A5625" s="59">
        <v>11</v>
      </c>
      <c r="B5625" s="59">
        <v>31</v>
      </c>
      <c r="C5625" s="59">
        <v>220</v>
      </c>
      <c r="D5625" s="51">
        <v>1</v>
      </c>
      <c r="E5625" s="51">
        <f t="shared" si="87"/>
        <v>0</v>
      </c>
    </row>
    <row r="5626" spans="1:5">
      <c r="A5626" s="59">
        <v>11</v>
      </c>
      <c r="B5626" s="59">
        <v>31</v>
      </c>
      <c r="C5626" s="59">
        <v>320</v>
      </c>
      <c r="D5626" s="51">
        <v>1</v>
      </c>
      <c r="E5626" s="51">
        <f t="shared" si="87"/>
        <v>0</v>
      </c>
    </row>
    <row r="5627" spans="1:5">
      <c r="A5627" s="59">
        <v>11</v>
      </c>
      <c r="B5627" s="59">
        <v>31</v>
      </c>
      <c r="C5627" s="59">
        <v>420</v>
      </c>
      <c r="D5627" s="51">
        <v>1</v>
      </c>
      <c r="E5627" s="51">
        <f t="shared" si="87"/>
        <v>0</v>
      </c>
    </row>
    <row r="5628" spans="1:5">
      <c r="A5628" s="59">
        <v>11</v>
      </c>
      <c r="B5628" s="59">
        <v>31</v>
      </c>
      <c r="C5628" s="59">
        <v>910</v>
      </c>
      <c r="D5628" s="51">
        <v>1</v>
      </c>
      <c r="E5628" s="51">
        <f t="shared" si="87"/>
        <v>0</v>
      </c>
    </row>
    <row r="5629" spans="1:5">
      <c r="A5629" s="59">
        <v>11</v>
      </c>
      <c r="B5629" s="59">
        <v>32</v>
      </c>
      <c r="C5629" s="59">
        <v>320</v>
      </c>
      <c r="D5629" s="51">
        <v>1</v>
      </c>
      <c r="E5629" s="51">
        <f t="shared" si="87"/>
        <v>0</v>
      </c>
    </row>
    <row r="5630" spans="1:5">
      <c r="A5630" s="59">
        <v>11</v>
      </c>
      <c r="B5630" s="59">
        <v>32</v>
      </c>
      <c r="C5630" s="59">
        <v>440</v>
      </c>
      <c r="D5630" s="51">
        <v>1</v>
      </c>
      <c r="E5630" s="51">
        <f t="shared" si="87"/>
        <v>0</v>
      </c>
    </row>
    <row r="5631" spans="1:5">
      <c r="A5631" s="59">
        <v>11</v>
      </c>
      <c r="B5631" s="59">
        <v>32</v>
      </c>
      <c r="C5631" s="59">
        <v>630</v>
      </c>
      <c r="D5631" s="51">
        <v>1</v>
      </c>
      <c r="E5631" s="51">
        <f t="shared" si="87"/>
        <v>0</v>
      </c>
    </row>
    <row r="5632" spans="1:5">
      <c r="A5632" s="59">
        <v>11</v>
      </c>
      <c r="B5632" s="59">
        <v>32</v>
      </c>
      <c r="C5632" s="59">
        <v>895</v>
      </c>
      <c r="D5632" s="51">
        <v>1</v>
      </c>
      <c r="E5632" s="51">
        <f t="shared" si="87"/>
        <v>0</v>
      </c>
    </row>
    <row r="5633" spans="1:5">
      <c r="A5633" s="59">
        <v>11</v>
      </c>
      <c r="B5633" s="59">
        <v>32</v>
      </c>
      <c r="C5633" s="59">
        <v>896</v>
      </c>
      <c r="D5633" s="51">
        <v>1</v>
      </c>
      <c r="E5633" s="51">
        <f t="shared" si="87"/>
        <v>0</v>
      </c>
    </row>
    <row r="5634" spans="1:5">
      <c r="A5634" s="59">
        <v>11</v>
      </c>
      <c r="B5634" s="59">
        <v>32</v>
      </c>
      <c r="C5634" s="59">
        <v>920</v>
      </c>
      <c r="D5634" s="51">
        <v>1</v>
      </c>
      <c r="E5634" s="51">
        <f t="shared" ref="E5634:E5697" si="88">IF(OR(A5634=6,A5634=7,A5634=14,A5634=15,A5634=16,A5634=17,A5634=18,A5634=19,A5634=20,A5634=21,A5634=22,A5634=23,A5634=25,A5634=26,A5634=27,A5634=28,B5634=41,B5634=44,B5634=62),1,0)</f>
        <v>0</v>
      </c>
    </row>
    <row r="5635" spans="1:5">
      <c r="A5635" s="59">
        <v>11</v>
      </c>
      <c r="B5635" s="59">
        <v>32</v>
      </c>
      <c r="C5635" s="59">
        <v>960</v>
      </c>
      <c r="D5635" s="51">
        <v>1</v>
      </c>
      <c r="E5635" s="51">
        <f t="shared" si="88"/>
        <v>0</v>
      </c>
    </row>
    <row r="5636" spans="1:5">
      <c r="A5636" s="59">
        <v>11</v>
      </c>
      <c r="B5636" s="59">
        <v>33</v>
      </c>
      <c r="C5636" s="59">
        <v>110</v>
      </c>
      <c r="D5636" s="51">
        <v>1</v>
      </c>
      <c r="E5636" s="51">
        <f t="shared" si="88"/>
        <v>0</v>
      </c>
    </row>
    <row r="5637" spans="1:5">
      <c r="A5637" s="59">
        <v>11</v>
      </c>
      <c r="B5637" s="59">
        <v>33</v>
      </c>
      <c r="C5637" s="59">
        <v>310</v>
      </c>
      <c r="D5637" s="51">
        <v>1</v>
      </c>
      <c r="E5637" s="51">
        <f t="shared" si="88"/>
        <v>0</v>
      </c>
    </row>
    <row r="5638" spans="1:5">
      <c r="A5638" s="59">
        <v>11</v>
      </c>
      <c r="B5638" s="59">
        <v>33</v>
      </c>
      <c r="C5638" s="59">
        <v>890</v>
      </c>
      <c r="D5638" s="51">
        <v>1</v>
      </c>
      <c r="E5638" s="51">
        <f t="shared" si="88"/>
        <v>0</v>
      </c>
    </row>
    <row r="5639" spans="1:5">
      <c r="A5639" s="59">
        <v>11</v>
      </c>
      <c r="B5639" s="59">
        <v>33</v>
      </c>
      <c r="C5639" s="59">
        <v>940</v>
      </c>
      <c r="D5639" s="51">
        <v>1</v>
      </c>
      <c r="E5639" s="51">
        <f t="shared" si="88"/>
        <v>0</v>
      </c>
    </row>
    <row r="5640" spans="1:5">
      <c r="A5640" s="59">
        <v>11</v>
      </c>
      <c r="B5640" s="59">
        <v>41</v>
      </c>
      <c r="C5640" s="59">
        <v>110</v>
      </c>
      <c r="D5640" s="51">
        <v>1</v>
      </c>
      <c r="E5640" s="51">
        <f t="shared" si="88"/>
        <v>1</v>
      </c>
    </row>
    <row r="5641" spans="1:5">
      <c r="A5641" s="59">
        <v>11</v>
      </c>
      <c r="B5641" s="59">
        <v>41</v>
      </c>
      <c r="C5641" s="59">
        <v>720</v>
      </c>
      <c r="D5641" s="51">
        <v>1</v>
      </c>
      <c r="E5641" s="51">
        <f t="shared" si="88"/>
        <v>1</v>
      </c>
    </row>
    <row r="5642" spans="1:5">
      <c r="A5642" s="59">
        <v>11</v>
      </c>
      <c r="B5642" s="59">
        <v>41</v>
      </c>
      <c r="C5642" s="59">
        <v>750</v>
      </c>
      <c r="D5642" s="51">
        <v>1</v>
      </c>
      <c r="E5642" s="51">
        <f t="shared" si="88"/>
        <v>1</v>
      </c>
    </row>
    <row r="5643" spans="1:5">
      <c r="A5643" s="59">
        <v>11</v>
      </c>
      <c r="B5643" s="59">
        <v>41</v>
      </c>
      <c r="C5643" s="59">
        <v>940</v>
      </c>
      <c r="D5643" s="51">
        <v>1</v>
      </c>
      <c r="E5643" s="51">
        <f t="shared" si="88"/>
        <v>1</v>
      </c>
    </row>
    <row r="5644" spans="1:5">
      <c r="A5644" s="59">
        <v>11</v>
      </c>
      <c r="B5644" s="59">
        <v>42</v>
      </c>
      <c r="C5644" s="59">
        <v>310</v>
      </c>
      <c r="D5644" s="51">
        <v>1</v>
      </c>
      <c r="E5644" s="51">
        <f t="shared" si="88"/>
        <v>0</v>
      </c>
    </row>
    <row r="5645" spans="1:5">
      <c r="A5645" s="59">
        <v>11</v>
      </c>
      <c r="B5645" s="59">
        <v>42</v>
      </c>
      <c r="C5645" s="59">
        <v>920</v>
      </c>
      <c r="D5645" s="51">
        <v>1</v>
      </c>
      <c r="E5645" s="51">
        <f t="shared" si="88"/>
        <v>0</v>
      </c>
    </row>
    <row r="5646" spans="1:5">
      <c r="A5646" s="59">
        <v>11</v>
      </c>
      <c r="B5646" s="59">
        <v>43</v>
      </c>
      <c r="C5646" s="59">
        <v>640</v>
      </c>
      <c r="D5646" s="51">
        <v>1</v>
      </c>
      <c r="E5646" s="51">
        <f t="shared" si="88"/>
        <v>0</v>
      </c>
    </row>
    <row r="5647" spans="1:5">
      <c r="A5647" s="59">
        <v>11</v>
      </c>
      <c r="B5647" s="59">
        <v>43</v>
      </c>
      <c r="C5647" s="59">
        <v>850</v>
      </c>
      <c r="D5647" s="51">
        <v>1</v>
      </c>
      <c r="E5647" s="51">
        <f t="shared" si="88"/>
        <v>0</v>
      </c>
    </row>
    <row r="5648" spans="1:5">
      <c r="A5648" s="59">
        <v>11</v>
      </c>
      <c r="B5648" s="59">
        <v>43</v>
      </c>
      <c r="C5648" s="59">
        <v>890</v>
      </c>
      <c r="D5648" s="51">
        <v>1</v>
      </c>
      <c r="E5648" s="51">
        <f t="shared" si="88"/>
        <v>0</v>
      </c>
    </row>
    <row r="5649" spans="1:5">
      <c r="A5649" s="59">
        <v>11</v>
      </c>
      <c r="B5649" s="59">
        <v>44</v>
      </c>
      <c r="C5649" s="59">
        <v>110</v>
      </c>
      <c r="D5649" s="51">
        <v>1</v>
      </c>
      <c r="E5649" s="51">
        <f t="shared" si="88"/>
        <v>1</v>
      </c>
    </row>
    <row r="5650" spans="1:5">
      <c r="A5650" s="59">
        <v>11</v>
      </c>
      <c r="B5650" s="59">
        <v>44</v>
      </c>
      <c r="C5650" s="59">
        <v>550</v>
      </c>
      <c r="D5650" s="51">
        <v>1</v>
      </c>
      <c r="E5650" s="51">
        <f t="shared" si="88"/>
        <v>1</v>
      </c>
    </row>
    <row r="5651" spans="1:5">
      <c r="A5651" s="59">
        <v>11</v>
      </c>
      <c r="B5651" s="59">
        <v>44</v>
      </c>
      <c r="C5651" s="59">
        <v>940</v>
      </c>
      <c r="D5651" s="51">
        <v>1</v>
      </c>
      <c r="E5651" s="51">
        <f t="shared" si="88"/>
        <v>1</v>
      </c>
    </row>
    <row r="5652" spans="1:5">
      <c r="A5652" s="59">
        <v>11</v>
      </c>
      <c r="B5652" s="59">
        <v>51</v>
      </c>
      <c r="C5652" s="59">
        <v>430</v>
      </c>
      <c r="D5652" s="51">
        <v>1</v>
      </c>
      <c r="E5652" s="51">
        <f t="shared" si="88"/>
        <v>0</v>
      </c>
    </row>
    <row r="5653" spans="1:5">
      <c r="A5653" s="59">
        <v>11</v>
      </c>
      <c r="B5653" s="59">
        <v>51</v>
      </c>
      <c r="C5653" s="59">
        <v>899</v>
      </c>
      <c r="D5653" s="51">
        <v>1</v>
      </c>
      <c r="E5653" s="51">
        <f t="shared" si="88"/>
        <v>0</v>
      </c>
    </row>
    <row r="5654" spans="1:5">
      <c r="A5654" s="59">
        <v>11</v>
      </c>
      <c r="B5654" s="59">
        <v>62</v>
      </c>
      <c r="C5654" s="59">
        <v>220</v>
      </c>
      <c r="D5654" s="51">
        <v>1</v>
      </c>
      <c r="E5654" s="51">
        <f t="shared" si="88"/>
        <v>1</v>
      </c>
    </row>
    <row r="5655" spans="1:5">
      <c r="A5655" s="59">
        <v>11</v>
      </c>
      <c r="B5655" s="59">
        <v>62</v>
      </c>
      <c r="C5655" s="59">
        <v>410</v>
      </c>
      <c r="D5655" s="51">
        <v>1</v>
      </c>
      <c r="E5655" s="51">
        <f t="shared" si="88"/>
        <v>1</v>
      </c>
    </row>
    <row r="5656" spans="1:5">
      <c r="A5656" s="59">
        <v>11</v>
      </c>
      <c r="B5656" s="59">
        <v>62</v>
      </c>
      <c r="C5656" s="59">
        <v>720</v>
      </c>
      <c r="D5656" s="51">
        <v>1</v>
      </c>
      <c r="E5656" s="51">
        <f t="shared" si="88"/>
        <v>1</v>
      </c>
    </row>
    <row r="5657" spans="1:5">
      <c r="A5657" s="59">
        <v>11</v>
      </c>
      <c r="B5657" s="59">
        <v>62</v>
      </c>
      <c r="C5657" s="59">
        <v>740</v>
      </c>
      <c r="D5657" s="51">
        <v>1</v>
      </c>
      <c r="E5657" s="51">
        <f t="shared" si="88"/>
        <v>1</v>
      </c>
    </row>
    <row r="5658" spans="1:5">
      <c r="A5658" s="59">
        <v>11</v>
      </c>
      <c r="B5658" s="59">
        <v>62</v>
      </c>
      <c r="C5658" s="59">
        <v>850</v>
      </c>
      <c r="D5658" s="51">
        <v>1</v>
      </c>
      <c r="E5658" s="51">
        <f t="shared" si="88"/>
        <v>1</v>
      </c>
    </row>
    <row r="5659" spans="1:5">
      <c r="A5659" s="59">
        <v>11</v>
      </c>
      <c r="B5659" s="59">
        <v>62</v>
      </c>
      <c r="C5659" s="59">
        <v>940</v>
      </c>
      <c r="D5659" s="51">
        <v>1</v>
      </c>
      <c r="E5659" s="51">
        <f t="shared" si="88"/>
        <v>1</v>
      </c>
    </row>
    <row r="5660" spans="1:5">
      <c r="A5660" s="59">
        <v>11</v>
      </c>
      <c r="B5660" s="59">
        <v>62</v>
      </c>
      <c r="C5660" s="59">
        <v>970</v>
      </c>
      <c r="D5660" s="51">
        <v>1</v>
      </c>
      <c r="E5660" s="51">
        <f t="shared" si="88"/>
        <v>1</v>
      </c>
    </row>
    <row r="5661" spans="1:5">
      <c r="A5661" s="59">
        <v>11</v>
      </c>
      <c r="B5661" s="59">
        <v>63</v>
      </c>
      <c r="C5661" s="59">
        <v>110</v>
      </c>
      <c r="D5661" s="51">
        <v>1</v>
      </c>
      <c r="E5661" s="51">
        <f t="shared" si="88"/>
        <v>0</v>
      </c>
    </row>
    <row r="5662" spans="1:5">
      <c r="A5662" s="59">
        <v>11</v>
      </c>
      <c r="B5662" s="59">
        <v>63</v>
      </c>
      <c r="C5662" s="59">
        <v>960</v>
      </c>
      <c r="D5662" s="51">
        <v>1</v>
      </c>
      <c r="E5662" s="51">
        <f t="shared" si="88"/>
        <v>0</v>
      </c>
    </row>
    <row r="5663" spans="1:5">
      <c r="A5663" s="59">
        <v>11</v>
      </c>
      <c r="B5663" s="59">
        <v>64</v>
      </c>
      <c r="C5663" s="59">
        <v>899</v>
      </c>
      <c r="D5663" s="51">
        <v>1</v>
      </c>
      <c r="E5663" s="51">
        <f t="shared" si="88"/>
        <v>0</v>
      </c>
    </row>
    <row r="5664" spans="1:5">
      <c r="A5664" s="59">
        <v>11</v>
      </c>
      <c r="B5664" s="59">
        <v>71</v>
      </c>
      <c r="C5664" s="59">
        <v>110</v>
      </c>
      <c r="D5664" s="51">
        <v>1</v>
      </c>
      <c r="E5664" s="51">
        <f t="shared" si="88"/>
        <v>0</v>
      </c>
    </row>
    <row r="5665" spans="1:5">
      <c r="A5665" s="59">
        <v>11</v>
      </c>
      <c r="B5665" s="59">
        <v>71</v>
      </c>
      <c r="C5665" s="59">
        <v>240</v>
      </c>
      <c r="D5665" s="51">
        <v>1</v>
      </c>
      <c r="E5665" s="51">
        <f t="shared" si="88"/>
        <v>0</v>
      </c>
    </row>
    <row r="5666" spans="1:5">
      <c r="A5666" s="59">
        <v>11</v>
      </c>
      <c r="B5666" s="59">
        <v>71</v>
      </c>
      <c r="C5666" s="59">
        <v>320</v>
      </c>
      <c r="D5666" s="51">
        <v>1</v>
      </c>
      <c r="E5666" s="51">
        <f t="shared" si="88"/>
        <v>0</v>
      </c>
    </row>
    <row r="5667" spans="1:5">
      <c r="A5667" s="59">
        <v>11</v>
      </c>
      <c r="B5667" s="59">
        <v>71</v>
      </c>
      <c r="C5667" s="59">
        <v>330</v>
      </c>
      <c r="D5667" s="51">
        <v>1</v>
      </c>
      <c r="E5667" s="51">
        <f t="shared" si="88"/>
        <v>0</v>
      </c>
    </row>
    <row r="5668" spans="1:5">
      <c r="A5668" s="59">
        <v>11</v>
      </c>
      <c r="B5668" s="59">
        <v>71</v>
      </c>
      <c r="C5668" s="59">
        <v>540</v>
      </c>
      <c r="D5668" s="51">
        <v>1</v>
      </c>
      <c r="E5668" s="51">
        <f t="shared" si="88"/>
        <v>0</v>
      </c>
    </row>
    <row r="5669" spans="1:5">
      <c r="A5669" s="59">
        <v>11</v>
      </c>
      <c r="B5669" s="59">
        <v>71</v>
      </c>
      <c r="C5669" s="59">
        <v>630</v>
      </c>
      <c r="D5669" s="51">
        <v>1</v>
      </c>
      <c r="E5669" s="51">
        <f t="shared" si="88"/>
        <v>0</v>
      </c>
    </row>
    <row r="5670" spans="1:5">
      <c r="A5670" s="59">
        <v>11</v>
      </c>
      <c r="B5670" s="59">
        <v>71</v>
      </c>
      <c r="C5670" s="59">
        <v>710</v>
      </c>
      <c r="D5670" s="51">
        <v>1</v>
      </c>
      <c r="E5670" s="51">
        <f t="shared" si="88"/>
        <v>0</v>
      </c>
    </row>
    <row r="5671" spans="1:5">
      <c r="A5671" s="59">
        <v>11</v>
      </c>
      <c r="B5671" s="59">
        <v>71</v>
      </c>
      <c r="C5671" s="59">
        <v>940</v>
      </c>
      <c r="D5671" s="51">
        <v>1</v>
      </c>
      <c r="E5671" s="51">
        <f t="shared" si="88"/>
        <v>0</v>
      </c>
    </row>
    <row r="5672" spans="1:5">
      <c r="A5672" s="59">
        <v>11</v>
      </c>
      <c r="B5672" s="59">
        <v>71</v>
      </c>
      <c r="C5672" s="59">
        <v>970</v>
      </c>
      <c r="D5672" s="51">
        <v>1</v>
      </c>
      <c r="E5672" s="51">
        <f t="shared" si="88"/>
        <v>0</v>
      </c>
    </row>
    <row r="5673" spans="1:5">
      <c r="A5673" s="59">
        <v>11</v>
      </c>
      <c r="B5673" s="59">
        <v>81</v>
      </c>
      <c r="C5673" s="59">
        <v>110</v>
      </c>
      <c r="D5673" s="51">
        <v>1</v>
      </c>
      <c r="E5673" s="51">
        <f t="shared" si="88"/>
        <v>0</v>
      </c>
    </row>
    <row r="5674" spans="1:5">
      <c r="A5674" s="59">
        <v>11</v>
      </c>
      <c r="B5674" s="59">
        <v>81</v>
      </c>
      <c r="C5674" s="59">
        <v>230</v>
      </c>
      <c r="D5674" s="51">
        <v>1</v>
      </c>
      <c r="E5674" s="51">
        <f t="shared" si="88"/>
        <v>0</v>
      </c>
    </row>
    <row r="5675" spans="1:5">
      <c r="A5675" s="59">
        <v>11</v>
      </c>
      <c r="B5675" s="59">
        <v>81</v>
      </c>
      <c r="C5675" s="59">
        <v>410</v>
      </c>
      <c r="D5675" s="51">
        <v>1</v>
      </c>
      <c r="E5675" s="51">
        <f t="shared" si="88"/>
        <v>0</v>
      </c>
    </row>
    <row r="5676" spans="1:5">
      <c r="A5676" s="59">
        <v>11</v>
      </c>
      <c r="B5676" s="59">
        <v>81</v>
      </c>
      <c r="C5676" s="59">
        <v>420</v>
      </c>
      <c r="D5676" s="51">
        <v>1</v>
      </c>
      <c r="E5676" s="51">
        <f t="shared" si="88"/>
        <v>0</v>
      </c>
    </row>
    <row r="5677" spans="1:5">
      <c r="A5677" s="59">
        <v>11</v>
      </c>
      <c r="B5677" s="59">
        <v>81</v>
      </c>
      <c r="C5677" s="59">
        <v>610</v>
      </c>
      <c r="D5677" s="51">
        <v>1</v>
      </c>
      <c r="E5677" s="51">
        <f t="shared" si="88"/>
        <v>0</v>
      </c>
    </row>
    <row r="5678" spans="1:5">
      <c r="A5678" s="59">
        <v>11</v>
      </c>
      <c r="B5678" s="59">
        <v>81</v>
      </c>
      <c r="C5678" s="59">
        <v>920</v>
      </c>
      <c r="D5678" s="51">
        <v>1</v>
      </c>
      <c r="E5678" s="51">
        <f t="shared" si="88"/>
        <v>0</v>
      </c>
    </row>
    <row r="5679" spans="1:5">
      <c r="A5679" s="59">
        <v>12</v>
      </c>
      <c r="B5679" s="59">
        <v>64</v>
      </c>
      <c r="C5679" s="59">
        <v>210</v>
      </c>
      <c r="D5679" s="51">
        <v>5303</v>
      </c>
      <c r="E5679" s="51">
        <f t="shared" si="88"/>
        <v>0</v>
      </c>
    </row>
    <row r="5680" spans="1:5">
      <c r="A5680" s="59">
        <v>12</v>
      </c>
      <c r="B5680" s="59">
        <v>43</v>
      </c>
      <c r="C5680" s="59">
        <v>210</v>
      </c>
      <c r="D5680" s="51">
        <v>4673</v>
      </c>
      <c r="E5680" s="51">
        <f t="shared" si="88"/>
        <v>0</v>
      </c>
    </row>
    <row r="5681" spans="1:5">
      <c r="A5681" s="59">
        <v>12</v>
      </c>
      <c r="B5681" s="59">
        <v>14</v>
      </c>
      <c r="C5681" s="59">
        <v>210</v>
      </c>
      <c r="D5681" s="51">
        <v>2008</v>
      </c>
      <c r="E5681" s="51">
        <f t="shared" si="88"/>
        <v>0</v>
      </c>
    </row>
    <row r="5682" spans="1:5">
      <c r="A5682" s="59">
        <v>12</v>
      </c>
      <c r="B5682" s="59">
        <v>13</v>
      </c>
      <c r="C5682" s="59">
        <v>210</v>
      </c>
      <c r="D5682" s="51">
        <v>987</v>
      </c>
      <c r="E5682" s="51">
        <f t="shared" si="88"/>
        <v>0</v>
      </c>
    </row>
    <row r="5683" spans="1:5">
      <c r="A5683" s="59">
        <v>12</v>
      </c>
      <c r="B5683" s="59">
        <v>44</v>
      </c>
      <c r="C5683" s="59">
        <v>210</v>
      </c>
      <c r="D5683" s="51">
        <v>873</v>
      </c>
      <c r="E5683" s="51">
        <f t="shared" si="88"/>
        <v>1</v>
      </c>
    </row>
    <row r="5684" spans="1:5">
      <c r="A5684" s="59">
        <v>12</v>
      </c>
      <c r="B5684" s="59">
        <v>22</v>
      </c>
      <c r="C5684" s="59">
        <v>210</v>
      </c>
      <c r="D5684" s="51">
        <v>786</v>
      </c>
      <c r="E5684" s="51">
        <f t="shared" si="88"/>
        <v>0</v>
      </c>
    </row>
    <row r="5685" spans="1:5">
      <c r="A5685" s="59">
        <v>12</v>
      </c>
      <c r="B5685" s="59">
        <v>16</v>
      </c>
      <c r="C5685" s="59">
        <v>210</v>
      </c>
      <c r="D5685" s="51">
        <v>666</v>
      </c>
      <c r="E5685" s="51">
        <f t="shared" si="88"/>
        <v>0</v>
      </c>
    </row>
    <row r="5686" spans="1:5">
      <c r="A5686" s="59">
        <v>12</v>
      </c>
      <c r="B5686" s="59">
        <v>63</v>
      </c>
      <c r="C5686" s="59">
        <v>210</v>
      </c>
      <c r="D5686" s="51">
        <v>536</v>
      </c>
      <c r="E5686" s="51">
        <f t="shared" si="88"/>
        <v>0</v>
      </c>
    </row>
    <row r="5687" spans="1:5">
      <c r="A5687" s="59">
        <v>12</v>
      </c>
      <c r="B5687" s="59">
        <v>15</v>
      </c>
      <c r="C5687" s="59">
        <v>210</v>
      </c>
      <c r="D5687" s="51">
        <v>491</v>
      </c>
      <c r="E5687" s="51">
        <f t="shared" si="88"/>
        <v>0</v>
      </c>
    </row>
    <row r="5688" spans="1:5">
      <c r="A5688" s="59">
        <v>12</v>
      </c>
      <c r="B5688" s="59">
        <v>42</v>
      </c>
      <c r="C5688" s="59">
        <v>210</v>
      </c>
      <c r="D5688" s="51">
        <v>456</v>
      </c>
      <c r="E5688" s="51">
        <f t="shared" si="88"/>
        <v>0</v>
      </c>
    </row>
    <row r="5689" spans="1:5">
      <c r="A5689" s="59">
        <v>12</v>
      </c>
      <c r="B5689" s="59">
        <v>33</v>
      </c>
      <c r="C5689" s="59">
        <v>210</v>
      </c>
      <c r="D5689" s="51">
        <v>452</v>
      </c>
      <c r="E5689" s="51">
        <f t="shared" si="88"/>
        <v>0</v>
      </c>
    </row>
    <row r="5690" spans="1:5">
      <c r="A5690" s="59">
        <v>12</v>
      </c>
      <c r="B5690" s="59">
        <v>62</v>
      </c>
      <c r="C5690" s="59">
        <v>210</v>
      </c>
      <c r="D5690" s="51">
        <v>446</v>
      </c>
      <c r="E5690" s="51">
        <f t="shared" si="88"/>
        <v>1</v>
      </c>
    </row>
    <row r="5691" spans="1:5">
      <c r="A5691" s="59">
        <v>12</v>
      </c>
      <c r="B5691" s="59">
        <v>32</v>
      </c>
      <c r="C5691" s="59">
        <v>210</v>
      </c>
      <c r="D5691" s="51">
        <v>341</v>
      </c>
      <c r="E5691" s="51">
        <f t="shared" si="88"/>
        <v>0</v>
      </c>
    </row>
    <row r="5692" spans="1:5">
      <c r="A5692" s="59">
        <v>12</v>
      </c>
      <c r="B5692" s="59">
        <v>64</v>
      </c>
      <c r="C5692" s="59">
        <v>310</v>
      </c>
      <c r="D5692" s="51">
        <v>261</v>
      </c>
      <c r="E5692" s="51">
        <f t="shared" si="88"/>
        <v>0</v>
      </c>
    </row>
    <row r="5693" spans="1:5">
      <c r="A5693" s="59">
        <v>12</v>
      </c>
      <c r="B5693" s="59">
        <v>71</v>
      </c>
      <c r="C5693" s="59">
        <v>210</v>
      </c>
      <c r="D5693" s="51">
        <v>214</v>
      </c>
      <c r="E5693" s="51">
        <f t="shared" si="88"/>
        <v>0</v>
      </c>
    </row>
    <row r="5694" spans="1:5">
      <c r="A5694" s="59">
        <v>12</v>
      </c>
      <c r="B5694" s="59">
        <v>64</v>
      </c>
      <c r="C5694" s="59">
        <v>160</v>
      </c>
      <c r="D5694" s="51">
        <v>195</v>
      </c>
      <c r="E5694" s="51">
        <f t="shared" si="88"/>
        <v>0</v>
      </c>
    </row>
    <row r="5695" spans="1:5">
      <c r="A5695" s="59">
        <v>12</v>
      </c>
      <c r="B5695" s="59">
        <v>64</v>
      </c>
      <c r="C5695" s="59">
        <v>910</v>
      </c>
      <c r="D5695" s="51">
        <v>158</v>
      </c>
      <c r="E5695" s="51">
        <f t="shared" si="88"/>
        <v>0</v>
      </c>
    </row>
    <row r="5696" spans="1:5">
      <c r="A5696" s="59">
        <v>12</v>
      </c>
      <c r="B5696" s="59">
        <v>43</v>
      </c>
      <c r="C5696" s="59">
        <v>910</v>
      </c>
      <c r="D5696" s="51">
        <v>142</v>
      </c>
      <c r="E5696" s="51">
        <f t="shared" si="88"/>
        <v>0</v>
      </c>
    </row>
    <row r="5697" spans="1:5">
      <c r="A5697" s="59">
        <v>12</v>
      </c>
      <c r="B5697" s="59">
        <v>23</v>
      </c>
      <c r="C5697" s="59">
        <v>210</v>
      </c>
      <c r="D5697" s="51">
        <v>138</v>
      </c>
      <c r="E5697" s="51">
        <f t="shared" si="88"/>
        <v>0</v>
      </c>
    </row>
    <row r="5698" spans="1:5">
      <c r="A5698" s="59">
        <v>12</v>
      </c>
      <c r="B5698" s="59">
        <v>43</v>
      </c>
      <c r="C5698" s="59">
        <v>230</v>
      </c>
      <c r="D5698" s="51">
        <v>120</v>
      </c>
      <c r="E5698" s="51">
        <f t="shared" ref="E5698:E5761" si="89">IF(OR(A5698=6,A5698=7,A5698=14,A5698=15,A5698=16,A5698=17,A5698=18,A5698=19,A5698=20,A5698=21,A5698=22,A5698=23,A5698=25,A5698=26,A5698=27,A5698=28,B5698=41,B5698=44,B5698=62),1,0)</f>
        <v>0</v>
      </c>
    </row>
    <row r="5699" spans="1:5">
      <c r="A5699" s="59">
        <v>12</v>
      </c>
      <c r="B5699" s="59">
        <v>64</v>
      </c>
      <c r="C5699" s="59">
        <v>430</v>
      </c>
      <c r="D5699" s="51">
        <v>111</v>
      </c>
      <c r="E5699" s="51">
        <f t="shared" si="89"/>
        <v>0</v>
      </c>
    </row>
    <row r="5700" spans="1:5">
      <c r="A5700" s="59">
        <v>12</v>
      </c>
      <c r="B5700" s="59">
        <v>43</v>
      </c>
      <c r="C5700" s="59">
        <v>160</v>
      </c>
      <c r="D5700" s="51">
        <v>106</v>
      </c>
      <c r="E5700" s="51">
        <f t="shared" si="89"/>
        <v>0</v>
      </c>
    </row>
    <row r="5701" spans="1:5">
      <c r="A5701" s="59">
        <v>12</v>
      </c>
      <c r="B5701" s="59">
        <v>64</v>
      </c>
      <c r="C5701" s="59">
        <v>240</v>
      </c>
      <c r="D5701" s="51">
        <v>106</v>
      </c>
      <c r="E5701" s="51">
        <f t="shared" si="89"/>
        <v>0</v>
      </c>
    </row>
    <row r="5702" spans="1:5">
      <c r="A5702" s="59">
        <v>12</v>
      </c>
      <c r="B5702" s="59">
        <v>64</v>
      </c>
      <c r="C5702" s="59">
        <v>230</v>
      </c>
      <c r="D5702" s="51">
        <v>100</v>
      </c>
      <c r="E5702" s="51">
        <f t="shared" si="89"/>
        <v>0</v>
      </c>
    </row>
    <row r="5703" spans="1:5">
      <c r="A5703" s="59">
        <v>12</v>
      </c>
      <c r="B5703" s="59">
        <v>14</v>
      </c>
      <c r="C5703" s="59">
        <v>330</v>
      </c>
      <c r="D5703" s="51">
        <v>94</v>
      </c>
      <c r="E5703" s="51">
        <f t="shared" si="89"/>
        <v>0</v>
      </c>
    </row>
    <row r="5704" spans="1:5">
      <c r="A5704" s="59">
        <v>12</v>
      </c>
      <c r="B5704" s="59">
        <v>32</v>
      </c>
      <c r="C5704" s="59">
        <v>430</v>
      </c>
      <c r="D5704" s="51">
        <v>94</v>
      </c>
      <c r="E5704" s="51">
        <f t="shared" si="89"/>
        <v>0</v>
      </c>
    </row>
    <row r="5705" spans="1:5">
      <c r="A5705" s="59">
        <v>12</v>
      </c>
      <c r="B5705" s="59">
        <v>14</v>
      </c>
      <c r="C5705" s="59">
        <v>230</v>
      </c>
      <c r="D5705" s="51">
        <v>85</v>
      </c>
      <c r="E5705" s="51">
        <f t="shared" si="89"/>
        <v>0</v>
      </c>
    </row>
    <row r="5706" spans="1:5">
      <c r="A5706" s="59">
        <v>12</v>
      </c>
      <c r="B5706" s="59">
        <v>43</v>
      </c>
      <c r="C5706" s="59">
        <v>310</v>
      </c>
      <c r="D5706" s="51">
        <v>80</v>
      </c>
      <c r="E5706" s="51">
        <f t="shared" si="89"/>
        <v>0</v>
      </c>
    </row>
    <row r="5707" spans="1:5">
      <c r="A5707" s="59">
        <v>12</v>
      </c>
      <c r="B5707" s="59">
        <v>43</v>
      </c>
      <c r="C5707" s="59">
        <v>240</v>
      </c>
      <c r="D5707" s="51">
        <v>76</v>
      </c>
      <c r="E5707" s="51">
        <f t="shared" si="89"/>
        <v>0</v>
      </c>
    </row>
    <row r="5708" spans="1:5">
      <c r="A5708" s="59">
        <v>12</v>
      </c>
      <c r="B5708" s="59">
        <v>64</v>
      </c>
      <c r="C5708" s="59">
        <v>330</v>
      </c>
      <c r="D5708" s="51">
        <v>72</v>
      </c>
      <c r="E5708" s="51">
        <f t="shared" si="89"/>
        <v>0</v>
      </c>
    </row>
    <row r="5709" spans="1:5">
      <c r="A5709" s="59">
        <v>12</v>
      </c>
      <c r="B5709" s="59">
        <v>14</v>
      </c>
      <c r="C5709" s="59">
        <v>310</v>
      </c>
      <c r="D5709" s="51">
        <v>70</v>
      </c>
      <c r="E5709" s="51">
        <f t="shared" si="89"/>
        <v>0</v>
      </c>
    </row>
    <row r="5710" spans="1:5">
      <c r="A5710" s="59">
        <v>12</v>
      </c>
      <c r="B5710" s="59">
        <v>14</v>
      </c>
      <c r="C5710" s="59">
        <v>160</v>
      </c>
      <c r="D5710" s="51">
        <v>64</v>
      </c>
      <c r="E5710" s="51">
        <f t="shared" si="89"/>
        <v>0</v>
      </c>
    </row>
    <row r="5711" spans="1:5">
      <c r="A5711" s="59">
        <v>12</v>
      </c>
      <c r="B5711" s="59">
        <v>41</v>
      </c>
      <c r="C5711" s="59">
        <v>210</v>
      </c>
      <c r="D5711" s="51">
        <v>61</v>
      </c>
      <c r="E5711" s="51">
        <f t="shared" si="89"/>
        <v>1</v>
      </c>
    </row>
    <row r="5712" spans="1:5">
      <c r="A5712" s="59">
        <v>12</v>
      </c>
      <c r="B5712" s="59">
        <v>43</v>
      </c>
      <c r="C5712" s="59">
        <v>430</v>
      </c>
      <c r="D5712" s="51">
        <v>61</v>
      </c>
      <c r="E5712" s="51">
        <f t="shared" si="89"/>
        <v>0</v>
      </c>
    </row>
    <row r="5713" spans="1:5">
      <c r="A5713" s="59">
        <v>12</v>
      </c>
      <c r="B5713" s="59">
        <v>33</v>
      </c>
      <c r="C5713" s="59">
        <v>430</v>
      </c>
      <c r="D5713" s="51">
        <v>58</v>
      </c>
      <c r="E5713" s="51">
        <f t="shared" si="89"/>
        <v>0</v>
      </c>
    </row>
    <row r="5714" spans="1:5">
      <c r="A5714" s="59">
        <v>12</v>
      </c>
      <c r="B5714" s="59">
        <v>43</v>
      </c>
      <c r="C5714" s="59">
        <v>330</v>
      </c>
      <c r="D5714" s="51">
        <v>55</v>
      </c>
      <c r="E5714" s="51">
        <f t="shared" si="89"/>
        <v>0</v>
      </c>
    </row>
    <row r="5715" spans="1:5">
      <c r="A5715" s="59">
        <v>12</v>
      </c>
      <c r="B5715" s="59">
        <v>21</v>
      </c>
      <c r="C5715" s="59">
        <v>210</v>
      </c>
      <c r="D5715" s="51">
        <v>54</v>
      </c>
      <c r="E5715" s="51">
        <f t="shared" si="89"/>
        <v>0</v>
      </c>
    </row>
    <row r="5716" spans="1:5">
      <c r="A5716" s="59">
        <v>12</v>
      </c>
      <c r="B5716" s="59">
        <v>32</v>
      </c>
      <c r="C5716" s="59">
        <v>410</v>
      </c>
      <c r="D5716" s="51">
        <v>54</v>
      </c>
      <c r="E5716" s="51">
        <f t="shared" si="89"/>
        <v>0</v>
      </c>
    </row>
    <row r="5717" spans="1:5">
      <c r="A5717" s="59">
        <v>12</v>
      </c>
      <c r="B5717" s="59">
        <v>13</v>
      </c>
      <c r="C5717" s="59">
        <v>310</v>
      </c>
      <c r="D5717" s="51">
        <v>52</v>
      </c>
      <c r="E5717" s="51">
        <f t="shared" si="89"/>
        <v>0</v>
      </c>
    </row>
    <row r="5718" spans="1:5">
      <c r="A5718" s="59">
        <v>12</v>
      </c>
      <c r="B5718" s="59">
        <v>22</v>
      </c>
      <c r="C5718" s="59">
        <v>230</v>
      </c>
      <c r="D5718" s="51">
        <v>44</v>
      </c>
      <c r="E5718" s="51">
        <f t="shared" si="89"/>
        <v>0</v>
      </c>
    </row>
    <row r="5719" spans="1:5">
      <c r="A5719" s="59">
        <v>12</v>
      </c>
      <c r="B5719" s="59">
        <v>14</v>
      </c>
      <c r="C5719" s="59">
        <v>910</v>
      </c>
      <c r="D5719" s="51">
        <v>42</v>
      </c>
      <c r="E5719" s="51">
        <f t="shared" si="89"/>
        <v>0</v>
      </c>
    </row>
    <row r="5720" spans="1:5">
      <c r="A5720" s="59">
        <v>12</v>
      </c>
      <c r="B5720" s="59">
        <v>16</v>
      </c>
      <c r="C5720" s="59">
        <v>230</v>
      </c>
      <c r="D5720" s="51">
        <v>41</v>
      </c>
      <c r="E5720" s="51">
        <f t="shared" si="89"/>
        <v>0</v>
      </c>
    </row>
    <row r="5721" spans="1:5">
      <c r="A5721" s="59">
        <v>12</v>
      </c>
      <c r="B5721" s="59">
        <v>13</v>
      </c>
      <c r="C5721" s="59">
        <v>330</v>
      </c>
      <c r="D5721" s="51">
        <v>40</v>
      </c>
      <c r="E5721" s="51">
        <f t="shared" si="89"/>
        <v>0</v>
      </c>
    </row>
    <row r="5722" spans="1:5">
      <c r="A5722" s="59">
        <v>12</v>
      </c>
      <c r="B5722" s="59">
        <v>13</v>
      </c>
      <c r="C5722" s="59">
        <v>910</v>
      </c>
      <c r="D5722" s="51">
        <v>38</v>
      </c>
      <c r="E5722" s="51">
        <f t="shared" si="89"/>
        <v>0</v>
      </c>
    </row>
    <row r="5723" spans="1:5">
      <c r="A5723" s="59">
        <v>12</v>
      </c>
      <c r="B5723" s="59">
        <v>14</v>
      </c>
      <c r="C5723" s="59">
        <v>240</v>
      </c>
      <c r="D5723" s="51">
        <v>35</v>
      </c>
      <c r="E5723" s="51">
        <f t="shared" si="89"/>
        <v>0</v>
      </c>
    </row>
    <row r="5724" spans="1:5">
      <c r="A5724" s="59">
        <v>12</v>
      </c>
      <c r="B5724" s="59">
        <v>13</v>
      </c>
      <c r="C5724" s="59">
        <v>230</v>
      </c>
      <c r="D5724" s="51">
        <v>34</v>
      </c>
      <c r="E5724" s="51">
        <f t="shared" si="89"/>
        <v>0</v>
      </c>
    </row>
    <row r="5725" spans="1:5">
      <c r="A5725" s="59">
        <v>12</v>
      </c>
      <c r="B5725" s="59">
        <v>44</v>
      </c>
      <c r="C5725" s="59">
        <v>910</v>
      </c>
      <c r="D5725" s="51">
        <v>33</v>
      </c>
      <c r="E5725" s="51">
        <f t="shared" si="89"/>
        <v>1</v>
      </c>
    </row>
    <row r="5726" spans="1:5">
      <c r="A5726" s="59">
        <v>12</v>
      </c>
      <c r="B5726" s="59">
        <v>63</v>
      </c>
      <c r="C5726" s="59">
        <v>160</v>
      </c>
      <c r="D5726" s="51">
        <v>33</v>
      </c>
      <c r="E5726" s="51">
        <f t="shared" si="89"/>
        <v>0</v>
      </c>
    </row>
    <row r="5727" spans="1:5">
      <c r="A5727" s="59">
        <v>12</v>
      </c>
      <c r="B5727" s="59">
        <v>22</v>
      </c>
      <c r="C5727" s="59">
        <v>910</v>
      </c>
      <c r="D5727" s="51">
        <v>31</v>
      </c>
      <c r="E5727" s="51">
        <f t="shared" si="89"/>
        <v>0</v>
      </c>
    </row>
    <row r="5728" spans="1:5">
      <c r="A5728" s="59">
        <v>12</v>
      </c>
      <c r="B5728" s="59">
        <v>32</v>
      </c>
      <c r="C5728" s="59">
        <v>960</v>
      </c>
      <c r="D5728" s="51">
        <v>30</v>
      </c>
      <c r="E5728" s="51">
        <f t="shared" si="89"/>
        <v>0</v>
      </c>
    </row>
    <row r="5729" spans="1:5">
      <c r="A5729" s="59">
        <v>12</v>
      </c>
      <c r="B5729" s="59">
        <v>42</v>
      </c>
      <c r="C5729" s="59">
        <v>310</v>
      </c>
      <c r="D5729" s="51">
        <v>30</v>
      </c>
      <c r="E5729" s="51">
        <f t="shared" si="89"/>
        <v>0</v>
      </c>
    </row>
    <row r="5730" spans="1:5">
      <c r="A5730" s="59">
        <v>12</v>
      </c>
      <c r="B5730" s="59">
        <v>22</v>
      </c>
      <c r="C5730" s="59">
        <v>240</v>
      </c>
      <c r="D5730" s="51">
        <v>29</v>
      </c>
      <c r="E5730" s="51">
        <f t="shared" si="89"/>
        <v>0</v>
      </c>
    </row>
    <row r="5731" spans="1:5">
      <c r="A5731" s="59">
        <v>12</v>
      </c>
      <c r="B5731" s="59">
        <v>64</v>
      </c>
      <c r="C5731" s="59">
        <v>530</v>
      </c>
      <c r="D5731" s="51">
        <v>29</v>
      </c>
      <c r="E5731" s="51">
        <f t="shared" si="89"/>
        <v>0</v>
      </c>
    </row>
    <row r="5732" spans="1:5">
      <c r="A5732" s="59">
        <v>12</v>
      </c>
      <c r="B5732" s="59">
        <v>43</v>
      </c>
      <c r="C5732" s="59">
        <v>960</v>
      </c>
      <c r="D5732" s="51">
        <v>28</v>
      </c>
      <c r="E5732" s="51">
        <f t="shared" si="89"/>
        <v>0</v>
      </c>
    </row>
    <row r="5733" spans="1:5">
      <c r="A5733" s="59">
        <v>12</v>
      </c>
      <c r="B5733" s="59">
        <v>33</v>
      </c>
      <c r="C5733" s="59">
        <v>230</v>
      </c>
      <c r="D5733" s="51">
        <v>27</v>
      </c>
      <c r="E5733" s="51">
        <f t="shared" si="89"/>
        <v>0</v>
      </c>
    </row>
    <row r="5734" spans="1:5">
      <c r="A5734" s="59">
        <v>12</v>
      </c>
      <c r="B5734" s="59">
        <v>64</v>
      </c>
      <c r="C5734" s="59">
        <v>410</v>
      </c>
      <c r="D5734" s="51">
        <v>26</v>
      </c>
      <c r="E5734" s="51">
        <f t="shared" si="89"/>
        <v>0</v>
      </c>
    </row>
    <row r="5735" spans="1:5">
      <c r="A5735" s="59">
        <v>12</v>
      </c>
      <c r="B5735" s="59">
        <v>15</v>
      </c>
      <c r="C5735" s="59">
        <v>230</v>
      </c>
      <c r="D5735" s="51">
        <v>25</v>
      </c>
      <c r="E5735" s="51">
        <f t="shared" si="89"/>
        <v>0</v>
      </c>
    </row>
    <row r="5736" spans="1:5">
      <c r="A5736" s="59">
        <v>12</v>
      </c>
      <c r="B5736" s="59">
        <v>13</v>
      </c>
      <c r="C5736" s="59">
        <v>160</v>
      </c>
      <c r="D5736" s="51">
        <v>24</v>
      </c>
      <c r="E5736" s="51">
        <f t="shared" si="89"/>
        <v>0</v>
      </c>
    </row>
    <row r="5737" spans="1:5">
      <c r="A5737" s="59">
        <v>12</v>
      </c>
      <c r="B5737" s="59">
        <v>13</v>
      </c>
      <c r="C5737" s="59">
        <v>240</v>
      </c>
      <c r="D5737" s="51">
        <v>24</v>
      </c>
      <c r="E5737" s="51">
        <f t="shared" si="89"/>
        <v>0</v>
      </c>
    </row>
    <row r="5738" spans="1:5">
      <c r="A5738" s="59">
        <v>12</v>
      </c>
      <c r="B5738" s="59">
        <v>14</v>
      </c>
      <c r="C5738" s="59">
        <v>430</v>
      </c>
      <c r="D5738" s="51">
        <v>24</v>
      </c>
      <c r="E5738" s="51">
        <f t="shared" si="89"/>
        <v>0</v>
      </c>
    </row>
    <row r="5739" spans="1:5">
      <c r="A5739" s="59">
        <v>12</v>
      </c>
      <c r="B5739" s="59">
        <v>14</v>
      </c>
      <c r="C5739" s="59">
        <v>150</v>
      </c>
      <c r="D5739" s="51">
        <v>23</v>
      </c>
      <c r="E5739" s="51">
        <f t="shared" si="89"/>
        <v>0</v>
      </c>
    </row>
    <row r="5740" spans="1:5">
      <c r="A5740" s="59">
        <v>12</v>
      </c>
      <c r="B5740" s="59">
        <v>64</v>
      </c>
      <c r="C5740" s="59">
        <v>110</v>
      </c>
      <c r="D5740" s="51">
        <v>23</v>
      </c>
      <c r="E5740" s="51">
        <f t="shared" si="89"/>
        <v>0</v>
      </c>
    </row>
    <row r="5741" spans="1:5">
      <c r="A5741" s="59">
        <v>12</v>
      </c>
      <c r="B5741" s="59">
        <v>81</v>
      </c>
      <c r="C5741" s="59">
        <v>210</v>
      </c>
      <c r="D5741" s="51">
        <v>23</v>
      </c>
      <c r="E5741" s="51">
        <f t="shared" si="89"/>
        <v>0</v>
      </c>
    </row>
    <row r="5742" spans="1:5">
      <c r="A5742" s="59">
        <v>12</v>
      </c>
      <c r="B5742" s="59">
        <v>15</v>
      </c>
      <c r="C5742" s="59">
        <v>330</v>
      </c>
      <c r="D5742" s="51">
        <v>22</v>
      </c>
      <c r="E5742" s="51">
        <f t="shared" si="89"/>
        <v>0</v>
      </c>
    </row>
    <row r="5743" spans="1:5">
      <c r="A5743" s="59">
        <v>12</v>
      </c>
      <c r="B5743" s="59">
        <v>43</v>
      </c>
      <c r="C5743" s="59">
        <v>150</v>
      </c>
      <c r="D5743" s="51">
        <v>22</v>
      </c>
      <c r="E5743" s="51">
        <f t="shared" si="89"/>
        <v>0</v>
      </c>
    </row>
    <row r="5744" spans="1:5">
      <c r="A5744" s="59">
        <v>12</v>
      </c>
      <c r="B5744" s="59">
        <v>64</v>
      </c>
      <c r="C5744" s="59">
        <v>220</v>
      </c>
      <c r="D5744" s="51">
        <v>22</v>
      </c>
      <c r="E5744" s="51">
        <f t="shared" si="89"/>
        <v>0</v>
      </c>
    </row>
    <row r="5745" spans="1:5">
      <c r="A5745" s="59">
        <v>12</v>
      </c>
      <c r="B5745" s="59">
        <v>62</v>
      </c>
      <c r="C5745" s="59">
        <v>430</v>
      </c>
      <c r="D5745" s="51">
        <v>21</v>
      </c>
      <c r="E5745" s="51">
        <f t="shared" si="89"/>
        <v>1</v>
      </c>
    </row>
    <row r="5746" spans="1:5">
      <c r="A5746" s="59">
        <v>12</v>
      </c>
      <c r="B5746" s="59">
        <v>44</v>
      </c>
      <c r="C5746" s="59">
        <v>960</v>
      </c>
      <c r="D5746" s="51">
        <v>20</v>
      </c>
      <c r="E5746" s="51">
        <f t="shared" si="89"/>
        <v>1</v>
      </c>
    </row>
    <row r="5747" spans="1:5">
      <c r="A5747" s="59">
        <v>12</v>
      </c>
      <c r="B5747" s="59">
        <v>15</v>
      </c>
      <c r="C5747" s="59">
        <v>240</v>
      </c>
      <c r="D5747" s="51">
        <v>19</v>
      </c>
      <c r="E5747" s="51">
        <f t="shared" si="89"/>
        <v>0</v>
      </c>
    </row>
    <row r="5748" spans="1:5">
      <c r="A5748" s="59">
        <v>12</v>
      </c>
      <c r="B5748" s="59">
        <v>41</v>
      </c>
      <c r="C5748" s="59">
        <v>960</v>
      </c>
      <c r="D5748" s="51">
        <v>19</v>
      </c>
      <c r="E5748" s="51">
        <f t="shared" si="89"/>
        <v>1</v>
      </c>
    </row>
    <row r="5749" spans="1:5">
      <c r="A5749" s="59">
        <v>12</v>
      </c>
      <c r="B5749" s="59">
        <v>43</v>
      </c>
      <c r="C5749" s="59">
        <v>530</v>
      </c>
      <c r="D5749" s="51">
        <v>19</v>
      </c>
      <c r="E5749" s="51">
        <f t="shared" si="89"/>
        <v>0</v>
      </c>
    </row>
    <row r="5750" spans="1:5">
      <c r="A5750" s="59">
        <v>12</v>
      </c>
      <c r="B5750" s="59">
        <v>62</v>
      </c>
      <c r="C5750" s="59">
        <v>160</v>
      </c>
      <c r="D5750" s="51">
        <v>19</v>
      </c>
      <c r="E5750" s="51">
        <f t="shared" si="89"/>
        <v>1</v>
      </c>
    </row>
    <row r="5751" spans="1:5">
      <c r="A5751" s="59">
        <v>12</v>
      </c>
      <c r="B5751" s="59">
        <v>16</v>
      </c>
      <c r="C5751" s="59">
        <v>240</v>
      </c>
      <c r="D5751" s="51">
        <v>18</v>
      </c>
      <c r="E5751" s="51">
        <f t="shared" si="89"/>
        <v>0</v>
      </c>
    </row>
    <row r="5752" spans="1:5">
      <c r="A5752" s="59">
        <v>12</v>
      </c>
      <c r="B5752" s="59">
        <v>24</v>
      </c>
      <c r="C5752" s="59">
        <v>210</v>
      </c>
      <c r="D5752" s="51">
        <v>18</v>
      </c>
      <c r="E5752" s="51">
        <f t="shared" si="89"/>
        <v>0</v>
      </c>
    </row>
    <row r="5753" spans="1:5">
      <c r="A5753" s="59">
        <v>12</v>
      </c>
      <c r="B5753" s="59">
        <v>32</v>
      </c>
      <c r="C5753" s="59">
        <v>230</v>
      </c>
      <c r="D5753" s="51">
        <v>18</v>
      </c>
      <c r="E5753" s="51">
        <f t="shared" si="89"/>
        <v>0</v>
      </c>
    </row>
    <row r="5754" spans="1:5">
      <c r="A5754" s="59">
        <v>12</v>
      </c>
      <c r="B5754" s="59">
        <v>63</v>
      </c>
      <c r="C5754" s="59">
        <v>310</v>
      </c>
      <c r="D5754" s="51">
        <v>17</v>
      </c>
      <c r="E5754" s="51">
        <f t="shared" si="89"/>
        <v>0</v>
      </c>
    </row>
    <row r="5755" spans="1:5">
      <c r="A5755" s="59">
        <v>12</v>
      </c>
      <c r="B5755" s="59">
        <v>63</v>
      </c>
      <c r="C5755" s="59">
        <v>430</v>
      </c>
      <c r="D5755" s="51">
        <v>17</v>
      </c>
      <c r="E5755" s="51">
        <f t="shared" si="89"/>
        <v>0</v>
      </c>
    </row>
    <row r="5756" spans="1:5">
      <c r="A5756" s="59">
        <v>12</v>
      </c>
      <c r="B5756" s="59">
        <v>32</v>
      </c>
      <c r="C5756" s="59">
        <v>910</v>
      </c>
      <c r="D5756" s="51">
        <v>16</v>
      </c>
      <c r="E5756" s="51">
        <f t="shared" si="89"/>
        <v>0</v>
      </c>
    </row>
    <row r="5757" spans="1:5">
      <c r="A5757" s="59">
        <v>12</v>
      </c>
      <c r="B5757" s="59">
        <v>63</v>
      </c>
      <c r="C5757" s="59">
        <v>230</v>
      </c>
      <c r="D5757" s="51">
        <v>16</v>
      </c>
      <c r="E5757" s="51">
        <f t="shared" si="89"/>
        <v>0</v>
      </c>
    </row>
    <row r="5758" spans="1:5">
      <c r="A5758" s="59">
        <v>12</v>
      </c>
      <c r="B5758" s="59">
        <v>31</v>
      </c>
      <c r="C5758" s="59">
        <v>430</v>
      </c>
      <c r="D5758" s="51">
        <v>15</v>
      </c>
      <c r="E5758" s="51">
        <f t="shared" si="89"/>
        <v>0</v>
      </c>
    </row>
    <row r="5759" spans="1:5">
      <c r="A5759" s="59">
        <v>12</v>
      </c>
      <c r="B5759" s="59">
        <v>33</v>
      </c>
      <c r="C5759" s="59">
        <v>410</v>
      </c>
      <c r="D5759" s="51">
        <v>15</v>
      </c>
      <c r="E5759" s="51">
        <f t="shared" si="89"/>
        <v>0</v>
      </c>
    </row>
    <row r="5760" spans="1:5">
      <c r="A5760" s="59">
        <v>12</v>
      </c>
      <c r="B5760" s="59">
        <v>42</v>
      </c>
      <c r="C5760" s="59">
        <v>910</v>
      </c>
      <c r="D5760" s="51">
        <v>15</v>
      </c>
      <c r="E5760" s="51">
        <f t="shared" si="89"/>
        <v>0</v>
      </c>
    </row>
    <row r="5761" spans="1:5">
      <c r="A5761" s="59">
        <v>12</v>
      </c>
      <c r="B5761" s="59">
        <v>62</v>
      </c>
      <c r="C5761" s="59">
        <v>310</v>
      </c>
      <c r="D5761" s="51">
        <v>15</v>
      </c>
      <c r="E5761" s="51">
        <f t="shared" si="89"/>
        <v>1</v>
      </c>
    </row>
    <row r="5762" spans="1:5">
      <c r="A5762" s="59">
        <v>12</v>
      </c>
      <c r="B5762" s="59">
        <v>63</v>
      </c>
      <c r="C5762" s="59">
        <v>910</v>
      </c>
      <c r="D5762" s="51">
        <v>15</v>
      </c>
      <c r="E5762" s="51">
        <f t="shared" ref="E5762:E5825" si="90">IF(OR(A5762=6,A5762=7,A5762=14,A5762=15,A5762=16,A5762=17,A5762=18,A5762=19,A5762=20,A5762=21,A5762=22,A5762=23,A5762=25,A5762=26,A5762=27,A5762=28,B5762=41,B5762=44,B5762=62),1,0)</f>
        <v>0</v>
      </c>
    </row>
    <row r="5763" spans="1:5">
      <c r="A5763" s="59">
        <v>12</v>
      </c>
      <c r="B5763" s="59">
        <v>64</v>
      </c>
      <c r="C5763" s="59">
        <v>320</v>
      </c>
      <c r="D5763" s="51">
        <v>15</v>
      </c>
      <c r="E5763" s="51">
        <f t="shared" si="90"/>
        <v>0</v>
      </c>
    </row>
    <row r="5764" spans="1:5">
      <c r="A5764" s="59">
        <v>12</v>
      </c>
      <c r="B5764" s="59">
        <v>64</v>
      </c>
      <c r="C5764" s="59">
        <v>950</v>
      </c>
      <c r="D5764" s="51">
        <v>15</v>
      </c>
      <c r="E5764" s="51">
        <f t="shared" si="90"/>
        <v>0</v>
      </c>
    </row>
    <row r="5765" spans="1:5">
      <c r="A5765" s="59">
        <v>12</v>
      </c>
      <c r="B5765" s="59">
        <v>14</v>
      </c>
      <c r="C5765" s="59">
        <v>140</v>
      </c>
      <c r="D5765" s="51">
        <v>14</v>
      </c>
      <c r="E5765" s="51">
        <f t="shared" si="90"/>
        <v>0</v>
      </c>
    </row>
    <row r="5766" spans="1:5">
      <c r="A5766" s="59">
        <v>12</v>
      </c>
      <c r="B5766" s="59">
        <v>16</v>
      </c>
      <c r="C5766" s="59">
        <v>160</v>
      </c>
      <c r="D5766" s="51">
        <v>14</v>
      </c>
      <c r="E5766" s="51">
        <f t="shared" si="90"/>
        <v>0</v>
      </c>
    </row>
    <row r="5767" spans="1:5">
      <c r="A5767" s="59">
        <v>12</v>
      </c>
      <c r="B5767" s="59">
        <v>32</v>
      </c>
      <c r="C5767" s="59">
        <v>420</v>
      </c>
      <c r="D5767" s="51">
        <v>14</v>
      </c>
      <c r="E5767" s="51">
        <f t="shared" si="90"/>
        <v>0</v>
      </c>
    </row>
    <row r="5768" spans="1:5">
      <c r="A5768" s="59">
        <v>12</v>
      </c>
      <c r="B5768" s="59">
        <v>16</v>
      </c>
      <c r="C5768" s="59">
        <v>310</v>
      </c>
      <c r="D5768" s="51">
        <v>13</v>
      </c>
      <c r="E5768" s="51">
        <f t="shared" si="90"/>
        <v>0</v>
      </c>
    </row>
    <row r="5769" spans="1:5">
      <c r="A5769" s="59">
        <v>12</v>
      </c>
      <c r="B5769" s="59">
        <v>33</v>
      </c>
      <c r="C5769" s="59">
        <v>910</v>
      </c>
      <c r="D5769" s="51">
        <v>13</v>
      </c>
      <c r="E5769" s="51">
        <f t="shared" si="90"/>
        <v>0</v>
      </c>
    </row>
    <row r="5770" spans="1:5">
      <c r="A5770" s="59">
        <v>12</v>
      </c>
      <c r="B5770" s="59">
        <v>64</v>
      </c>
      <c r="C5770" s="59">
        <v>510</v>
      </c>
      <c r="D5770" s="51">
        <v>13</v>
      </c>
      <c r="E5770" s="51">
        <f t="shared" si="90"/>
        <v>0</v>
      </c>
    </row>
    <row r="5771" spans="1:5">
      <c r="A5771" s="59">
        <v>12</v>
      </c>
      <c r="B5771" s="59">
        <v>64</v>
      </c>
      <c r="C5771" s="59">
        <v>620</v>
      </c>
      <c r="D5771" s="51">
        <v>13</v>
      </c>
      <c r="E5771" s="51">
        <f t="shared" si="90"/>
        <v>0</v>
      </c>
    </row>
    <row r="5772" spans="1:5">
      <c r="A5772" s="59">
        <v>12</v>
      </c>
      <c r="B5772" s="59">
        <v>16</v>
      </c>
      <c r="C5772" s="59">
        <v>330</v>
      </c>
      <c r="D5772" s="51">
        <v>12</v>
      </c>
      <c r="E5772" s="51">
        <f t="shared" si="90"/>
        <v>0</v>
      </c>
    </row>
    <row r="5773" spans="1:5">
      <c r="A5773" s="59">
        <v>12</v>
      </c>
      <c r="B5773" s="59">
        <v>22</v>
      </c>
      <c r="C5773" s="59">
        <v>950</v>
      </c>
      <c r="D5773" s="51">
        <v>12</v>
      </c>
      <c r="E5773" s="51">
        <f t="shared" si="90"/>
        <v>0</v>
      </c>
    </row>
    <row r="5774" spans="1:5">
      <c r="A5774" s="59">
        <v>12</v>
      </c>
      <c r="B5774" s="59">
        <v>43</v>
      </c>
      <c r="C5774" s="59">
        <v>220</v>
      </c>
      <c r="D5774" s="51">
        <v>12</v>
      </c>
      <c r="E5774" s="51">
        <f t="shared" si="90"/>
        <v>0</v>
      </c>
    </row>
    <row r="5775" spans="1:5">
      <c r="A5775" s="59">
        <v>12</v>
      </c>
      <c r="B5775" s="59">
        <v>43</v>
      </c>
      <c r="C5775" s="59">
        <v>410</v>
      </c>
      <c r="D5775" s="51">
        <v>12</v>
      </c>
      <c r="E5775" s="51">
        <f t="shared" si="90"/>
        <v>0</v>
      </c>
    </row>
    <row r="5776" spans="1:5">
      <c r="A5776" s="59">
        <v>12</v>
      </c>
      <c r="B5776" s="59">
        <v>43</v>
      </c>
      <c r="C5776" s="59">
        <v>920</v>
      </c>
      <c r="D5776" s="51">
        <v>12</v>
      </c>
      <c r="E5776" s="51">
        <f t="shared" si="90"/>
        <v>0</v>
      </c>
    </row>
    <row r="5777" spans="1:5">
      <c r="A5777" s="59">
        <v>12</v>
      </c>
      <c r="B5777" s="59">
        <v>62</v>
      </c>
      <c r="C5777" s="59">
        <v>910</v>
      </c>
      <c r="D5777" s="51">
        <v>12</v>
      </c>
      <c r="E5777" s="51">
        <f t="shared" si="90"/>
        <v>1</v>
      </c>
    </row>
    <row r="5778" spans="1:5">
      <c r="A5778" s="59">
        <v>12</v>
      </c>
      <c r="B5778" s="59">
        <v>64</v>
      </c>
      <c r="C5778" s="59">
        <v>893</v>
      </c>
      <c r="D5778" s="51">
        <v>12</v>
      </c>
      <c r="E5778" s="51">
        <f t="shared" si="90"/>
        <v>0</v>
      </c>
    </row>
    <row r="5779" spans="1:5">
      <c r="A5779" s="59">
        <v>12</v>
      </c>
      <c r="B5779" s="59">
        <v>14</v>
      </c>
      <c r="C5779" s="59">
        <v>110</v>
      </c>
      <c r="D5779" s="51">
        <v>11</v>
      </c>
      <c r="E5779" s="51">
        <f t="shared" si="90"/>
        <v>0</v>
      </c>
    </row>
    <row r="5780" spans="1:5">
      <c r="A5780" s="59">
        <v>12</v>
      </c>
      <c r="B5780" s="59">
        <v>15</v>
      </c>
      <c r="C5780" s="59">
        <v>140</v>
      </c>
      <c r="D5780" s="51">
        <v>11</v>
      </c>
      <c r="E5780" s="51">
        <f t="shared" si="90"/>
        <v>0</v>
      </c>
    </row>
    <row r="5781" spans="1:5">
      <c r="A5781" s="59">
        <v>12</v>
      </c>
      <c r="B5781" s="59">
        <v>15</v>
      </c>
      <c r="C5781" s="59">
        <v>220</v>
      </c>
      <c r="D5781" s="51">
        <v>11</v>
      </c>
      <c r="E5781" s="51">
        <f t="shared" si="90"/>
        <v>0</v>
      </c>
    </row>
    <row r="5782" spans="1:5">
      <c r="A5782" s="59">
        <v>12</v>
      </c>
      <c r="B5782" s="59">
        <v>44</v>
      </c>
      <c r="C5782" s="59">
        <v>530</v>
      </c>
      <c r="D5782" s="51">
        <v>11</v>
      </c>
      <c r="E5782" s="51">
        <f t="shared" si="90"/>
        <v>1</v>
      </c>
    </row>
    <row r="5783" spans="1:5">
      <c r="A5783" s="59">
        <v>12</v>
      </c>
      <c r="B5783" s="59">
        <v>15</v>
      </c>
      <c r="C5783" s="59">
        <v>910</v>
      </c>
      <c r="D5783" s="51">
        <v>10</v>
      </c>
      <c r="E5783" s="51">
        <f t="shared" si="90"/>
        <v>0</v>
      </c>
    </row>
    <row r="5784" spans="1:5">
      <c r="A5784" s="59">
        <v>12</v>
      </c>
      <c r="B5784" s="59">
        <v>22</v>
      </c>
      <c r="C5784" s="59">
        <v>310</v>
      </c>
      <c r="D5784" s="51">
        <v>10</v>
      </c>
      <c r="E5784" s="51">
        <f t="shared" si="90"/>
        <v>0</v>
      </c>
    </row>
    <row r="5785" spans="1:5">
      <c r="A5785" s="59">
        <v>12</v>
      </c>
      <c r="B5785" s="59">
        <v>31</v>
      </c>
      <c r="C5785" s="59">
        <v>410</v>
      </c>
      <c r="D5785" s="51">
        <v>10</v>
      </c>
      <c r="E5785" s="51">
        <f t="shared" si="90"/>
        <v>0</v>
      </c>
    </row>
    <row r="5786" spans="1:5">
      <c r="A5786" s="59">
        <v>12</v>
      </c>
      <c r="B5786" s="59">
        <v>43</v>
      </c>
      <c r="C5786" s="59">
        <v>320</v>
      </c>
      <c r="D5786" s="51">
        <v>10</v>
      </c>
      <c r="E5786" s="51">
        <f t="shared" si="90"/>
        <v>0</v>
      </c>
    </row>
    <row r="5787" spans="1:5">
      <c r="A5787" s="59">
        <v>12</v>
      </c>
      <c r="B5787" s="59">
        <v>64</v>
      </c>
      <c r="C5787" s="59">
        <v>920</v>
      </c>
      <c r="D5787" s="51">
        <v>10</v>
      </c>
      <c r="E5787" s="51">
        <f t="shared" si="90"/>
        <v>0</v>
      </c>
    </row>
    <row r="5788" spans="1:5">
      <c r="A5788" s="59">
        <v>12</v>
      </c>
      <c r="B5788" s="59">
        <v>64</v>
      </c>
      <c r="C5788" s="59">
        <v>960</v>
      </c>
      <c r="D5788" s="51">
        <v>10</v>
      </c>
      <c r="E5788" s="51">
        <f t="shared" si="90"/>
        <v>0</v>
      </c>
    </row>
    <row r="5789" spans="1:5">
      <c r="A5789" s="59">
        <v>12</v>
      </c>
      <c r="B5789" s="59">
        <v>71</v>
      </c>
      <c r="C5789" s="59">
        <v>910</v>
      </c>
      <c r="D5789" s="51">
        <v>10</v>
      </c>
      <c r="E5789" s="51">
        <f t="shared" si="90"/>
        <v>0</v>
      </c>
    </row>
    <row r="5790" spans="1:5">
      <c r="A5790" s="59">
        <v>12</v>
      </c>
      <c r="B5790" s="59">
        <v>33</v>
      </c>
      <c r="C5790" s="59">
        <v>330</v>
      </c>
      <c r="D5790" s="51">
        <v>9</v>
      </c>
      <c r="E5790" s="51">
        <f t="shared" si="90"/>
        <v>0</v>
      </c>
    </row>
    <row r="5791" spans="1:5">
      <c r="A5791" s="59">
        <v>12</v>
      </c>
      <c r="B5791" s="59">
        <v>62</v>
      </c>
      <c r="C5791" s="59">
        <v>230</v>
      </c>
      <c r="D5791" s="51">
        <v>9</v>
      </c>
      <c r="E5791" s="51">
        <f t="shared" si="90"/>
        <v>1</v>
      </c>
    </row>
    <row r="5792" spans="1:5">
      <c r="A5792" s="59">
        <v>12</v>
      </c>
      <c r="B5792" s="59">
        <v>62</v>
      </c>
      <c r="C5792" s="59">
        <v>240</v>
      </c>
      <c r="D5792" s="51">
        <v>9</v>
      </c>
      <c r="E5792" s="51">
        <f t="shared" si="90"/>
        <v>1</v>
      </c>
    </row>
    <row r="5793" spans="1:5">
      <c r="A5793" s="59">
        <v>12</v>
      </c>
      <c r="B5793" s="59">
        <v>71</v>
      </c>
      <c r="C5793" s="59">
        <v>310</v>
      </c>
      <c r="D5793" s="51">
        <v>9</v>
      </c>
      <c r="E5793" s="51">
        <f t="shared" si="90"/>
        <v>0</v>
      </c>
    </row>
    <row r="5794" spans="1:5">
      <c r="A5794" s="59">
        <v>12</v>
      </c>
      <c r="B5794" s="59">
        <v>13</v>
      </c>
      <c r="C5794" s="59">
        <v>950</v>
      </c>
      <c r="D5794" s="51">
        <v>8</v>
      </c>
      <c r="E5794" s="51">
        <f t="shared" si="90"/>
        <v>0</v>
      </c>
    </row>
    <row r="5795" spans="1:5">
      <c r="A5795" s="59">
        <v>12</v>
      </c>
      <c r="B5795" s="59">
        <v>14</v>
      </c>
      <c r="C5795" s="59">
        <v>220</v>
      </c>
      <c r="D5795" s="51">
        <v>8</v>
      </c>
      <c r="E5795" s="51">
        <f t="shared" si="90"/>
        <v>0</v>
      </c>
    </row>
    <row r="5796" spans="1:5">
      <c r="A5796" s="59">
        <v>12</v>
      </c>
      <c r="B5796" s="59">
        <v>22</v>
      </c>
      <c r="C5796" s="59">
        <v>220</v>
      </c>
      <c r="D5796" s="51">
        <v>8</v>
      </c>
      <c r="E5796" s="51">
        <f t="shared" si="90"/>
        <v>0</v>
      </c>
    </row>
    <row r="5797" spans="1:5">
      <c r="A5797" s="59">
        <v>12</v>
      </c>
      <c r="B5797" s="59">
        <v>42</v>
      </c>
      <c r="C5797" s="59">
        <v>330</v>
      </c>
      <c r="D5797" s="51">
        <v>8</v>
      </c>
      <c r="E5797" s="51">
        <f t="shared" si="90"/>
        <v>0</v>
      </c>
    </row>
    <row r="5798" spans="1:5">
      <c r="A5798" s="59">
        <v>12</v>
      </c>
      <c r="B5798" s="59">
        <v>43</v>
      </c>
      <c r="C5798" s="59">
        <v>110</v>
      </c>
      <c r="D5798" s="51">
        <v>8</v>
      </c>
      <c r="E5798" s="51">
        <f t="shared" si="90"/>
        <v>0</v>
      </c>
    </row>
    <row r="5799" spans="1:5">
      <c r="A5799" s="59">
        <v>12</v>
      </c>
      <c r="B5799" s="59">
        <v>62</v>
      </c>
      <c r="C5799" s="59">
        <v>150</v>
      </c>
      <c r="D5799" s="51">
        <v>8</v>
      </c>
      <c r="E5799" s="51">
        <f t="shared" si="90"/>
        <v>1</v>
      </c>
    </row>
    <row r="5800" spans="1:5">
      <c r="A5800" s="59">
        <v>12</v>
      </c>
      <c r="B5800" s="59">
        <v>62</v>
      </c>
      <c r="C5800" s="59">
        <v>530</v>
      </c>
      <c r="D5800" s="51">
        <v>8</v>
      </c>
      <c r="E5800" s="51">
        <f t="shared" si="90"/>
        <v>1</v>
      </c>
    </row>
    <row r="5801" spans="1:5">
      <c r="A5801" s="59">
        <v>12</v>
      </c>
      <c r="B5801" s="59">
        <v>63</v>
      </c>
      <c r="C5801" s="59">
        <v>330</v>
      </c>
      <c r="D5801" s="51">
        <v>8</v>
      </c>
      <c r="E5801" s="51">
        <f t="shared" si="90"/>
        <v>0</v>
      </c>
    </row>
    <row r="5802" spans="1:5">
      <c r="A5802" s="59">
        <v>12</v>
      </c>
      <c r="B5802" s="59">
        <v>63</v>
      </c>
      <c r="C5802" s="59">
        <v>530</v>
      </c>
      <c r="D5802" s="51">
        <v>8</v>
      </c>
      <c r="E5802" s="51">
        <f t="shared" si="90"/>
        <v>0</v>
      </c>
    </row>
    <row r="5803" spans="1:5">
      <c r="A5803" s="59">
        <v>12</v>
      </c>
      <c r="B5803" s="59">
        <v>64</v>
      </c>
      <c r="C5803" s="59">
        <v>150</v>
      </c>
      <c r="D5803" s="51">
        <v>8</v>
      </c>
      <c r="E5803" s="51">
        <f t="shared" si="90"/>
        <v>0</v>
      </c>
    </row>
    <row r="5804" spans="1:5">
      <c r="A5804" s="59">
        <v>12</v>
      </c>
      <c r="B5804" s="59">
        <v>64</v>
      </c>
      <c r="C5804" s="59">
        <v>420</v>
      </c>
      <c r="D5804" s="51">
        <v>8</v>
      </c>
      <c r="E5804" s="51">
        <f t="shared" si="90"/>
        <v>0</v>
      </c>
    </row>
    <row r="5805" spans="1:5">
      <c r="A5805" s="59">
        <v>12</v>
      </c>
      <c r="B5805" s="59">
        <v>22</v>
      </c>
      <c r="C5805" s="59">
        <v>330</v>
      </c>
      <c r="D5805" s="51">
        <v>7</v>
      </c>
      <c r="E5805" s="51">
        <f t="shared" si="90"/>
        <v>0</v>
      </c>
    </row>
    <row r="5806" spans="1:5">
      <c r="A5806" s="59">
        <v>12</v>
      </c>
      <c r="B5806" s="59">
        <v>31</v>
      </c>
      <c r="C5806" s="59">
        <v>210</v>
      </c>
      <c r="D5806" s="51">
        <v>7</v>
      </c>
      <c r="E5806" s="51">
        <f t="shared" si="90"/>
        <v>0</v>
      </c>
    </row>
    <row r="5807" spans="1:5">
      <c r="A5807" s="59">
        <v>12</v>
      </c>
      <c r="B5807" s="59">
        <v>32</v>
      </c>
      <c r="C5807" s="59">
        <v>330</v>
      </c>
      <c r="D5807" s="51">
        <v>7</v>
      </c>
      <c r="E5807" s="51">
        <f t="shared" si="90"/>
        <v>0</v>
      </c>
    </row>
    <row r="5808" spans="1:5">
      <c r="A5808" s="59">
        <v>12</v>
      </c>
      <c r="B5808" s="59">
        <v>33</v>
      </c>
      <c r="C5808" s="59">
        <v>240</v>
      </c>
      <c r="D5808" s="51">
        <v>7</v>
      </c>
      <c r="E5808" s="51">
        <f t="shared" si="90"/>
        <v>0</v>
      </c>
    </row>
    <row r="5809" spans="1:5">
      <c r="A5809" s="59">
        <v>12</v>
      </c>
      <c r="B5809" s="59">
        <v>42</v>
      </c>
      <c r="C5809" s="59">
        <v>160</v>
      </c>
      <c r="D5809" s="51">
        <v>7</v>
      </c>
      <c r="E5809" s="51">
        <f t="shared" si="90"/>
        <v>0</v>
      </c>
    </row>
    <row r="5810" spans="1:5">
      <c r="A5810" s="59">
        <v>12</v>
      </c>
      <c r="B5810" s="59">
        <v>42</v>
      </c>
      <c r="C5810" s="59">
        <v>230</v>
      </c>
      <c r="D5810" s="51">
        <v>7</v>
      </c>
      <c r="E5810" s="51">
        <f t="shared" si="90"/>
        <v>0</v>
      </c>
    </row>
    <row r="5811" spans="1:5">
      <c r="A5811" s="59">
        <v>12</v>
      </c>
      <c r="B5811" s="59">
        <v>43</v>
      </c>
      <c r="C5811" s="59">
        <v>420</v>
      </c>
      <c r="D5811" s="51">
        <v>7</v>
      </c>
      <c r="E5811" s="51">
        <f t="shared" si="90"/>
        <v>0</v>
      </c>
    </row>
    <row r="5812" spans="1:5">
      <c r="A5812" s="59">
        <v>12</v>
      </c>
      <c r="B5812" s="59">
        <v>43</v>
      </c>
      <c r="C5812" s="59">
        <v>950</v>
      </c>
      <c r="D5812" s="51">
        <v>7</v>
      </c>
      <c r="E5812" s="51">
        <f t="shared" si="90"/>
        <v>0</v>
      </c>
    </row>
    <row r="5813" spans="1:5">
      <c r="A5813" s="59">
        <v>12</v>
      </c>
      <c r="B5813" s="59">
        <v>13</v>
      </c>
      <c r="C5813" s="59">
        <v>110</v>
      </c>
      <c r="D5813" s="51">
        <v>6</v>
      </c>
      <c r="E5813" s="51">
        <f t="shared" si="90"/>
        <v>0</v>
      </c>
    </row>
    <row r="5814" spans="1:5">
      <c r="A5814" s="59">
        <v>12</v>
      </c>
      <c r="B5814" s="59">
        <v>13</v>
      </c>
      <c r="C5814" s="59">
        <v>150</v>
      </c>
      <c r="D5814" s="51">
        <v>6</v>
      </c>
      <c r="E5814" s="51">
        <f t="shared" si="90"/>
        <v>0</v>
      </c>
    </row>
    <row r="5815" spans="1:5">
      <c r="A5815" s="59">
        <v>12</v>
      </c>
      <c r="B5815" s="59">
        <v>13</v>
      </c>
      <c r="C5815" s="59">
        <v>320</v>
      </c>
      <c r="D5815" s="51">
        <v>6</v>
      </c>
      <c r="E5815" s="51">
        <f t="shared" si="90"/>
        <v>0</v>
      </c>
    </row>
    <row r="5816" spans="1:5">
      <c r="A5816" s="59">
        <v>12</v>
      </c>
      <c r="B5816" s="59">
        <v>21</v>
      </c>
      <c r="C5816" s="59">
        <v>240</v>
      </c>
      <c r="D5816" s="51">
        <v>6</v>
      </c>
      <c r="E5816" s="51">
        <f t="shared" si="90"/>
        <v>0</v>
      </c>
    </row>
    <row r="5817" spans="1:5">
      <c r="A5817" s="59">
        <v>12</v>
      </c>
      <c r="B5817" s="59">
        <v>32</v>
      </c>
      <c r="C5817" s="59">
        <v>240</v>
      </c>
      <c r="D5817" s="51">
        <v>6</v>
      </c>
      <c r="E5817" s="51">
        <f t="shared" si="90"/>
        <v>0</v>
      </c>
    </row>
    <row r="5818" spans="1:5">
      <c r="A5818" s="59">
        <v>12</v>
      </c>
      <c r="B5818" s="59">
        <v>44</v>
      </c>
      <c r="C5818" s="59">
        <v>160</v>
      </c>
      <c r="D5818" s="51">
        <v>6</v>
      </c>
      <c r="E5818" s="51">
        <f t="shared" si="90"/>
        <v>1</v>
      </c>
    </row>
    <row r="5819" spans="1:5">
      <c r="A5819" s="59">
        <v>12</v>
      </c>
      <c r="B5819" s="59">
        <v>44</v>
      </c>
      <c r="C5819" s="59">
        <v>230</v>
      </c>
      <c r="D5819" s="51">
        <v>6</v>
      </c>
      <c r="E5819" s="51">
        <f t="shared" si="90"/>
        <v>1</v>
      </c>
    </row>
    <row r="5820" spans="1:5">
      <c r="A5820" s="59">
        <v>12</v>
      </c>
      <c r="B5820" s="59">
        <v>14</v>
      </c>
      <c r="C5820" s="59">
        <v>320</v>
      </c>
      <c r="D5820" s="51">
        <v>5</v>
      </c>
      <c r="E5820" s="51">
        <f t="shared" si="90"/>
        <v>0</v>
      </c>
    </row>
    <row r="5821" spans="1:5">
      <c r="A5821" s="59">
        <v>12</v>
      </c>
      <c r="B5821" s="59">
        <v>15</v>
      </c>
      <c r="C5821" s="59">
        <v>160</v>
      </c>
      <c r="D5821" s="51">
        <v>5</v>
      </c>
      <c r="E5821" s="51">
        <f t="shared" si="90"/>
        <v>0</v>
      </c>
    </row>
    <row r="5822" spans="1:5">
      <c r="A5822" s="59">
        <v>12</v>
      </c>
      <c r="B5822" s="59">
        <v>16</v>
      </c>
      <c r="C5822" s="59">
        <v>910</v>
      </c>
      <c r="D5822" s="51">
        <v>5</v>
      </c>
      <c r="E5822" s="51">
        <f t="shared" si="90"/>
        <v>0</v>
      </c>
    </row>
    <row r="5823" spans="1:5">
      <c r="A5823" s="59">
        <v>12</v>
      </c>
      <c r="B5823" s="59">
        <v>16</v>
      </c>
      <c r="C5823" s="59">
        <v>960</v>
      </c>
      <c r="D5823" s="51">
        <v>5</v>
      </c>
      <c r="E5823" s="51">
        <f t="shared" si="90"/>
        <v>0</v>
      </c>
    </row>
    <row r="5824" spans="1:5">
      <c r="A5824" s="59">
        <v>12</v>
      </c>
      <c r="B5824" s="59">
        <v>22</v>
      </c>
      <c r="C5824" s="59">
        <v>160</v>
      </c>
      <c r="D5824" s="51">
        <v>5</v>
      </c>
      <c r="E5824" s="51">
        <f t="shared" si="90"/>
        <v>0</v>
      </c>
    </row>
    <row r="5825" spans="1:5">
      <c r="A5825" s="59">
        <v>12</v>
      </c>
      <c r="B5825" s="59">
        <v>42</v>
      </c>
      <c r="C5825" s="59">
        <v>430</v>
      </c>
      <c r="D5825" s="51">
        <v>5</v>
      </c>
      <c r="E5825" s="51">
        <f t="shared" si="90"/>
        <v>0</v>
      </c>
    </row>
    <row r="5826" spans="1:5">
      <c r="A5826" s="59">
        <v>12</v>
      </c>
      <c r="B5826" s="59">
        <v>44</v>
      </c>
      <c r="C5826" s="59">
        <v>330</v>
      </c>
      <c r="D5826" s="51">
        <v>5</v>
      </c>
      <c r="E5826" s="51">
        <f t="shared" ref="E5826:E5889" si="91">IF(OR(A5826=6,A5826=7,A5826=14,A5826=15,A5826=16,A5826=17,A5826=18,A5826=19,A5826=20,A5826=21,A5826=22,A5826=23,A5826=25,A5826=26,A5826=27,A5826=28,B5826=41,B5826=44,B5826=62),1,0)</f>
        <v>1</v>
      </c>
    </row>
    <row r="5827" spans="1:5">
      <c r="A5827" s="59">
        <v>12</v>
      </c>
      <c r="B5827" s="59">
        <v>51</v>
      </c>
      <c r="C5827" s="59">
        <v>210</v>
      </c>
      <c r="D5827" s="51">
        <v>5</v>
      </c>
      <c r="E5827" s="51">
        <f t="shared" si="91"/>
        <v>0</v>
      </c>
    </row>
    <row r="5828" spans="1:5">
      <c r="A5828" s="59">
        <v>12</v>
      </c>
      <c r="B5828" s="59">
        <v>13</v>
      </c>
      <c r="C5828" s="59">
        <v>220</v>
      </c>
      <c r="D5828" s="51">
        <v>4</v>
      </c>
      <c r="E5828" s="51">
        <f t="shared" si="91"/>
        <v>0</v>
      </c>
    </row>
    <row r="5829" spans="1:5">
      <c r="A5829" s="59">
        <v>12</v>
      </c>
      <c r="B5829" s="59">
        <v>16</v>
      </c>
      <c r="C5829" s="59">
        <v>140</v>
      </c>
      <c r="D5829" s="51">
        <v>4</v>
      </c>
      <c r="E5829" s="51">
        <f t="shared" si="91"/>
        <v>0</v>
      </c>
    </row>
    <row r="5830" spans="1:5">
      <c r="A5830" s="59">
        <v>12</v>
      </c>
      <c r="B5830" s="59">
        <v>21</v>
      </c>
      <c r="C5830" s="59">
        <v>220</v>
      </c>
      <c r="D5830" s="51">
        <v>4</v>
      </c>
      <c r="E5830" s="51">
        <f t="shared" si="91"/>
        <v>0</v>
      </c>
    </row>
    <row r="5831" spans="1:5">
      <c r="A5831" s="59">
        <v>12</v>
      </c>
      <c r="B5831" s="59">
        <v>23</v>
      </c>
      <c r="C5831" s="59">
        <v>140</v>
      </c>
      <c r="D5831" s="51">
        <v>4</v>
      </c>
      <c r="E5831" s="51">
        <f t="shared" si="91"/>
        <v>0</v>
      </c>
    </row>
    <row r="5832" spans="1:5">
      <c r="A5832" s="59">
        <v>12</v>
      </c>
      <c r="B5832" s="59">
        <v>24</v>
      </c>
      <c r="C5832" s="59">
        <v>230</v>
      </c>
      <c r="D5832" s="51">
        <v>4</v>
      </c>
      <c r="E5832" s="51">
        <f t="shared" si="91"/>
        <v>0</v>
      </c>
    </row>
    <row r="5833" spans="1:5">
      <c r="A5833" s="59">
        <v>12</v>
      </c>
      <c r="B5833" s="59">
        <v>31</v>
      </c>
      <c r="C5833" s="59">
        <v>230</v>
      </c>
      <c r="D5833" s="51">
        <v>4</v>
      </c>
      <c r="E5833" s="51">
        <f t="shared" si="91"/>
        <v>0</v>
      </c>
    </row>
    <row r="5834" spans="1:5">
      <c r="A5834" s="59">
        <v>12</v>
      </c>
      <c r="B5834" s="59">
        <v>41</v>
      </c>
      <c r="C5834" s="59">
        <v>910</v>
      </c>
      <c r="D5834" s="51">
        <v>4</v>
      </c>
      <c r="E5834" s="51">
        <f t="shared" si="91"/>
        <v>1</v>
      </c>
    </row>
    <row r="5835" spans="1:5">
      <c r="A5835" s="59">
        <v>12</v>
      </c>
      <c r="B5835" s="59">
        <v>43</v>
      </c>
      <c r="C5835" s="59">
        <v>930</v>
      </c>
      <c r="D5835" s="51">
        <v>4</v>
      </c>
      <c r="E5835" s="51">
        <f t="shared" si="91"/>
        <v>0</v>
      </c>
    </row>
    <row r="5836" spans="1:5">
      <c r="A5836" s="59">
        <v>12</v>
      </c>
      <c r="B5836" s="59">
        <v>44</v>
      </c>
      <c r="C5836" s="59">
        <v>240</v>
      </c>
      <c r="D5836" s="51">
        <v>4</v>
      </c>
      <c r="E5836" s="51">
        <f t="shared" si="91"/>
        <v>1</v>
      </c>
    </row>
    <row r="5837" spans="1:5">
      <c r="A5837" s="59">
        <v>12</v>
      </c>
      <c r="B5837" s="59">
        <v>63</v>
      </c>
      <c r="C5837" s="59">
        <v>240</v>
      </c>
      <c r="D5837" s="51">
        <v>4</v>
      </c>
      <c r="E5837" s="51">
        <f t="shared" si="91"/>
        <v>0</v>
      </c>
    </row>
    <row r="5838" spans="1:5">
      <c r="A5838" s="59">
        <v>12</v>
      </c>
      <c r="B5838" s="59">
        <v>63</v>
      </c>
      <c r="C5838" s="59">
        <v>540</v>
      </c>
      <c r="D5838" s="51">
        <v>4</v>
      </c>
      <c r="E5838" s="51">
        <f t="shared" si="91"/>
        <v>0</v>
      </c>
    </row>
    <row r="5839" spans="1:5">
      <c r="A5839" s="59">
        <v>12</v>
      </c>
      <c r="B5839" s="59">
        <v>64</v>
      </c>
      <c r="C5839" s="59">
        <v>610</v>
      </c>
      <c r="D5839" s="51">
        <v>4</v>
      </c>
      <c r="E5839" s="51">
        <f t="shared" si="91"/>
        <v>0</v>
      </c>
    </row>
    <row r="5840" spans="1:5">
      <c r="A5840" s="59">
        <v>12</v>
      </c>
      <c r="B5840" s="59">
        <v>71</v>
      </c>
      <c r="C5840" s="59">
        <v>160</v>
      </c>
      <c r="D5840" s="51">
        <v>4</v>
      </c>
      <c r="E5840" s="51">
        <f t="shared" si="91"/>
        <v>0</v>
      </c>
    </row>
    <row r="5841" spans="1:5">
      <c r="A5841" s="59">
        <v>12</v>
      </c>
      <c r="B5841" s="59">
        <v>71</v>
      </c>
      <c r="C5841" s="59">
        <v>240</v>
      </c>
      <c r="D5841" s="51">
        <v>4</v>
      </c>
      <c r="E5841" s="51">
        <f t="shared" si="91"/>
        <v>0</v>
      </c>
    </row>
    <row r="5842" spans="1:5">
      <c r="A5842" s="59">
        <v>12</v>
      </c>
      <c r="B5842" s="59">
        <v>81</v>
      </c>
      <c r="C5842" s="59">
        <v>160</v>
      </c>
      <c r="D5842" s="51">
        <v>4</v>
      </c>
      <c r="E5842" s="51">
        <f t="shared" si="91"/>
        <v>0</v>
      </c>
    </row>
    <row r="5843" spans="1:5">
      <c r="A5843" s="59">
        <v>12</v>
      </c>
      <c r="B5843" s="59">
        <v>81</v>
      </c>
      <c r="C5843" s="59">
        <v>950</v>
      </c>
      <c r="D5843" s="51">
        <v>4</v>
      </c>
      <c r="E5843" s="51">
        <f t="shared" si="91"/>
        <v>0</v>
      </c>
    </row>
    <row r="5844" spans="1:5">
      <c r="A5844" s="59">
        <v>12</v>
      </c>
      <c r="B5844" s="59">
        <v>14</v>
      </c>
      <c r="C5844" s="59">
        <v>920</v>
      </c>
      <c r="D5844" s="51">
        <v>3</v>
      </c>
      <c r="E5844" s="51">
        <f t="shared" si="91"/>
        <v>0</v>
      </c>
    </row>
    <row r="5845" spans="1:5">
      <c r="A5845" s="59">
        <v>12</v>
      </c>
      <c r="B5845" s="59">
        <v>14</v>
      </c>
      <c r="C5845" s="59">
        <v>940</v>
      </c>
      <c r="D5845" s="51">
        <v>3</v>
      </c>
      <c r="E5845" s="51">
        <f t="shared" si="91"/>
        <v>0</v>
      </c>
    </row>
    <row r="5846" spans="1:5">
      <c r="A5846" s="59">
        <v>12</v>
      </c>
      <c r="B5846" s="59">
        <v>14</v>
      </c>
      <c r="C5846" s="59">
        <v>950</v>
      </c>
      <c r="D5846" s="51">
        <v>3</v>
      </c>
      <c r="E5846" s="51">
        <f t="shared" si="91"/>
        <v>0</v>
      </c>
    </row>
    <row r="5847" spans="1:5">
      <c r="A5847" s="59">
        <v>12</v>
      </c>
      <c r="B5847" s="59">
        <v>15</v>
      </c>
      <c r="C5847" s="59">
        <v>150</v>
      </c>
      <c r="D5847" s="51">
        <v>3</v>
      </c>
      <c r="E5847" s="51">
        <f t="shared" si="91"/>
        <v>0</v>
      </c>
    </row>
    <row r="5848" spans="1:5">
      <c r="A5848" s="59">
        <v>12</v>
      </c>
      <c r="B5848" s="59">
        <v>15</v>
      </c>
      <c r="C5848" s="59">
        <v>310</v>
      </c>
      <c r="D5848" s="51">
        <v>3</v>
      </c>
      <c r="E5848" s="51">
        <f t="shared" si="91"/>
        <v>0</v>
      </c>
    </row>
    <row r="5849" spans="1:5">
      <c r="A5849" s="59">
        <v>12</v>
      </c>
      <c r="B5849" s="59">
        <v>16</v>
      </c>
      <c r="C5849" s="59">
        <v>430</v>
      </c>
      <c r="D5849" s="51">
        <v>3</v>
      </c>
      <c r="E5849" s="51">
        <f t="shared" si="91"/>
        <v>0</v>
      </c>
    </row>
    <row r="5850" spans="1:5">
      <c r="A5850" s="59">
        <v>12</v>
      </c>
      <c r="B5850" s="59">
        <v>22</v>
      </c>
      <c r="C5850" s="59">
        <v>890</v>
      </c>
      <c r="D5850" s="51">
        <v>3</v>
      </c>
      <c r="E5850" s="51">
        <f t="shared" si="91"/>
        <v>0</v>
      </c>
    </row>
    <row r="5851" spans="1:5">
      <c r="A5851" s="59">
        <v>12</v>
      </c>
      <c r="B5851" s="59">
        <v>23</v>
      </c>
      <c r="C5851" s="59">
        <v>240</v>
      </c>
      <c r="D5851" s="51">
        <v>3</v>
      </c>
      <c r="E5851" s="51">
        <f t="shared" si="91"/>
        <v>0</v>
      </c>
    </row>
    <row r="5852" spans="1:5">
      <c r="A5852" s="59">
        <v>12</v>
      </c>
      <c r="B5852" s="59">
        <v>33</v>
      </c>
      <c r="C5852" s="59">
        <v>420</v>
      </c>
      <c r="D5852" s="51">
        <v>3</v>
      </c>
      <c r="E5852" s="51">
        <f t="shared" si="91"/>
        <v>0</v>
      </c>
    </row>
    <row r="5853" spans="1:5">
      <c r="A5853" s="59">
        <v>12</v>
      </c>
      <c r="B5853" s="59">
        <v>42</v>
      </c>
      <c r="C5853" s="59">
        <v>240</v>
      </c>
      <c r="D5853" s="51">
        <v>3</v>
      </c>
      <c r="E5853" s="51">
        <f t="shared" si="91"/>
        <v>0</v>
      </c>
    </row>
    <row r="5854" spans="1:5">
      <c r="A5854" s="59">
        <v>12</v>
      </c>
      <c r="B5854" s="59">
        <v>43</v>
      </c>
      <c r="C5854" s="59">
        <v>120</v>
      </c>
      <c r="D5854" s="51">
        <v>3</v>
      </c>
      <c r="E5854" s="51">
        <f t="shared" si="91"/>
        <v>0</v>
      </c>
    </row>
    <row r="5855" spans="1:5">
      <c r="A5855" s="59">
        <v>12</v>
      </c>
      <c r="B5855" s="59">
        <v>43</v>
      </c>
      <c r="C5855" s="59">
        <v>620</v>
      </c>
      <c r="D5855" s="51">
        <v>3</v>
      </c>
      <c r="E5855" s="51">
        <f t="shared" si="91"/>
        <v>0</v>
      </c>
    </row>
    <row r="5856" spans="1:5">
      <c r="A5856" s="59">
        <v>12</v>
      </c>
      <c r="B5856" s="59">
        <v>44</v>
      </c>
      <c r="C5856" s="59">
        <v>310</v>
      </c>
      <c r="D5856" s="51">
        <v>3</v>
      </c>
      <c r="E5856" s="51">
        <f t="shared" si="91"/>
        <v>1</v>
      </c>
    </row>
    <row r="5857" spans="1:5">
      <c r="A5857" s="59">
        <v>12</v>
      </c>
      <c r="B5857" s="59">
        <v>63</v>
      </c>
      <c r="C5857" s="59">
        <v>220</v>
      </c>
      <c r="D5857" s="51">
        <v>3</v>
      </c>
      <c r="E5857" s="51">
        <f t="shared" si="91"/>
        <v>0</v>
      </c>
    </row>
    <row r="5858" spans="1:5">
      <c r="A5858" s="59">
        <v>12</v>
      </c>
      <c r="B5858" s="59">
        <v>16</v>
      </c>
      <c r="C5858" s="59">
        <v>150</v>
      </c>
      <c r="D5858" s="51">
        <v>2</v>
      </c>
      <c r="E5858" s="51">
        <f t="shared" si="91"/>
        <v>0</v>
      </c>
    </row>
    <row r="5859" spans="1:5">
      <c r="A5859" s="59">
        <v>12</v>
      </c>
      <c r="B5859" s="59">
        <v>16</v>
      </c>
      <c r="C5859" s="59">
        <v>220</v>
      </c>
      <c r="D5859" s="51">
        <v>2</v>
      </c>
      <c r="E5859" s="51">
        <f t="shared" si="91"/>
        <v>0</v>
      </c>
    </row>
    <row r="5860" spans="1:5">
      <c r="A5860" s="59">
        <v>12</v>
      </c>
      <c r="B5860" s="59">
        <v>16</v>
      </c>
      <c r="C5860" s="59">
        <v>510</v>
      </c>
      <c r="D5860" s="51">
        <v>2</v>
      </c>
      <c r="E5860" s="51">
        <f t="shared" si="91"/>
        <v>0</v>
      </c>
    </row>
    <row r="5861" spans="1:5">
      <c r="A5861" s="59">
        <v>12</v>
      </c>
      <c r="B5861" s="59">
        <v>23</v>
      </c>
      <c r="C5861" s="59">
        <v>330</v>
      </c>
      <c r="D5861" s="51">
        <v>2</v>
      </c>
      <c r="E5861" s="51">
        <f t="shared" si="91"/>
        <v>0</v>
      </c>
    </row>
    <row r="5862" spans="1:5">
      <c r="A5862" s="59">
        <v>12</v>
      </c>
      <c r="B5862" s="59">
        <v>31</v>
      </c>
      <c r="C5862" s="59">
        <v>420</v>
      </c>
      <c r="D5862" s="51">
        <v>2</v>
      </c>
      <c r="E5862" s="51">
        <f t="shared" si="91"/>
        <v>0</v>
      </c>
    </row>
    <row r="5863" spans="1:5">
      <c r="A5863" s="59">
        <v>12</v>
      </c>
      <c r="B5863" s="59">
        <v>32</v>
      </c>
      <c r="C5863" s="59">
        <v>310</v>
      </c>
      <c r="D5863" s="51">
        <v>2</v>
      </c>
      <c r="E5863" s="51">
        <f t="shared" si="91"/>
        <v>0</v>
      </c>
    </row>
    <row r="5864" spans="1:5">
      <c r="A5864" s="59">
        <v>12</v>
      </c>
      <c r="B5864" s="59">
        <v>43</v>
      </c>
      <c r="C5864" s="59">
        <v>610</v>
      </c>
      <c r="D5864" s="51">
        <v>2</v>
      </c>
      <c r="E5864" s="51">
        <f t="shared" si="91"/>
        <v>0</v>
      </c>
    </row>
    <row r="5865" spans="1:5">
      <c r="A5865" s="59">
        <v>12</v>
      </c>
      <c r="B5865" s="59">
        <v>43</v>
      </c>
      <c r="C5865" s="59">
        <v>840</v>
      </c>
      <c r="D5865" s="51">
        <v>2</v>
      </c>
      <c r="E5865" s="51">
        <f t="shared" si="91"/>
        <v>0</v>
      </c>
    </row>
    <row r="5866" spans="1:5">
      <c r="A5866" s="59">
        <v>12</v>
      </c>
      <c r="B5866" s="59">
        <v>43</v>
      </c>
      <c r="C5866" s="59">
        <v>990</v>
      </c>
      <c r="D5866" s="51">
        <v>2</v>
      </c>
      <c r="E5866" s="51">
        <f t="shared" si="91"/>
        <v>0</v>
      </c>
    </row>
    <row r="5867" spans="1:5">
      <c r="A5867" s="59">
        <v>12</v>
      </c>
      <c r="B5867" s="59">
        <v>62</v>
      </c>
      <c r="C5867" s="59">
        <v>220</v>
      </c>
      <c r="D5867" s="51">
        <v>2</v>
      </c>
      <c r="E5867" s="51">
        <f t="shared" si="91"/>
        <v>1</v>
      </c>
    </row>
    <row r="5868" spans="1:5">
      <c r="A5868" s="59">
        <v>12</v>
      </c>
      <c r="B5868" s="59">
        <v>62</v>
      </c>
      <c r="C5868" s="59">
        <v>330</v>
      </c>
      <c r="D5868" s="51">
        <v>2</v>
      </c>
      <c r="E5868" s="51">
        <f t="shared" si="91"/>
        <v>1</v>
      </c>
    </row>
    <row r="5869" spans="1:5">
      <c r="A5869" s="59">
        <v>12</v>
      </c>
      <c r="B5869" s="59">
        <v>62</v>
      </c>
      <c r="C5869" s="59">
        <v>620</v>
      </c>
      <c r="D5869" s="51">
        <v>2</v>
      </c>
      <c r="E5869" s="51">
        <f t="shared" si="91"/>
        <v>1</v>
      </c>
    </row>
    <row r="5870" spans="1:5">
      <c r="A5870" s="59">
        <v>12</v>
      </c>
      <c r="B5870" s="59">
        <v>62</v>
      </c>
      <c r="C5870" s="59">
        <v>920</v>
      </c>
      <c r="D5870" s="51">
        <v>2</v>
      </c>
      <c r="E5870" s="51">
        <f t="shared" si="91"/>
        <v>1</v>
      </c>
    </row>
    <row r="5871" spans="1:5">
      <c r="A5871" s="59">
        <v>12</v>
      </c>
      <c r="B5871" s="59">
        <v>63</v>
      </c>
      <c r="C5871" s="59">
        <v>620</v>
      </c>
      <c r="D5871" s="51">
        <v>2</v>
      </c>
      <c r="E5871" s="51">
        <f t="shared" si="91"/>
        <v>0</v>
      </c>
    </row>
    <row r="5872" spans="1:5">
      <c r="A5872" s="59">
        <v>12</v>
      </c>
      <c r="B5872" s="59">
        <v>63</v>
      </c>
      <c r="C5872" s="59">
        <v>920</v>
      </c>
      <c r="D5872" s="51">
        <v>2</v>
      </c>
      <c r="E5872" s="51">
        <f t="shared" si="91"/>
        <v>0</v>
      </c>
    </row>
    <row r="5873" spans="1:5">
      <c r="A5873" s="59">
        <v>12</v>
      </c>
      <c r="B5873" s="59">
        <v>64</v>
      </c>
      <c r="C5873" s="59">
        <v>540</v>
      </c>
      <c r="D5873" s="51">
        <v>2</v>
      </c>
      <c r="E5873" s="51">
        <f t="shared" si="91"/>
        <v>0</v>
      </c>
    </row>
    <row r="5874" spans="1:5">
      <c r="A5874" s="59">
        <v>12</v>
      </c>
      <c r="B5874" s="59">
        <v>71</v>
      </c>
      <c r="C5874" s="59">
        <v>510</v>
      </c>
      <c r="D5874" s="51">
        <v>2</v>
      </c>
      <c r="E5874" s="51">
        <f t="shared" si="91"/>
        <v>0</v>
      </c>
    </row>
    <row r="5875" spans="1:5">
      <c r="A5875" s="59">
        <v>12</v>
      </c>
      <c r="B5875" s="59">
        <v>71</v>
      </c>
      <c r="C5875" s="59">
        <v>920</v>
      </c>
      <c r="D5875" s="51">
        <v>2</v>
      </c>
      <c r="E5875" s="51">
        <f t="shared" si="91"/>
        <v>0</v>
      </c>
    </row>
    <row r="5876" spans="1:5">
      <c r="A5876" s="59">
        <v>12</v>
      </c>
      <c r="B5876" s="59">
        <v>81</v>
      </c>
      <c r="C5876" s="59">
        <v>310</v>
      </c>
      <c r="D5876" s="51">
        <v>2</v>
      </c>
      <c r="E5876" s="51">
        <f t="shared" si="91"/>
        <v>0</v>
      </c>
    </row>
    <row r="5877" spans="1:5">
      <c r="A5877" s="59">
        <v>12</v>
      </c>
      <c r="B5877" s="59">
        <v>13</v>
      </c>
      <c r="C5877" s="59">
        <v>940</v>
      </c>
      <c r="D5877" s="51">
        <v>1</v>
      </c>
      <c r="E5877" s="51">
        <f t="shared" si="91"/>
        <v>0</v>
      </c>
    </row>
    <row r="5878" spans="1:5">
      <c r="A5878" s="59">
        <v>12</v>
      </c>
      <c r="B5878" s="59">
        <v>13</v>
      </c>
      <c r="C5878" s="59">
        <v>960</v>
      </c>
      <c r="D5878" s="51">
        <v>1</v>
      </c>
      <c r="E5878" s="51">
        <f t="shared" si="91"/>
        <v>0</v>
      </c>
    </row>
    <row r="5879" spans="1:5">
      <c r="A5879" s="59">
        <v>12</v>
      </c>
      <c r="B5879" s="59">
        <v>14</v>
      </c>
      <c r="C5879" s="59">
        <v>130</v>
      </c>
      <c r="D5879" s="51">
        <v>1</v>
      </c>
      <c r="E5879" s="51">
        <f t="shared" si="91"/>
        <v>0</v>
      </c>
    </row>
    <row r="5880" spans="1:5">
      <c r="A5880" s="59">
        <v>12</v>
      </c>
      <c r="B5880" s="59">
        <v>14</v>
      </c>
      <c r="C5880" s="59">
        <v>410</v>
      </c>
      <c r="D5880" s="51">
        <v>1</v>
      </c>
      <c r="E5880" s="51">
        <f t="shared" si="91"/>
        <v>0</v>
      </c>
    </row>
    <row r="5881" spans="1:5">
      <c r="A5881" s="59">
        <v>12</v>
      </c>
      <c r="B5881" s="59">
        <v>14</v>
      </c>
      <c r="C5881" s="59">
        <v>930</v>
      </c>
      <c r="D5881" s="51">
        <v>1</v>
      </c>
      <c r="E5881" s="51">
        <f t="shared" si="91"/>
        <v>0</v>
      </c>
    </row>
    <row r="5882" spans="1:5">
      <c r="A5882" s="59">
        <v>12</v>
      </c>
      <c r="B5882" s="59">
        <v>14</v>
      </c>
      <c r="C5882" s="59">
        <v>960</v>
      </c>
      <c r="D5882" s="51">
        <v>1</v>
      </c>
      <c r="E5882" s="51">
        <f t="shared" si="91"/>
        <v>0</v>
      </c>
    </row>
    <row r="5883" spans="1:5">
      <c r="A5883" s="59">
        <v>12</v>
      </c>
      <c r="B5883" s="59">
        <v>15</v>
      </c>
      <c r="C5883" s="59">
        <v>410</v>
      </c>
      <c r="D5883" s="51">
        <v>1</v>
      </c>
      <c r="E5883" s="51">
        <f t="shared" si="91"/>
        <v>0</v>
      </c>
    </row>
    <row r="5884" spans="1:5">
      <c r="A5884" s="59">
        <v>12</v>
      </c>
      <c r="B5884" s="59">
        <v>15</v>
      </c>
      <c r="C5884" s="59">
        <v>950</v>
      </c>
      <c r="D5884" s="51">
        <v>1</v>
      </c>
      <c r="E5884" s="51">
        <f t="shared" si="91"/>
        <v>0</v>
      </c>
    </row>
    <row r="5885" spans="1:5">
      <c r="A5885" s="59">
        <v>12</v>
      </c>
      <c r="B5885" s="59">
        <v>15</v>
      </c>
      <c r="C5885" s="59">
        <v>960</v>
      </c>
      <c r="D5885" s="51">
        <v>1</v>
      </c>
      <c r="E5885" s="51">
        <f t="shared" si="91"/>
        <v>0</v>
      </c>
    </row>
    <row r="5886" spans="1:5">
      <c r="A5886" s="59">
        <v>12</v>
      </c>
      <c r="B5886" s="59">
        <v>16</v>
      </c>
      <c r="C5886" s="59">
        <v>110</v>
      </c>
      <c r="D5886" s="51">
        <v>1</v>
      </c>
      <c r="E5886" s="51">
        <f t="shared" si="91"/>
        <v>0</v>
      </c>
    </row>
    <row r="5887" spans="1:5">
      <c r="A5887" s="59">
        <v>12</v>
      </c>
      <c r="B5887" s="59">
        <v>16</v>
      </c>
      <c r="C5887" s="59">
        <v>320</v>
      </c>
      <c r="D5887" s="51">
        <v>1</v>
      </c>
      <c r="E5887" s="51">
        <f t="shared" si="91"/>
        <v>0</v>
      </c>
    </row>
    <row r="5888" spans="1:5">
      <c r="A5888" s="59">
        <v>12</v>
      </c>
      <c r="B5888" s="59">
        <v>16</v>
      </c>
      <c r="C5888" s="59">
        <v>410</v>
      </c>
      <c r="D5888" s="51">
        <v>1</v>
      </c>
      <c r="E5888" s="51">
        <f t="shared" si="91"/>
        <v>0</v>
      </c>
    </row>
    <row r="5889" spans="1:5">
      <c r="A5889" s="59">
        <v>12</v>
      </c>
      <c r="B5889" s="59">
        <v>16</v>
      </c>
      <c r="C5889" s="59">
        <v>940</v>
      </c>
      <c r="D5889" s="51">
        <v>1</v>
      </c>
      <c r="E5889" s="51">
        <f t="shared" si="91"/>
        <v>0</v>
      </c>
    </row>
    <row r="5890" spans="1:5">
      <c r="A5890" s="59">
        <v>12</v>
      </c>
      <c r="B5890" s="59">
        <v>16</v>
      </c>
      <c r="C5890" s="59">
        <v>950</v>
      </c>
      <c r="D5890" s="51">
        <v>1</v>
      </c>
      <c r="E5890" s="51">
        <f t="shared" ref="E5890:E5953" si="92">IF(OR(A5890=6,A5890=7,A5890=14,A5890=15,A5890=16,A5890=17,A5890=18,A5890=19,A5890=20,A5890=21,A5890=22,A5890=23,A5890=25,A5890=26,A5890=27,A5890=28,B5890=41,B5890=44,B5890=62),1,0)</f>
        <v>0</v>
      </c>
    </row>
    <row r="5891" spans="1:5">
      <c r="A5891" s="59">
        <v>12</v>
      </c>
      <c r="B5891" s="59">
        <v>21</v>
      </c>
      <c r="C5891" s="59">
        <v>140</v>
      </c>
      <c r="D5891" s="51">
        <v>1</v>
      </c>
      <c r="E5891" s="51">
        <f t="shared" si="92"/>
        <v>0</v>
      </c>
    </row>
    <row r="5892" spans="1:5">
      <c r="A5892" s="59">
        <v>12</v>
      </c>
      <c r="B5892" s="59">
        <v>21</v>
      </c>
      <c r="C5892" s="59">
        <v>230</v>
      </c>
      <c r="D5892" s="51">
        <v>1</v>
      </c>
      <c r="E5892" s="51">
        <f t="shared" si="92"/>
        <v>0</v>
      </c>
    </row>
    <row r="5893" spans="1:5">
      <c r="A5893" s="59">
        <v>12</v>
      </c>
      <c r="B5893" s="59">
        <v>22</v>
      </c>
      <c r="C5893" s="59">
        <v>140</v>
      </c>
      <c r="D5893" s="51">
        <v>1</v>
      </c>
      <c r="E5893" s="51">
        <f t="shared" si="92"/>
        <v>0</v>
      </c>
    </row>
    <row r="5894" spans="1:5">
      <c r="A5894" s="59">
        <v>12</v>
      </c>
      <c r="B5894" s="59">
        <v>22</v>
      </c>
      <c r="C5894" s="59">
        <v>320</v>
      </c>
      <c r="D5894" s="51">
        <v>1</v>
      </c>
      <c r="E5894" s="51">
        <f t="shared" si="92"/>
        <v>0</v>
      </c>
    </row>
    <row r="5895" spans="1:5">
      <c r="A5895" s="59">
        <v>12</v>
      </c>
      <c r="B5895" s="59">
        <v>22</v>
      </c>
      <c r="C5895" s="59">
        <v>420</v>
      </c>
      <c r="D5895" s="51">
        <v>1</v>
      </c>
      <c r="E5895" s="51">
        <f t="shared" si="92"/>
        <v>0</v>
      </c>
    </row>
    <row r="5896" spans="1:5">
      <c r="A5896" s="59">
        <v>12</v>
      </c>
      <c r="B5896" s="59">
        <v>22</v>
      </c>
      <c r="C5896" s="59">
        <v>896</v>
      </c>
      <c r="D5896" s="51">
        <v>1</v>
      </c>
      <c r="E5896" s="51">
        <f t="shared" si="92"/>
        <v>0</v>
      </c>
    </row>
    <row r="5897" spans="1:5">
      <c r="A5897" s="59">
        <v>12</v>
      </c>
      <c r="B5897" s="59">
        <v>23</v>
      </c>
      <c r="C5897" s="59">
        <v>230</v>
      </c>
      <c r="D5897" s="51">
        <v>1</v>
      </c>
      <c r="E5897" s="51">
        <f t="shared" si="92"/>
        <v>0</v>
      </c>
    </row>
    <row r="5898" spans="1:5">
      <c r="A5898" s="59">
        <v>12</v>
      </c>
      <c r="B5898" s="59">
        <v>23</v>
      </c>
      <c r="C5898" s="59">
        <v>310</v>
      </c>
      <c r="D5898" s="51">
        <v>1</v>
      </c>
      <c r="E5898" s="51">
        <f t="shared" si="92"/>
        <v>0</v>
      </c>
    </row>
    <row r="5899" spans="1:5">
      <c r="A5899" s="59">
        <v>12</v>
      </c>
      <c r="B5899" s="59">
        <v>31</v>
      </c>
      <c r="C5899" s="59">
        <v>910</v>
      </c>
      <c r="D5899" s="51">
        <v>1</v>
      </c>
      <c r="E5899" s="51">
        <f t="shared" si="92"/>
        <v>0</v>
      </c>
    </row>
    <row r="5900" spans="1:5">
      <c r="A5900" s="59">
        <v>12</v>
      </c>
      <c r="B5900" s="59">
        <v>32</v>
      </c>
      <c r="C5900" s="59">
        <v>110</v>
      </c>
      <c r="D5900" s="51">
        <v>1</v>
      </c>
      <c r="E5900" s="51">
        <f t="shared" si="92"/>
        <v>0</v>
      </c>
    </row>
    <row r="5901" spans="1:5">
      <c r="A5901" s="59">
        <v>12</v>
      </c>
      <c r="B5901" s="59">
        <v>32</v>
      </c>
      <c r="C5901" s="59">
        <v>160</v>
      </c>
      <c r="D5901" s="51">
        <v>1</v>
      </c>
      <c r="E5901" s="51">
        <f t="shared" si="92"/>
        <v>0</v>
      </c>
    </row>
    <row r="5902" spans="1:5">
      <c r="A5902" s="59">
        <v>12</v>
      </c>
      <c r="B5902" s="59">
        <v>32</v>
      </c>
      <c r="C5902" s="59">
        <v>530</v>
      </c>
      <c r="D5902" s="51">
        <v>1</v>
      </c>
      <c r="E5902" s="51">
        <f t="shared" si="92"/>
        <v>0</v>
      </c>
    </row>
    <row r="5903" spans="1:5">
      <c r="A5903" s="59">
        <v>12</v>
      </c>
      <c r="B5903" s="59">
        <v>32</v>
      </c>
      <c r="C5903" s="59">
        <v>930</v>
      </c>
      <c r="D5903" s="51">
        <v>1</v>
      </c>
      <c r="E5903" s="51">
        <f t="shared" si="92"/>
        <v>0</v>
      </c>
    </row>
    <row r="5904" spans="1:5">
      <c r="A5904" s="59">
        <v>12</v>
      </c>
      <c r="B5904" s="59">
        <v>33</v>
      </c>
      <c r="C5904" s="59">
        <v>220</v>
      </c>
      <c r="D5904" s="51">
        <v>1</v>
      </c>
      <c r="E5904" s="51">
        <f t="shared" si="92"/>
        <v>0</v>
      </c>
    </row>
    <row r="5905" spans="1:5">
      <c r="A5905" s="59">
        <v>12</v>
      </c>
      <c r="B5905" s="59">
        <v>33</v>
      </c>
      <c r="C5905" s="59">
        <v>310</v>
      </c>
      <c r="D5905" s="51">
        <v>1</v>
      </c>
      <c r="E5905" s="51">
        <f t="shared" si="92"/>
        <v>0</v>
      </c>
    </row>
    <row r="5906" spans="1:5">
      <c r="A5906" s="59">
        <v>12</v>
      </c>
      <c r="B5906" s="59">
        <v>33</v>
      </c>
      <c r="C5906" s="59">
        <v>950</v>
      </c>
      <c r="D5906" s="51">
        <v>1</v>
      </c>
      <c r="E5906" s="51">
        <f t="shared" si="92"/>
        <v>0</v>
      </c>
    </row>
    <row r="5907" spans="1:5">
      <c r="A5907" s="59">
        <v>12</v>
      </c>
      <c r="B5907" s="59">
        <v>33</v>
      </c>
      <c r="C5907" s="59">
        <v>960</v>
      </c>
      <c r="D5907" s="51">
        <v>1</v>
      </c>
      <c r="E5907" s="51">
        <f t="shared" si="92"/>
        <v>0</v>
      </c>
    </row>
    <row r="5908" spans="1:5">
      <c r="A5908" s="59">
        <v>12</v>
      </c>
      <c r="B5908" s="59">
        <v>41</v>
      </c>
      <c r="C5908" s="59">
        <v>160</v>
      </c>
      <c r="D5908" s="51">
        <v>1</v>
      </c>
      <c r="E5908" s="51">
        <f t="shared" si="92"/>
        <v>1</v>
      </c>
    </row>
    <row r="5909" spans="1:5">
      <c r="A5909" s="59">
        <v>12</v>
      </c>
      <c r="B5909" s="59">
        <v>41</v>
      </c>
      <c r="C5909" s="59">
        <v>430</v>
      </c>
      <c r="D5909" s="51">
        <v>1</v>
      </c>
      <c r="E5909" s="51">
        <f t="shared" si="92"/>
        <v>1</v>
      </c>
    </row>
    <row r="5910" spans="1:5">
      <c r="A5910" s="59">
        <v>12</v>
      </c>
      <c r="B5910" s="59">
        <v>42</v>
      </c>
      <c r="C5910" s="59">
        <v>150</v>
      </c>
      <c r="D5910" s="51">
        <v>1</v>
      </c>
      <c r="E5910" s="51">
        <f t="shared" si="92"/>
        <v>0</v>
      </c>
    </row>
    <row r="5911" spans="1:5">
      <c r="A5911" s="59">
        <v>12</v>
      </c>
      <c r="B5911" s="59">
        <v>42</v>
      </c>
      <c r="C5911" s="59">
        <v>530</v>
      </c>
      <c r="D5911" s="51">
        <v>1</v>
      </c>
      <c r="E5911" s="51">
        <f t="shared" si="92"/>
        <v>0</v>
      </c>
    </row>
    <row r="5912" spans="1:5">
      <c r="A5912" s="59">
        <v>12</v>
      </c>
      <c r="B5912" s="59">
        <v>42</v>
      </c>
      <c r="C5912" s="59">
        <v>610</v>
      </c>
      <c r="D5912" s="51">
        <v>1</v>
      </c>
      <c r="E5912" s="51">
        <f t="shared" si="92"/>
        <v>0</v>
      </c>
    </row>
    <row r="5913" spans="1:5">
      <c r="A5913" s="59">
        <v>12</v>
      </c>
      <c r="B5913" s="59">
        <v>42</v>
      </c>
      <c r="C5913" s="59">
        <v>920</v>
      </c>
      <c r="D5913" s="51">
        <v>1</v>
      </c>
      <c r="E5913" s="51">
        <f t="shared" si="92"/>
        <v>0</v>
      </c>
    </row>
    <row r="5914" spans="1:5">
      <c r="A5914" s="59">
        <v>12</v>
      </c>
      <c r="B5914" s="59">
        <v>42</v>
      </c>
      <c r="C5914" s="59">
        <v>960</v>
      </c>
      <c r="D5914" s="51">
        <v>1</v>
      </c>
      <c r="E5914" s="51">
        <f t="shared" si="92"/>
        <v>0</v>
      </c>
    </row>
    <row r="5915" spans="1:5">
      <c r="A5915" s="59">
        <v>12</v>
      </c>
      <c r="B5915" s="59">
        <v>43</v>
      </c>
      <c r="C5915" s="59">
        <v>970</v>
      </c>
      <c r="D5915" s="51">
        <v>1</v>
      </c>
      <c r="E5915" s="51">
        <f t="shared" si="92"/>
        <v>0</v>
      </c>
    </row>
    <row r="5916" spans="1:5">
      <c r="A5916" s="59">
        <v>12</v>
      </c>
      <c r="B5916" s="59">
        <v>44</v>
      </c>
      <c r="C5916" s="59">
        <v>510</v>
      </c>
      <c r="D5916" s="51">
        <v>1</v>
      </c>
      <c r="E5916" s="51">
        <f t="shared" si="92"/>
        <v>1</v>
      </c>
    </row>
    <row r="5917" spans="1:5">
      <c r="A5917" s="59">
        <v>12</v>
      </c>
      <c r="B5917" s="59">
        <v>44</v>
      </c>
      <c r="C5917" s="59">
        <v>920</v>
      </c>
      <c r="D5917" s="51">
        <v>1</v>
      </c>
      <c r="E5917" s="51">
        <f t="shared" si="92"/>
        <v>1</v>
      </c>
    </row>
    <row r="5918" spans="1:5">
      <c r="A5918" s="59">
        <v>12</v>
      </c>
      <c r="B5918" s="59">
        <v>51</v>
      </c>
      <c r="C5918" s="59">
        <v>160</v>
      </c>
      <c r="D5918" s="51">
        <v>1</v>
      </c>
      <c r="E5918" s="51">
        <f t="shared" si="92"/>
        <v>0</v>
      </c>
    </row>
    <row r="5919" spans="1:5">
      <c r="A5919" s="59">
        <v>12</v>
      </c>
      <c r="B5919" s="59">
        <v>51</v>
      </c>
      <c r="C5919" s="59">
        <v>330</v>
      </c>
      <c r="D5919" s="51">
        <v>1</v>
      </c>
      <c r="E5919" s="51">
        <f t="shared" si="92"/>
        <v>0</v>
      </c>
    </row>
    <row r="5920" spans="1:5">
      <c r="A5920" s="59">
        <v>12</v>
      </c>
      <c r="B5920" s="59">
        <v>61</v>
      </c>
      <c r="C5920" s="59">
        <v>610</v>
      </c>
      <c r="D5920" s="51">
        <v>1</v>
      </c>
      <c r="E5920" s="51">
        <f t="shared" si="92"/>
        <v>0</v>
      </c>
    </row>
    <row r="5921" spans="1:5">
      <c r="A5921" s="59">
        <v>12</v>
      </c>
      <c r="B5921" s="59">
        <v>62</v>
      </c>
      <c r="C5921" s="59">
        <v>950</v>
      </c>
      <c r="D5921" s="51">
        <v>1</v>
      </c>
      <c r="E5921" s="51">
        <f t="shared" si="92"/>
        <v>1</v>
      </c>
    </row>
    <row r="5922" spans="1:5">
      <c r="A5922" s="59">
        <v>12</v>
      </c>
      <c r="B5922" s="59">
        <v>63</v>
      </c>
      <c r="C5922" s="59">
        <v>110</v>
      </c>
      <c r="D5922" s="51">
        <v>1</v>
      </c>
      <c r="E5922" s="51">
        <f t="shared" si="92"/>
        <v>0</v>
      </c>
    </row>
    <row r="5923" spans="1:5">
      <c r="A5923" s="59">
        <v>12</v>
      </c>
      <c r="B5923" s="59">
        <v>63</v>
      </c>
      <c r="C5923" s="59">
        <v>150</v>
      </c>
      <c r="D5923" s="51">
        <v>1</v>
      </c>
      <c r="E5923" s="51">
        <f t="shared" si="92"/>
        <v>0</v>
      </c>
    </row>
    <row r="5924" spans="1:5">
      <c r="A5924" s="59">
        <v>12</v>
      </c>
      <c r="B5924" s="59">
        <v>63</v>
      </c>
      <c r="C5924" s="59">
        <v>320</v>
      </c>
      <c r="D5924" s="51">
        <v>1</v>
      </c>
      <c r="E5924" s="51">
        <f t="shared" si="92"/>
        <v>0</v>
      </c>
    </row>
    <row r="5925" spans="1:5">
      <c r="A5925" s="59">
        <v>12</v>
      </c>
      <c r="B5925" s="59">
        <v>63</v>
      </c>
      <c r="C5925" s="59">
        <v>410</v>
      </c>
      <c r="D5925" s="51">
        <v>1</v>
      </c>
      <c r="E5925" s="51">
        <f t="shared" si="92"/>
        <v>0</v>
      </c>
    </row>
    <row r="5926" spans="1:5">
      <c r="A5926" s="59">
        <v>12</v>
      </c>
      <c r="B5926" s="59">
        <v>63</v>
      </c>
      <c r="C5926" s="59">
        <v>510</v>
      </c>
      <c r="D5926" s="51">
        <v>1</v>
      </c>
      <c r="E5926" s="51">
        <f t="shared" si="92"/>
        <v>0</v>
      </c>
    </row>
    <row r="5927" spans="1:5">
      <c r="A5927" s="59">
        <v>12</v>
      </c>
      <c r="B5927" s="59">
        <v>63</v>
      </c>
      <c r="C5927" s="59">
        <v>610</v>
      </c>
      <c r="D5927" s="51">
        <v>1</v>
      </c>
      <c r="E5927" s="51">
        <f t="shared" si="92"/>
        <v>0</v>
      </c>
    </row>
    <row r="5928" spans="1:5">
      <c r="A5928" s="59">
        <v>12</v>
      </c>
      <c r="B5928" s="59">
        <v>63</v>
      </c>
      <c r="C5928" s="59">
        <v>630</v>
      </c>
      <c r="D5928" s="51">
        <v>1</v>
      </c>
      <c r="E5928" s="51">
        <f t="shared" si="92"/>
        <v>0</v>
      </c>
    </row>
    <row r="5929" spans="1:5">
      <c r="A5929" s="59">
        <v>12</v>
      </c>
      <c r="B5929" s="59">
        <v>63</v>
      </c>
      <c r="C5929" s="59">
        <v>950</v>
      </c>
      <c r="D5929" s="51">
        <v>1</v>
      </c>
      <c r="E5929" s="51">
        <f t="shared" si="92"/>
        <v>0</v>
      </c>
    </row>
    <row r="5930" spans="1:5">
      <c r="A5930" s="59">
        <v>12</v>
      </c>
      <c r="B5930" s="59">
        <v>64</v>
      </c>
      <c r="C5930" s="59">
        <v>120</v>
      </c>
      <c r="D5930" s="51">
        <v>1</v>
      </c>
      <c r="E5930" s="51">
        <f t="shared" si="92"/>
        <v>0</v>
      </c>
    </row>
    <row r="5931" spans="1:5">
      <c r="A5931" s="59">
        <v>12</v>
      </c>
      <c r="B5931" s="59">
        <v>64</v>
      </c>
      <c r="C5931" s="59">
        <v>440</v>
      </c>
      <c r="D5931" s="51">
        <v>1</v>
      </c>
      <c r="E5931" s="51">
        <f t="shared" si="92"/>
        <v>0</v>
      </c>
    </row>
    <row r="5932" spans="1:5">
      <c r="A5932" s="59">
        <v>12</v>
      </c>
      <c r="B5932" s="59">
        <v>64</v>
      </c>
      <c r="C5932" s="59">
        <v>630</v>
      </c>
      <c r="D5932" s="51">
        <v>1</v>
      </c>
      <c r="E5932" s="51">
        <f t="shared" si="92"/>
        <v>0</v>
      </c>
    </row>
    <row r="5933" spans="1:5">
      <c r="A5933" s="59">
        <v>12</v>
      </c>
      <c r="B5933" s="59">
        <v>64</v>
      </c>
      <c r="C5933" s="59">
        <v>710</v>
      </c>
      <c r="D5933" s="51">
        <v>1</v>
      </c>
      <c r="E5933" s="51">
        <f t="shared" si="92"/>
        <v>0</v>
      </c>
    </row>
    <row r="5934" spans="1:5">
      <c r="A5934" s="59">
        <v>12</v>
      </c>
      <c r="B5934" s="59">
        <v>64</v>
      </c>
      <c r="C5934" s="59">
        <v>750</v>
      </c>
      <c r="D5934" s="51">
        <v>1</v>
      </c>
      <c r="E5934" s="51">
        <f t="shared" si="92"/>
        <v>0</v>
      </c>
    </row>
    <row r="5935" spans="1:5">
      <c r="A5935" s="59">
        <v>12</v>
      </c>
      <c r="B5935" s="59">
        <v>64</v>
      </c>
      <c r="C5935" s="59">
        <v>990</v>
      </c>
      <c r="D5935" s="51">
        <v>1</v>
      </c>
      <c r="E5935" s="51">
        <f t="shared" si="92"/>
        <v>0</v>
      </c>
    </row>
    <row r="5936" spans="1:5">
      <c r="A5936" s="59">
        <v>12</v>
      </c>
      <c r="B5936" s="59">
        <v>71</v>
      </c>
      <c r="C5936" s="59">
        <v>110</v>
      </c>
      <c r="D5936" s="51">
        <v>1</v>
      </c>
      <c r="E5936" s="51">
        <f t="shared" si="92"/>
        <v>0</v>
      </c>
    </row>
    <row r="5937" spans="1:5">
      <c r="A5937" s="59">
        <v>12</v>
      </c>
      <c r="B5937" s="59">
        <v>71</v>
      </c>
      <c r="C5937" s="59">
        <v>230</v>
      </c>
      <c r="D5937" s="51">
        <v>1</v>
      </c>
      <c r="E5937" s="51">
        <f t="shared" si="92"/>
        <v>0</v>
      </c>
    </row>
    <row r="5938" spans="1:5">
      <c r="A5938" s="59">
        <v>12</v>
      </c>
      <c r="B5938" s="59">
        <v>71</v>
      </c>
      <c r="C5938" s="59">
        <v>330</v>
      </c>
      <c r="D5938" s="51">
        <v>1</v>
      </c>
      <c r="E5938" s="51">
        <f t="shared" si="92"/>
        <v>0</v>
      </c>
    </row>
    <row r="5939" spans="1:5">
      <c r="A5939" s="59">
        <v>12</v>
      </c>
      <c r="B5939" s="59">
        <v>71</v>
      </c>
      <c r="C5939" s="59">
        <v>420</v>
      </c>
      <c r="D5939" s="51">
        <v>1</v>
      </c>
      <c r="E5939" s="51">
        <f t="shared" si="92"/>
        <v>0</v>
      </c>
    </row>
    <row r="5940" spans="1:5">
      <c r="A5940" s="59">
        <v>12</v>
      </c>
      <c r="B5940" s="59">
        <v>71</v>
      </c>
      <c r="C5940" s="59">
        <v>620</v>
      </c>
      <c r="D5940" s="51">
        <v>1</v>
      </c>
      <c r="E5940" s="51">
        <f t="shared" si="92"/>
        <v>0</v>
      </c>
    </row>
    <row r="5941" spans="1:5">
      <c r="A5941" s="59">
        <v>12</v>
      </c>
      <c r="B5941" s="59">
        <v>71</v>
      </c>
      <c r="C5941" s="59">
        <v>630</v>
      </c>
      <c r="D5941" s="51">
        <v>1</v>
      </c>
      <c r="E5941" s="51">
        <f t="shared" si="92"/>
        <v>0</v>
      </c>
    </row>
    <row r="5942" spans="1:5">
      <c r="A5942" s="59">
        <v>12</v>
      </c>
      <c r="B5942" s="59">
        <v>71</v>
      </c>
      <c r="C5942" s="59">
        <v>720</v>
      </c>
      <c r="D5942" s="51">
        <v>1</v>
      </c>
      <c r="E5942" s="51">
        <f t="shared" si="92"/>
        <v>0</v>
      </c>
    </row>
    <row r="5943" spans="1:5">
      <c r="A5943" s="59">
        <v>12</v>
      </c>
      <c r="B5943" s="59">
        <v>81</v>
      </c>
      <c r="C5943" s="59">
        <v>620</v>
      </c>
      <c r="D5943" s="51">
        <v>1</v>
      </c>
      <c r="E5943" s="51">
        <f t="shared" si="92"/>
        <v>0</v>
      </c>
    </row>
    <row r="5944" spans="1:5">
      <c r="A5944" s="59">
        <v>13</v>
      </c>
      <c r="B5944" s="59">
        <v>64</v>
      </c>
      <c r="C5944" s="59">
        <v>160</v>
      </c>
      <c r="D5944" s="51">
        <v>18496</v>
      </c>
      <c r="E5944" s="51">
        <f t="shared" si="92"/>
        <v>0</v>
      </c>
    </row>
    <row r="5945" spans="1:5">
      <c r="A5945" s="59">
        <v>13</v>
      </c>
      <c r="B5945" s="59">
        <v>64</v>
      </c>
      <c r="C5945" s="59">
        <v>540</v>
      </c>
      <c r="D5945" s="51">
        <v>11552</v>
      </c>
      <c r="E5945" s="51">
        <f t="shared" si="92"/>
        <v>0</v>
      </c>
    </row>
    <row r="5946" spans="1:5">
      <c r="A5946" s="59">
        <v>13</v>
      </c>
      <c r="B5946" s="59">
        <v>71</v>
      </c>
      <c r="C5946" s="59">
        <v>630</v>
      </c>
      <c r="D5946" s="51">
        <v>10402</v>
      </c>
      <c r="E5946" s="51">
        <f t="shared" si="92"/>
        <v>0</v>
      </c>
    </row>
    <row r="5947" spans="1:5">
      <c r="A5947" s="59">
        <v>13</v>
      </c>
      <c r="B5947" s="59">
        <v>64</v>
      </c>
      <c r="C5947" s="59">
        <v>430</v>
      </c>
      <c r="D5947" s="51">
        <v>8442</v>
      </c>
      <c r="E5947" s="51">
        <f t="shared" si="92"/>
        <v>0</v>
      </c>
    </row>
    <row r="5948" spans="1:5">
      <c r="A5948" s="59">
        <v>13</v>
      </c>
      <c r="B5948" s="59">
        <v>71</v>
      </c>
      <c r="C5948" s="59">
        <v>540</v>
      </c>
      <c r="D5948" s="51">
        <v>6105</v>
      </c>
      <c r="E5948" s="51">
        <f t="shared" si="92"/>
        <v>0</v>
      </c>
    </row>
    <row r="5949" spans="1:5">
      <c r="A5949" s="59">
        <v>13</v>
      </c>
      <c r="B5949" s="59">
        <v>43</v>
      </c>
      <c r="C5949" s="59">
        <v>160</v>
      </c>
      <c r="D5949" s="51">
        <v>4743</v>
      </c>
      <c r="E5949" s="51">
        <f t="shared" si="92"/>
        <v>0</v>
      </c>
    </row>
    <row r="5950" spans="1:5">
      <c r="A5950" s="59">
        <v>13</v>
      </c>
      <c r="B5950" s="59">
        <v>71</v>
      </c>
      <c r="C5950" s="59">
        <v>160</v>
      </c>
      <c r="D5950" s="51">
        <v>4584</v>
      </c>
      <c r="E5950" s="51">
        <f t="shared" si="92"/>
        <v>0</v>
      </c>
    </row>
    <row r="5951" spans="1:5">
      <c r="A5951" s="59">
        <v>13</v>
      </c>
      <c r="B5951" s="59">
        <v>64</v>
      </c>
      <c r="C5951" s="59">
        <v>530</v>
      </c>
      <c r="D5951" s="51">
        <v>4428</v>
      </c>
      <c r="E5951" s="51">
        <f t="shared" si="92"/>
        <v>0</v>
      </c>
    </row>
    <row r="5952" spans="1:5">
      <c r="A5952" s="59">
        <v>13</v>
      </c>
      <c r="B5952" s="59">
        <v>63</v>
      </c>
      <c r="C5952" s="59">
        <v>540</v>
      </c>
      <c r="D5952" s="51">
        <v>3924</v>
      </c>
      <c r="E5952" s="51">
        <f t="shared" si="92"/>
        <v>0</v>
      </c>
    </row>
    <row r="5953" spans="1:5">
      <c r="A5953" s="59">
        <v>13</v>
      </c>
      <c r="B5953" s="59">
        <v>64</v>
      </c>
      <c r="C5953" s="59">
        <v>630</v>
      </c>
      <c r="D5953" s="51">
        <v>3196</v>
      </c>
      <c r="E5953" s="51">
        <f t="shared" si="92"/>
        <v>0</v>
      </c>
    </row>
    <row r="5954" spans="1:5">
      <c r="A5954" s="59">
        <v>13</v>
      </c>
      <c r="B5954" s="59">
        <v>62</v>
      </c>
      <c r="C5954" s="59">
        <v>540</v>
      </c>
      <c r="D5954" s="51">
        <v>2848</v>
      </c>
      <c r="E5954" s="51">
        <f t="shared" ref="E5954:E6017" si="93">IF(OR(A5954=6,A5954=7,A5954=14,A5954=15,A5954=16,A5954=17,A5954=18,A5954=19,A5954=20,A5954=21,A5954=22,A5954=23,A5954=25,A5954=26,A5954=27,A5954=28,B5954=41,B5954=44,B5954=62),1,0)</f>
        <v>1</v>
      </c>
    </row>
    <row r="5955" spans="1:5">
      <c r="A5955" s="59">
        <v>13</v>
      </c>
      <c r="B5955" s="59">
        <v>44</v>
      </c>
      <c r="C5955" s="59">
        <v>540</v>
      </c>
      <c r="D5955" s="51">
        <v>2838</v>
      </c>
      <c r="E5955" s="51">
        <f t="shared" si="93"/>
        <v>1</v>
      </c>
    </row>
    <row r="5956" spans="1:5">
      <c r="A5956" s="59">
        <v>13</v>
      </c>
      <c r="B5956" s="59">
        <v>14</v>
      </c>
      <c r="C5956" s="59">
        <v>160</v>
      </c>
      <c r="D5956" s="51">
        <v>2591</v>
      </c>
      <c r="E5956" s="51">
        <f t="shared" si="93"/>
        <v>0</v>
      </c>
    </row>
    <row r="5957" spans="1:5">
      <c r="A5957" s="59">
        <v>13</v>
      </c>
      <c r="B5957" s="59">
        <v>43</v>
      </c>
      <c r="C5957" s="59">
        <v>540</v>
      </c>
      <c r="D5957" s="51">
        <v>2588</v>
      </c>
      <c r="E5957" s="51">
        <f t="shared" si="93"/>
        <v>0</v>
      </c>
    </row>
    <row r="5958" spans="1:5">
      <c r="A5958" s="59">
        <v>13</v>
      </c>
      <c r="B5958" s="59">
        <v>13</v>
      </c>
      <c r="C5958" s="59">
        <v>160</v>
      </c>
      <c r="D5958" s="51">
        <v>2568</v>
      </c>
      <c r="E5958" s="51">
        <f t="shared" si="93"/>
        <v>0</v>
      </c>
    </row>
    <row r="5959" spans="1:5">
      <c r="A5959" s="59">
        <v>13</v>
      </c>
      <c r="B5959" s="59">
        <v>63</v>
      </c>
      <c r="C5959" s="59">
        <v>160</v>
      </c>
      <c r="D5959" s="51">
        <v>2507</v>
      </c>
      <c r="E5959" s="51">
        <f t="shared" si="93"/>
        <v>0</v>
      </c>
    </row>
    <row r="5960" spans="1:5">
      <c r="A5960" s="59">
        <v>13</v>
      </c>
      <c r="B5960" s="59">
        <v>71</v>
      </c>
      <c r="C5960" s="59">
        <v>620</v>
      </c>
      <c r="D5960" s="51">
        <v>2405</v>
      </c>
      <c r="E5960" s="51">
        <f t="shared" si="93"/>
        <v>0</v>
      </c>
    </row>
    <row r="5961" spans="1:5">
      <c r="A5961" s="59">
        <v>13</v>
      </c>
      <c r="B5961" s="59">
        <v>43</v>
      </c>
      <c r="C5961" s="59">
        <v>430</v>
      </c>
      <c r="D5961" s="51">
        <v>2300</v>
      </c>
      <c r="E5961" s="51">
        <f t="shared" si="93"/>
        <v>0</v>
      </c>
    </row>
    <row r="5962" spans="1:5">
      <c r="A5962" s="59">
        <v>13</v>
      </c>
      <c r="B5962" s="59">
        <v>64</v>
      </c>
      <c r="C5962" s="59">
        <v>410</v>
      </c>
      <c r="D5962" s="51">
        <v>2050</v>
      </c>
      <c r="E5962" s="51">
        <f t="shared" si="93"/>
        <v>0</v>
      </c>
    </row>
    <row r="5963" spans="1:5">
      <c r="A5963" s="59">
        <v>13</v>
      </c>
      <c r="B5963" s="59">
        <v>62</v>
      </c>
      <c r="C5963" s="59">
        <v>160</v>
      </c>
      <c r="D5963" s="51">
        <v>1874</v>
      </c>
      <c r="E5963" s="51">
        <f t="shared" si="93"/>
        <v>1</v>
      </c>
    </row>
    <row r="5964" spans="1:5">
      <c r="A5964" s="59">
        <v>13</v>
      </c>
      <c r="B5964" s="59">
        <v>63</v>
      </c>
      <c r="C5964" s="59">
        <v>630</v>
      </c>
      <c r="D5964" s="51">
        <v>1433</v>
      </c>
      <c r="E5964" s="51">
        <f t="shared" si="93"/>
        <v>0</v>
      </c>
    </row>
    <row r="5965" spans="1:5">
      <c r="A5965" s="59">
        <v>13</v>
      </c>
      <c r="B5965" s="59">
        <v>71</v>
      </c>
      <c r="C5965" s="59">
        <v>530</v>
      </c>
      <c r="D5965" s="51">
        <v>1423</v>
      </c>
      <c r="E5965" s="51">
        <f t="shared" si="93"/>
        <v>0</v>
      </c>
    </row>
    <row r="5966" spans="1:5">
      <c r="A5966" s="59">
        <v>13</v>
      </c>
      <c r="B5966" s="59">
        <v>64</v>
      </c>
      <c r="C5966" s="59">
        <v>620</v>
      </c>
      <c r="D5966" s="51">
        <v>1336</v>
      </c>
      <c r="E5966" s="51">
        <f t="shared" si="93"/>
        <v>0</v>
      </c>
    </row>
    <row r="5967" spans="1:5">
      <c r="A5967" s="59">
        <v>13</v>
      </c>
      <c r="B5967" s="59">
        <v>42</v>
      </c>
      <c r="C5967" s="59">
        <v>630</v>
      </c>
      <c r="D5967" s="51">
        <v>1308</v>
      </c>
      <c r="E5967" s="51">
        <f t="shared" si="93"/>
        <v>0</v>
      </c>
    </row>
    <row r="5968" spans="1:5">
      <c r="A5968" s="59">
        <v>13</v>
      </c>
      <c r="B5968" s="59">
        <v>64</v>
      </c>
      <c r="C5968" s="59">
        <v>110</v>
      </c>
      <c r="D5968" s="51">
        <v>1283</v>
      </c>
      <c r="E5968" s="51">
        <f t="shared" si="93"/>
        <v>0</v>
      </c>
    </row>
    <row r="5969" spans="1:5">
      <c r="A5969" s="59">
        <v>13</v>
      </c>
      <c r="B5969" s="59">
        <v>43</v>
      </c>
      <c r="C5969" s="59">
        <v>530</v>
      </c>
      <c r="D5969" s="51">
        <v>1189</v>
      </c>
      <c r="E5969" s="51">
        <f t="shared" si="93"/>
        <v>0</v>
      </c>
    </row>
    <row r="5970" spans="1:5">
      <c r="A5970" s="59">
        <v>13</v>
      </c>
      <c r="B5970" s="59">
        <v>42</v>
      </c>
      <c r="C5970" s="59">
        <v>160</v>
      </c>
      <c r="D5970" s="51">
        <v>1128</v>
      </c>
      <c r="E5970" s="51">
        <f t="shared" si="93"/>
        <v>0</v>
      </c>
    </row>
    <row r="5971" spans="1:5">
      <c r="A5971" s="59">
        <v>13</v>
      </c>
      <c r="B5971" s="59">
        <v>63</v>
      </c>
      <c r="C5971" s="59">
        <v>530</v>
      </c>
      <c r="D5971" s="51">
        <v>925</v>
      </c>
      <c r="E5971" s="51">
        <f t="shared" si="93"/>
        <v>0</v>
      </c>
    </row>
    <row r="5972" spans="1:5">
      <c r="A5972" s="59">
        <v>13</v>
      </c>
      <c r="B5972" s="59">
        <v>62</v>
      </c>
      <c r="C5972" s="59">
        <v>530</v>
      </c>
      <c r="D5972" s="51">
        <v>924</v>
      </c>
      <c r="E5972" s="51">
        <f t="shared" si="93"/>
        <v>1</v>
      </c>
    </row>
    <row r="5973" spans="1:5">
      <c r="A5973" s="59">
        <v>13</v>
      </c>
      <c r="B5973" s="59">
        <v>64</v>
      </c>
      <c r="C5973" s="59">
        <v>910</v>
      </c>
      <c r="D5973" s="51">
        <v>902</v>
      </c>
      <c r="E5973" s="51">
        <f t="shared" si="93"/>
        <v>0</v>
      </c>
    </row>
    <row r="5974" spans="1:5">
      <c r="A5974" s="59">
        <v>13</v>
      </c>
      <c r="B5974" s="59">
        <v>43</v>
      </c>
      <c r="C5974" s="59">
        <v>630</v>
      </c>
      <c r="D5974" s="51">
        <v>841</v>
      </c>
      <c r="E5974" s="51">
        <f t="shared" si="93"/>
        <v>0</v>
      </c>
    </row>
    <row r="5975" spans="1:5">
      <c r="A5975" s="59">
        <v>13</v>
      </c>
      <c r="B5975" s="59">
        <v>44</v>
      </c>
      <c r="C5975" s="59">
        <v>530</v>
      </c>
      <c r="D5975" s="51">
        <v>827</v>
      </c>
      <c r="E5975" s="51">
        <f t="shared" si="93"/>
        <v>1</v>
      </c>
    </row>
    <row r="5976" spans="1:5">
      <c r="A5976" s="59">
        <v>13</v>
      </c>
      <c r="B5976" s="59">
        <v>62</v>
      </c>
      <c r="C5976" s="59">
        <v>630</v>
      </c>
      <c r="D5976" s="51">
        <v>821</v>
      </c>
      <c r="E5976" s="51">
        <f t="shared" si="93"/>
        <v>1</v>
      </c>
    </row>
    <row r="5977" spans="1:5">
      <c r="A5977" s="59">
        <v>13</v>
      </c>
      <c r="B5977" s="59">
        <v>32</v>
      </c>
      <c r="C5977" s="59">
        <v>430</v>
      </c>
      <c r="D5977" s="51">
        <v>734</v>
      </c>
      <c r="E5977" s="51">
        <f t="shared" si="93"/>
        <v>0</v>
      </c>
    </row>
    <row r="5978" spans="1:5">
      <c r="A5978" s="59">
        <v>13</v>
      </c>
      <c r="B5978" s="59">
        <v>64</v>
      </c>
      <c r="C5978" s="59">
        <v>210</v>
      </c>
      <c r="D5978" s="51">
        <v>732</v>
      </c>
      <c r="E5978" s="51">
        <f t="shared" si="93"/>
        <v>0</v>
      </c>
    </row>
    <row r="5979" spans="1:5">
      <c r="A5979" s="59">
        <v>13</v>
      </c>
      <c r="B5979" s="59">
        <v>42</v>
      </c>
      <c r="C5979" s="59">
        <v>540</v>
      </c>
      <c r="D5979" s="51">
        <v>699</v>
      </c>
      <c r="E5979" s="51">
        <f t="shared" si="93"/>
        <v>0</v>
      </c>
    </row>
    <row r="5980" spans="1:5">
      <c r="A5980" s="59">
        <v>13</v>
      </c>
      <c r="B5980" s="59">
        <v>64</v>
      </c>
      <c r="C5980" s="59">
        <v>240</v>
      </c>
      <c r="D5980" s="51">
        <v>697</v>
      </c>
      <c r="E5980" s="51">
        <f t="shared" si="93"/>
        <v>0</v>
      </c>
    </row>
    <row r="5981" spans="1:5">
      <c r="A5981" s="59">
        <v>13</v>
      </c>
      <c r="B5981" s="59">
        <v>43</v>
      </c>
      <c r="C5981" s="59">
        <v>410</v>
      </c>
      <c r="D5981" s="51">
        <v>657</v>
      </c>
      <c r="E5981" s="51">
        <f t="shared" si="93"/>
        <v>0</v>
      </c>
    </row>
    <row r="5982" spans="1:5">
      <c r="A5982" s="59">
        <v>13</v>
      </c>
      <c r="B5982" s="59">
        <v>71</v>
      </c>
      <c r="C5982" s="59">
        <v>430</v>
      </c>
      <c r="D5982" s="51">
        <v>597</v>
      </c>
      <c r="E5982" s="51">
        <f t="shared" si="93"/>
        <v>0</v>
      </c>
    </row>
    <row r="5983" spans="1:5">
      <c r="A5983" s="59">
        <v>13</v>
      </c>
      <c r="B5983" s="59">
        <v>33</v>
      </c>
      <c r="C5983" s="59">
        <v>430</v>
      </c>
      <c r="D5983" s="51">
        <v>596</v>
      </c>
      <c r="E5983" s="51">
        <f t="shared" si="93"/>
        <v>0</v>
      </c>
    </row>
    <row r="5984" spans="1:5">
      <c r="A5984" s="59">
        <v>13</v>
      </c>
      <c r="B5984" s="59">
        <v>64</v>
      </c>
      <c r="C5984" s="59">
        <v>150</v>
      </c>
      <c r="D5984" s="51">
        <v>570</v>
      </c>
      <c r="E5984" s="51">
        <f t="shared" si="93"/>
        <v>0</v>
      </c>
    </row>
    <row r="5985" spans="1:5">
      <c r="A5985" s="59">
        <v>13</v>
      </c>
      <c r="B5985" s="59">
        <v>44</v>
      </c>
      <c r="C5985" s="59">
        <v>630</v>
      </c>
      <c r="D5985" s="51">
        <v>533</v>
      </c>
      <c r="E5985" s="51">
        <f t="shared" si="93"/>
        <v>1</v>
      </c>
    </row>
    <row r="5986" spans="1:5">
      <c r="A5986" s="59">
        <v>13</v>
      </c>
      <c r="B5986" s="59">
        <v>64</v>
      </c>
      <c r="C5986" s="59">
        <v>510</v>
      </c>
      <c r="D5986" s="51">
        <v>509</v>
      </c>
      <c r="E5986" s="51">
        <f t="shared" si="93"/>
        <v>0</v>
      </c>
    </row>
    <row r="5987" spans="1:5">
      <c r="A5987" s="59">
        <v>13</v>
      </c>
      <c r="B5987" s="59">
        <v>43</v>
      </c>
      <c r="C5987" s="59">
        <v>210</v>
      </c>
      <c r="D5987" s="51">
        <v>426</v>
      </c>
      <c r="E5987" s="51">
        <f t="shared" si="93"/>
        <v>0</v>
      </c>
    </row>
    <row r="5988" spans="1:5">
      <c r="A5988" s="59">
        <v>13</v>
      </c>
      <c r="B5988" s="59">
        <v>63</v>
      </c>
      <c r="C5988" s="59">
        <v>620</v>
      </c>
      <c r="D5988" s="51">
        <v>412</v>
      </c>
      <c r="E5988" s="51">
        <f t="shared" si="93"/>
        <v>0</v>
      </c>
    </row>
    <row r="5989" spans="1:5">
      <c r="A5989" s="59">
        <v>13</v>
      </c>
      <c r="B5989" s="59">
        <v>64</v>
      </c>
      <c r="C5989" s="59">
        <v>330</v>
      </c>
      <c r="D5989" s="51">
        <v>405</v>
      </c>
      <c r="E5989" s="51">
        <f t="shared" si="93"/>
        <v>0</v>
      </c>
    </row>
    <row r="5990" spans="1:5">
      <c r="A5990" s="59">
        <v>13</v>
      </c>
      <c r="B5990" s="59">
        <v>42</v>
      </c>
      <c r="C5990" s="59">
        <v>430</v>
      </c>
      <c r="D5990" s="51">
        <v>380</v>
      </c>
      <c r="E5990" s="51">
        <f t="shared" si="93"/>
        <v>0</v>
      </c>
    </row>
    <row r="5991" spans="1:5">
      <c r="A5991" s="59">
        <v>13</v>
      </c>
      <c r="B5991" s="59">
        <v>43</v>
      </c>
      <c r="C5991" s="59">
        <v>240</v>
      </c>
      <c r="D5991" s="51">
        <v>366</v>
      </c>
      <c r="E5991" s="51">
        <f t="shared" si="93"/>
        <v>0</v>
      </c>
    </row>
    <row r="5992" spans="1:5">
      <c r="A5992" s="59">
        <v>13</v>
      </c>
      <c r="B5992" s="59">
        <v>71</v>
      </c>
      <c r="C5992" s="59">
        <v>610</v>
      </c>
      <c r="D5992" s="51">
        <v>363</v>
      </c>
      <c r="E5992" s="51">
        <f t="shared" si="93"/>
        <v>0</v>
      </c>
    </row>
    <row r="5993" spans="1:5">
      <c r="A5993" s="59">
        <v>13</v>
      </c>
      <c r="B5993" s="59">
        <v>81</v>
      </c>
      <c r="C5993" s="59">
        <v>160</v>
      </c>
      <c r="D5993" s="51">
        <v>355</v>
      </c>
      <c r="E5993" s="51">
        <f t="shared" si="93"/>
        <v>0</v>
      </c>
    </row>
    <row r="5994" spans="1:5">
      <c r="A5994" s="59">
        <v>13</v>
      </c>
      <c r="B5994" s="59">
        <v>42</v>
      </c>
      <c r="C5994" s="59">
        <v>620</v>
      </c>
      <c r="D5994" s="51">
        <v>352</v>
      </c>
      <c r="E5994" s="51">
        <f t="shared" si="93"/>
        <v>0</v>
      </c>
    </row>
    <row r="5995" spans="1:5">
      <c r="A5995" s="59">
        <v>13</v>
      </c>
      <c r="B5995" s="59">
        <v>81</v>
      </c>
      <c r="C5995" s="59">
        <v>540</v>
      </c>
      <c r="D5995" s="51">
        <v>351</v>
      </c>
      <c r="E5995" s="51">
        <f t="shared" si="93"/>
        <v>0</v>
      </c>
    </row>
    <row r="5996" spans="1:5">
      <c r="A5996" s="59">
        <v>13</v>
      </c>
      <c r="B5996" s="59">
        <v>43</v>
      </c>
      <c r="C5996" s="59">
        <v>910</v>
      </c>
      <c r="D5996" s="51">
        <v>344</v>
      </c>
      <c r="E5996" s="51">
        <f t="shared" si="93"/>
        <v>0</v>
      </c>
    </row>
    <row r="5997" spans="1:5">
      <c r="A5997" s="59">
        <v>13</v>
      </c>
      <c r="B5997" s="59">
        <v>64</v>
      </c>
      <c r="C5997" s="59">
        <v>550</v>
      </c>
      <c r="D5997" s="51">
        <v>338</v>
      </c>
      <c r="E5997" s="51">
        <f t="shared" si="93"/>
        <v>0</v>
      </c>
    </row>
    <row r="5998" spans="1:5">
      <c r="A5998" s="59">
        <v>13</v>
      </c>
      <c r="B5998" s="59">
        <v>14</v>
      </c>
      <c r="C5998" s="59">
        <v>330</v>
      </c>
      <c r="D5998" s="51">
        <v>334</v>
      </c>
      <c r="E5998" s="51">
        <f t="shared" si="93"/>
        <v>0</v>
      </c>
    </row>
    <row r="5999" spans="1:5">
      <c r="A5999" s="59">
        <v>13</v>
      </c>
      <c r="B5999" s="59">
        <v>13</v>
      </c>
      <c r="C5999" s="59">
        <v>430</v>
      </c>
      <c r="D5999" s="51">
        <v>329</v>
      </c>
      <c r="E5999" s="51">
        <f t="shared" si="93"/>
        <v>0</v>
      </c>
    </row>
    <row r="6000" spans="1:5">
      <c r="A6000" s="59">
        <v>13</v>
      </c>
      <c r="B6000" s="59">
        <v>71</v>
      </c>
      <c r="C6000" s="59">
        <v>110</v>
      </c>
      <c r="D6000" s="51">
        <v>329</v>
      </c>
      <c r="E6000" s="51">
        <f t="shared" si="93"/>
        <v>0</v>
      </c>
    </row>
    <row r="6001" spans="1:5">
      <c r="A6001" s="59">
        <v>13</v>
      </c>
      <c r="B6001" s="59">
        <v>71</v>
      </c>
      <c r="C6001" s="59">
        <v>910</v>
      </c>
      <c r="D6001" s="51">
        <v>319</v>
      </c>
      <c r="E6001" s="51">
        <f t="shared" si="93"/>
        <v>0</v>
      </c>
    </row>
    <row r="6002" spans="1:5">
      <c r="A6002" s="59">
        <v>13</v>
      </c>
      <c r="B6002" s="59">
        <v>71</v>
      </c>
      <c r="C6002" s="59">
        <v>640</v>
      </c>
      <c r="D6002" s="51">
        <v>308</v>
      </c>
      <c r="E6002" s="51">
        <f t="shared" si="93"/>
        <v>0</v>
      </c>
    </row>
    <row r="6003" spans="1:5">
      <c r="A6003" s="59">
        <v>13</v>
      </c>
      <c r="B6003" s="59">
        <v>32</v>
      </c>
      <c r="C6003" s="59">
        <v>410</v>
      </c>
      <c r="D6003" s="51">
        <v>304</v>
      </c>
      <c r="E6003" s="51">
        <f t="shared" si="93"/>
        <v>0</v>
      </c>
    </row>
    <row r="6004" spans="1:5">
      <c r="A6004" s="59">
        <v>13</v>
      </c>
      <c r="B6004" s="59">
        <v>44</v>
      </c>
      <c r="C6004" s="59">
        <v>160</v>
      </c>
      <c r="D6004" s="51">
        <v>304</v>
      </c>
      <c r="E6004" s="51">
        <f t="shared" si="93"/>
        <v>1</v>
      </c>
    </row>
    <row r="6005" spans="1:5">
      <c r="A6005" s="59">
        <v>13</v>
      </c>
      <c r="B6005" s="59">
        <v>62</v>
      </c>
      <c r="C6005" s="59">
        <v>620</v>
      </c>
      <c r="D6005" s="51">
        <v>302</v>
      </c>
      <c r="E6005" s="51">
        <f t="shared" si="93"/>
        <v>1</v>
      </c>
    </row>
    <row r="6006" spans="1:5">
      <c r="A6006" s="59">
        <v>13</v>
      </c>
      <c r="B6006" s="59">
        <v>71</v>
      </c>
      <c r="C6006" s="59">
        <v>410</v>
      </c>
      <c r="D6006" s="51">
        <v>292</v>
      </c>
      <c r="E6006" s="51">
        <f t="shared" si="93"/>
        <v>0</v>
      </c>
    </row>
    <row r="6007" spans="1:5">
      <c r="A6007" s="59">
        <v>13</v>
      </c>
      <c r="B6007" s="59">
        <v>16</v>
      </c>
      <c r="C6007" s="59">
        <v>160</v>
      </c>
      <c r="D6007" s="51">
        <v>289</v>
      </c>
      <c r="E6007" s="51">
        <f t="shared" si="93"/>
        <v>0</v>
      </c>
    </row>
    <row r="6008" spans="1:5">
      <c r="A6008" s="59">
        <v>13</v>
      </c>
      <c r="B6008" s="59">
        <v>63</v>
      </c>
      <c r="C6008" s="59">
        <v>430</v>
      </c>
      <c r="D6008" s="51">
        <v>286</v>
      </c>
      <c r="E6008" s="51">
        <f t="shared" si="93"/>
        <v>0</v>
      </c>
    </row>
    <row r="6009" spans="1:5">
      <c r="A6009" s="59">
        <v>13</v>
      </c>
      <c r="B6009" s="59">
        <v>64</v>
      </c>
      <c r="C6009" s="59">
        <v>420</v>
      </c>
      <c r="D6009" s="51">
        <v>275</v>
      </c>
      <c r="E6009" s="51">
        <f t="shared" si="93"/>
        <v>0</v>
      </c>
    </row>
    <row r="6010" spans="1:5">
      <c r="A6010" s="59">
        <v>13</v>
      </c>
      <c r="B6010" s="59">
        <v>43</v>
      </c>
      <c r="C6010" s="59">
        <v>620</v>
      </c>
      <c r="D6010" s="51">
        <v>270</v>
      </c>
      <c r="E6010" s="51">
        <f t="shared" si="93"/>
        <v>0</v>
      </c>
    </row>
    <row r="6011" spans="1:5">
      <c r="A6011" s="59">
        <v>13</v>
      </c>
      <c r="B6011" s="59">
        <v>14</v>
      </c>
      <c r="C6011" s="59">
        <v>150</v>
      </c>
      <c r="D6011" s="51">
        <v>266</v>
      </c>
      <c r="E6011" s="51">
        <f t="shared" si="93"/>
        <v>0</v>
      </c>
    </row>
    <row r="6012" spans="1:5">
      <c r="A6012" s="59">
        <v>13</v>
      </c>
      <c r="B6012" s="59">
        <v>13</v>
      </c>
      <c r="C6012" s="59">
        <v>540</v>
      </c>
      <c r="D6012" s="51">
        <v>240</v>
      </c>
      <c r="E6012" s="51">
        <f t="shared" si="93"/>
        <v>0</v>
      </c>
    </row>
    <row r="6013" spans="1:5">
      <c r="A6013" s="59">
        <v>13</v>
      </c>
      <c r="B6013" s="59">
        <v>14</v>
      </c>
      <c r="C6013" s="59">
        <v>540</v>
      </c>
      <c r="D6013" s="51">
        <v>230</v>
      </c>
      <c r="E6013" s="51">
        <f t="shared" si="93"/>
        <v>0</v>
      </c>
    </row>
    <row r="6014" spans="1:5">
      <c r="A6014" s="59">
        <v>13</v>
      </c>
      <c r="B6014" s="59">
        <v>64</v>
      </c>
      <c r="C6014" s="59">
        <v>220</v>
      </c>
      <c r="D6014" s="51">
        <v>219</v>
      </c>
      <c r="E6014" s="51">
        <f t="shared" si="93"/>
        <v>0</v>
      </c>
    </row>
    <row r="6015" spans="1:5">
      <c r="A6015" s="59">
        <v>13</v>
      </c>
      <c r="B6015" s="59">
        <v>43</v>
      </c>
      <c r="C6015" s="59">
        <v>110</v>
      </c>
      <c r="D6015" s="51">
        <v>216</v>
      </c>
      <c r="E6015" s="51">
        <f t="shared" si="93"/>
        <v>0</v>
      </c>
    </row>
    <row r="6016" spans="1:5">
      <c r="A6016" s="59">
        <v>13</v>
      </c>
      <c r="B6016" s="59">
        <v>43</v>
      </c>
      <c r="C6016" s="59">
        <v>330</v>
      </c>
      <c r="D6016" s="51">
        <v>216</v>
      </c>
      <c r="E6016" s="51">
        <f t="shared" si="93"/>
        <v>0</v>
      </c>
    </row>
    <row r="6017" spans="1:5">
      <c r="A6017" s="59">
        <v>13</v>
      </c>
      <c r="B6017" s="59">
        <v>14</v>
      </c>
      <c r="C6017" s="59">
        <v>240</v>
      </c>
      <c r="D6017" s="51">
        <v>211</v>
      </c>
      <c r="E6017" s="51">
        <f t="shared" si="93"/>
        <v>0</v>
      </c>
    </row>
    <row r="6018" spans="1:5">
      <c r="A6018" s="59">
        <v>13</v>
      </c>
      <c r="B6018" s="59">
        <v>64</v>
      </c>
      <c r="C6018" s="59">
        <v>610</v>
      </c>
      <c r="D6018" s="51">
        <v>210</v>
      </c>
      <c r="E6018" s="51">
        <f t="shared" ref="E6018:E6081" si="94">IF(OR(A6018=6,A6018=7,A6018=14,A6018=15,A6018=16,A6018=17,A6018=18,A6018=19,A6018=20,A6018=21,A6018=22,A6018=23,A6018=25,A6018=26,A6018=27,A6018=28,B6018=41,B6018=44,B6018=62),1,0)</f>
        <v>0</v>
      </c>
    </row>
    <row r="6019" spans="1:5">
      <c r="A6019" s="59">
        <v>13</v>
      </c>
      <c r="B6019" s="59">
        <v>13</v>
      </c>
      <c r="C6019" s="59">
        <v>150</v>
      </c>
      <c r="D6019" s="51">
        <v>208</v>
      </c>
      <c r="E6019" s="51">
        <f t="shared" si="94"/>
        <v>0</v>
      </c>
    </row>
    <row r="6020" spans="1:5">
      <c r="A6020" s="59">
        <v>13</v>
      </c>
      <c r="B6020" s="59">
        <v>16</v>
      </c>
      <c r="C6020" s="59">
        <v>540</v>
      </c>
      <c r="D6020" s="51">
        <v>205</v>
      </c>
      <c r="E6020" s="51">
        <f t="shared" si="94"/>
        <v>0</v>
      </c>
    </row>
    <row r="6021" spans="1:5">
      <c r="A6021" s="59">
        <v>13</v>
      </c>
      <c r="B6021" s="59">
        <v>42</v>
      </c>
      <c r="C6021" s="59">
        <v>530</v>
      </c>
      <c r="D6021" s="51">
        <v>195</v>
      </c>
      <c r="E6021" s="51">
        <f t="shared" si="94"/>
        <v>0</v>
      </c>
    </row>
    <row r="6022" spans="1:5">
      <c r="A6022" s="59">
        <v>13</v>
      </c>
      <c r="B6022" s="59">
        <v>64</v>
      </c>
      <c r="C6022" s="59">
        <v>310</v>
      </c>
      <c r="D6022" s="51">
        <v>193</v>
      </c>
      <c r="E6022" s="51">
        <f t="shared" si="94"/>
        <v>0</v>
      </c>
    </row>
    <row r="6023" spans="1:5">
      <c r="A6023" s="59">
        <v>13</v>
      </c>
      <c r="B6023" s="59">
        <v>22</v>
      </c>
      <c r="C6023" s="59">
        <v>240</v>
      </c>
      <c r="D6023" s="51">
        <v>189</v>
      </c>
      <c r="E6023" s="51">
        <f t="shared" si="94"/>
        <v>0</v>
      </c>
    </row>
    <row r="6024" spans="1:5">
      <c r="A6024" s="59">
        <v>13</v>
      </c>
      <c r="B6024" s="59">
        <v>63</v>
      </c>
      <c r="C6024" s="59">
        <v>110</v>
      </c>
      <c r="D6024" s="51">
        <v>188</v>
      </c>
      <c r="E6024" s="51">
        <f t="shared" si="94"/>
        <v>0</v>
      </c>
    </row>
    <row r="6025" spans="1:5">
      <c r="A6025" s="59">
        <v>13</v>
      </c>
      <c r="B6025" s="59">
        <v>81</v>
      </c>
      <c r="C6025" s="59">
        <v>630</v>
      </c>
      <c r="D6025" s="51">
        <v>188</v>
      </c>
      <c r="E6025" s="51">
        <f t="shared" si="94"/>
        <v>0</v>
      </c>
    </row>
    <row r="6026" spans="1:5">
      <c r="A6026" s="59">
        <v>13</v>
      </c>
      <c r="B6026" s="59">
        <v>33</v>
      </c>
      <c r="C6026" s="59">
        <v>410</v>
      </c>
      <c r="D6026" s="51">
        <v>184</v>
      </c>
      <c r="E6026" s="51">
        <f t="shared" si="94"/>
        <v>0</v>
      </c>
    </row>
    <row r="6027" spans="1:5">
      <c r="A6027" s="59">
        <v>13</v>
      </c>
      <c r="B6027" s="59">
        <v>13</v>
      </c>
      <c r="C6027" s="59">
        <v>330</v>
      </c>
      <c r="D6027" s="51">
        <v>181</v>
      </c>
      <c r="E6027" s="51">
        <f t="shared" si="94"/>
        <v>0</v>
      </c>
    </row>
    <row r="6028" spans="1:5">
      <c r="A6028" s="59">
        <v>13</v>
      </c>
      <c r="B6028" s="59">
        <v>13</v>
      </c>
      <c r="C6028" s="59">
        <v>410</v>
      </c>
      <c r="D6028" s="51">
        <v>178</v>
      </c>
      <c r="E6028" s="51">
        <f t="shared" si="94"/>
        <v>0</v>
      </c>
    </row>
    <row r="6029" spans="1:5">
      <c r="A6029" s="59">
        <v>13</v>
      </c>
      <c r="B6029" s="59">
        <v>71</v>
      </c>
      <c r="C6029" s="59">
        <v>510</v>
      </c>
      <c r="D6029" s="51">
        <v>177</v>
      </c>
      <c r="E6029" s="51">
        <f t="shared" si="94"/>
        <v>0</v>
      </c>
    </row>
    <row r="6030" spans="1:5">
      <c r="A6030" s="59">
        <v>13</v>
      </c>
      <c r="B6030" s="59">
        <v>62</v>
      </c>
      <c r="C6030" s="59">
        <v>430</v>
      </c>
      <c r="D6030" s="51">
        <v>171</v>
      </c>
      <c r="E6030" s="51">
        <f t="shared" si="94"/>
        <v>1</v>
      </c>
    </row>
    <row r="6031" spans="1:5">
      <c r="A6031" s="59">
        <v>13</v>
      </c>
      <c r="B6031" s="59">
        <v>14</v>
      </c>
      <c r="C6031" s="59">
        <v>210</v>
      </c>
      <c r="D6031" s="51">
        <v>170</v>
      </c>
      <c r="E6031" s="51">
        <f t="shared" si="94"/>
        <v>0</v>
      </c>
    </row>
    <row r="6032" spans="1:5">
      <c r="A6032" s="59">
        <v>13</v>
      </c>
      <c r="B6032" s="59">
        <v>43</v>
      </c>
      <c r="C6032" s="59">
        <v>150</v>
      </c>
      <c r="D6032" s="51">
        <v>168</v>
      </c>
      <c r="E6032" s="51">
        <f t="shared" si="94"/>
        <v>0</v>
      </c>
    </row>
    <row r="6033" spans="1:5">
      <c r="A6033" s="59">
        <v>13</v>
      </c>
      <c r="B6033" s="59">
        <v>62</v>
      </c>
      <c r="C6033" s="59">
        <v>110</v>
      </c>
      <c r="D6033" s="51">
        <v>160</v>
      </c>
      <c r="E6033" s="51">
        <f t="shared" si="94"/>
        <v>1</v>
      </c>
    </row>
    <row r="6034" spans="1:5">
      <c r="A6034" s="59">
        <v>13</v>
      </c>
      <c r="B6034" s="59">
        <v>14</v>
      </c>
      <c r="C6034" s="59">
        <v>430</v>
      </c>
      <c r="D6034" s="51">
        <v>145</v>
      </c>
      <c r="E6034" s="51">
        <f t="shared" si="94"/>
        <v>0</v>
      </c>
    </row>
    <row r="6035" spans="1:5">
      <c r="A6035" s="59">
        <v>13</v>
      </c>
      <c r="B6035" s="59">
        <v>63</v>
      </c>
      <c r="C6035" s="59">
        <v>910</v>
      </c>
      <c r="D6035" s="51">
        <v>145</v>
      </c>
      <c r="E6035" s="51">
        <f t="shared" si="94"/>
        <v>0</v>
      </c>
    </row>
    <row r="6036" spans="1:5">
      <c r="A6036" s="59">
        <v>13</v>
      </c>
      <c r="B6036" s="59">
        <v>71</v>
      </c>
      <c r="C6036" s="59">
        <v>550</v>
      </c>
      <c r="D6036" s="51">
        <v>141</v>
      </c>
      <c r="E6036" s="51">
        <f t="shared" si="94"/>
        <v>0</v>
      </c>
    </row>
    <row r="6037" spans="1:5">
      <c r="A6037" s="59">
        <v>13</v>
      </c>
      <c r="B6037" s="59">
        <v>42</v>
      </c>
      <c r="C6037" s="59">
        <v>410</v>
      </c>
      <c r="D6037" s="51">
        <v>139</v>
      </c>
      <c r="E6037" s="51">
        <f t="shared" si="94"/>
        <v>0</v>
      </c>
    </row>
    <row r="6038" spans="1:5">
      <c r="A6038" s="59">
        <v>13</v>
      </c>
      <c r="B6038" s="59">
        <v>22</v>
      </c>
      <c r="C6038" s="59">
        <v>160</v>
      </c>
      <c r="D6038" s="51">
        <v>137</v>
      </c>
      <c r="E6038" s="51">
        <f t="shared" si="94"/>
        <v>0</v>
      </c>
    </row>
    <row r="6039" spans="1:5">
      <c r="A6039" s="59">
        <v>13</v>
      </c>
      <c r="B6039" s="59">
        <v>15</v>
      </c>
      <c r="C6039" s="59">
        <v>160</v>
      </c>
      <c r="D6039" s="51">
        <v>135</v>
      </c>
      <c r="E6039" s="51">
        <f t="shared" si="94"/>
        <v>0</v>
      </c>
    </row>
    <row r="6040" spans="1:5">
      <c r="A6040" s="59">
        <v>13</v>
      </c>
      <c r="B6040" s="59">
        <v>13</v>
      </c>
      <c r="C6040" s="59">
        <v>210</v>
      </c>
      <c r="D6040" s="51">
        <v>132</v>
      </c>
      <c r="E6040" s="51">
        <f t="shared" si="94"/>
        <v>0</v>
      </c>
    </row>
    <row r="6041" spans="1:5">
      <c r="A6041" s="59">
        <v>13</v>
      </c>
      <c r="B6041" s="59">
        <v>81</v>
      </c>
      <c r="C6041" s="59">
        <v>530</v>
      </c>
      <c r="D6041" s="51">
        <v>132</v>
      </c>
      <c r="E6041" s="51">
        <f t="shared" si="94"/>
        <v>0</v>
      </c>
    </row>
    <row r="6042" spans="1:5">
      <c r="A6042" s="59">
        <v>13</v>
      </c>
      <c r="B6042" s="59">
        <v>64</v>
      </c>
      <c r="C6042" s="59">
        <v>520</v>
      </c>
      <c r="D6042" s="51">
        <v>130</v>
      </c>
      <c r="E6042" s="51">
        <f t="shared" si="94"/>
        <v>0</v>
      </c>
    </row>
    <row r="6043" spans="1:5">
      <c r="A6043" s="59">
        <v>13</v>
      </c>
      <c r="B6043" s="59">
        <v>44</v>
      </c>
      <c r="C6043" s="59">
        <v>620</v>
      </c>
      <c r="D6043" s="51">
        <v>129</v>
      </c>
      <c r="E6043" s="51">
        <f t="shared" si="94"/>
        <v>1</v>
      </c>
    </row>
    <row r="6044" spans="1:5">
      <c r="A6044" s="59">
        <v>13</v>
      </c>
      <c r="B6044" s="59">
        <v>64</v>
      </c>
      <c r="C6044" s="59">
        <v>640</v>
      </c>
      <c r="D6044" s="51">
        <v>123</v>
      </c>
      <c r="E6044" s="51">
        <f t="shared" si="94"/>
        <v>0</v>
      </c>
    </row>
    <row r="6045" spans="1:5">
      <c r="A6045" s="59">
        <v>13</v>
      </c>
      <c r="B6045" s="59">
        <v>64</v>
      </c>
      <c r="C6045" s="59">
        <v>230</v>
      </c>
      <c r="D6045" s="51">
        <v>121</v>
      </c>
      <c r="E6045" s="51">
        <f t="shared" si="94"/>
        <v>0</v>
      </c>
    </row>
    <row r="6046" spans="1:5">
      <c r="A6046" s="59">
        <v>13</v>
      </c>
      <c r="B6046" s="59">
        <v>13</v>
      </c>
      <c r="C6046" s="59">
        <v>530</v>
      </c>
      <c r="D6046" s="51">
        <v>117</v>
      </c>
      <c r="E6046" s="51">
        <f t="shared" si="94"/>
        <v>0</v>
      </c>
    </row>
    <row r="6047" spans="1:5">
      <c r="A6047" s="59">
        <v>13</v>
      </c>
      <c r="B6047" s="59">
        <v>41</v>
      </c>
      <c r="C6047" s="59">
        <v>540</v>
      </c>
      <c r="D6047" s="51">
        <v>113</v>
      </c>
      <c r="E6047" s="51">
        <f t="shared" si="94"/>
        <v>1</v>
      </c>
    </row>
    <row r="6048" spans="1:5">
      <c r="A6048" s="59">
        <v>13</v>
      </c>
      <c r="B6048" s="59">
        <v>63</v>
      </c>
      <c r="C6048" s="59">
        <v>410</v>
      </c>
      <c r="D6048" s="51">
        <v>113</v>
      </c>
      <c r="E6048" s="51">
        <f t="shared" si="94"/>
        <v>0</v>
      </c>
    </row>
    <row r="6049" spans="1:5">
      <c r="A6049" s="59">
        <v>13</v>
      </c>
      <c r="B6049" s="59">
        <v>13</v>
      </c>
      <c r="C6049" s="59">
        <v>240</v>
      </c>
      <c r="D6049" s="51">
        <v>111</v>
      </c>
      <c r="E6049" s="51">
        <f t="shared" si="94"/>
        <v>0</v>
      </c>
    </row>
    <row r="6050" spans="1:5">
      <c r="A6050" s="59">
        <v>13</v>
      </c>
      <c r="B6050" s="59">
        <v>41</v>
      </c>
      <c r="C6050" s="59">
        <v>160</v>
      </c>
      <c r="D6050" s="51">
        <v>111</v>
      </c>
      <c r="E6050" s="51">
        <f t="shared" si="94"/>
        <v>1</v>
      </c>
    </row>
    <row r="6051" spans="1:5">
      <c r="A6051" s="59">
        <v>13</v>
      </c>
      <c r="B6051" s="59">
        <v>13</v>
      </c>
      <c r="C6051" s="59">
        <v>110</v>
      </c>
      <c r="D6051" s="51">
        <v>110</v>
      </c>
      <c r="E6051" s="51">
        <f t="shared" si="94"/>
        <v>0</v>
      </c>
    </row>
    <row r="6052" spans="1:5">
      <c r="A6052" s="59">
        <v>13</v>
      </c>
      <c r="B6052" s="59">
        <v>63</v>
      </c>
      <c r="C6052" s="59">
        <v>510</v>
      </c>
      <c r="D6052" s="51">
        <v>107</v>
      </c>
      <c r="E6052" s="51">
        <f t="shared" si="94"/>
        <v>0</v>
      </c>
    </row>
    <row r="6053" spans="1:5">
      <c r="A6053" s="59">
        <v>13</v>
      </c>
      <c r="B6053" s="59">
        <v>14</v>
      </c>
      <c r="C6053" s="59">
        <v>310</v>
      </c>
      <c r="D6053" s="51">
        <v>105</v>
      </c>
      <c r="E6053" s="51">
        <f t="shared" si="94"/>
        <v>0</v>
      </c>
    </row>
    <row r="6054" spans="1:5">
      <c r="A6054" s="59">
        <v>13</v>
      </c>
      <c r="B6054" s="59">
        <v>14</v>
      </c>
      <c r="C6054" s="59">
        <v>410</v>
      </c>
      <c r="D6054" s="51">
        <v>105</v>
      </c>
      <c r="E6054" s="51">
        <f t="shared" si="94"/>
        <v>0</v>
      </c>
    </row>
    <row r="6055" spans="1:5">
      <c r="A6055" s="59">
        <v>13</v>
      </c>
      <c r="B6055" s="59">
        <v>43</v>
      </c>
      <c r="C6055" s="59">
        <v>420</v>
      </c>
      <c r="D6055" s="51">
        <v>105</v>
      </c>
      <c r="E6055" s="51">
        <f t="shared" si="94"/>
        <v>0</v>
      </c>
    </row>
    <row r="6056" spans="1:5">
      <c r="A6056" s="59">
        <v>13</v>
      </c>
      <c r="B6056" s="59">
        <v>43</v>
      </c>
      <c r="C6056" s="59">
        <v>510</v>
      </c>
      <c r="D6056" s="51">
        <v>105</v>
      </c>
      <c r="E6056" s="51">
        <f t="shared" si="94"/>
        <v>0</v>
      </c>
    </row>
    <row r="6057" spans="1:5">
      <c r="A6057" s="59">
        <v>13</v>
      </c>
      <c r="B6057" s="59">
        <v>44</v>
      </c>
      <c r="C6057" s="59">
        <v>430</v>
      </c>
      <c r="D6057" s="51">
        <v>104</v>
      </c>
      <c r="E6057" s="51">
        <f t="shared" si="94"/>
        <v>1</v>
      </c>
    </row>
    <row r="6058" spans="1:5">
      <c r="A6058" s="59">
        <v>13</v>
      </c>
      <c r="B6058" s="59">
        <v>14</v>
      </c>
      <c r="C6058" s="59">
        <v>110</v>
      </c>
      <c r="D6058" s="51">
        <v>103</v>
      </c>
      <c r="E6058" s="51">
        <f t="shared" si="94"/>
        <v>0</v>
      </c>
    </row>
    <row r="6059" spans="1:5">
      <c r="A6059" s="59">
        <v>13</v>
      </c>
      <c r="B6059" s="59">
        <v>32</v>
      </c>
      <c r="C6059" s="59">
        <v>420</v>
      </c>
      <c r="D6059" s="51">
        <v>103</v>
      </c>
      <c r="E6059" s="51">
        <f t="shared" si="94"/>
        <v>0</v>
      </c>
    </row>
    <row r="6060" spans="1:5">
      <c r="A6060" s="59">
        <v>13</v>
      </c>
      <c r="B6060" s="59">
        <v>42</v>
      </c>
      <c r="C6060" s="59">
        <v>910</v>
      </c>
      <c r="D6060" s="51">
        <v>102</v>
      </c>
      <c r="E6060" s="51">
        <f t="shared" si="94"/>
        <v>0</v>
      </c>
    </row>
    <row r="6061" spans="1:5">
      <c r="A6061" s="59">
        <v>13</v>
      </c>
      <c r="B6061" s="59">
        <v>71</v>
      </c>
      <c r="C6061" s="59">
        <v>520</v>
      </c>
      <c r="D6061" s="51">
        <v>100</v>
      </c>
      <c r="E6061" s="51">
        <f t="shared" si="94"/>
        <v>0</v>
      </c>
    </row>
    <row r="6062" spans="1:5">
      <c r="A6062" s="59">
        <v>13</v>
      </c>
      <c r="B6062" s="59">
        <v>71</v>
      </c>
      <c r="C6062" s="59">
        <v>240</v>
      </c>
      <c r="D6062" s="51">
        <v>96</v>
      </c>
      <c r="E6062" s="51">
        <f t="shared" si="94"/>
        <v>0</v>
      </c>
    </row>
    <row r="6063" spans="1:5">
      <c r="A6063" s="59">
        <v>13</v>
      </c>
      <c r="B6063" s="59">
        <v>62</v>
      </c>
      <c r="C6063" s="59">
        <v>910</v>
      </c>
      <c r="D6063" s="51">
        <v>95</v>
      </c>
      <c r="E6063" s="51">
        <f t="shared" si="94"/>
        <v>1</v>
      </c>
    </row>
    <row r="6064" spans="1:5">
      <c r="A6064" s="59">
        <v>13</v>
      </c>
      <c r="B6064" s="59">
        <v>64</v>
      </c>
      <c r="C6064" s="59">
        <v>920</v>
      </c>
      <c r="D6064" s="51">
        <v>95</v>
      </c>
      <c r="E6064" s="51">
        <f t="shared" si="94"/>
        <v>0</v>
      </c>
    </row>
    <row r="6065" spans="1:5">
      <c r="A6065" s="59">
        <v>13</v>
      </c>
      <c r="B6065" s="59">
        <v>32</v>
      </c>
      <c r="C6065" s="59">
        <v>160</v>
      </c>
      <c r="D6065" s="51">
        <v>94</v>
      </c>
      <c r="E6065" s="51">
        <f t="shared" si="94"/>
        <v>0</v>
      </c>
    </row>
    <row r="6066" spans="1:5">
      <c r="A6066" s="59">
        <v>13</v>
      </c>
      <c r="B6066" s="59">
        <v>16</v>
      </c>
      <c r="C6066" s="59">
        <v>430</v>
      </c>
      <c r="D6066" s="51">
        <v>92</v>
      </c>
      <c r="E6066" s="51">
        <f t="shared" si="94"/>
        <v>0</v>
      </c>
    </row>
    <row r="6067" spans="1:5">
      <c r="A6067" s="59">
        <v>13</v>
      </c>
      <c r="B6067" s="59">
        <v>62</v>
      </c>
      <c r="C6067" s="59">
        <v>510</v>
      </c>
      <c r="D6067" s="51">
        <v>91</v>
      </c>
      <c r="E6067" s="51">
        <f t="shared" si="94"/>
        <v>1</v>
      </c>
    </row>
    <row r="6068" spans="1:5">
      <c r="A6068" s="59">
        <v>13</v>
      </c>
      <c r="B6068" s="59">
        <v>14</v>
      </c>
      <c r="C6068" s="59">
        <v>910</v>
      </c>
      <c r="D6068" s="51">
        <v>90</v>
      </c>
      <c r="E6068" s="51">
        <f t="shared" si="94"/>
        <v>0</v>
      </c>
    </row>
    <row r="6069" spans="1:5">
      <c r="A6069" s="59">
        <v>13</v>
      </c>
      <c r="B6069" s="59">
        <v>63</v>
      </c>
      <c r="C6069" s="59">
        <v>550</v>
      </c>
      <c r="D6069" s="51">
        <v>85</v>
      </c>
      <c r="E6069" s="51">
        <f t="shared" si="94"/>
        <v>0</v>
      </c>
    </row>
    <row r="6070" spans="1:5">
      <c r="A6070" s="59">
        <v>13</v>
      </c>
      <c r="B6070" s="59">
        <v>33</v>
      </c>
      <c r="C6070" s="59">
        <v>240</v>
      </c>
      <c r="D6070" s="51">
        <v>84</v>
      </c>
      <c r="E6070" s="51">
        <f t="shared" si="94"/>
        <v>0</v>
      </c>
    </row>
    <row r="6071" spans="1:5">
      <c r="A6071" s="59">
        <v>13</v>
      </c>
      <c r="B6071" s="59">
        <v>13</v>
      </c>
      <c r="C6071" s="59">
        <v>910</v>
      </c>
      <c r="D6071" s="51">
        <v>79</v>
      </c>
      <c r="E6071" s="51">
        <f t="shared" si="94"/>
        <v>0</v>
      </c>
    </row>
    <row r="6072" spans="1:5">
      <c r="A6072" s="59">
        <v>13</v>
      </c>
      <c r="B6072" s="59">
        <v>14</v>
      </c>
      <c r="C6072" s="59">
        <v>530</v>
      </c>
      <c r="D6072" s="51">
        <v>79</v>
      </c>
      <c r="E6072" s="51">
        <f t="shared" si="94"/>
        <v>0</v>
      </c>
    </row>
    <row r="6073" spans="1:5">
      <c r="A6073" s="59">
        <v>13</v>
      </c>
      <c r="B6073" s="59">
        <v>44</v>
      </c>
      <c r="C6073" s="59">
        <v>910</v>
      </c>
      <c r="D6073" s="51">
        <v>79</v>
      </c>
      <c r="E6073" s="51">
        <f t="shared" si="94"/>
        <v>1</v>
      </c>
    </row>
    <row r="6074" spans="1:5">
      <c r="A6074" s="59">
        <v>13</v>
      </c>
      <c r="B6074" s="59">
        <v>71</v>
      </c>
      <c r="C6074" s="59">
        <v>150</v>
      </c>
      <c r="D6074" s="51">
        <v>78</v>
      </c>
      <c r="E6074" s="51">
        <f t="shared" si="94"/>
        <v>0</v>
      </c>
    </row>
    <row r="6075" spans="1:5">
      <c r="A6075" s="59">
        <v>13</v>
      </c>
      <c r="B6075" s="59">
        <v>81</v>
      </c>
      <c r="C6075" s="59">
        <v>620</v>
      </c>
      <c r="D6075" s="51">
        <v>78</v>
      </c>
      <c r="E6075" s="51">
        <f t="shared" si="94"/>
        <v>0</v>
      </c>
    </row>
    <row r="6076" spans="1:5">
      <c r="A6076" s="59">
        <v>13</v>
      </c>
      <c r="B6076" s="59">
        <v>13</v>
      </c>
      <c r="C6076" s="59">
        <v>630</v>
      </c>
      <c r="D6076" s="51">
        <v>77</v>
      </c>
      <c r="E6076" s="51">
        <f t="shared" si="94"/>
        <v>0</v>
      </c>
    </row>
    <row r="6077" spans="1:5">
      <c r="A6077" s="59">
        <v>13</v>
      </c>
      <c r="B6077" s="59">
        <v>15</v>
      </c>
      <c r="C6077" s="59">
        <v>540</v>
      </c>
      <c r="D6077" s="51">
        <v>76</v>
      </c>
      <c r="E6077" s="51">
        <f t="shared" si="94"/>
        <v>0</v>
      </c>
    </row>
    <row r="6078" spans="1:5">
      <c r="A6078" s="59">
        <v>13</v>
      </c>
      <c r="B6078" s="59">
        <v>22</v>
      </c>
      <c r="C6078" s="59">
        <v>330</v>
      </c>
      <c r="D6078" s="51">
        <v>76</v>
      </c>
      <c r="E6078" s="51">
        <f t="shared" si="94"/>
        <v>0</v>
      </c>
    </row>
    <row r="6079" spans="1:5">
      <c r="A6079" s="59">
        <v>13</v>
      </c>
      <c r="B6079" s="59">
        <v>24</v>
      </c>
      <c r="C6079" s="59">
        <v>240</v>
      </c>
      <c r="D6079" s="51">
        <v>76</v>
      </c>
      <c r="E6079" s="51">
        <f t="shared" si="94"/>
        <v>0</v>
      </c>
    </row>
    <row r="6080" spans="1:5">
      <c r="A6080" s="59">
        <v>13</v>
      </c>
      <c r="B6080" s="59">
        <v>43</v>
      </c>
      <c r="C6080" s="59">
        <v>310</v>
      </c>
      <c r="D6080" s="51">
        <v>76</v>
      </c>
      <c r="E6080" s="51">
        <f t="shared" si="94"/>
        <v>0</v>
      </c>
    </row>
    <row r="6081" spans="1:5">
      <c r="A6081" s="59">
        <v>13</v>
      </c>
      <c r="B6081" s="59">
        <v>62</v>
      </c>
      <c r="C6081" s="59">
        <v>150</v>
      </c>
      <c r="D6081" s="51">
        <v>74</v>
      </c>
      <c r="E6081" s="51">
        <f t="shared" si="94"/>
        <v>1</v>
      </c>
    </row>
    <row r="6082" spans="1:5">
      <c r="A6082" s="59">
        <v>13</v>
      </c>
      <c r="B6082" s="59">
        <v>33</v>
      </c>
      <c r="C6082" s="59">
        <v>160</v>
      </c>
      <c r="D6082" s="51">
        <v>71</v>
      </c>
      <c r="E6082" s="51">
        <f t="shared" ref="E6082:E6145" si="95">IF(OR(A6082=6,A6082=7,A6082=14,A6082=15,A6082=16,A6082=17,A6082=18,A6082=19,A6082=20,A6082=21,A6082=22,A6082=23,A6082=25,A6082=26,A6082=27,A6082=28,B6082=41,B6082=44,B6082=62),1,0)</f>
        <v>0</v>
      </c>
    </row>
    <row r="6083" spans="1:5">
      <c r="A6083" s="59">
        <v>13</v>
      </c>
      <c r="B6083" s="59">
        <v>71</v>
      </c>
      <c r="C6083" s="59">
        <v>210</v>
      </c>
      <c r="D6083" s="51">
        <v>71</v>
      </c>
      <c r="E6083" s="51">
        <f t="shared" si="95"/>
        <v>0</v>
      </c>
    </row>
    <row r="6084" spans="1:5">
      <c r="A6084" s="59">
        <v>13</v>
      </c>
      <c r="B6084" s="59">
        <v>16</v>
      </c>
      <c r="C6084" s="59">
        <v>410</v>
      </c>
      <c r="D6084" s="51">
        <v>69</v>
      </c>
      <c r="E6084" s="51">
        <f t="shared" si="95"/>
        <v>0</v>
      </c>
    </row>
    <row r="6085" spans="1:5">
      <c r="A6085" s="59">
        <v>13</v>
      </c>
      <c r="B6085" s="59">
        <v>22</v>
      </c>
      <c r="C6085" s="59">
        <v>210</v>
      </c>
      <c r="D6085" s="51">
        <v>68</v>
      </c>
      <c r="E6085" s="51">
        <f t="shared" si="95"/>
        <v>0</v>
      </c>
    </row>
    <row r="6086" spans="1:5">
      <c r="A6086" s="59">
        <v>13</v>
      </c>
      <c r="B6086" s="59">
        <v>42</v>
      </c>
      <c r="C6086" s="59">
        <v>210</v>
      </c>
      <c r="D6086" s="51">
        <v>68</v>
      </c>
      <c r="E6086" s="51">
        <f t="shared" si="95"/>
        <v>0</v>
      </c>
    </row>
    <row r="6087" spans="1:5">
      <c r="A6087" s="59">
        <v>13</v>
      </c>
      <c r="B6087" s="59">
        <v>43</v>
      </c>
      <c r="C6087" s="59">
        <v>220</v>
      </c>
      <c r="D6087" s="51">
        <v>64</v>
      </c>
      <c r="E6087" s="51">
        <f t="shared" si="95"/>
        <v>0</v>
      </c>
    </row>
    <row r="6088" spans="1:5">
      <c r="A6088" s="59">
        <v>13</v>
      </c>
      <c r="B6088" s="59">
        <v>13</v>
      </c>
      <c r="C6088" s="59">
        <v>310</v>
      </c>
      <c r="D6088" s="51">
        <v>63</v>
      </c>
      <c r="E6088" s="51">
        <f t="shared" si="95"/>
        <v>0</v>
      </c>
    </row>
    <row r="6089" spans="1:5">
      <c r="A6089" s="59">
        <v>13</v>
      </c>
      <c r="B6089" s="59">
        <v>16</v>
      </c>
      <c r="C6089" s="59">
        <v>240</v>
      </c>
      <c r="D6089" s="51">
        <v>63</v>
      </c>
      <c r="E6089" s="51">
        <f t="shared" si="95"/>
        <v>0</v>
      </c>
    </row>
    <row r="6090" spans="1:5">
      <c r="A6090" s="59">
        <v>13</v>
      </c>
      <c r="B6090" s="59">
        <v>16</v>
      </c>
      <c r="C6090" s="59">
        <v>330</v>
      </c>
      <c r="D6090" s="51">
        <v>58</v>
      </c>
      <c r="E6090" s="51">
        <f t="shared" si="95"/>
        <v>0</v>
      </c>
    </row>
    <row r="6091" spans="1:5">
      <c r="A6091" s="59">
        <v>13</v>
      </c>
      <c r="B6091" s="59">
        <v>63</v>
      </c>
      <c r="C6091" s="59">
        <v>610</v>
      </c>
      <c r="D6091" s="51">
        <v>58</v>
      </c>
      <c r="E6091" s="51">
        <f t="shared" si="95"/>
        <v>0</v>
      </c>
    </row>
    <row r="6092" spans="1:5">
      <c r="A6092" s="59">
        <v>13</v>
      </c>
      <c r="B6092" s="59">
        <v>64</v>
      </c>
      <c r="C6092" s="59">
        <v>440</v>
      </c>
      <c r="D6092" s="51">
        <v>58</v>
      </c>
      <c r="E6092" s="51">
        <f t="shared" si="95"/>
        <v>0</v>
      </c>
    </row>
    <row r="6093" spans="1:5">
      <c r="A6093" s="59">
        <v>13</v>
      </c>
      <c r="B6093" s="59">
        <v>33</v>
      </c>
      <c r="C6093" s="59">
        <v>420</v>
      </c>
      <c r="D6093" s="51">
        <v>56</v>
      </c>
      <c r="E6093" s="51">
        <f t="shared" si="95"/>
        <v>0</v>
      </c>
    </row>
    <row r="6094" spans="1:5">
      <c r="A6094" s="59">
        <v>13</v>
      </c>
      <c r="B6094" s="59">
        <v>71</v>
      </c>
      <c r="C6094" s="59">
        <v>920</v>
      </c>
      <c r="D6094" s="51">
        <v>56</v>
      </c>
      <c r="E6094" s="51">
        <f t="shared" si="95"/>
        <v>0</v>
      </c>
    </row>
    <row r="6095" spans="1:5">
      <c r="A6095" s="59">
        <v>13</v>
      </c>
      <c r="B6095" s="59">
        <v>24</v>
      </c>
      <c r="C6095" s="59">
        <v>430</v>
      </c>
      <c r="D6095" s="51">
        <v>55</v>
      </c>
      <c r="E6095" s="51">
        <f t="shared" si="95"/>
        <v>0</v>
      </c>
    </row>
    <row r="6096" spans="1:5">
      <c r="A6096" s="59">
        <v>13</v>
      </c>
      <c r="B6096" s="59">
        <v>63</v>
      </c>
      <c r="C6096" s="59">
        <v>640</v>
      </c>
      <c r="D6096" s="51">
        <v>55</v>
      </c>
      <c r="E6096" s="51">
        <f t="shared" si="95"/>
        <v>0</v>
      </c>
    </row>
    <row r="6097" spans="1:5">
      <c r="A6097" s="59">
        <v>13</v>
      </c>
      <c r="B6097" s="59">
        <v>62</v>
      </c>
      <c r="C6097" s="59">
        <v>550</v>
      </c>
      <c r="D6097" s="51">
        <v>54</v>
      </c>
      <c r="E6097" s="51">
        <f t="shared" si="95"/>
        <v>1</v>
      </c>
    </row>
    <row r="6098" spans="1:5">
      <c r="A6098" s="59">
        <v>13</v>
      </c>
      <c r="B6098" s="59">
        <v>64</v>
      </c>
      <c r="C6098" s="59">
        <v>750</v>
      </c>
      <c r="D6098" s="51">
        <v>54</v>
      </c>
      <c r="E6098" s="51">
        <f t="shared" si="95"/>
        <v>0</v>
      </c>
    </row>
    <row r="6099" spans="1:5">
      <c r="A6099" s="59">
        <v>13</v>
      </c>
      <c r="B6099" s="59">
        <v>62</v>
      </c>
      <c r="C6099" s="59">
        <v>410</v>
      </c>
      <c r="D6099" s="51">
        <v>53</v>
      </c>
      <c r="E6099" s="51">
        <f t="shared" si="95"/>
        <v>1</v>
      </c>
    </row>
    <row r="6100" spans="1:5">
      <c r="A6100" s="59">
        <v>13</v>
      </c>
      <c r="B6100" s="59">
        <v>63</v>
      </c>
      <c r="C6100" s="59">
        <v>150</v>
      </c>
      <c r="D6100" s="51">
        <v>52</v>
      </c>
      <c r="E6100" s="51">
        <f t="shared" si="95"/>
        <v>0</v>
      </c>
    </row>
    <row r="6101" spans="1:5">
      <c r="A6101" s="59">
        <v>13</v>
      </c>
      <c r="B6101" s="59">
        <v>43</v>
      </c>
      <c r="C6101" s="59">
        <v>520</v>
      </c>
      <c r="D6101" s="51">
        <v>50</v>
      </c>
      <c r="E6101" s="51">
        <f t="shared" si="95"/>
        <v>0</v>
      </c>
    </row>
    <row r="6102" spans="1:5">
      <c r="A6102" s="59">
        <v>13</v>
      </c>
      <c r="B6102" s="59">
        <v>42</v>
      </c>
      <c r="C6102" s="59">
        <v>240</v>
      </c>
      <c r="D6102" s="51">
        <v>49</v>
      </c>
      <c r="E6102" s="51">
        <f t="shared" si="95"/>
        <v>0</v>
      </c>
    </row>
    <row r="6103" spans="1:5">
      <c r="A6103" s="59">
        <v>13</v>
      </c>
      <c r="B6103" s="59">
        <v>62</v>
      </c>
      <c r="C6103" s="59">
        <v>610</v>
      </c>
      <c r="D6103" s="51">
        <v>47</v>
      </c>
      <c r="E6103" s="51">
        <f t="shared" si="95"/>
        <v>1</v>
      </c>
    </row>
    <row r="6104" spans="1:5">
      <c r="A6104" s="59">
        <v>13</v>
      </c>
      <c r="B6104" s="59">
        <v>31</v>
      </c>
      <c r="C6104" s="59">
        <v>430</v>
      </c>
      <c r="D6104" s="51">
        <v>46</v>
      </c>
      <c r="E6104" s="51">
        <f t="shared" si="95"/>
        <v>0</v>
      </c>
    </row>
    <row r="6105" spans="1:5">
      <c r="A6105" s="59">
        <v>13</v>
      </c>
      <c r="B6105" s="59">
        <v>43</v>
      </c>
      <c r="C6105" s="59">
        <v>550</v>
      </c>
      <c r="D6105" s="51">
        <v>46</v>
      </c>
      <c r="E6105" s="51">
        <f t="shared" si="95"/>
        <v>0</v>
      </c>
    </row>
    <row r="6106" spans="1:5">
      <c r="A6106" s="59">
        <v>13</v>
      </c>
      <c r="B6106" s="59">
        <v>41</v>
      </c>
      <c r="C6106" s="59">
        <v>530</v>
      </c>
      <c r="D6106" s="51">
        <v>45</v>
      </c>
      <c r="E6106" s="51">
        <f t="shared" si="95"/>
        <v>1</v>
      </c>
    </row>
    <row r="6107" spans="1:5">
      <c r="A6107" s="59">
        <v>13</v>
      </c>
      <c r="B6107" s="59">
        <v>63</v>
      </c>
      <c r="C6107" s="59">
        <v>210</v>
      </c>
      <c r="D6107" s="51">
        <v>45</v>
      </c>
      <c r="E6107" s="51">
        <f t="shared" si="95"/>
        <v>0</v>
      </c>
    </row>
    <row r="6108" spans="1:5">
      <c r="A6108" s="59">
        <v>13</v>
      </c>
      <c r="B6108" s="59">
        <v>33</v>
      </c>
      <c r="C6108" s="59">
        <v>210</v>
      </c>
      <c r="D6108" s="51">
        <v>44</v>
      </c>
      <c r="E6108" s="51">
        <f t="shared" si="95"/>
        <v>0</v>
      </c>
    </row>
    <row r="6109" spans="1:5">
      <c r="A6109" s="59">
        <v>13</v>
      </c>
      <c r="B6109" s="59">
        <v>42</v>
      </c>
      <c r="C6109" s="59">
        <v>110</v>
      </c>
      <c r="D6109" s="51">
        <v>43</v>
      </c>
      <c r="E6109" s="51">
        <f t="shared" si="95"/>
        <v>0</v>
      </c>
    </row>
    <row r="6110" spans="1:5">
      <c r="A6110" s="59">
        <v>13</v>
      </c>
      <c r="B6110" s="59">
        <v>62</v>
      </c>
      <c r="C6110" s="59">
        <v>750</v>
      </c>
      <c r="D6110" s="51">
        <v>43</v>
      </c>
      <c r="E6110" s="51">
        <f t="shared" si="95"/>
        <v>1</v>
      </c>
    </row>
    <row r="6111" spans="1:5">
      <c r="A6111" s="59">
        <v>13</v>
      </c>
      <c r="B6111" s="59">
        <v>41</v>
      </c>
      <c r="C6111" s="59">
        <v>630</v>
      </c>
      <c r="D6111" s="51">
        <v>42</v>
      </c>
      <c r="E6111" s="51">
        <f t="shared" si="95"/>
        <v>1</v>
      </c>
    </row>
    <row r="6112" spans="1:5">
      <c r="A6112" s="59">
        <v>13</v>
      </c>
      <c r="B6112" s="59">
        <v>43</v>
      </c>
      <c r="C6112" s="59">
        <v>610</v>
      </c>
      <c r="D6112" s="51">
        <v>42</v>
      </c>
      <c r="E6112" s="51">
        <f t="shared" si="95"/>
        <v>0</v>
      </c>
    </row>
    <row r="6113" spans="1:5">
      <c r="A6113" s="59">
        <v>13</v>
      </c>
      <c r="B6113" s="59">
        <v>71</v>
      </c>
      <c r="C6113" s="59">
        <v>750</v>
      </c>
      <c r="D6113" s="51">
        <v>42</v>
      </c>
      <c r="E6113" s="51">
        <f t="shared" si="95"/>
        <v>0</v>
      </c>
    </row>
    <row r="6114" spans="1:5">
      <c r="A6114" s="59">
        <v>13</v>
      </c>
      <c r="B6114" s="59">
        <v>22</v>
      </c>
      <c r="C6114" s="59">
        <v>540</v>
      </c>
      <c r="D6114" s="51">
        <v>41</v>
      </c>
      <c r="E6114" s="51">
        <f t="shared" si="95"/>
        <v>0</v>
      </c>
    </row>
    <row r="6115" spans="1:5">
      <c r="A6115" s="59">
        <v>13</v>
      </c>
      <c r="B6115" s="59">
        <v>32</v>
      </c>
      <c r="C6115" s="59">
        <v>540</v>
      </c>
      <c r="D6115" s="51">
        <v>41</v>
      </c>
      <c r="E6115" s="51">
        <f t="shared" si="95"/>
        <v>0</v>
      </c>
    </row>
    <row r="6116" spans="1:5">
      <c r="A6116" s="59">
        <v>13</v>
      </c>
      <c r="B6116" s="59">
        <v>62</v>
      </c>
      <c r="C6116" s="59">
        <v>240</v>
      </c>
      <c r="D6116" s="51">
        <v>39</v>
      </c>
      <c r="E6116" s="51">
        <f t="shared" si="95"/>
        <v>1</v>
      </c>
    </row>
    <row r="6117" spans="1:5">
      <c r="A6117" s="59">
        <v>13</v>
      </c>
      <c r="B6117" s="59">
        <v>71</v>
      </c>
      <c r="C6117" s="59">
        <v>330</v>
      </c>
      <c r="D6117" s="51">
        <v>39</v>
      </c>
      <c r="E6117" s="51">
        <f t="shared" si="95"/>
        <v>0</v>
      </c>
    </row>
    <row r="6118" spans="1:5">
      <c r="A6118" s="59">
        <v>13</v>
      </c>
      <c r="B6118" s="59">
        <v>71</v>
      </c>
      <c r="C6118" s="59">
        <v>220</v>
      </c>
      <c r="D6118" s="51">
        <v>37</v>
      </c>
      <c r="E6118" s="51">
        <f t="shared" si="95"/>
        <v>0</v>
      </c>
    </row>
    <row r="6119" spans="1:5">
      <c r="A6119" s="59">
        <v>13</v>
      </c>
      <c r="B6119" s="59">
        <v>16</v>
      </c>
      <c r="C6119" s="59">
        <v>210</v>
      </c>
      <c r="D6119" s="51">
        <v>36</v>
      </c>
      <c r="E6119" s="51">
        <f t="shared" si="95"/>
        <v>0</v>
      </c>
    </row>
    <row r="6120" spans="1:5">
      <c r="A6120" s="59">
        <v>13</v>
      </c>
      <c r="B6120" s="59">
        <v>32</v>
      </c>
      <c r="C6120" s="59">
        <v>630</v>
      </c>
      <c r="D6120" s="51">
        <v>36</v>
      </c>
      <c r="E6120" s="51">
        <f t="shared" si="95"/>
        <v>0</v>
      </c>
    </row>
    <row r="6121" spans="1:5">
      <c r="A6121" s="59">
        <v>13</v>
      </c>
      <c r="B6121" s="59">
        <v>43</v>
      </c>
      <c r="C6121" s="59">
        <v>230</v>
      </c>
      <c r="D6121" s="51">
        <v>36</v>
      </c>
      <c r="E6121" s="51">
        <f t="shared" si="95"/>
        <v>0</v>
      </c>
    </row>
    <row r="6122" spans="1:5">
      <c r="A6122" s="59">
        <v>13</v>
      </c>
      <c r="B6122" s="59">
        <v>42</v>
      </c>
      <c r="C6122" s="59">
        <v>330</v>
      </c>
      <c r="D6122" s="51">
        <v>35</v>
      </c>
      <c r="E6122" s="51">
        <f t="shared" si="95"/>
        <v>0</v>
      </c>
    </row>
    <row r="6123" spans="1:5">
      <c r="A6123" s="59">
        <v>13</v>
      </c>
      <c r="B6123" s="59">
        <v>63</v>
      </c>
      <c r="C6123" s="59">
        <v>520</v>
      </c>
      <c r="D6123" s="51">
        <v>35</v>
      </c>
      <c r="E6123" s="51">
        <f t="shared" si="95"/>
        <v>0</v>
      </c>
    </row>
    <row r="6124" spans="1:5">
      <c r="A6124" s="59">
        <v>13</v>
      </c>
      <c r="B6124" s="59">
        <v>14</v>
      </c>
      <c r="C6124" s="59">
        <v>630</v>
      </c>
      <c r="D6124" s="51">
        <v>34</v>
      </c>
      <c r="E6124" s="51">
        <f t="shared" si="95"/>
        <v>0</v>
      </c>
    </row>
    <row r="6125" spans="1:5">
      <c r="A6125" s="59">
        <v>13</v>
      </c>
      <c r="B6125" s="59">
        <v>15</v>
      </c>
      <c r="C6125" s="59">
        <v>330</v>
      </c>
      <c r="D6125" s="51">
        <v>34</v>
      </c>
      <c r="E6125" s="51">
        <f t="shared" si="95"/>
        <v>0</v>
      </c>
    </row>
    <row r="6126" spans="1:5">
      <c r="A6126" s="59">
        <v>13</v>
      </c>
      <c r="B6126" s="59">
        <v>33</v>
      </c>
      <c r="C6126" s="59">
        <v>910</v>
      </c>
      <c r="D6126" s="51">
        <v>34</v>
      </c>
      <c r="E6126" s="51">
        <f t="shared" si="95"/>
        <v>0</v>
      </c>
    </row>
    <row r="6127" spans="1:5">
      <c r="A6127" s="59">
        <v>13</v>
      </c>
      <c r="B6127" s="59">
        <v>42</v>
      </c>
      <c r="C6127" s="59">
        <v>610</v>
      </c>
      <c r="D6127" s="51">
        <v>33</v>
      </c>
      <c r="E6127" s="51">
        <f t="shared" si="95"/>
        <v>0</v>
      </c>
    </row>
    <row r="6128" spans="1:5">
      <c r="A6128" s="59">
        <v>13</v>
      </c>
      <c r="B6128" s="59">
        <v>43</v>
      </c>
      <c r="C6128" s="59">
        <v>920</v>
      </c>
      <c r="D6128" s="51">
        <v>33</v>
      </c>
      <c r="E6128" s="51">
        <f t="shared" si="95"/>
        <v>0</v>
      </c>
    </row>
    <row r="6129" spans="1:5">
      <c r="A6129" s="59">
        <v>13</v>
      </c>
      <c r="B6129" s="59">
        <v>71</v>
      </c>
      <c r="C6129" s="59">
        <v>310</v>
      </c>
      <c r="D6129" s="51">
        <v>33</v>
      </c>
      <c r="E6129" s="51">
        <f t="shared" si="95"/>
        <v>0</v>
      </c>
    </row>
    <row r="6130" spans="1:5">
      <c r="A6130" s="59">
        <v>13</v>
      </c>
      <c r="B6130" s="59">
        <v>14</v>
      </c>
      <c r="C6130" s="59">
        <v>230</v>
      </c>
      <c r="D6130" s="51">
        <v>31</v>
      </c>
      <c r="E6130" s="51">
        <f t="shared" si="95"/>
        <v>0</v>
      </c>
    </row>
    <row r="6131" spans="1:5">
      <c r="A6131" s="59">
        <v>13</v>
      </c>
      <c r="B6131" s="59">
        <v>62</v>
      </c>
      <c r="C6131" s="59">
        <v>210</v>
      </c>
      <c r="D6131" s="51">
        <v>31</v>
      </c>
      <c r="E6131" s="51">
        <f t="shared" si="95"/>
        <v>1</v>
      </c>
    </row>
    <row r="6132" spans="1:5">
      <c r="A6132" s="59">
        <v>13</v>
      </c>
      <c r="B6132" s="59">
        <v>63</v>
      </c>
      <c r="C6132" s="59">
        <v>240</v>
      </c>
      <c r="D6132" s="51">
        <v>31</v>
      </c>
      <c r="E6132" s="51">
        <f t="shared" si="95"/>
        <v>0</v>
      </c>
    </row>
    <row r="6133" spans="1:5">
      <c r="A6133" s="59">
        <v>13</v>
      </c>
      <c r="B6133" s="59">
        <v>62</v>
      </c>
      <c r="C6133" s="59">
        <v>640</v>
      </c>
      <c r="D6133" s="51">
        <v>30</v>
      </c>
      <c r="E6133" s="51">
        <f t="shared" si="95"/>
        <v>1</v>
      </c>
    </row>
    <row r="6134" spans="1:5">
      <c r="A6134" s="59">
        <v>13</v>
      </c>
      <c r="B6134" s="59">
        <v>24</v>
      </c>
      <c r="C6134" s="59">
        <v>420</v>
      </c>
      <c r="D6134" s="51">
        <v>29</v>
      </c>
      <c r="E6134" s="51">
        <f t="shared" si="95"/>
        <v>0</v>
      </c>
    </row>
    <row r="6135" spans="1:5">
      <c r="A6135" s="59">
        <v>13</v>
      </c>
      <c r="B6135" s="59">
        <v>81</v>
      </c>
      <c r="C6135" s="59">
        <v>110</v>
      </c>
      <c r="D6135" s="51">
        <v>29</v>
      </c>
      <c r="E6135" s="51">
        <f t="shared" si="95"/>
        <v>0</v>
      </c>
    </row>
    <row r="6136" spans="1:5">
      <c r="A6136" s="59">
        <v>13</v>
      </c>
      <c r="B6136" s="59">
        <v>16</v>
      </c>
      <c r="C6136" s="59">
        <v>150</v>
      </c>
      <c r="D6136" s="51">
        <v>27</v>
      </c>
      <c r="E6136" s="51">
        <f t="shared" si="95"/>
        <v>0</v>
      </c>
    </row>
    <row r="6137" spans="1:5">
      <c r="A6137" s="59">
        <v>13</v>
      </c>
      <c r="B6137" s="59">
        <v>63</v>
      </c>
      <c r="C6137" s="59">
        <v>440</v>
      </c>
      <c r="D6137" s="51">
        <v>27</v>
      </c>
      <c r="E6137" s="51">
        <f t="shared" si="95"/>
        <v>0</v>
      </c>
    </row>
    <row r="6138" spans="1:5">
      <c r="A6138" s="59">
        <v>13</v>
      </c>
      <c r="B6138" s="59">
        <v>13</v>
      </c>
      <c r="C6138" s="59">
        <v>620</v>
      </c>
      <c r="D6138" s="51">
        <v>26</v>
      </c>
      <c r="E6138" s="51">
        <f t="shared" si="95"/>
        <v>0</v>
      </c>
    </row>
    <row r="6139" spans="1:5">
      <c r="A6139" s="59">
        <v>13</v>
      </c>
      <c r="B6139" s="59">
        <v>22</v>
      </c>
      <c r="C6139" s="59">
        <v>310</v>
      </c>
      <c r="D6139" s="51">
        <v>26</v>
      </c>
      <c r="E6139" s="51">
        <f t="shared" si="95"/>
        <v>0</v>
      </c>
    </row>
    <row r="6140" spans="1:5">
      <c r="A6140" s="59">
        <v>13</v>
      </c>
      <c r="B6140" s="59">
        <v>44</v>
      </c>
      <c r="C6140" s="59">
        <v>510</v>
      </c>
      <c r="D6140" s="51">
        <v>26</v>
      </c>
      <c r="E6140" s="51">
        <f t="shared" si="95"/>
        <v>1</v>
      </c>
    </row>
    <row r="6141" spans="1:5">
      <c r="A6141" s="59">
        <v>13</v>
      </c>
      <c r="B6141" s="59">
        <v>13</v>
      </c>
      <c r="C6141" s="59">
        <v>230</v>
      </c>
      <c r="D6141" s="51">
        <v>25</v>
      </c>
      <c r="E6141" s="51">
        <f t="shared" si="95"/>
        <v>0</v>
      </c>
    </row>
    <row r="6142" spans="1:5">
      <c r="A6142" s="59">
        <v>13</v>
      </c>
      <c r="B6142" s="59">
        <v>42</v>
      </c>
      <c r="C6142" s="59">
        <v>640</v>
      </c>
      <c r="D6142" s="51">
        <v>25</v>
      </c>
      <c r="E6142" s="51">
        <f t="shared" si="95"/>
        <v>0</v>
      </c>
    </row>
    <row r="6143" spans="1:5">
      <c r="A6143" s="59">
        <v>13</v>
      </c>
      <c r="B6143" s="59">
        <v>62</v>
      </c>
      <c r="C6143" s="59">
        <v>520</v>
      </c>
      <c r="D6143" s="51">
        <v>25</v>
      </c>
      <c r="E6143" s="51">
        <f t="shared" si="95"/>
        <v>1</v>
      </c>
    </row>
    <row r="6144" spans="1:5">
      <c r="A6144" s="59">
        <v>13</v>
      </c>
      <c r="B6144" s="59">
        <v>81</v>
      </c>
      <c r="C6144" s="59">
        <v>430</v>
      </c>
      <c r="D6144" s="51">
        <v>25</v>
      </c>
      <c r="E6144" s="51">
        <f t="shared" si="95"/>
        <v>0</v>
      </c>
    </row>
    <row r="6145" spans="1:5">
      <c r="A6145" s="59">
        <v>13</v>
      </c>
      <c r="B6145" s="59">
        <v>13</v>
      </c>
      <c r="C6145" s="59">
        <v>220</v>
      </c>
      <c r="D6145" s="51">
        <v>24</v>
      </c>
      <c r="E6145" s="51">
        <f t="shared" si="95"/>
        <v>0</v>
      </c>
    </row>
    <row r="6146" spans="1:5">
      <c r="A6146" s="59">
        <v>13</v>
      </c>
      <c r="B6146" s="59">
        <v>43</v>
      </c>
      <c r="C6146" s="59">
        <v>640</v>
      </c>
      <c r="D6146" s="51">
        <v>24</v>
      </c>
      <c r="E6146" s="51">
        <f t="shared" ref="E6146:E6209" si="96">IF(OR(A6146=6,A6146=7,A6146=14,A6146=15,A6146=16,A6146=17,A6146=18,A6146=19,A6146=20,A6146=21,A6146=22,A6146=23,A6146=25,A6146=26,A6146=27,A6146=28,B6146=41,B6146=44,B6146=62),1,0)</f>
        <v>0</v>
      </c>
    </row>
    <row r="6147" spans="1:5">
      <c r="A6147" s="59">
        <v>13</v>
      </c>
      <c r="B6147" s="59">
        <v>62</v>
      </c>
      <c r="C6147" s="59">
        <v>920</v>
      </c>
      <c r="D6147" s="51">
        <v>24</v>
      </c>
      <c r="E6147" s="51">
        <f t="shared" si="96"/>
        <v>1</v>
      </c>
    </row>
    <row r="6148" spans="1:5">
      <c r="A6148" s="59">
        <v>13</v>
      </c>
      <c r="B6148" s="59">
        <v>64</v>
      </c>
      <c r="C6148" s="59">
        <v>320</v>
      </c>
      <c r="D6148" s="51">
        <v>24</v>
      </c>
      <c r="E6148" s="51">
        <f t="shared" si="96"/>
        <v>0</v>
      </c>
    </row>
    <row r="6149" spans="1:5">
      <c r="A6149" s="59">
        <v>13</v>
      </c>
      <c r="B6149" s="59">
        <v>64</v>
      </c>
      <c r="C6149" s="59">
        <v>720</v>
      </c>
      <c r="D6149" s="51">
        <v>24</v>
      </c>
      <c r="E6149" s="51">
        <f t="shared" si="96"/>
        <v>0</v>
      </c>
    </row>
    <row r="6150" spans="1:5">
      <c r="A6150" s="59">
        <v>13</v>
      </c>
      <c r="B6150" s="59">
        <v>13</v>
      </c>
      <c r="C6150" s="59">
        <v>320</v>
      </c>
      <c r="D6150" s="51">
        <v>23</v>
      </c>
      <c r="E6150" s="51">
        <f t="shared" si="96"/>
        <v>0</v>
      </c>
    </row>
    <row r="6151" spans="1:5">
      <c r="A6151" s="59">
        <v>13</v>
      </c>
      <c r="B6151" s="59">
        <v>22</v>
      </c>
      <c r="C6151" s="59">
        <v>220</v>
      </c>
      <c r="D6151" s="51">
        <v>23</v>
      </c>
      <c r="E6151" s="51">
        <f t="shared" si="96"/>
        <v>0</v>
      </c>
    </row>
    <row r="6152" spans="1:5">
      <c r="A6152" s="59">
        <v>13</v>
      </c>
      <c r="B6152" s="59">
        <v>71</v>
      </c>
      <c r="C6152" s="59">
        <v>440</v>
      </c>
      <c r="D6152" s="51">
        <v>23</v>
      </c>
      <c r="E6152" s="51">
        <f t="shared" si="96"/>
        <v>0</v>
      </c>
    </row>
    <row r="6153" spans="1:5">
      <c r="A6153" s="59">
        <v>13</v>
      </c>
      <c r="B6153" s="59">
        <v>16</v>
      </c>
      <c r="C6153" s="59">
        <v>910</v>
      </c>
      <c r="D6153" s="51">
        <v>22</v>
      </c>
      <c r="E6153" s="51">
        <f t="shared" si="96"/>
        <v>0</v>
      </c>
    </row>
    <row r="6154" spans="1:5">
      <c r="A6154" s="59">
        <v>13</v>
      </c>
      <c r="B6154" s="59">
        <v>22</v>
      </c>
      <c r="C6154" s="59">
        <v>430</v>
      </c>
      <c r="D6154" s="51">
        <v>22</v>
      </c>
      <c r="E6154" s="51">
        <f t="shared" si="96"/>
        <v>0</v>
      </c>
    </row>
    <row r="6155" spans="1:5">
      <c r="A6155" s="59">
        <v>13</v>
      </c>
      <c r="B6155" s="59">
        <v>16</v>
      </c>
      <c r="C6155" s="59">
        <v>110</v>
      </c>
      <c r="D6155" s="51">
        <v>21</v>
      </c>
      <c r="E6155" s="51">
        <f t="shared" si="96"/>
        <v>0</v>
      </c>
    </row>
    <row r="6156" spans="1:5">
      <c r="A6156" s="59">
        <v>13</v>
      </c>
      <c r="B6156" s="59">
        <v>33</v>
      </c>
      <c r="C6156" s="59">
        <v>330</v>
      </c>
      <c r="D6156" s="51">
        <v>21</v>
      </c>
      <c r="E6156" s="51">
        <f t="shared" si="96"/>
        <v>0</v>
      </c>
    </row>
    <row r="6157" spans="1:5">
      <c r="A6157" s="59">
        <v>13</v>
      </c>
      <c r="B6157" s="59">
        <v>42</v>
      </c>
      <c r="C6157" s="59">
        <v>150</v>
      </c>
      <c r="D6157" s="51">
        <v>21</v>
      </c>
      <c r="E6157" s="51">
        <f t="shared" si="96"/>
        <v>0</v>
      </c>
    </row>
    <row r="6158" spans="1:5">
      <c r="A6158" s="59">
        <v>13</v>
      </c>
      <c r="B6158" s="59">
        <v>44</v>
      </c>
      <c r="C6158" s="59">
        <v>110</v>
      </c>
      <c r="D6158" s="51">
        <v>21</v>
      </c>
      <c r="E6158" s="51">
        <f t="shared" si="96"/>
        <v>1</v>
      </c>
    </row>
    <row r="6159" spans="1:5">
      <c r="A6159" s="59">
        <v>13</v>
      </c>
      <c r="B6159" s="59">
        <v>14</v>
      </c>
      <c r="C6159" s="59">
        <v>140</v>
      </c>
      <c r="D6159" s="51">
        <v>20</v>
      </c>
      <c r="E6159" s="51">
        <f t="shared" si="96"/>
        <v>0</v>
      </c>
    </row>
    <row r="6160" spans="1:5">
      <c r="A6160" s="59">
        <v>13</v>
      </c>
      <c r="B6160" s="59">
        <v>14</v>
      </c>
      <c r="C6160" s="59">
        <v>220</v>
      </c>
      <c r="D6160" s="51">
        <v>20</v>
      </c>
      <c r="E6160" s="51">
        <f t="shared" si="96"/>
        <v>0</v>
      </c>
    </row>
    <row r="6161" spans="1:5">
      <c r="A6161" s="59">
        <v>13</v>
      </c>
      <c r="B6161" s="59">
        <v>14</v>
      </c>
      <c r="C6161" s="59">
        <v>320</v>
      </c>
      <c r="D6161" s="51">
        <v>20</v>
      </c>
      <c r="E6161" s="51">
        <f t="shared" si="96"/>
        <v>0</v>
      </c>
    </row>
    <row r="6162" spans="1:5">
      <c r="A6162" s="59">
        <v>13</v>
      </c>
      <c r="B6162" s="59">
        <v>22</v>
      </c>
      <c r="C6162" s="59">
        <v>910</v>
      </c>
      <c r="D6162" s="51">
        <v>20</v>
      </c>
      <c r="E6162" s="51">
        <f t="shared" si="96"/>
        <v>0</v>
      </c>
    </row>
    <row r="6163" spans="1:5">
      <c r="A6163" s="59">
        <v>13</v>
      </c>
      <c r="B6163" s="59">
        <v>31</v>
      </c>
      <c r="C6163" s="59">
        <v>410</v>
      </c>
      <c r="D6163" s="51">
        <v>20</v>
      </c>
      <c r="E6163" s="51">
        <f t="shared" si="96"/>
        <v>0</v>
      </c>
    </row>
    <row r="6164" spans="1:5">
      <c r="A6164" s="59">
        <v>13</v>
      </c>
      <c r="B6164" s="59">
        <v>42</v>
      </c>
      <c r="C6164" s="59">
        <v>220</v>
      </c>
      <c r="D6164" s="51">
        <v>19</v>
      </c>
      <c r="E6164" s="51">
        <f t="shared" si="96"/>
        <v>0</v>
      </c>
    </row>
    <row r="6165" spans="1:5">
      <c r="A6165" s="59">
        <v>13</v>
      </c>
      <c r="B6165" s="59">
        <v>44</v>
      </c>
      <c r="C6165" s="59">
        <v>610</v>
      </c>
      <c r="D6165" s="51">
        <v>19</v>
      </c>
      <c r="E6165" s="51">
        <f t="shared" si="96"/>
        <v>1</v>
      </c>
    </row>
    <row r="6166" spans="1:5">
      <c r="A6166" s="59">
        <v>13</v>
      </c>
      <c r="B6166" s="59">
        <v>63</v>
      </c>
      <c r="C6166" s="59">
        <v>920</v>
      </c>
      <c r="D6166" s="51">
        <v>19</v>
      </c>
      <c r="E6166" s="51">
        <f t="shared" si="96"/>
        <v>0</v>
      </c>
    </row>
    <row r="6167" spans="1:5">
      <c r="A6167" s="59">
        <v>13</v>
      </c>
      <c r="B6167" s="59">
        <v>64</v>
      </c>
      <c r="C6167" s="59">
        <v>130</v>
      </c>
      <c r="D6167" s="51">
        <v>19</v>
      </c>
      <c r="E6167" s="51">
        <f t="shared" si="96"/>
        <v>0</v>
      </c>
    </row>
    <row r="6168" spans="1:5">
      <c r="A6168" s="59">
        <v>13</v>
      </c>
      <c r="B6168" s="59">
        <v>64</v>
      </c>
      <c r="C6168" s="59">
        <v>950</v>
      </c>
      <c r="D6168" s="51">
        <v>19</v>
      </c>
      <c r="E6168" s="51">
        <f t="shared" si="96"/>
        <v>0</v>
      </c>
    </row>
    <row r="6169" spans="1:5">
      <c r="A6169" s="59">
        <v>13</v>
      </c>
      <c r="B6169" s="59">
        <v>15</v>
      </c>
      <c r="C6169" s="59">
        <v>530</v>
      </c>
      <c r="D6169" s="51">
        <v>18</v>
      </c>
      <c r="E6169" s="51">
        <f t="shared" si="96"/>
        <v>0</v>
      </c>
    </row>
    <row r="6170" spans="1:5">
      <c r="A6170" s="59">
        <v>13</v>
      </c>
      <c r="B6170" s="59">
        <v>22</v>
      </c>
      <c r="C6170" s="59">
        <v>230</v>
      </c>
      <c r="D6170" s="51">
        <v>18</v>
      </c>
      <c r="E6170" s="51">
        <f t="shared" si="96"/>
        <v>0</v>
      </c>
    </row>
    <row r="6171" spans="1:5">
      <c r="A6171" s="59">
        <v>13</v>
      </c>
      <c r="B6171" s="59">
        <v>62</v>
      </c>
      <c r="C6171" s="59">
        <v>310</v>
      </c>
      <c r="D6171" s="51">
        <v>18</v>
      </c>
      <c r="E6171" s="51">
        <f t="shared" si="96"/>
        <v>1</v>
      </c>
    </row>
    <row r="6172" spans="1:5">
      <c r="A6172" s="59">
        <v>13</v>
      </c>
      <c r="B6172" s="59">
        <v>71</v>
      </c>
      <c r="C6172" s="59">
        <v>420</v>
      </c>
      <c r="D6172" s="51">
        <v>18</v>
      </c>
      <c r="E6172" s="51">
        <f t="shared" si="96"/>
        <v>0</v>
      </c>
    </row>
    <row r="6173" spans="1:5">
      <c r="A6173" s="59">
        <v>13</v>
      </c>
      <c r="B6173" s="59">
        <v>15</v>
      </c>
      <c r="C6173" s="59">
        <v>150</v>
      </c>
      <c r="D6173" s="51">
        <v>17</v>
      </c>
      <c r="E6173" s="51">
        <f t="shared" si="96"/>
        <v>0</v>
      </c>
    </row>
    <row r="6174" spans="1:5">
      <c r="A6174" s="59">
        <v>13</v>
      </c>
      <c r="B6174" s="59">
        <v>32</v>
      </c>
      <c r="C6174" s="59">
        <v>910</v>
      </c>
      <c r="D6174" s="51">
        <v>17</v>
      </c>
      <c r="E6174" s="51">
        <f t="shared" si="96"/>
        <v>0</v>
      </c>
    </row>
    <row r="6175" spans="1:5">
      <c r="A6175" s="59">
        <v>13</v>
      </c>
      <c r="B6175" s="59">
        <v>81</v>
      </c>
      <c r="C6175" s="59">
        <v>510</v>
      </c>
      <c r="D6175" s="51">
        <v>17</v>
      </c>
      <c r="E6175" s="51">
        <f t="shared" si="96"/>
        <v>0</v>
      </c>
    </row>
    <row r="6176" spans="1:5">
      <c r="A6176" s="59">
        <v>13</v>
      </c>
      <c r="B6176" s="59">
        <v>14</v>
      </c>
      <c r="C6176" s="59">
        <v>620</v>
      </c>
      <c r="D6176" s="51">
        <v>16</v>
      </c>
      <c r="E6176" s="51">
        <f t="shared" si="96"/>
        <v>0</v>
      </c>
    </row>
    <row r="6177" spans="1:5">
      <c r="A6177" s="59">
        <v>13</v>
      </c>
      <c r="B6177" s="59">
        <v>16</v>
      </c>
      <c r="C6177" s="59">
        <v>310</v>
      </c>
      <c r="D6177" s="51">
        <v>16</v>
      </c>
      <c r="E6177" s="51">
        <f t="shared" si="96"/>
        <v>0</v>
      </c>
    </row>
    <row r="6178" spans="1:5">
      <c r="A6178" s="59">
        <v>13</v>
      </c>
      <c r="B6178" s="59">
        <v>81</v>
      </c>
      <c r="C6178" s="59">
        <v>220</v>
      </c>
      <c r="D6178" s="51">
        <v>16</v>
      </c>
      <c r="E6178" s="51">
        <f t="shared" si="96"/>
        <v>0</v>
      </c>
    </row>
    <row r="6179" spans="1:5">
      <c r="A6179" s="59">
        <v>13</v>
      </c>
      <c r="B6179" s="59">
        <v>14</v>
      </c>
      <c r="C6179" s="59">
        <v>950</v>
      </c>
      <c r="D6179" s="51">
        <v>15</v>
      </c>
      <c r="E6179" s="51">
        <f t="shared" si="96"/>
        <v>0</v>
      </c>
    </row>
    <row r="6180" spans="1:5">
      <c r="A6180" s="59">
        <v>13</v>
      </c>
      <c r="B6180" s="59">
        <v>15</v>
      </c>
      <c r="C6180" s="59">
        <v>240</v>
      </c>
      <c r="D6180" s="51">
        <v>15</v>
      </c>
      <c r="E6180" s="51">
        <f t="shared" si="96"/>
        <v>0</v>
      </c>
    </row>
    <row r="6181" spans="1:5">
      <c r="A6181" s="59">
        <v>13</v>
      </c>
      <c r="B6181" s="59">
        <v>16</v>
      </c>
      <c r="C6181" s="59">
        <v>530</v>
      </c>
      <c r="D6181" s="51">
        <v>15</v>
      </c>
      <c r="E6181" s="51">
        <f t="shared" si="96"/>
        <v>0</v>
      </c>
    </row>
    <row r="6182" spans="1:5">
      <c r="A6182" s="59">
        <v>13</v>
      </c>
      <c r="B6182" s="59">
        <v>63</v>
      </c>
      <c r="C6182" s="59">
        <v>310</v>
      </c>
      <c r="D6182" s="51">
        <v>15</v>
      </c>
      <c r="E6182" s="51">
        <f t="shared" si="96"/>
        <v>0</v>
      </c>
    </row>
    <row r="6183" spans="1:5">
      <c r="A6183" s="59">
        <v>13</v>
      </c>
      <c r="B6183" s="59">
        <v>15</v>
      </c>
      <c r="C6183" s="59">
        <v>410</v>
      </c>
      <c r="D6183" s="51">
        <v>14</v>
      </c>
      <c r="E6183" s="51">
        <f t="shared" si="96"/>
        <v>0</v>
      </c>
    </row>
    <row r="6184" spans="1:5">
      <c r="A6184" s="59">
        <v>13</v>
      </c>
      <c r="B6184" s="59">
        <v>33</v>
      </c>
      <c r="C6184" s="59">
        <v>540</v>
      </c>
      <c r="D6184" s="51">
        <v>14</v>
      </c>
      <c r="E6184" s="51">
        <f t="shared" si="96"/>
        <v>0</v>
      </c>
    </row>
    <row r="6185" spans="1:5">
      <c r="A6185" s="59">
        <v>13</v>
      </c>
      <c r="B6185" s="59">
        <v>42</v>
      </c>
      <c r="C6185" s="59">
        <v>550</v>
      </c>
      <c r="D6185" s="51">
        <v>14</v>
      </c>
      <c r="E6185" s="51">
        <f t="shared" si="96"/>
        <v>0</v>
      </c>
    </row>
    <row r="6186" spans="1:5">
      <c r="A6186" s="59">
        <v>13</v>
      </c>
      <c r="B6186" s="59">
        <v>51</v>
      </c>
      <c r="C6186" s="59">
        <v>540</v>
      </c>
      <c r="D6186" s="51">
        <v>14</v>
      </c>
      <c r="E6186" s="51">
        <f t="shared" si="96"/>
        <v>0</v>
      </c>
    </row>
    <row r="6187" spans="1:5">
      <c r="A6187" s="59">
        <v>13</v>
      </c>
      <c r="B6187" s="59">
        <v>62</v>
      </c>
      <c r="C6187" s="59">
        <v>720</v>
      </c>
      <c r="D6187" s="51">
        <v>14</v>
      </c>
      <c r="E6187" s="51">
        <f t="shared" si="96"/>
        <v>1</v>
      </c>
    </row>
    <row r="6188" spans="1:5">
      <c r="A6188" s="59">
        <v>13</v>
      </c>
      <c r="B6188" s="59">
        <v>63</v>
      </c>
      <c r="C6188" s="59">
        <v>330</v>
      </c>
      <c r="D6188" s="51">
        <v>14</v>
      </c>
      <c r="E6188" s="51">
        <f t="shared" si="96"/>
        <v>0</v>
      </c>
    </row>
    <row r="6189" spans="1:5">
      <c r="A6189" s="59">
        <v>13</v>
      </c>
      <c r="B6189" s="59">
        <v>63</v>
      </c>
      <c r="C6189" s="59">
        <v>750</v>
      </c>
      <c r="D6189" s="51">
        <v>14</v>
      </c>
      <c r="E6189" s="51">
        <f t="shared" si="96"/>
        <v>0</v>
      </c>
    </row>
    <row r="6190" spans="1:5">
      <c r="A6190" s="59">
        <v>13</v>
      </c>
      <c r="B6190" s="59">
        <v>24</v>
      </c>
      <c r="C6190" s="59">
        <v>210</v>
      </c>
      <c r="D6190" s="51">
        <v>13</v>
      </c>
      <c r="E6190" s="51">
        <f t="shared" si="96"/>
        <v>0</v>
      </c>
    </row>
    <row r="6191" spans="1:5">
      <c r="A6191" s="59">
        <v>13</v>
      </c>
      <c r="B6191" s="59">
        <v>41</v>
      </c>
      <c r="C6191" s="59">
        <v>430</v>
      </c>
      <c r="D6191" s="51">
        <v>13</v>
      </c>
      <c r="E6191" s="51">
        <f t="shared" si="96"/>
        <v>1</v>
      </c>
    </row>
    <row r="6192" spans="1:5">
      <c r="A6192" s="59">
        <v>13</v>
      </c>
      <c r="B6192" s="59">
        <v>41</v>
      </c>
      <c r="C6192" s="59">
        <v>550</v>
      </c>
      <c r="D6192" s="51">
        <v>13</v>
      </c>
      <c r="E6192" s="51">
        <f t="shared" si="96"/>
        <v>1</v>
      </c>
    </row>
    <row r="6193" spans="1:5">
      <c r="A6193" s="59">
        <v>13</v>
      </c>
      <c r="B6193" s="59">
        <v>63</v>
      </c>
      <c r="C6193" s="59">
        <v>420</v>
      </c>
      <c r="D6193" s="51">
        <v>13</v>
      </c>
      <c r="E6193" s="51">
        <f t="shared" si="96"/>
        <v>0</v>
      </c>
    </row>
    <row r="6194" spans="1:5">
      <c r="A6194" s="59">
        <v>13</v>
      </c>
      <c r="B6194" s="59">
        <v>81</v>
      </c>
      <c r="C6194" s="59">
        <v>910</v>
      </c>
      <c r="D6194" s="51">
        <v>13</v>
      </c>
      <c r="E6194" s="51">
        <f t="shared" si="96"/>
        <v>0</v>
      </c>
    </row>
    <row r="6195" spans="1:5">
      <c r="A6195" s="59">
        <v>13</v>
      </c>
      <c r="B6195" s="59">
        <v>22</v>
      </c>
      <c r="C6195" s="59">
        <v>150</v>
      </c>
      <c r="D6195" s="51">
        <v>12</v>
      </c>
      <c r="E6195" s="51">
        <f t="shared" si="96"/>
        <v>0</v>
      </c>
    </row>
    <row r="6196" spans="1:5">
      <c r="A6196" s="59">
        <v>13</v>
      </c>
      <c r="B6196" s="59">
        <v>22</v>
      </c>
      <c r="C6196" s="59">
        <v>630</v>
      </c>
      <c r="D6196" s="51">
        <v>12</v>
      </c>
      <c r="E6196" s="51">
        <f t="shared" si="96"/>
        <v>0</v>
      </c>
    </row>
    <row r="6197" spans="1:5">
      <c r="A6197" s="59">
        <v>13</v>
      </c>
      <c r="B6197" s="59">
        <v>42</v>
      </c>
      <c r="C6197" s="59">
        <v>510</v>
      </c>
      <c r="D6197" s="51">
        <v>12</v>
      </c>
      <c r="E6197" s="51">
        <f t="shared" si="96"/>
        <v>0</v>
      </c>
    </row>
    <row r="6198" spans="1:5">
      <c r="A6198" s="59">
        <v>13</v>
      </c>
      <c r="B6198" s="59">
        <v>44</v>
      </c>
      <c r="C6198" s="59">
        <v>520</v>
      </c>
      <c r="D6198" s="51">
        <v>12</v>
      </c>
      <c r="E6198" s="51">
        <f t="shared" si="96"/>
        <v>1</v>
      </c>
    </row>
    <row r="6199" spans="1:5">
      <c r="A6199" s="59">
        <v>13</v>
      </c>
      <c r="B6199" s="59">
        <v>62</v>
      </c>
      <c r="C6199" s="59">
        <v>330</v>
      </c>
      <c r="D6199" s="51">
        <v>12</v>
      </c>
      <c r="E6199" s="51">
        <f t="shared" si="96"/>
        <v>1</v>
      </c>
    </row>
    <row r="6200" spans="1:5">
      <c r="A6200" s="59">
        <v>13</v>
      </c>
      <c r="B6200" s="59">
        <v>64</v>
      </c>
      <c r="C6200" s="59">
        <v>730</v>
      </c>
      <c r="D6200" s="51">
        <v>12</v>
      </c>
      <c r="E6200" s="51">
        <f t="shared" si="96"/>
        <v>0</v>
      </c>
    </row>
    <row r="6201" spans="1:5">
      <c r="A6201" s="59">
        <v>13</v>
      </c>
      <c r="B6201" s="59">
        <v>81</v>
      </c>
      <c r="C6201" s="59">
        <v>410</v>
      </c>
      <c r="D6201" s="51">
        <v>12</v>
      </c>
      <c r="E6201" s="51">
        <f t="shared" si="96"/>
        <v>0</v>
      </c>
    </row>
    <row r="6202" spans="1:5">
      <c r="A6202" s="59">
        <v>13</v>
      </c>
      <c r="B6202" s="59">
        <v>13</v>
      </c>
      <c r="C6202" s="59">
        <v>420</v>
      </c>
      <c r="D6202" s="51">
        <v>11</v>
      </c>
      <c r="E6202" s="51">
        <f t="shared" si="96"/>
        <v>0</v>
      </c>
    </row>
    <row r="6203" spans="1:5">
      <c r="A6203" s="59">
        <v>13</v>
      </c>
      <c r="B6203" s="59">
        <v>13</v>
      </c>
      <c r="C6203" s="59">
        <v>610</v>
      </c>
      <c r="D6203" s="51">
        <v>11</v>
      </c>
      <c r="E6203" s="51">
        <f t="shared" si="96"/>
        <v>0</v>
      </c>
    </row>
    <row r="6204" spans="1:5">
      <c r="A6204" s="59">
        <v>13</v>
      </c>
      <c r="B6204" s="59">
        <v>15</v>
      </c>
      <c r="C6204" s="59">
        <v>140</v>
      </c>
      <c r="D6204" s="51">
        <v>11</v>
      </c>
      <c r="E6204" s="51">
        <f t="shared" si="96"/>
        <v>0</v>
      </c>
    </row>
    <row r="6205" spans="1:5">
      <c r="A6205" s="59">
        <v>13</v>
      </c>
      <c r="B6205" s="59">
        <v>23</v>
      </c>
      <c r="C6205" s="59">
        <v>160</v>
      </c>
      <c r="D6205" s="51">
        <v>11</v>
      </c>
      <c r="E6205" s="51">
        <f t="shared" si="96"/>
        <v>0</v>
      </c>
    </row>
    <row r="6206" spans="1:5">
      <c r="A6206" s="59">
        <v>13</v>
      </c>
      <c r="B6206" s="59">
        <v>31</v>
      </c>
      <c r="C6206" s="59">
        <v>420</v>
      </c>
      <c r="D6206" s="51">
        <v>11</v>
      </c>
      <c r="E6206" s="51">
        <f t="shared" si="96"/>
        <v>0</v>
      </c>
    </row>
    <row r="6207" spans="1:5">
      <c r="A6207" s="59">
        <v>13</v>
      </c>
      <c r="B6207" s="59">
        <v>32</v>
      </c>
      <c r="C6207" s="59">
        <v>210</v>
      </c>
      <c r="D6207" s="51">
        <v>11</v>
      </c>
      <c r="E6207" s="51">
        <f t="shared" si="96"/>
        <v>0</v>
      </c>
    </row>
    <row r="6208" spans="1:5">
      <c r="A6208" s="59">
        <v>13</v>
      </c>
      <c r="B6208" s="59">
        <v>32</v>
      </c>
      <c r="C6208" s="59">
        <v>240</v>
      </c>
      <c r="D6208" s="51">
        <v>11</v>
      </c>
      <c r="E6208" s="51">
        <f t="shared" si="96"/>
        <v>0</v>
      </c>
    </row>
    <row r="6209" spans="1:5">
      <c r="A6209" s="59">
        <v>13</v>
      </c>
      <c r="B6209" s="59">
        <v>41</v>
      </c>
      <c r="C6209" s="59">
        <v>620</v>
      </c>
      <c r="D6209" s="51">
        <v>11</v>
      </c>
      <c r="E6209" s="51">
        <f t="shared" si="96"/>
        <v>1</v>
      </c>
    </row>
    <row r="6210" spans="1:5">
      <c r="A6210" s="59">
        <v>13</v>
      </c>
      <c r="B6210" s="59">
        <v>44</v>
      </c>
      <c r="C6210" s="59">
        <v>410</v>
      </c>
      <c r="D6210" s="51">
        <v>11</v>
      </c>
      <c r="E6210" s="51">
        <f t="shared" ref="E6210:E6273" si="97">IF(OR(A6210=6,A6210=7,A6210=14,A6210=15,A6210=16,A6210=17,A6210=18,A6210=19,A6210=20,A6210=21,A6210=22,A6210=23,A6210=25,A6210=26,A6210=27,A6210=28,B6210=41,B6210=44,B6210=62),1,0)</f>
        <v>1</v>
      </c>
    </row>
    <row r="6211" spans="1:5">
      <c r="A6211" s="59">
        <v>13</v>
      </c>
      <c r="B6211" s="59">
        <v>44</v>
      </c>
      <c r="C6211" s="59">
        <v>550</v>
      </c>
      <c r="D6211" s="51">
        <v>11</v>
      </c>
      <c r="E6211" s="51">
        <f t="shared" si="97"/>
        <v>1</v>
      </c>
    </row>
    <row r="6212" spans="1:5">
      <c r="A6212" s="59">
        <v>13</v>
      </c>
      <c r="B6212" s="59">
        <v>51</v>
      </c>
      <c r="C6212" s="59">
        <v>630</v>
      </c>
      <c r="D6212" s="51">
        <v>11</v>
      </c>
      <c r="E6212" s="51">
        <f t="shared" si="97"/>
        <v>0</v>
      </c>
    </row>
    <row r="6213" spans="1:5">
      <c r="A6213" s="59">
        <v>13</v>
      </c>
      <c r="B6213" s="59">
        <v>62</v>
      </c>
      <c r="C6213" s="59">
        <v>440</v>
      </c>
      <c r="D6213" s="51">
        <v>11</v>
      </c>
      <c r="E6213" s="51">
        <f t="shared" si="97"/>
        <v>1</v>
      </c>
    </row>
    <row r="6214" spans="1:5">
      <c r="A6214" s="59">
        <v>13</v>
      </c>
      <c r="B6214" s="59">
        <v>62</v>
      </c>
      <c r="C6214" s="59">
        <v>990</v>
      </c>
      <c r="D6214" s="51">
        <v>11</v>
      </c>
      <c r="E6214" s="51">
        <f t="shared" si="97"/>
        <v>1</v>
      </c>
    </row>
    <row r="6215" spans="1:5">
      <c r="A6215" s="59">
        <v>13</v>
      </c>
      <c r="B6215" s="59">
        <v>64</v>
      </c>
      <c r="C6215" s="59">
        <v>930</v>
      </c>
      <c r="D6215" s="51">
        <v>11</v>
      </c>
      <c r="E6215" s="51">
        <f t="shared" si="97"/>
        <v>0</v>
      </c>
    </row>
    <row r="6216" spans="1:5">
      <c r="A6216" s="59">
        <v>13</v>
      </c>
      <c r="B6216" s="59">
        <v>71</v>
      </c>
      <c r="C6216" s="59">
        <v>720</v>
      </c>
      <c r="D6216" s="51">
        <v>11</v>
      </c>
      <c r="E6216" s="51">
        <f t="shared" si="97"/>
        <v>0</v>
      </c>
    </row>
    <row r="6217" spans="1:5">
      <c r="A6217" s="59">
        <v>13</v>
      </c>
      <c r="B6217" s="59">
        <v>81</v>
      </c>
      <c r="C6217" s="59">
        <v>610</v>
      </c>
      <c r="D6217" s="51">
        <v>11</v>
      </c>
      <c r="E6217" s="51">
        <f t="shared" si="97"/>
        <v>0</v>
      </c>
    </row>
    <row r="6218" spans="1:5">
      <c r="A6218" s="59">
        <v>13</v>
      </c>
      <c r="B6218" s="59">
        <v>13</v>
      </c>
      <c r="C6218" s="59">
        <v>510</v>
      </c>
      <c r="D6218" s="51">
        <v>10</v>
      </c>
      <c r="E6218" s="51">
        <f t="shared" si="97"/>
        <v>0</v>
      </c>
    </row>
    <row r="6219" spans="1:5">
      <c r="A6219" s="59">
        <v>13</v>
      </c>
      <c r="B6219" s="59">
        <v>15</v>
      </c>
      <c r="C6219" s="59">
        <v>910</v>
      </c>
      <c r="D6219" s="51">
        <v>10</v>
      </c>
      <c r="E6219" s="51">
        <f t="shared" si="97"/>
        <v>0</v>
      </c>
    </row>
    <row r="6220" spans="1:5">
      <c r="A6220" s="59">
        <v>13</v>
      </c>
      <c r="B6220" s="59">
        <v>16</v>
      </c>
      <c r="C6220" s="59">
        <v>230</v>
      </c>
      <c r="D6220" s="51">
        <v>10</v>
      </c>
      <c r="E6220" s="51">
        <f t="shared" si="97"/>
        <v>0</v>
      </c>
    </row>
    <row r="6221" spans="1:5">
      <c r="A6221" s="59">
        <v>13</v>
      </c>
      <c r="B6221" s="59">
        <v>22</v>
      </c>
      <c r="C6221" s="59">
        <v>530</v>
      </c>
      <c r="D6221" s="51">
        <v>10</v>
      </c>
      <c r="E6221" s="51">
        <f t="shared" si="97"/>
        <v>0</v>
      </c>
    </row>
    <row r="6222" spans="1:5">
      <c r="A6222" s="59">
        <v>13</v>
      </c>
      <c r="B6222" s="59">
        <v>41</v>
      </c>
      <c r="C6222" s="59">
        <v>640</v>
      </c>
      <c r="D6222" s="51">
        <v>10</v>
      </c>
      <c r="E6222" s="51">
        <f t="shared" si="97"/>
        <v>1</v>
      </c>
    </row>
    <row r="6223" spans="1:5">
      <c r="A6223" s="59">
        <v>13</v>
      </c>
      <c r="B6223" s="59">
        <v>81</v>
      </c>
      <c r="C6223" s="59">
        <v>150</v>
      </c>
      <c r="D6223" s="51">
        <v>10</v>
      </c>
      <c r="E6223" s="51">
        <f t="shared" si="97"/>
        <v>0</v>
      </c>
    </row>
    <row r="6224" spans="1:5">
      <c r="A6224" s="59">
        <v>13</v>
      </c>
      <c r="B6224" s="59">
        <v>16</v>
      </c>
      <c r="C6224" s="59">
        <v>630</v>
      </c>
      <c r="D6224" s="51">
        <v>9</v>
      </c>
      <c r="E6224" s="51">
        <f t="shared" si="97"/>
        <v>0</v>
      </c>
    </row>
    <row r="6225" spans="1:5">
      <c r="A6225" s="59">
        <v>13</v>
      </c>
      <c r="B6225" s="59">
        <v>23</v>
      </c>
      <c r="C6225" s="59">
        <v>240</v>
      </c>
      <c r="D6225" s="51">
        <v>9</v>
      </c>
      <c r="E6225" s="51">
        <f t="shared" si="97"/>
        <v>0</v>
      </c>
    </row>
    <row r="6226" spans="1:5">
      <c r="A6226" s="59">
        <v>13</v>
      </c>
      <c r="B6226" s="59">
        <v>23</v>
      </c>
      <c r="C6226" s="59">
        <v>540</v>
      </c>
      <c r="D6226" s="51">
        <v>9</v>
      </c>
      <c r="E6226" s="51">
        <f t="shared" si="97"/>
        <v>0</v>
      </c>
    </row>
    <row r="6227" spans="1:5">
      <c r="A6227" s="59">
        <v>13</v>
      </c>
      <c r="B6227" s="59">
        <v>32</v>
      </c>
      <c r="C6227" s="59">
        <v>530</v>
      </c>
      <c r="D6227" s="51">
        <v>9</v>
      </c>
      <c r="E6227" s="51">
        <f t="shared" si="97"/>
        <v>0</v>
      </c>
    </row>
    <row r="6228" spans="1:5">
      <c r="A6228" s="59">
        <v>13</v>
      </c>
      <c r="B6228" s="59">
        <v>42</v>
      </c>
      <c r="C6228" s="59">
        <v>420</v>
      </c>
      <c r="D6228" s="51">
        <v>9</v>
      </c>
      <c r="E6228" s="51">
        <f t="shared" si="97"/>
        <v>0</v>
      </c>
    </row>
    <row r="6229" spans="1:5">
      <c r="A6229" s="59">
        <v>13</v>
      </c>
      <c r="B6229" s="59">
        <v>43</v>
      </c>
      <c r="C6229" s="59">
        <v>950</v>
      </c>
      <c r="D6229" s="51">
        <v>9</v>
      </c>
      <c r="E6229" s="51">
        <f t="shared" si="97"/>
        <v>0</v>
      </c>
    </row>
    <row r="6230" spans="1:5">
      <c r="A6230" s="59">
        <v>13</v>
      </c>
      <c r="B6230" s="59">
        <v>51</v>
      </c>
      <c r="C6230" s="59">
        <v>430</v>
      </c>
      <c r="D6230" s="51">
        <v>9</v>
      </c>
      <c r="E6230" s="51">
        <f t="shared" si="97"/>
        <v>0</v>
      </c>
    </row>
    <row r="6231" spans="1:5">
      <c r="A6231" s="59">
        <v>13</v>
      </c>
      <c r="B6231" s="59">
        <v>64</v>
      </c>
      <c r="C6231" s="59">
        <v>861</v>
      </c>
      <c r="D6231" s="51">
        <v>9</v>
      </c>
      <c r="E6231" s="51">
        <f t="shared" si="97"/>
        <v>0</v>
      </c>
    </row>
    <row r="6232" spans="1:5">
      <c r="A6232" s="59">
        <v>13</v>
      </c>
      <c r="B6232" s="59">
        <v>81</v>
      </c>
      <c r="C6232" s="59">
        <v>520</v>
      </c>
      <c r="D6232" s="51">
        <v>9</v>
      </c>
      <c r="E6232" s="51">
        <f t="shared" si="97"/>
        <v>0</v>
      </c>
    </row>
    <row r="6233" spans="1:5">
      <c r="A6233" s="59">
        <v>13</v>
      </c>
      <c r="B6233" s="59">
        <v>22</v>
      </c>
      <c r="C6233" s="59">
        <v>110</v>
      </c>
      <c r="D6233" s="51">
        <v>8</v>
      </c>
      <c r="E6233" s="51">
        <f t="shared" si="97"/>
        <v>0</v>
      </c>
    </row>
    <row r="6234" spans="1:5">
      <c r="A6234" s="59">
        <v>13</v>
      </c>
      <c r="B6234" s="59">
        <v>22</v>
      </c>
      <c r="C6234" s="59">
        <v>320</v>
      </c>
      <c r="D6234" s="51">
        <v>8</v>
      </c>
      <c r="E6234" s="51">
        <f t="shared" si="97"/>
        <v>0</v>
      </c>
    </row>
    <row r="6235" spans="1:5">
      <c r="A6235" s="59">
        <v>13</v>
      </c>
      <c r="B6235" s="59">
        <v>32</v>
      </c>
      <c r="C6235" s="59">
        <v>620</v>
      </c>
      <c r="D6235" s="51">
        <v>8</v>
      </c>
      <c r="E6235" s="51">
        <f t="shared" si="97"/>
        <v>0</v>
      </c>
    </row>
    <row r="6236" spans="1:5">
      <c r="A6236" s="59">
        <v>13</v>
      </c>
      <c r="B6236" s="59">
        <v>33</v>
      </c>
      <c r="C6236" s="59">
        <v>530</v>
      </c>
      <c r="D6236" s="51">
        <v>8</v>
      </c>
      <c r="E6236" s="51">
        <f t="shared" si="97"/>
        <v>0</v>
      </c>
    </row>
    <row r="6237" spans="1:5">
      <c r="A6237" s="59">
        <v>13</v>
      </c>
      <c r="B6237" s="59">
        <v>42</v>
      </c>
      <c r="C6237" s="59">
        <v>310</v>
      </c>
      <c r="D6237" s="51">
        <v>8</v>
      </c>
      <c r="E6237" s="51">
        <f t="shared" si="97"/>
        <v>0</v>
      </c>
    </row>
    <row r="6238" spans="1:5">
      <c r="A6238" s="59">
        <v>13</v>
      </c>
      <c r="B6238" s="59">
        <v>64</v>
      </c>
      <c r="C6238" s="59">
        <v>830</v>
      </c>
      <c r="D6238" s="51">
        <v>8</v>
      </c>
      <c r="E6238" s="51">
        <f t="shared" si="97"/>
        <v>0</v>
      </c>
    </row>
    <row r="6239" spans="1:5">
      <c r="A6239" s="59">
        <v>13</v>
      </c>
      <c r="B6239" s="59">
        <v>14</v>
      </c>
      <c r="C6239" s="59">
        <v>510</v>
      </c>
      <c r="D6239" s="51">
        <v>7</v>
      </c>
      <c r="E6239" s="51">
        <f t="shared" si="97"/>
        <v>0</v>
      </c>
    </row>
    <row r="6240" spans="1:5">
      <c r="A6240" s="59">
        <v>13</v>
      </c>
      <c r="B6240" s="59">
        <v>33</v>
      </c>
      <c r="C6240" s="59">
        <v>230</v>
      </c>
      <c r="D6240" s="51">
        <v>7</v>
      </c>
      <c r="E6240" s="51">
        <f t="shared" si="97"/>
        <v>0</v>
      </c>
    </row>
    <row r="6241" spans="1:5">
      <c r="A6241" s="59">
        <v>13</v>
      </c>
      <c r="B6241" s="59">
        <v>43</v>
      </c>
      <c r="C6241" s="59">
        <v>750</v>
      </c>
      <c r="D6241" s="51">
        <v>7</v>
      </c>
      <c r="E6241" s="51">
        <f t="shared" si="97"/>
        <v>0</v>
      </c>
    </row>
    <row r="6242" spans="1:5">
      <c r="A6242" s="59">
        <v>13</v>
      </c>
      <c r="B6242" s="59">
        <v>43</v>
      </c>
      <c r="C6242" s="59">
        <v>930</v>
      </c>
      <c r="D6242" s="51">
        <v>7</v>
      </c>
      <c r="E6242" s="51">
        <f t="shared" si="97"/>
        <v>0</v>
      </c>
    </row>
    <row r="6243" spans="1:5">
      <c r="A6243" s="59">
        <v>13</v>
      </c>
      <c r="B6243" s="59">
        <v>44</v>
      </c>
      <c r="C6243" s="59">
        <v>920</v>
      </c>
      <c r="D6243" s="51">
        <v>7</v>
      </c>
      <c r="E6243" s="51">
        <f t="shared" si="97"/>
        <v>1</v>
      </c>
    </row>
    <row r="6244" spans="1:5">
      <c r="A6244" s="59">
        <v>13</v>
      </c>
      <c r="B6244" s="59">
        <v>63</v>
      </c>
      <c r="C6244" s="59">
        <v>930</v>
      </c>
      <c r="D6244" s="51">
        <v>7</v>
      </c>
      <c r="E6244" s="51">
        <f t="shared" si="97"/>
        <v>0</v>
      </c>
    </row>
    <row r="6245" spans="1:5">
      <c r="A6245" s="59">
        <v>13</v>
      </c>
      <c r="B6245" s="59">
        <v>64</v>
      </c>
      <c r="C6245" s="59">
        <v>960</v>
      </c>
      <c r="D6245" s="51">
        <v>7</v>
      </c>
      <c r="E6245" s="51">
        <f t="shared" si="97"/>
        <v>0</v>
      </c>
    </row>
    <row r="6246" spans="1:5">
      <c r="A6246" s="59">
        <v>13</v>
      </c>
      <c r="B6246" s="59">
        <v>81</v>
      </c>
      <c r="C6246" s="59">
        <v>240</v>
      </c>
      <c r="D6246" s="51">
        <v>7</v>
      </c>
      <c r="E6246" s="51">
        <f t="shared" si="97"/>
        <v>0</v>
      </c>
    </row>
    <row r="6247" spans="1:5">
      <c r="A6247" s="59">
        <v>13</v>
      </c>
      <c r="B6247" s="59">
        <v>81</v>
      </c>
      <c r="C6247" s="59">
        <v>330</v>
      </c>
      <c r="D6247" s="51">
        <v>7</v>
      </c>
      <c r="E6247" s="51">
        <f t="shared" si="97"/>
        <v>0</v>
      </c>
    </row>
    <row r="6248" spans="1:5">
      <c r="A6248" s="59">
        <v>13</v>
      </c>
      <c r="B6248" s="59">
        <v>13</v>
      </c>
      <c r="C6248" s="59">
        <v>130</v>
      </c>
      <c r="D6248" s="51">
        <v>6</v>
      </c>
      <c r="E6248" s="51">
        <f t="shared" si="97"/>
        <v>0</v>
      </c>
    </row>
    <row r="6249" spans="1:5">
      <c r="A6249" s="59">
        <v>13</v>
      </c>
      <c r="B6249" s="59">
        <v>14</v>
      </c>
      <c r="C6249" s="59">
        <v>420</v>
      </c>
      <c r="D6249" s="51">
        <v>6</v>
      </c>
      <c r="E6249" s="51">
        <f t="shared" si="97"/>
        <v>0</v>
      </c>
    </row>
    <row r="6250" spans="1:5">
      <c r="A6250" s="59">
        <v>13</v>
      </c>
      <c r="B6250" s="59">
        <v>15</v>
      </c>
      <c r="C6250" s="59">
        <v>430</v>
      </c>
      <c r="D6250" s="51">
        <v>6</v>
      </c>
      <c r="E6250" s="51">
        <f t="shared" si="97"/>
        <v>0</v>
      </c>
    </row>
    <row r="6251" spans="1:5">
      <c r="A6251" s="59">
        <v>13</v>
      </c>
      <c r="B6251" s="59">
        <v>16</v>
      </c>
      <c r="C6251" s="59">
        <v>220</v>
      </c>
      <c r="D6251" s="51">
        <v>6</v>
      </c>
      <c r="E6251" s="51">
        <f t="shared" si="97"/>
        <v>0</v>
      </c>
    </row>
    <row r="6252" spans="1:5">
      <c r="A6252" s="59">
        <v>13</v>
      </c>
      <c r="B6252" s="59">
        <v>16</v>
      </c>
      <c r="C6252" s="59">
        <v>320</v>
      </c>
      <c r="D6252" s="51">
        <v>6</v>
      </c>
      <c r="E6252" s="51">
        <f t="shared" si="97"/>
        <v>0</v>
      </c>
    </row>
    <row r="6253" spans="1:5">
      <c r="A6253" s="59">
        <v>13</v>
      </c>
      <c r="B6253" s="59">
        <v>22</v>
      </c>
      <c r="C6253" s="59">
        <v>410</v>
      </c>
      <c r="D6253" s="51">
        <v>6</v>
      </c>
      <c r="E6253" s="51">
        <f t="shared" si="97"/>
        <v>0</v>
      </c>
    </row>
    <row r="6254" spans="1:5">
      <c r="A6254" s="59">
        <v>13</v>
      </c>
      <c r="B6254" s="59">
        <v>24</v>
      </c>
      <c r="C6254" s="59">
        <v>230</v>
      </c>
      <c r="D6254" s="51">
        <v>6</v>
      </c>
      <c r="E6254" s="51">
        <f t="shared" si="97"/>
        <v>0</v>
      </c>
    </row>
    <row r="6255" spans="1:5">
      <c r="A6255" s="59">
        <v>13</v>
      </c>
      <c r="B6255" s="59">
        <v>32</v>
      </c>
      <c r="C6255" s="59">
        <v>110</v>
      </c>
      <c r="D6255" s="51">
        <v>6</v>
      </c>
      <c r="E6255" s="51">
        <f t="shared" si="97"/>
        <v>0</v>
      </c>
    </row>
    <row r="6256" spans="1:5">
      <c r="A6256" s="59">
        <v>13</v>
      </c>
      <c r="B6256" s="59">
        <v>33</v>
      </c>
      <c r="C6256" s="59">
        <v>110</v>
      </c>
      <c r="D6256" s="51">
        <v>6</v>
      </c>
      <c r="E6256" s="51">
        <f t="shared" si="97"/>
        <v>0</v>
      </c>
    </row>
    <row r="6257" spans="1:5">
      <c r="A6257" s="59">
        <v>13</v>
      </c>
      <c r="B6257" s="59">
        <v>33</v>
      </c>
      <c r="C6257" s="59">
        <v>630</v>
      </c>
      <c r="D6257" s="51">
        <v>6</v>
      </c>
      <c r="E6257" s="51">
        <f t="shared" si="97"/>
        <v>0</v>
      </c>
    </row>
    <row r="6258" spans="1:5">
      <c r="A6258" s="59">
        <v>13</v>
      </c>
      <c r="B6258" s="59">
        <v>41</v>
      </c>
      <c r="C6258" s="59">
        <v>110</v>
      </c>
      <c r="D6258" s="51">
        <v>6</v>
      </c>
      <c r="E6258" s="51">
        <f t="shared" si="97"/>
        <v>1</v>
      </c>
    </row>
    <row r="6259" spans="1:5">
      <c r="A6259" s="59">
        <v>13</v>
      </c>
      <c r="B6259" s="59">
        <v>43</v>
      </c>
      <c r="C6259" s="59">
        <v>320</v>
      </c>
      <c r="D6259" s="51">
        <v>6</v>
      </c>
      <c r="E6259" s="51">
        <f t="shared" si="97"/>
        <v>0</v>
      </c>
    </row>
    <row r="6260" spans="1:5">
      <c r="A6260" s="59">
        <v>13</v>
      </c>
      <c r="B6260" s="59">
        <v>43</v>
      </c>
      <c r="C6260" s="59">
        <v>861</v>
      </c>
      <c r="D6260" s="51">
        <v>6</v>
      </c>
      <c r="E6260" s="51">
        <f t="shared" si="97"/>
        <v>0</v>
      </c>
    </row>
    <row r="6261" spans="1:5">
      <c r="A6261" s="59">
        <v>13</v>
      </c>
      <c r="B6261" s="59">
        <v>64</v>
      </c>
      <c r="C6261" s="59">
        <v>970</v>
      </c>
      <c r="D6261" s="51">
        <v>6</v>
      </c>
      <c r="E6261" s="51">
        <f t="shared" si="97"/>
        <v>0</v>
      </c>
    </row>
    <row r="6262" spans="1:5">
      <c r="A6262" s="59">
        <v>13</v>
      </c>
      <c r="B6262" s="59">
        <v>64</v>
      </c>
      <c r="C6262" s="59">
        <v>990</v>
      </c>
      <c r="D6262" s="51">
        <v>6</v>
      </c>
      <c r="E6262" s="51">
        <f t="shared" si="97"/>
        <v>0</v>
      </c>
    </row>
    <row r="6263" spans="1:5">
      <c r="A6263" s="59">
        <v>13</v>
      </c>
      <c r="B6263" s="59">
        <v>71</v>
      </c>
      <c r="C6263" s="59">
        <v>990</v>
      </c>
      <c r="D6263" s="51">
        <v>6</v>
      </c>
      <c r="E6263" s="51">
        <f t="shared" si="97"/>
        <v>0</v>
      </c>
    </row>
    <row r="6264" spans="1:5">
      <c r="A6264" s="59">
        <v>13</v>
      </c>
      <c r="B6264" s="59">
        <v>81</v>
      </c>
      <c r="C6264" s="59">
        <v>550</v>
      </c>
      <c r="D6264" s="51">
        <v>6</v>
      </c>
      <c r="E6264" s="51">
        <f t="shared" si="97"/>
        <v>0</v>
      </c>
    </row>
    <row r="6265" spans="1:5">
      <c r="A6265" s="59">
        <v>13</v>
      </c>
      <c r="B6265" s="59">
        <v>11</v>
      </c>
      <c r="C6265" s="59">
        <v>160</v>
      </c>
      <c r="D6265" s="51">
        <v>5</v>
      </c>
      <c r="E6265" s="51">
        <f t="shared" si="97"/>
        <v>0</v>
      </c>
    </row>
    <row r="6266" spans="1:5">
      <c r="A6266" s="59">
        <v>13</v>
      </c>
      <c r="B6266" s="59">
        <v>12</v>
      </c>
      <c r="C6266" s="59">
        <v>160</v>
      </c>
      <c r="D6266" s="51">
        <v>5</v>
      </c>
      <c r="E6266" s="51">
        <f t="shared" si="97"/>
        <v>0</v>
      </c>
    </row>
    <row r="6267" spans="1:5">
      <c r="A6267" s="59">
        <v>13</v>
      </c>
      <c r="B6267" s="59">
        <v>13</v>
      </c>
      <c r="C6267" s="59">
        <v>920</v>
      </c>
      <c r="D6267" s="51">
        <v>5</v>
      </c>
      <c r="E6267" s="51">
        <f t="shared" si="97"/>
        <v>0</v>
      </c>
    </row>
    <row r="6268" spans="1:5">
      <c r="A6268" s="59">
        <v>13</v>
      </c>
      <c r="B6268" s="59">
        <v>14</v>
      </c>
      <c r="C6268" s="59">
        <v>130</v>
      </c>
      <c r="D6268" s="51">
        <v>5</v>
      </c>
      <c r="E6268" s="51">
        <f t="shared" si="97"/>
        <v>0</v>
      </c>
    </row>
    <row r="6269" spans="1:5">
      <c r="A6269" s="59">
        <v>13</v>
      </c>
      <c r="B6269" s="59">
        <v>14</v>
      </c>
      <c r="C6269" s="59">
        <v>610</v>
      </c>
      <c r="D6269" s="51">
        <v>5</v>
      </c>
      <c r="E6269" s="51">
        <f t="shared" si="97"/>
        <v>0</v>
      </c>
    </row>
    <row r="6270" spans="1:5">
      <c r="A6270" s="59">
        <v>13</v>
      </c>
      <c r="B6270" s="59">
        <v>22</v>
      </c>
      <c r="C6270" s="59">
        <v>140</v>
      </c>
      <c r="D6270" s="51">
        <v>5</v>
      </c>
      <c r="E6270" s="51">
        <f t="shared" si="97"/>
        <v>0</v>
      </c>
    </row>
    <row r="6271" spans="1:5">
      <c r="A6271" s="59">
        <v>13</v>
      </c>
      <c r="B6271" s="59">
        <v>22</v>
      </c>
      <c r="C6271" s="59">
        <v>620</v>
      </c>
      <c r="D6271" s="51">
        <v>5</v>
      </c>
      <c r="E6271" s="51">
        <f t="shared" si="97"/>
        <v>0</v>
      </c>
    </row>
    <row r="6272" spans="1:5">
      <c r="A6272" s="59">
        <v>13</v>
      </c>
      <c r="B6272" s="59">
        <v>23</v>
      </c>
      <c r="C6272" s="59">
        <v>210</v>
      </c>
      <c r="D6272" s="51">
        <v>5</v>
      </c>
      <c r="E6272" s="51">
        <f t="shared" si="97"/>
        <v>0</v>
      </c>
    </row>
    <row r="6273" spans="1:5">
      <c r="A6273" s="59">
        <v>13</v>
      </c>
      <c r="B6273" s="59">
        <v>24</v>
      </c>
      <c r="C6273" s="59">
        <v>910</v>
      </c>
      <c r="D6273" s="51">
        <v>5</v>
      </c>
      <c r="E6273" s="51">
        <f t="shared" si="97"/>
        <v>0</v>
      </c>
    </row>
    <row r="6274" spans="1:5">
      <c r="A6274" s="59">
        <v>13</v>
      </c>
      <c r="B6274" s="59">
        <v>33</v>
      </c>
      <c r="C6274" s="59">
        <v>220</v>
      </c>
      <c r="D6274" s="51">
        <v>5</v>
      </c>
      <c r="E6274" s="51">
        <f t="shared" ref="E6274:E6337" si="98">IF(OR(A6274=6,A6274=7,A6274=14,A6274=15,A6274=16,A6274=17,A6274=18,A6274=19,A6274=20,A6274=21,A6274=22,A6274=23,A6274=25,A6274=26,A6274=27,A6274=28,B6274=41,B6274=44,B6274=62),1,0)</f>
        <v>0</v>
      </c>
    </row>
    <row r="6275" spans="1:5">
      <c r="A6275" s="59">
        <v>13</v>
      </c>
      <c r="B6275" s="59">
        <v>41</v>
      </c>
      <c r="C6275" s="59">
        <v>210</v>
      </c>
      <c r="D6275" s="51">
        <v>5</v>
      </c>
      <c r="E6275" s="51">
        <f t="shared" si="98"/>
        <v>1</v>
      </c>
    </row>
    <row r="6276" spans="1:5">
      <c r="A6276" s="59">
        <v>13</v>
      </c>
      <c r="B6276" s="59">
        <v>42</v>
      </c>
      <c r="C6276" s="59">
        <v>230</v>
      </c>
      <c r="D6276" s="51">
        <v>5</v>
      </c>
      <c r="E6276" s="51">
        <f t="shared" si="98"/>
        <v>0</v>
      </c>
    </row>
    <row r="6277" spans="1:5">
      <c r="A6277" s="59">
        <v>13</v>
      </c>
      <c r="B6277" s="59">
        <v>43</v>
      </c>
      <c r="C6277" s="59">
        <v>440</v>
      </c>
      <c r="D6277" s="51">
        <v>5</v>
      </c>
      <c r="E6277" s="51">
        <f t="shared" si="98"/>
        <v>0</v>
      </c>
    </row>
    <row r="6278" spans="1:5">
      <c r="A6278" s="59">
        <v>13</v>
      </c>
      <c r="B6278" s="59">
        <v>43</v>
      </c>
      <c r="C6278" s="59">
        <v>840</v>
      </c>
      <c r="D6278" s="51">
        <v>5</v>
      </c>
      <c r="E6278" s="51">
        <f t="shared" si="98"/>
        <v>0</v>
      </c>
    </row>
    <row r="6279" spans="1:5">
      <c r="A6279" s="59">
        <v>13</v>
      </c>
      <c r="B6279" s="59">
        <v>44</v>
      </c>
      <c r="C6279" s="59">
        <v>240</v>
      </c>
      <c r="D6279" s="51">
        <v>5</v>
      </c>
      <c r="E6279" s="51">
        <f t="shared" si="98"/>
        <v>1</v>
      </c>
    </row>
    <row r="6280" spans="1:5">
      <c r="A6280" s="59">
        <v>13</v>
      </c>
      <c r="B6280" s="59">
        <v>62</v>
      </c>
      <c r="C6280" s="59">
        <v>220</v>
      </c>
      <c r="D6280" s="51">
        <v>5</v>
      </c>
      <c r="E6280" s="51">
        <f t="shared" si="98"/>
        <v>1</v>
      </c>
    </row>
    <row r="6281" spans="1:5">
      <c r="A6281" s="59">
        <v>13</v>
      </c>
      <c r="B6281" s="59">
        <v>62</v>
      </c>
      <c r="C6281" s="59">
        <v>230</v>
      </c>
      <c r="D6281" s="51">
        <v>5</v>
      </c>
      <c r="E6281" s="51">
        <f t="shared" si="98"/>
        <v>1</v>
      </c>
    </row>
    <row r="6282" spans="1:5">
      <c r="A6282" s="59">
        <v>13</v>
      </c>
      <c r="B6282" s="59">
        <v>62</v>
      </c>
      <c r="C6282" s="59">
        <v>930</v>
      </c>
      <c r="D6282" s="51">
        <v>5</v>
      </c>
      <c r="E6282" s="51">
        <f t="shared" si="98"/>
        <v>1</v>
      </c>
    </row>
    <row r="6283" spans="1:5">
      <c r="A6283" s="59">
        <v>13</v>
      </c>
      <c r="B6283" s="59">
        <v>63</v>
      </c>
      <c r="C6283" s="59">
        <v>220</v>
      </c>
      <c r="D6283" s="51">
        <v>5</v>
      </c>
      <c r="E6283" s="51">
        <f t="shared" si="98"/>
        <v>0</v>
      </c>
    </row>
    <row r="6284" spans="1:5">
      <c r="A6284" s="59">
        <v>13</v>
      </c>
      <c r="B6284" s="59">
        <v>64</v>
      </c>
      <c r="C6284" s="59">
        <v>120</v>
      </c>
      <c r="D6284" s="51">
        <v>5</v>
      </c>
      <c r="E6284" s="51">
        <f t="shared" si="98"/>
        <v>0</v>
      </c>
    </row>
    <row r="6285" spans="1:5">
      <c r="A6285" s="59">
        <v>13</v>
      </c>
      <c r="B6285" s="59">
        <v>64</v>
      </c>
      <c r="C6285" s="59">
        <v>940</v>
      </c>
      <c r="D6285" s="51">
        <v>5</v>
      </c>
      <c r="E6285" s="51">
        <f t="shared" si="98"/>
        <v>0</v>
      </c>
    </row>
    <row r="6286" spans="1:5">
      <c r="A6286" s="59">
        <v>13</v>
      </c>
      <c r="B6286" s="59">
        <v>71</v>
      </c>
      <c r="C6286" s="59">
        <v>230</v>
      </c>
      <c r="D6286" s="51">
        <v>5</v>
      </c>
      <c r="E6286" s="51">
        <f t="shared" si="98"/>
        <v>0</v>
      </c>
    </row>
    <row r="6287" spans="1:5">
      <c r="A6287" s="59">
        <v>13</v>
      </c>
      <c r="B6287" s="59">
        <v>15</v>
      </c>
      <c r="C6287" s="59">
        <v>210</v>
      </c>
      <c r="D6287" s="51">
        <v>4</v>
      </c>
      <c r="E6287" s="51">
        <f t="shared" si="98"/>
        <v>0</v>
      </c>
    </row>
    <row r="6288" spans="1:5">
      <c r="A6288" s="59">
        <v>13</v>
      </c>
      <c r="B6288" s="59">
        <v>16</v>
      </c>
      <c r="C6288" s="59">
        <v>940</v>
      </c>
      <c r="D6288" s="51">
        <v>4</v>
      </c>
      <c r="E6288" s="51">
        <f t="shared" si="98"/>
        <v>0</v>
      </c>
    </row>
    <row r="6289" spans="1:5">
      <c r="A6289" s="59">
        <v>13</v>
      </c>
      <c r="B6289" s="59">
        <v>21</v>
      </c>
      <c r="C6289" s="59">
        <v>240</v>
      </c>
      <c r="D6289" s="51">
        <v>4</v>
      </c>
      <c r="E6289" s="51">
        <f t="shared" si="98"/>
        <v>0</v>
      </c>
    </row>
    <row r="6290" spans="1:5">
      <c r="A6290" s="59">
        <v>13</v>
      </c>
      <c r="B6290" s="59">
        <v>23</v>
      </c>
      <c r="C6290" s="59">
        <v>330</v>
      </c>
      <c r="D6290" s="51">
        <v>4</v>
      </c>
      <c r="E6290" s="51">
        <f t="shared" si="98"/>
        <v>0</v>
      </c>
    </row>
    <row r="6291" spans="1:5">
      <c r="A6291" s="59">
        <v>13</v>
      </c>
      <c r="B6291" s="59">
        <v>24</v>
      </c>
      <c r="C6291" s="59">
        <v>540</v>
      </c>
      <c r="D6291" s="51">
        <v>4</v>
      </c>
      <c r="E6291" s="51">
        <f t="shared" si="98"/>
        <v>0</v>
      </c>
    </row>
    <row r="6292" spans="1:5">
      <c r="A6292" s="59">
        <v>13</v>
      </c>
      <c r="B6292" s="59">
        <v>24</v>
      </c>
      <c r="C6292" s="59">
        <v>630</v>
      </c>
      <c r="D6292" s="51">
        <v>4</v>
      </c>
      <c r="E6292" s="51">
        <f t="shared" si="98"/>
        <v>0</v>
      </c>
    </row>
    <row r="6293" spans="1:5">
      <c r="A6293" s="59">
        <v>13</v>
      </c>
      <c r="B6293" s="59">
        <v>31</v>
      </c>
      <c r="C6293" s="59">
        <v>910</v>
      </c>
      <c r="D6293" s="51">
        <v>4</v>
      </c>
      <c r="E6293" s="51">
        <f t="shared" si="98"/>
        <v>0</v>
      </c>
    </row>
    <row r="6294" spans="1:5">
      <c r="A6294" s="59">
        <v>13</v>
      </c>
      <c r="B6294" s="59">
        <v>33</v>
      </c>
      <c r="C6294" s="59">
        <v>310</v>
      </c>
      <c r="D6294" s="51">
        <v>4</v>
      </c>
      <c r="E6294" s="51">
        <f t="shared" si="98"/>
        <v>0</v>
      </c>
    </row>
    <row r="6295" spans="1:5">
      <c r="A6295" s="59">
        <v>13</v>
      </c>
      <c r="B6295" s="59">
        <v>41</v>
      </c>
      <c r="C6295" s="59">
        <v>910</v>
      </c>
      <c r="D6295" s="51">
        <v>4</v>
      </c>
      <c r="E6295" s="51">
        <f t="shared" si="98"/>
        <v>1</v>
      </c>
    </row>
    <row r="6296" spans="1:5">
      <c r="A6296" s="59">
        <v>13</v>
      </c>
      <c r="B6296" s="59">
        <v>42</v>
      </c>
      <c r="C6296" s="59">
        <v>920</v>
      </c>
      <c r="D6296" s="51">
        <v>4</v>
      </c>
      <c r="E6296" s="51">
        <f t="shared" si="98"/>
        <v>0</v>
      </c>
    </row>
    <row r="6297" spans="1:5">
      <c r="A6297" s="59">
        <v>13</v>
      </c>
      <c r="B6297" s="59">
        <v>44</v>
      </c>
      <c r="C6297" s="59">
        <v>310</v>
      </c>
      <c r="D6297" s="51">
        <v>4</v>
      </c>
      <c r="E6297" s="51">
        <f t="shared" si="98"/>
        <v>1</v>
      </c>
    </row>
    <row r="6298" spans="1:5">
      <c r="A6298" s="59">
        <v>13</v>
      </c>
      <c r="B6298" s="59">
        <v>44</v>
      </c>
      <c r="C6298" s="59">
        <v>330</v>
      </c>
      <c r="D6298" s="51">
        <v>4</v>
      </c>
      <c r="E6298" s="51">
        <f t="shared" si="98"/>
        <v>1</v>
      </c>
    </row>
    <row r="6299" spans="1:5">
      <c r="A6299" s="59">
        <v>13</v>
      </c>
      <c r="B6299" s="59">
        <v>44</v>
      </c>
      <c r="C6299" s="59">
        <v>640</v>
      </c>
      <c r="D6299" s="51">
        <v>4</v>
      </c>
      <c r="E6299" s="51">
        <f t="shared" si="98"/>
        <v>1</v>
      </c>
    </row>
    <row r="6300" spans="1:5">
      <c r="A6300" s="59">
        <v>13</v>
      </c>
      <c r="B6300" s="59">
        <v>44</v>
      </c>
      <c r="C6300" s="59">
        <v>750</v>
      </c>
      <c r="D6300" s="51">
        <v>4</v>
      </c>
      <c r="E6300" s="51">
        <f t="shared" si="98"/>
        <v>1</v>
      </c>
    </row>
    <row r="6301" spans="1:5">
      <c r="A6301" s="59">
        <v>13</v>
      </c>
      <c r="B6301" s="59">
        <v>44</v>
      </c>
      <c r="C6301" s="59">
        <v>896</v>
      </c>
      <c r="D6301" s="51">
        <v>4</v>
      </c>
      <c r="E6301" s="51">
        <f t="shared" si="98"/>
        <v>1</v>
      </c>
    </row>
    <row r="6302" spans="1:5">
      <c r="A6302" s="59">
        <v>13</v>
      </c>
      <c r="B6302" s="59">
        <v>44</v>
      </c>
      <c r="C6302" s="59">
        <v>930</v>
      </c>
      <c r="D6302" s="51">
        <v>4</v>
      </c>
      <c r="E6302" s="51">
        <f t="shared" si="98"/>
        <v>1</v>
      </c>
    </row>
    <row r="6303" spans="1:5">
      <c r="A6303" s="59">
        <v>13</v>
      </c>
      <c r="B6303" s="59">
        <v>64</v>
      </c>
      <c r="C6303" s="59">
        <v>831</v>
      </c>
      <c r="D6303" s="51">
        <v>4</v>
      </c>
      <c r="E6303" s="51">
        <f t="shared" si="98"/>
        <v>0</v>
      </c>
    </row>
    <row r="6304" spans="1:5">
      <c r="A6304" s="59">
        <v>13</v>
      </c>
      <c r="B6304" s="59">
        <v>71</v>
      </c>
      <c r="C6304" s="59">
        <v>930</v>
      </c>
      <c r="D6304" s="51">
        <v>4</v>
      </c>
      <c r="E6304" s="51">
        <f t="shared" si="98"/>
        <v>0</v>
      </c>
    </row>
    <row r="6305" spans="1:5">
      <c r="A6305" s="59">
        <v>13</v>
      </c>
      <c r="B6305" s="59">
        <v>81</v>
      </c>
      <c r="C6305" s="59">
        <v>831</v>
      </c>
      <c r="D6305" s="51">
        <v>4</v>
      </c>
      <c r="E6305" s="51">
        <f t="shared" si="98"/>
        <v>0</v>
      </c>
    </row>
    <row r="6306" spans="1:5">
      <c r="A6306" s="59">
        <v>13</v>
      </c>
      <c r="B6306" s="59">
        <v>11</v>
      </c>
      <c r="C6306" s="59">
        <v>150</v>
      </c>
      <c r="D6306" s="51">
        <v>3</v>
      </c>
      <c r="E6306" s="51">
        <f t="shared" si="98"/>
        <v>0</v>
      </c>
    </row>
    <row r="6307" spans="1:5">
      <c r="A6307" s="59">
        <v>13</v>
      </c>
      <c r="B6307" s="59">
        <v>11</v>
      </c>
      <c r="C6307" s="59">
        <v>420</v>
      </c>
      <c r="D6307" s="51">
        <v>3</v>
      </c>
      <c r="E6307" s="51">
        <f t="shared" si="98"/>
        <v>0</v>
      </c>
    </row>
    <row r="6308" spans="1:5">
      <c r="A6308" s="59">
        <v>13</v>
      </c>
      <c r="B6308" s="59">
        <v>13</v>
      </c>
      <c r="C6308" s="59">
        <v>550</v>
      </c>
      <c r="D6308" s="51">
        <v>3</v>
      </c>
      <c r="E6308" s="51">
        <f t="shared" si="98"/>
        <v>0</v>
      </c>
    </row>
    <row r="6309" spans="1:5">
      <c r="A6309" s="59">
        <v>13</v>
      </c>
      <c r="B6309" s="59">
        <v>13</v>
      </c>
      <c r="C6309" s="59">
        <v>930</v>
      </c>
      <c r="D6309" s="51">
        <v>3</v>
      </c>
      <c r="E6309" s="51">
        <f t="shared" si="98"/>
        <v>0</v>
      </c>
    </row>
    <row r="6310" spans="1:5">
      <c r="A6310" s="59">
        <v>13</v>
      </c>
      <c r="B6310" s="59">
        <v>13</v>
      </c>
      <c r="C6310" s="59">
        <v>950</v>
      </c>
      <c r="D6310" s="51">
        <v>3</v>
      </c>
      <c r="E6310" s="51">
        <f t="shared" si="98"/>
        <v>0</v>
      </c>
    </row>
    <row r="6311" spans="1:5">
      <c r="A6311" s="59">
        <v>13</v>
      </c>
      <c r="B6311" s="59">
        <v>14</v>
      </c>
      <c r="C6311" s="59">
        <v>520</v>
      </c>
      <c r="D6311" s="51">
        <v>3</v>
      </c>
      <c r="E6311" s="51">
        <f t="shared" si="98"/>
        <v>0</v>
      </c>
    </row>
    <row r="6312" spans="1:5">
      <c r="A6312" s="59">
        <v>13</v>
      </c>
      <c r="B6312" s="59">
        <v>14</v>
      </c>
      <c r="C6312" s="59">
        <v>920</v>
      </c>
      <c r="D6312" s="51">
        <v>3</v>
      </c>
      <c r="E6312" s="51">
        <f t="shared" si="98"/>
        <v>0</v>
      </c>
    </row>
    <row r="6313" spans="1:5">
      <c r="A6313" s="59">
        <v>13</v>
      </c>
      <c r="B6313" s="59">
        <v>15</v>
      </c>
      <c r="C6313" s="59">
        <v>110</v>
      </c>
      <c r="D6313" s="51">
        <v>3</v>
      </c>
      <c r="E6313" s="51">
        <f t="shared" si="98"/>
        <v>0</v>
      </c>
    </row>
    <row r="6314" spans="1:5">
      <c r="A6314" s="59">
        <v>13</v>
      </c>
      <c r="B6314" s="59">
        <v>15</v>
      </c>
      <c r="C6314" s="59">
        <v>230</v>
      </c>
      <c r="D6314" s="51">
        <v>3</v>
      </c>
      <c r="E6314" s="51">
        <f t="shared" si="98"/>
        <v>0</v>
      </c>
    </row>
    <row r="6315" spans="1:5">
      <c r="A6315" s="59">
        <v>13</v>
      </c>
      <c r="B6315" s="59">
        <v>16</v>
      </c>
      <c r="C6315" s="59">
        <v>420</v>
      </c>
      <c r="D6315" s="51">
        <v>3</v>
      </c>
      <c r="E6315" s="51">
        <f t="shared" si="98"/>
        <v>0</v>
      </c>
    </row>
    <row r="6316" spans="1:5">
      <c r="A6316" s="59">
        <v>13</v>
      </c>
      <c r="B6316" s="59">
        <v>16</v>
      </c>
      <c r="C6316" s="59">
        <v>510</v>
      </c>
      <c r="D6316" s="51">
        <v>3</v>
      </c>
      <c r="E6316" s="51">
        <f t="shared" si="98"/>
        <v>0</v>
      </c>
    </row>
    <row r="6317" spans="1:5">
      <c r="A6317" s="59">
        <v>13</v>
      </c>
      <c r="B6317" s="59">
        <v>21</v>
      </c>
      <c r="C6317" s="59">
        <v>210</v>
      </c>
      <c r="D6317" s="51">
        <v>3</v>
      </c>
      <c r="E6317" s="51">
        <f t="shared" si="98"/>
        <v>0</v>
      </c>
    </row>
    <row r="6318" spans="1:5">
      <c r="A6318" s="59">
        <v>13</v>
      </c>
      <c r="B6318" s="59">
        <v>22</v>
      </c>
      <c r="C6318" s="59">
        <v>950</v>
      </c>
      <c r="D6318" s="51">
        <v>3</v>
      </c>
      <c r="E6318" s="51">
        <f t="shared" si="98"/>
        <v>0</v>
      </c>
    </row>
    <row r="6319" spans="1:5">
      <c r="A6319" s="59">
        <v>13</v>
      </c>
      <c r="B6319" s="59">
        <v>23</v>
      </c>
      <c r="C6319" s="59">
        <v>910</v>
      </c>
      <c r="D6319" s="51">
        <v>3</v>
      </c>
      <c r="E6319" s="51">
        <f t="shared" si="98"/>
        <v>0</v>
      </c>
    </row>
    <row r="6320" spans="1:5">
      <c r="A6320" s="59">
        <v>13</v>
      </c>
      <c r="B6320" s="59">
        <v>24</v>
      </c>
      <c r="C6320" s="59">
        <v>160</v>
      </c>
      <c r="D6320" s="51">
        <v>3</v>
      </c>
      <c r="E6320" s="51">
        <f t="shared" si="98"/>
        <v>0</v>
      </c>
    </row>
    <row r="6321" spans="1:5">
      <c r="A6321" s="59">
        <v>13</v>
      </c>
      <c r="B6321" s="59">
        <v>32</v>
      </c>
      <c r="C6321" s="59">
        <v>330</v>
      </c>
      <c r="D6321" s="51">
        <v>3</v>
      </c>
      <c r="E6321" s="51">
        <f t="shared" si="98"/>
        <v>0</v>
      </c>
    </row>
    <row r="6322" spans="1:5">
      <c r="A6322" s="59">
        <v>13</v>
      </c>
      <c r="B6322" s="59">
        <v>33</v>
      </c>
      <c r="C6322" s="59">
        <v>150</v>
      </c>
      <c r="D6322" s="51">
        <v>3</v>
      </c>
      <c r="E6322" s="51">
        <f t="shared" si="98"/>
        <v>0</v>
      </c>
    </row>
    <row r="6323" spans="1:5">
      <c r="A6323" s="59">
        <v>13</v>
      </c>
      <c r="B6323" s="59">
        <v>41</v>
      </c>
      <c r="C6323" s="59">
        <v>520</v>
      </c>
      <c r="D6323" s="51">
        <v>3</v>
      </c>
      <c r="E6323" s="51">
        <f t="shared" si="98"/>
        <v>1</v>
      </c>
    </row>
    <row r="6324" spans="1:5">
      <c r="A6324" s="59">
        <v>13</v>
      </c>
      <c r="B6324" s="59">
        <v>42</v>
      </c>
      <c r="C6324" s="59">
        <v>520</v>
      </c>
      <c r="D6324" s="51">
        <v>3</v>
      </c>
      <c r="E6324" s="51">
        <f t="shared" si="98"/>
        <v>0</v>
      </c>
    </row>
    <row r="6325" spans="1:5">
      <c r="A6325" s="59">
        <v>13</v>
      </c>
      <c r="B6325" s="59">
        <v>43</v>
      </c>
      <c r="C6325" s="59">
        <v>831</v>
      </c>
      <c r="D6325" s="51">
        <v>3</v>
      </c>
      <c r="E6325" s="51">
        <f t="shared" si="98"/>
        <v>0</v>
      </c>
    </row>
    <row r="6326" spans="1:5">
      <c r="A6326" s="59">
        <v>13</v>
      </c>
      <c r="B6326" s="59">
        <v>43</v>
      </c>
      <c r="C6326" s="59">
        <v>940</v>
      </c>
      <c r="D6326" s="51">
        <v>3</v>
      </c>
      <c r="E6326" s="51">
        <f t="shared" si="98"/>
        <v>0</v>
      </c>
    </row>
    <row r="6327" spans="1:5">
      <c r="A6327" s="59">
        <v>13</v>
      </c>
      <c r="B6327" s="59">
        <v>44</v>
      </c>
      <c r="C6327" s="59">
        <v>210</v>
      </c>
      <c r="D6327" s="51">
        <v>3</v>
      </c>
      <c r="E6327" s="51">
        <f t="shared" si="98"/>
        <v>1</v>
      </c>
    </row>
    <row r="6328" spans="1:5">
      <c r="A6328" s="59">
        <v>13</v>
      </c>
      <c r="B6328" s="59">
        <v>44</v>
      </c>
      <c r="C6328" s="59">
        <v>950</v>
      </c>
      <c r="D6328" s="51">
        <v>3</v>
      </c>
      <c r="E6328" s="51">
        <f t="shared" si="98"/>
        <v>1</v>
      </c>
    </row>
    <row r="6329" spans="1:5">
      <c r="A6329" s="59">
        <v>13</v>
      </c>
      <c r="B6329" s="59">
        <v>44</v>
      </c>
      <c r="C6329" s="59">
        <v>960</v>
      </c>
      <c r="D6329" s="51">
        <v>3</v>
      </c>
      <c r="E6329" s="51">
        <f t="shared" si="98"/>
        <v>1</v>
      </c>
    </row>
    <row r="6330" spans="1:5">
      <c r="A6330" s="59">
        <v>13</v>
      </c>
      <c r="B6330" s="59">
        <v>62</v>
      </c>
      <c r="C6330" s="59">
        <v>420</v>
      </c>
      <c r="D6330" s="51">
        <v>3</v>
      </c>
      <c r="E6330" s="51">
        <f t="shared" si="98"/>
        <v>1</v>
      </c>
    </row>
    <row r="6331" spans="1:5">
      <c r="A6331" s="59">
        <v>13</v>
      </c>
      <c r="B6331" s="59">
        <v>62</v>
      </c>
      <c r="C6331" s="59">
        <v>730</v>
      </c>
      <c r="D6331" s="51">
        <v>3</v>
      </c>
      <c r="E6331" s="51">
        <f t="shared" si="98"/>
        <v>1</v>
      </c>
    </row>
    <row r="6332" spans="1:5">
      <c r="A6332" s="59">
        <v>13</v>
      </c>
      <c r="B6332" s="59">
        <v>63</v>
      </c>
      <c r="C6332" s="59">
        <v>230</v>
      </c>
      <c r="D6332" s="51">
        <v>3</v>
      </c>
      <c r="E6332" s="51">
        <f t="shared" si="98"/>
        <v>0</v>
      </c>
    </row>
    <row r="6333" spans="1:5">
      <c r="A6333" s="59">
        <v>13</v>
      </c>
      <c r="B6333" s="59">
        <v>63</v>
      </c>
      <c r="C6333" s="59">
        <v>720</v>
      </c>
      <c r="D6333" s="51">
        <v>3</v>
      </c>
      <c r="E6333" s="51">
        <f t="shared" si="98"/>
        <v>0</v>
      </c>
    </row>
    <row r="6334" spans="1:5">
      <c r="A6334" s="59">
        <v>13</v>
      </c>
      <c r="B6334" s="59">
        <v>63</v>
      </c>
      <c r="C6334" s="59">
        <v>970</v>
      </c>
      <c r="D6334" s="51">
        <v>3</v>
      </c>
      <c r="E6334" s="51">
        <f t="shared" si="98"/>
        <v>0</v>
      </c>
    </row>
    <row r="6335" spans="1:5">
      <c r="A6335" s="59">
        <v>13</v>
      </c>
      <c r="B6335" s="59">
        <v>64</v>
      </c>
      <c r="C6335" s="59">
        <v>740</v>
      </c>
      <c r="D6335" s="51">
        <v>3</v>
      </c>
      <c r="E6335" s="51">
        <f t="shared" si="98"/>
        <v>0</v>
      </c>
    </row>
    <row r="6336" spans="1:5">
      <c r="A6336" s="59">
        <v>13</v>
      </c>
      <c r="B6336" s="59">
        <v>71</v>
      </c>
      <c r="C6336" s="59">
        <v>320</v>
      </c>
      <c r="D6336" s="51">
        <v>3</v>
      </c>
      <c r="E6336" s="51">
        <f t="shared" si="98"/>
        <v>0</v>
      </c>
    </row>
    <row r="6337" spans="1:5">
      <c r="A6337" s="59">
        <v>13</v>
      </c>
      <c r="B6337" s="59">
        <v>11</v>
      </c>
      <c r="C6337" s="59">
        <v>530</v>
      </c>
      <c r="D6337" s="51">
        <v>2</v>
      </c>
      <c r="E6337" s="51">
        <f t="shared" si="98"/>
        <v>0</v>
      </c>
    </row>
    <row r="6338" spans="1:5">
      <c r="A6338" s="59">
        <v>13</v>
      </c>
      <c r="B6338" s="59">
        <v>11</v>
      </c>
      <c r="C6338" s="59">
        <v>540</v>
      </c>
      <c r="D6338" s="51">
        <v>2</v>
      </c>
      <c r="E6338" s="51">
        <f t="shared" ref="E6338:E6401" si="99">IF(OR(A6338=6,A6338=7,A6338=14,A6338=15,A6338=16,A6338=17,A6338=18,A6338=19,A6338=20,A6338=21,A6338=22,A6338=23,A6338=25,A6338=26,A6338=27,A6338=28,B6338=41,B6338=44,B6338=62),1,0)</f>
        <v>0</v>
      </c>
    </row>
    <row r="6339" spans="1:5">
      <c r="A6339" s="59">
        <v>13</v>
      </c>
      <c r="B6339" s="59">
        <v>12</v>
      </c>
      <c r="C6339" s="59">
        <v>110</v>
      </c>
      <c r="D6339" s="51">
        <v>2</v>
      </c>
      <c r="E6339" s="51">
        <f t="shared" si="99"/>
        <v>0</v>
      </c>
    </row>
    <row r="6340" spans="1:5">
      <c r="A6340" s="59">
        <v>13</v>
      </c>
      <c r="B6340" s="59">
        <v>13</v>
      </c>
      <c r="C6340" s="59">
        <v>520</v>
      </c>
      <c r="D6340" s="51">
        <v>2</v>
      </c>
      <c r="E6340" s="51">
        <f t="shared" si="99"/>
        <v>0</v>
      </c>
    </row>
    <row r="6341" spans="1:5">
      <c r="A6341" s="59">
        <v>13</v>
      </c>
      <c r="B6341" s="59">
        <v>14</v>
      </c>
      <c r="C6341" s="59">
        <v>120</v>
      </c>
      <c r="D6341" s="51">
        <v>2</v>
      </c>
      <c r="E6341" s="51">
        <f t="shared" si="99"/>
        <v>0</v>
      </c>
    </row>
    <row r="6342" spans="1:5">
      <c r="A6342" s="59">
        <v>13</v>
      </c>
      <c r="B6342" s="59">
        <v>14</v>
      </c>
      <c r="C6342" s="59">
        <v>550</v>
      </c>
      <c r="D6342" s="51">
        <v>2</v>
      </c>
      <c r="E6342" s="51">
        <f t="shared" si="99"/>
        <v>0</v>
      </c>
    </row>
    <row r="6343" spans="1:5">
      <c r="A6343" s="59">
        <v>13</v>
      </c>
      <c r="B6343" s="59">
        <v>15</v>
      </c>
      <c r="C6343" s="59">
        <v>310</v>
      </c>
      <c r="D6343" s="51">
        <v>2</v>
      </c>
      <c r="E6343" s="51">
        <f t="shared" si="99"/>
        <v>0</v>
      </c>
    </row>
    <row r="6344" spans="1:5">
      <c r="A6344" s="59">
        <v>13</v>
      </c>
      <c r="B6344" s="59">
        <v>15</v>
      </c>
      <c r="C6344" s="59">
        <v>320</v>
      </c>
      <c r="D6344" s="51">
        <v>2</v>
      </c>
      <c r="E6344" s="51">
        <f t="shared" si="99"/>
        <v>0</v>
      </c>
    </row>
    <row r="6345" spans="1:5">
      <c r="A6345" s="59">
        <v>13</v>
      </c>
      <c r="B6345" s="59">
        <v>15</v>
      </c>
      <c r="C6345" s="59">
        <v>630</v>
      </c>
      <c r="D6345" s="51">
        <v>2</v>
      </c>
      <c r="E6345" s="51">
        <f t="shared" si="99"/>
        <v>0</v>
      </c>
    </row>
    <row r="6346" spans="1:5">
      <c r="A6346" s="59">
        <v>13</v>
      </c>
      <c r="B6346" s="59">
        <v>16</v>
      </c>
      <c r="C6346" s="59">
        <v>140</v>
      </c>
      <c r="D6346" s="51">
        <v>2</v>
      </c>
      <c r="E6346" s="51">
        <f t="shared" si="99"/>
        <v>0</v>
      </c>
    </row>
    <row r="6347" spans="1:5">
      <c r="A6347" s="59">
        <v>13</v>
      </c>
      <c r="B6347" s="59">
        <v>16</v>
      </c>
      <c r="C6347" s="59">
        <v>620</v>
      </c>
      <c r="D6347" s="51">
        <v>2</v>
      </c>
      <c r="E6347" s="51">
        <f t="shared" si="99"/>
        <v>0</v>
      </c>
    </row>
    <row r="6348" spans="1:5">
      <c r="A6348" s="59">
        <v>13</v>
      </c>
      <c r="B6348" s="59">
        <v>21</v>
      </c>
      <c r="C6348" s="59">
        <v>160</v>
      </c>
      <c r="D6348" s="51">
        <v>2</v>
      </c>
      <c r="E6348" s="51">
        <f t="shared" si="99"/>
        <v>0</v>
      </c>
    </row>
    <row r="6349" spans="1:5">
      <c r="A6349" s="59">
        <v>13</v>
      </c>
      <c r="B6349" s="59">
        <v>21</v>
      </c>
      <c r="C6349" s="59">
        <v>430</v>
      </c>
      <c r="D6349" s="51">
        <v>2</v>
      </c>
      <c r="E6349" s="51">
        <f t="shared" si="99"/>
        <v>0</v>
      </c>
    </row>
    <row r="6350" spans="1:5">
      <c r="A6350" s="59">
        <v>13</v>
      </c>
      <c r="B6350" s="59">
        <v>24</v>
      </c>
      <c r="C6350" s="59">
        <v>510</v>
      </c>
      <c r="D6350" s="51">
        <v>2</v>
      </c>
      <c r="E6350" s="51">
        <f t="shared" si="99"/>
        <v>0</v>
      </c>
    </row>
    <row r="6351" spans="1:5">
      <c r="A6351" s="59">
        <v>13</v>
      </c>
      <c r="B6351" s="59">
        <v>24</v>
      </c>
      <c r="C6351" s="59">
        <v>530</v>
      </c>
      <c r="D6351" s="51">
        <v>2</v>
      </c>
      <c r="E6351" s="51">
        <f t="shared" si="99"/>
        <v>0</v>
      </c>
    </row>
    <row r="6352" spans="1:5">
      <c r="A6352" s="59">
        <v>13</v>
      </c>
      <c r="B6352" s="59">
        <v>31</v>
      </c>
      <c r="C6352" s="59">
        <v>160</v>
      </c>
      <c r="D6352" s="51">
        <v>2</v>
      </c>
      <c r="E6352" s="51">
        <f t="shared" si="99"/>
        <v>0</v>
      </c>
    </row>
    <row r="6353" spans="1:5">
      <c r="A6353" s="59">
        <v>13</v>
      </c>
      <c r="B6353" s="59">
        <v>32</v>
      </c>
      <c r="C6353" s="59">
        <v>310</v>
      </c>
      <c r="D6353" s="51">
        <v>2</v>
      </c>
      <c r="E6353" s="51">
        <f t="shared" si="99"/>
        <v>0</v>
      </c>
    </row>
    <row r="6354" spans="1:5">
      <c r="A6354" s="59">
        <v>13</v>
      </c>
      <c r="B6354" s="59">
        <v>32</v>
      </c>
      <c r="C6354" s="59">
        <v>510</v>
      </c>
      <c r="D6354" s="51">
        <v>2</v>
      </c>
      <c r="E6354" s="51">
        <f t="shared" si="99"/>
        <v>0</v>
      </c>
    </row>
    <row r="6355" spans="1:5">
      <c r="A6355" s="59">
        <v>13</v>
      </c>
      <c r="B6355" s="59">
        <v>32</v>
      </c>
      <c r="C6355" s="59">
        <v>930</v>
      </c>
      <c r="D6355" s="51">
        <v>2</v>
      </c>
      <c r="E6355" s="51">
        <f t="shared" si="99"/>
        <v>0</v>
      </c>
    </row>
    <row r="6356" spans="1:5">
      <c r="A6356" s="59">
        <v>13</v>
      </c>
      <c r="B6356" s="59">
        <v>41</v>
      </c>
      <c r="C6356" s="59">
        <v>150</v>
      </c>
      <c r="D6356" s="51">
        <v>2</v>
      </c>
      <c r="E6356" s="51">
        <f t="shared" si="99"/>
        <v>1</v>
      </c>
    </row>
    <row r="6357" spans="1:5">
      <c r="A6357" s="59">
        <v>13</v>
      </c>
      <c r="B6357" s="59">
        <v>41</v>
      </c>
      <c r="C6357" s="59">
        <v>410</v>
      </c>
      <c r="D6357" s="51">
        <v>2</v>
      </c>
      <c r="E6357" s="51">
        <f t="shared" si="99"/>
        <v>1</v>
      </c>
    </row>
    <row r="6358" spans="1:5">
      <c r="A6358" s="59">
        <v>13</v>
      </c>
      <c r="B6358" s="59">
        <v>41</v>
      </c>
      <c r="C6358" s="59">
        <v>920</v>
      </c>
      <c r="D6358" s="51">
        <v>2</v>
      </c>
      <c r="E6358" s="51">
        <f t="shared" si="99"/>
        <v>1</v>
      </c>
    </row>
    <row r="6359" spans="1:5">
      <c r="A6359" s="59">
        <v>13</v>
      </c>
      <c r="B6359" s="59">
        <v>42</v>
      </c>
      <c r="C6359" s="59">
        <v>440</v>
      </c>
      <c r="D6359" s="51">
        <v>2</v>
      </c>
      <c r="E6359" s="51">
        <f t="shared" si="99"/>
        <v>0</v>
      </c>
    </row>
    <row r="6360" spans="1:5">
      <c r="A6360" s="59">
        <v>13</v>
      </c>
      <c r="B6360" s="59">
        <v>42</v>
      </c>
      <c r="C6360" s="59">
        <v>930</v>
      </c>
      <c r="D6360" s="51">
        <v>2</v>
      </c>
      <c r="E6360" s="51">
        <f t="shared" si="99"/>
        <v>0</v>
      </c>
    </row>
    <row r="6361" spans="1:5">
      <c r="A6361" s="59">
        <v>13</v>
      </c>
      <c r="B6361" s="59">
        <v>43</v>
      </c>
      <c r="C6361" s="59">
        <v>720</v>
      </c>
      <c r="D6361" s="51">
        <v>2</v>
      </c>
      <c r="E6361" s="51">
        <f t="shared" si="99"/>
        <v>0</v>
      </c>
    </row>
    <row r="6362" spans="1:5">
      <c r="A6362" s="59">
        <v>13</v>
      </c>
      <c r="B6362" s="59">
        <v>43</v>
      </c>
      <c r="C6362" s="59">
        <v>990</v>
      </c>
      <c r="D6362" s="51">
        <v>2</v>
      </c>
      <c r="E6362" s="51">
        <f t="shared" si="99"/>
        <v>0</v>
      </c>
    </row>
    <row r="6363" spans="1:5">
      <c r="A6363" s="59">
        <v>13</v>
      </c>
      <c r="B6363" s="59">
        <v>51</v>
      </c>
      <c r="C6363" s="59">
        <v>150</v>
      </c>
      <c r="D6363" s="51">
        <v>2</v>
      </c>
      <c r="E6363" s="51">
        <f t="shared" si="99"/>
        <v>0</v>
      </c>
    </row>
    <row r="6364" spans="1:5">
      <c r="A6364" s="59">
        <v>13</v>
      </c>
      <c r="B6364" s="59">
        <v>51</v>
      </c>
      <c r="C6364" s="59">
        <v>210</v>
      </c>
      <c r="D6364" s="51">
        <v>2</v>
      </c>
      <c r="E6364" s="51">
        <f t="shared" si="99"/>
        <v>0</v>
      </c>
    </row>
    <row r="6365" spans="1:5">
      <c r="A6365" s="59">
        <v>13</v>
      </c>
      <c r="B6365" s="59">
        <v>51</v>
      </c>
      <c r="C6365" s="59">
        <v>620</v>
      </c>
      <c r="D6365" s="51">
        <v>2</v>
      </c>
      <c r="E6365" s="51">
        <f t="shared" si="99"/>
        <v>0</v>
      </c>
    </row>
    <row r="6366" spans="1:5">
      <c r="A6366" s="59">
        <v>13</v>
      </c>
      <c r="B6366" s="59">
        <v>63</v>
      </c>
      <c r="C6366" s="59">
        <v>730</v>
      </c>
      <c r="D6366" s="51">
        <v>2</v>
      </c>
      <c r="E6366" s="51">
        <f t="shared" si="99"/>
        <v>0</v>
      </c>
    </row>
    <row r="6367" spans="1:5">
      <c r="A6367" s="59">
        <v>13</v>
      </c>
      <c r="B6367" s="59">
        <v>63</v>
      </c>
      <c r="C6367" s="59">
        <v>830</v>
      </c>
      <c r="D6367" s="51">
        <v>2</v>
      </c>
      <c r="E6367" s="51">
        <f t="shared" si="99"/>
        <v>0</v>
      </c>
    </row>
    <row r="6368" spans="1:5">
      <c r="A6368" s="59">
        <v>13</v>
      </c>
      <c r="B6368" s="59">
        <v>64</v>
      </c>
      <c r="C6368" s="59">
        <v>850</v>
      </c>
      <c r="D6368" s="51">
        <v>2</v>
      </c>
      <c r="E6368" s="51">
        <f t="shared" si="99"/>
        <v>0</v>
      </c>
    </row>
    <row r="6369" spans="1:5">
      <c r="A6369" s="59">
        <v>13</v>
      </c>
      <c r="B6369" s="59">
        <v>64</v>
      </c>
      <c r="C6369" s="59">
        <v>860</v>
      </c>
      <c r="D6369" s="51">
        <v>2</v>
      </c>
      <c r="E6369" s="51">
        <f t="shared" si="99"/>
        <v>0</v>
      </c>
    </row>
    <row r="6370" spans="1:5">
      <c r="A6370" s="59">
        <v>13</v>
      </c>
      <c r="B6370" s="59">
        <v>71</v>
      </c>
      <c r="C6370" s="59">
        <v>730</v>
      </c>
      <c r="D6370" s="51">
        <v>2</v>
      </c>
      <c r="E6370" s="51">
        <f t="shared" si="99"/>
        <v>0</v>
      </c>
    </row>
    <row r="6371" spans="1:5">
      <c r="A6371" s="59">
        <v>13</v>
      </c>
      <c r="B6371" s="59">
        <v>71</v>
      </c>
      <c r="C6371" s="59">
        <v>950</v>
      </c>
      <c r="D6371" s="51">
        <v>2</v>
      </c>
      <c r="E6371" s="51">
        <f t="shared" si="99"/>
        <v>0</v>
      </c>
    </row>
    <row r="6372" spans="1:5">
      <c r="A6372" s="59">
        <v>13</v>
      </c>
      <c r="B6372" s="59">
        <v>81</v>
      </c>
      <c r="C6372" s="59">
        <v>210</v>
      </c>
      <c r="D6372" s="51">
        <v>2</v>
      </c>
      <c r="E6372" s="51">
        <f t="shared" si="99"/>
        <v>0</v>
      </c>
    </row>
    <row r="6373" spans="1:5">
      <c r="A6373" s="59">
        <v>13</v>
      </c>
      <c r="B6373" s="59">
        <v>81</v>
      </c>
      <c r="C6373" s="59">
        <v>310</v>
      </c>
      <c r="D6373" s="51">
        <v>2</v>
      </c>
      <c r="E6373" s="51">
        <f t="shared" si="99"/>
        <v>0</v>
      </c>
    </row>
    <row r="6374" spans="1:5">
      <c r="A6374" s="59">
        <v>13</v>
      </c>
      <c r="B6374" s="59">
        <v>81</v>
      </c>
      <c r="C6374" s="59">
        <v>720</v>
      </c>
      <c r="D6374" s="51">
        <v>2</v>
      </c>
      <c r="E6374" s="51">
        <f t="shared" si="99"/>
        <v>0</v>
      </c>
    </row>
    <row r="6375" spans="1:5">
      <c r="A6375" s="59">
        <v>13</v>
      </c>
      <c r="B6375" s="59">
        <v>81</v>
      </c>
      <c r="C6375" s="59">
        <v>840</v>
      </c>
      <c r="D6375" s="51">
        <v>2</v>
      </c>
      <c r="E6375" s="51">
        <f t="shared" si="99"/>
        <v>0</v>
      </c>
    </row>
    <row r="6376" spans="1:5">
      <c r="A6376" s="59">
        <v>13</v>
      </c>
      <c r="B6376" s="59">
        <v>81</v>
      </c>
      <c r="C6376" s="59">
        <v>920</v>
      </c>
      <c r="D6376" s="51">
        <v>2</v>
      </c>
      <c r="E6376" s="51">
        <f t="shared" si="99"/>
        <v>0</v>
      </c>
    </row>
    <row r="6377" spans="1:5">
      <c r="A6377" s="59">
        <v>13</v>
      </c>
      <c r="B6377" s="59">
        <v>11</v>
      </c>
      <c r="C6377" s="59">
        <v>410</v>
      </c>
      <c r="D6377" s="51">
        <v>1</v>
      </c>
      <c r="E6377" s="51">
        <f t="shared" si="99"/>
        <v>0</v>
      </c>
    </row>
    <row r="6378" spans="1:5">
      <c r="A6378" s="59">
        <v>13</v>
      </c>
      <c r="B6378" s="59">
        <v>11</v>
      </c>
      <c r="C6378" s="59">
        <v>510</v>
      </c>
      <c r="D6378" s="51">
        <v>1</v>
      </c>
      <c r="E6378" s="51">
        <f t="shared" si="99"/>
        <v>0</v>
      </c>
    </row>
    <row r="6379" spans="1:5">
      <c r="A6379" s="59">
        <v>13</v>
      </c>
      <c r="B6379" s="59">
        <v>11</v>
      </c>
      <c r="C6379" s="59">
        <v>610</v>
      </c>
      <c r="D6379" s="51">
        <v>1</v>
      </c>
      <c r="E6379" s="51">
        <f t="shared" si="99"/>
        <v>0</v>
      </c>
    </row>
    <row r="6380" spans="1:5">
      <c r="A6380" s="59">
        <v>13</v>
      </c>
      <c r="B6380" s="59">
        <v>11</v>
      </c>
      <c r="C6380" s="59">
        <v>910</v>
      </c>
      <c r="D6380" s="51">
        <v>1</v>
      </c>
      <c r="E6380" s="51">
        <f t="shared" si="99"/>
        <v>0</v>
      </c>
    </row>
    <row r="6381" spans="1:5">
      <c r="A6381" s="59">
        <v>13</v>
      </c>
      <c r="B6381" s="59">
        <v>12</v>
      </c>
      <c r="C6381" s="59">
        <v>540</v>
      </c>
      <c r="D6381" s="51">
        <v>1</v>
      </c>
      <c r="E6381" s="51">
        <f t="shared" si="99"/>
        <v>0</v>
      </c>
    </row>
    <row r="6382" spans="1:5">
      <c r="A6382" s="59">
        <v>13</v>
      </c>
      <c r="B6382" s="59">
        <v>13</v>
      </c>
      <c r="C6382" s="59">
        <v>140</v>
      </c>
      <c r="D6382" s="51">
        <v>1</v>
      </c>
      <c r="E6382" s="51">
        <f t="shared" si="99"/>
        <v>0</v>
      </c>
    </row>
    <row r="6383" spans="1:5">
      <c r="A6383" s="59">
        <v>13</v>
      </c>
      <c r="B6383" s="59">
        <v>13</v>
      </c>
      <c r="C6383" s="59">
        <v>940</v>
      </c>
      <c r="D6383" s="51">
        <v>1</v>
      </c>
      <c r="E6383" s="51">
        <f t="shared" si="99"/>
        <v>0</v>
      </c>
    </row>
    <row r="6384" spans="1:5">
      <c r="A6384" s="59">
        <v>13</v>
      </c>
      <c r="B6384" s="59">
        <v>13</v>
      </c>
      <c r="C6384" s="59">
        <v>990</v>
      </c>
      <c r="D6384" s="51">
        <v>1</v>
      </c>
      <c r="E6384" s="51">
        <f t="shared" si="99"/>
        <v>0</v>
      </c>
    </row>
    <row r="6385" spans="1:5">
      <c r="A6385" s="59">
        <v>13</v>
      </c>
      <c r="B6385" s="59">
        <v>14</v>
      </c>
      <c r="C6385" s="59">
        <v>930</v>
      </c>
      <c r="D6385" s="51">
        <v>1</v>
      </c>
      <c r="E6385" s="51">
        <f t="shared" si="99"/>
        <v>0</v>
      </c>
    </row>
    <row r="6386" spans="1:5">
      <c r="A6386" s="59">
        <v>13</v>
      </c>
      <c r="B6386" s="59">
        <v>15</v>
      </c>
      <c r="C6386" s="59">
        <v>220</v>
      </c>
      <c r="D6386" s="51">
        <v>1</v>
      </c>
      <c r="E6386" s="51">
        <f t="shared" si="99"/>
        <v>0</v>
      </c>
    </row>
    <row r="6387" spans="1:5">
      <c r="A6387" s="59">
        <v>13</v>
      </c>
      <c r="B6387" s="59">
        <v>15</v>
      </c>
      <c r="C6387" s="59">
        <v>420</v>
      </c>
      <c r="D6387" s="51">
        <v>1</v>
      </c>
      <c r="E6387" s="51">
        <f t="shared" si="99"/>
        <v>0</v>
      </c>
    </row>
    <row r="6388" spans="1:5">
      <c r="A6388" s="59">
        <v>13</v>
      </c>
      <c r="B6388" s="59">
        <v>15</v>
      </c>
      <c r="C6388" s="59">
        <v>520</v>
      </c>
      <c r="D6388" s="51">
        <v>1</v>
      </c>
      <c r="E6388" s="51">
        <f t="shared" si="99"/>
        <v>0</v>
      </c>
    </row>
    <row r="6389" spans="1:5">
      <c r="A6389" s="59">
        <v>13</v>
      </c>
      <c r="B6389" s="59">
        <v>15</v>
      </c>
      <c r="C6389" s="59">
        <v>550</v>
      </c>
      <c r="D6389" s="51">
        <v>1</v>
      </c>
      <c r="E6389" s="51">
        <f t="shared" si="99"/>
        <v>0</v>
      </c>
    </row>
    <row r="6390" spans="1:5">
      <c r="A6390" s="59">
        <v>13</v>
      </c>
      <c r="B6390" s="59">
        <v>16</v>
      </c>
      <c r="C6390" s="59">
        <v>120</v>
      </c>
      <c r="D6390" s="51">
        <v>1</v>
      </c>
      <c r="E6390" s="51">
        <f t="shared" si="99"/>
        <v>0</v>
      </c>
    </row>
    <row r="6391" spans="1:5">
      <c r="A6391" s="59">
        <v>13</v>
      </c>
      <c r="B6391" s="59">
        <v>21</v>
      </c>
      <c r="C6391" s="59">
        <v>110</v>
      </c>
      <c r="D6391" s="51">
        <v>1</v>
      </c>
      <c r="E6391" s="51">
        <f t="shared" si="99"/>
        <v>0</v>
      </c>
    </row>
    <row r="6392" spans="1:5">
      <c r="A6392" s="59">
        <v>13</v>
      </c>
      <c r="B6392" s="59">
        <v>22</v>
      </c>
      <c r="C6392" s="59">
        <v>420</v>
      </c>
      <c r="D6392" s="51">
        <v>1</v>
      </c>
      <c r="E6392" s="51">
        <f t="shared" si="99"/>
        <v>0</v>
      </c>
    </row>
    <row r="6393" spans="1:5">
      <c r="A6393" s="59">
        <v>13</v>
      </c>
      <c r="B6393" s="59">
        <v>22</v>
      </c>
      <c r="C6393" s="59">
        <v>610</v>
      </c>
      <c r="D6393" s="51">
        <v>1</v>
      </c>
      <c r="E6393" s="51">
        <f t="shared" si="99"/>
        <v>0</v>
      </c>
    </row>
    <row r="6394" spans="1:5">
      <c r="A6394" s="59">
        <v>13</v>
      </c>
      <c r="B6394" s="59">
        <v>22</v>
      </c>
      <c r="C6394" s="59">
        <v>930</v>
      </c>
      <c r="D6394" s="51">
        <v>1</v>
      </c>
      <c r="E6394" s="51">
        <f t="shared" si="99"/>
        <v>0</v>
      </c>
    </row>
    <row r="6395" spans="1:5">
      <c r="A6395" s="59">
        <v>13</v>
      </c>
      <c r="B6395" s="59">
        <v>23</v>
      </c>
      <c r="C6395" s="59">
        <v>230</v>
      </c>
      <c r="D6395" s="51">
        <v>1</v>
      </c>
      <c r="E6395" s="51">
        <f t="shared" si="99"/>
        <v>0</v>
      </c>
    </row>
    <row r="6396" spans="1:5">
      <c r="A6396" s="59">
        <v>13</v>
      </c>
      <c r="B6396" s="59">
        <v>24</v>
      </c>
      <c r="C6396" s="59">
        <v>220</v>
      </c>
      <c r="D6396" s="51">
        <v>1</v>
      </c>
      <c r="E6396" s="51">
        <f t="shared" si="99"/>
        <v>0</v>
      </c>
    </row>
    <row r="6397" spans="1:5">
      <c r="A6397" s="59">
        <v>13</v>
      </c>
      <c r="B6397" s="59">
        <v>24</v>
      </c>
      <c r="C6397" s="59">
        <v>410</v>
      </c>
      <c r="D6397" s="51">
        <v>1</v>
      </c>
      <c r="E6397" s="51">
        <f t="shared" si="99"/>
        <v>0</v>
      </c>
    </row>
    <row r="6398" spans="1:5">
      <c r="A6398" s="59">
        <v>13</v>
      </c>
      <c r="B6398" s="59">
        <v>24</v>
      </c>
      <c r="C6398" s="59">
        <v>620</v>
      </c>
      <c r="D6398" s="51">
        <v>1</v>
      </c>
      <c r="E6398" s="51">
        <f t="shared" si="99"/>
        <v>0</v>
      </c>
    </row>
    <row r="6399" spans="1:5">
      <c r="A6399" s="59">
        <v>13</v>
      </c>
      <c r="B6399" s="59">
        <v>31</v>
      </c>
      <c r="C6399" s="59">
        <v>210</v>
      </c>
      <c r="D6399" s="51">
        <v>1</v>
      </c>
      <c r="E6399" s="51">
        <f t="shared" si="99"/>
        <v>0</v>
      </c>
    </row>
    <row r="6400" spans="1:5">
      <c r="A6400" s="59">
        <v>13</v>
      </c>
      <c r="B6400" s="59">
        <v>32</v>
      </c>
      <c r="C6400" s="59">
        <v>150</v>
      </c>
      <c r="D6400" s="51">
        <v>1</v>
      </c>
      <c r="E6400" s="51">
        <f t="shared" si="99"/>
        <v>0</v>
      </c>
    </row>
    <row r="6401" spans="1:5">
      <c r="A6401" s="59">
        <v>13</v>
      </c>
      <c r="B6401" s="59">
        <v>32</v>
      </c>
      <c r="C6401" s="59">
        <v>230</v>
      </c>
      <c r="D6401" s="51">
        <v>1</v>
      </c>
      <c r="E6401" s="51">
        <f t="shared" si="99"/>
        <v>0</v>
      </c>
    </row>
    <row r="6402" spans="1:5">
      <c r="A6402" s="59">
        <v>13</v>
      </c>
      <c r="B6402" s="59">
        <v>32</v>
      </c>
      <c r="C6402" s="59">
        <v>610</v>
      </c>
      <c r="D6402" s="51">
        <v>1</v>
      </c>
      <c r="E6402" s="51">
        <f t="shared" ref="E6402:E6465" si="100">IF(OR(A6402=6,A6402=7,A6402=14,A6402=15,A6402=16,A6402=17,A6402=18,A6402=19,A6402=20,A6402=21,A6402=22,A6402=23,A6402=25,A6402=26,A6402=27,A6402=28,B6402=41,B6402=44,B6402=62),1,0)</f>
        <v>0</v>
      </c>
    </row>
    <row r="6403" spans="1:5">
      <c r="A6403" s="59">
        <v>13</v>
      </c>
      <c r="B6403" s="59">
        <v>32</v>
      </c>
      <c r="C6403" s="59">
        <v>895</v>
      </c>
      <c r="D6403" s="51">
        <v>1</v>
      </c>
      <c r="E6403" s="51">
        <f t="shared" si="100"/>
        <v>0</v>
      </c>
    </row>
    <row r="6404" spans="1:5">
      <c r="A6404" s="59">
        <v>13</v>
      </c>
      <c r="B6404" s="59">
        <v>32</v>
      </c>
      <c r="C6404" s="59">
        <v>920</v>
      </c>
      <c r="D6404" s="51">
        <v>1</v>
      </c>
      <c r="E6404" s="51">
        <f t="shared" si="100"/>
        <v>0</v>
      </c>
    </row>
    <row r="6405" spans="1:5">
      <c r="A6405" s="59">
        <v>13</v>
      </c>
      <c r="B6405" s="59">
        <v>32</v>
      </c>
      <c r="C6405" s="59">
        <v>950</v>
      </c>
      <c r="D6405" s="51">
        <v>1</v>
      </c>
      <c r="E6405" s="51">
        <f t="shared" si="100"/>
        <v>0</v>
      </c>
    </row>
    <row r="6406" spans="1:5">
      <c r="A6406" s="59">
        <v>13</v>
      </c>
      <c r="B6406" s="59">
        <v>33</v>
      </c>
      <c r="C6406" s="59">
        <v>510</v>
      </c>
      <c r="D6406" s="51">
        <v>1</v>
      </c>
      <c r="E6406" s="51">
        <f t="shared" si="100"/>
        <v>0</v>
      </c>
    </row>
    <row r="6407" spans="1:5">
      <c r="A6407" s="59">
        <v>13</v>
      </c>
      <c r="B6407" s="59">
        <v>33</v>
      </c>
      <c r="C6407" s="59">
        <v>950</v>
      </c>
      <c r="D6407" s="51">
        <v>1</v>
      </c>
      <c r="E6407" s="51">
        <f t="shared" si="100"/>
        <v>0</v>
      </c>
    </row>
    <row r="6408" spans="1:5">
      <c r="A6408" s="59">
        <v>13</v>
      </c>
      <c r="B6408" s="59">
        <v>41</v>
      </c>
      <c r="C6408" s="59">
        <v>240</v>
      </c>
      <c r="D6408" s="51">
        <v>1</v>
      </c>
      <c r="E6408" s="51">
        <f t="shared" si="100"/>
        <v>1</v>
      </c>
    </row>
    <row r="6409" spans="1:5">
      <c r="A6409" s="59">
        <v>13</v>
      </c>
      <c r="B6409" s="59">
        <v>41</v>
      </c>
      <c r="C6409" s="59">
        <v>310</v>
      </c>
      <c r="D6409" s="51">
        <v>1</v>
      </c>
      <c r="E6409" s="51">
        <f t="shared" si="100"/>
        <v>1</v>
      </c>
    </row>
    <row r="6410" spans="1:5">
      <c r="A6410" s="59">
        <v>13</v>
      </c>
      <c r="B6410" s="59">
        <v>41</v>
      </c>
      <c r="C6410" s="59">
        <v>420</v>
      </c>
      <c r="D6410" s="51">
        <v>1</v>
      </c>
      <c r="E6410" s="51">
        <f t="shared" si="100"/>
        <v>1</v>
      </c>
    </row>
    <row r="6411" spans="1:5">
      <c r="A6411" s="59">
        <v>13</v>
      </c>
      <c r="B6411" s="59">
        <v>41</v>
      </c>
      <c r="C6411" s="59">
        <v>510</v>
      </c>
      <c r="D6411" s="51">
        <v>1</v>
      </c>
      <c r="E6411" s="51">
        <f t="shared" si="100"/>
        <v>1</v>
      </c>
    </row>
    <row r="6412" spans="1:5">
      <c r="A6412" s="59">
        <v>13</v>
      </c>
      <c r="B6412" s="59">
        <v>41</v>
      </c>
      <c r="C6412" s="59">
        <v>610</v>
      </c>
      <c r="D6412" s="51">
        <v>1</v>
      </c>
      <c r="E6412" s="51">
        <f t="shared" si="100"/>
        <v>1</v>
      </c>
    </row>
    <row r="6413" spans="1:5">
      <c r="A6413" s="59">
        <v>13</v>
      </c>
      <c r="B6413" s="59">
        <v>41</v>
      </c>
      <c r="C6413" s="59">
        <v>740</v>
      </c>
      <c r="D6413" s="51">
        <v>1</v>
      </c>
      <c r="E6413" s="51">
        <f t="shared" si="100"/>
        <v>1</v>
      </c>
    </row>
    <row r="6414" spans="1:5">
      <c r="A6414" s="59">
        <v>13</v>
      </c>
      <c r="B6414" s="59">
        <v>41</v>
      </c>
      <c r="C6414" s="59">
        <v>990</v>
      </c>
      <c r="D6414" s="51">
        <v>1</v>
      </c>
      <c r="E6414" s="51">
        <f t="shared" si="100"/>
        <v>1</v>
      </c>
    </row>
    <row r="6415" spans="1:5">
      <c r="A6415" s="59">
        <v>13</v>
      </c>
      <c r="B6415" s="59">
        <v>42</v>
      </c>
      <c r="C6415" s="59">
        <v>320</v>
      </c>
      <c r="D6415" s="51">
        <v>1</v>
      </c>
      <c r="E6415" s="51">
        <f t="shared" si="100"/>
        <v>0</v>
      </c>
    </row>
    <row r="6416" spans="1:5">
      <c r="A6416" s="59">
        <v>13</v>
      </c>
      <c r="B6416" s="59">
        <v>42</v>
      </c>
      <c r="C6416" s="59">
        <v>831</v>
      </c>
      <c r="D6416" s="51">
        <v>1</v>
      </c>
      <c r="E6416" s="51">
        <f t="shared" si="100"/>
        <v>0</v>
      </c>
    </row>
    <row r="6417" spans="1:5">
      <c r="A6417" s="59">
        <v>13</v>
      </c>
      <c r="B6417" s="59">
        <v>42</v>
      </c>
      <c r="C6417" s="59">
        <v>990</v>
      </c>
      <c r="D6417" s="51">
        <v>1</v>
      </c>
      <c r="E6417" s="51">
        <f t="shared" si="100"/>
        <v>0</v>
      </c>
    </row>
    <row r="6418" spans="1:5">
      <c r="A6418" s="59">
        <v>13</v>
      </c>
      <c r="B6418" s="59">
        <v>43</v>
      </c>
      <c r="C6418" s="59">
        <v>130</v>
      </c>
      <c r="D6418" s="51">
        <v>1</v>
      </c>
      <c r="E6418" s="51">
        <f t="shared" si="100"/>
        <v>0</v>
      </c>
    </row>
    <row r="6419" spans="1:5">
      <c r="A6419" s="59">
        <v>13</v>
      </c>
      <c r="B6419" s="59">
        <v>43</v>
      </c>
      <c r="C6419" s="59">
        <v>740</v>
      </c>
      <c r="D6419" s="51">
        <v>1</v>
      </c>
      <c r="E6419" s="51">
        <f t="shared" si="100"/>
        <v>0</v>
      </c>
    </row>
    <row r="6420" spans="1:5">
      <c r="A6420" s="59">
        <v>13</v>
      </c>
      <c r="B6420" s="59">
        <v>43</v>
      </c>
      <c r="C6420" s="59">
        <v>860</v>
      </c>
      <c r="D6420" s="51">
        <v>1</v>
      </c>
      <c r="E6420" s="51">
        <f t="shared" si="100"/>
        <v>0</v>
      </c>
    </row>
    <row r="6421" spans="1:5">
      <c r="A6421" s="59">
        <v>13</v>
      </c>
      <c r="B6421" s="59">
        <v>43</v>
      </c>
      <c r="C6421" s="59">
        <v>895</v>
      </c>
      <c r="D6421" s="51">
        <v>1</v>
      </c>
      <c r="E6421" s="51">
        <f t="shared" si="100"/>
        <v>0</v>
      </c>
    </row>
    <row r="6422" spans="1:5">
      <c r="A6422" s="59">
        <v>13</v>
      </c>
      <c r="B6422" s="59">
        <v>43</v>
      </c>
      <c r="C6422" s="59">
        <v>970</v>
      </c>
      <c r="D6422" s="51">
        <v>1</v>
      </c>
      <c r="E6422" s="51">
        <f t="shared" si="100"/>
        <v>0</v>
      </c>
    </row>
    <row r="6423" spans="1:5">
      <c r="A6423" s="59">
        <v>13</v>
      </c>
      <c r="B6423" s="59">
        <v>44</v>
      </c>
      <c r="C6423" s="59">
        <v>150</v>
      </c>
      <c r="D6423" s="51">
        <v>1</v>
      </c>
      <c r="E6423" s="51">
        <f t="shared" si="100"/>
        <v>1</v>
      </c>
    </row>
    <row r="6424" spans="1:5">
      <c r="A6424" s="59">
        <v>13</v>
      </c>
      <c r="B6424" s="59">
        <v>51</v>
      </c>
      <c r="C6424" s="59">
        <v>160</v>
      </c>
      <c r="D6424" s="51">
        <v>1</v>
      </c>
      <c r="E6424" s="51">
        <f t="shared" si="100"/>
        <v>0</v>
      </c>
    </row>
    <row r="6425" spans="1:5">
      <c r="A6425" s="59">
        <v>13</v>
      </c>
      <c r="B6425" s="59">
        <v>51</v>
      </c>
      <c r="C6425" s="59">
        <v>330</v>
      </c>
      <c r="D6425" s="51">
        <v>1</v>
      </c>
      <c r="E6425" s="51">
        <f t="shared" si="100"/>
        <v>0</v>
      </c>
    </row>
    <row r="6426" spans="1:5">
      <c r="A6426" s="59">
        <v>13</v>
      </c>
      <c r="B6426" s="59">
        <v>51</v>
      </c>
      <c r="C6426" s="59">
        <v>420</v>
      </c>
      <c r="D6426" s="51">
        <v>1</v>
      </c>
      <c r="E6426" s="51">
        <f t="shared" si="100"/>
        <v>0</v>
      </c>
    </row>
    <row r="6427" spans="1:5">
      <c r="A6427" s="59">
        <v>13</v>
      </c>
      <c r="B6427" s="59">
        <v>51</v>
      </c>
      <c r="C6427" s="59">
        <v>520</v>
      </c>
      <c r="D6427" s="51">
        <v>1</v>
      </c>
      <c r="E6427" s="51">
        <f t="shared" si="100"/>
        <v>0</v>
      </c>
    </row>
    <row r="6428" spans="1:5">
      <c r="A6428" s="59">
        <v>13</v>
      </c>
      <c r="B6428" s="59">
        <v>51</v>
      </c>
      <c r="C6428" s="59">
        <v>610</v>
      </c>
      <c r="D6428" s="51">
        <v>1</v>
      </c>
      <c r="E6428" s="51">
        <f t="shared" si="100"/>
        <v>0</v>
      </c>
    </row>
    <row r="6429" spans="1:5">
      <c r="A6429" s="59">
        <v>13</v>
      </c>
      <c r="B6429" s="59">
        <v>61</v>
      </c>
      <c r="C6429" s="59">
        <v>160</v>
      </c>
      <c r="D6429" s="51">
        <v>1</v>
      </c>
      <c r="E6429" s="51">
        <f t="shared" si="100"/>
        <v>0</v>
      </c>
    </row>
    <row r="6430" spans="1:5">
      <c r="A6430" s="59">
        <v>13</v>
      </c>
      <c r="B6430" s="59">
        <v>61</v>
      </c>
      <c r="C6430" s="59">
        <v>620</v>
      </c>
      <c r="D6430" s="51">
        <v>1</v>
      </c>
      <c r="E6430" s="51">
        <f t="shared" si="100"/>
        <v>0</v>
      </c>
    </row>
    <row r="6431" spans="1:5">
      <c r="A6431" s="59">
        <v>13</v>
      </c>
      <c r="B6431" s="59">
        <v>62</v>
      </c>
      <c r="C6431" s="59">
        <v>120</v>
      </c>
      <c r="D6431" s="51">
        <v>1</v>
      </c>
      <c r="E6431" s="51">
        <f t="shared" si="100"/>
        <v>1</v>
      </c>
    </row>
    <row r="6432" spans="1:5">
      <c r="A6432" s="59">
        <v>13</v>
      </c>
      <c r="B6432" s="59">
        <v>62</v>
      </c>
      <c r="C6432" s="59">
        <v>130</v>
      </c>
      <c r="D6432" s="51">
        <v>1</v>
      </c>
      <c r="E6432" s="51">
        <f t="shared" si="100"/>
        <v>1</v>
      </c>
    </row>
    <row r="6433" spans="1:5">
      <c r="A6433" s="59">
        <v>13</v>
      </c>
      <c r="B6433" s="59">
        <v>62</v>
      </c>
      <c r="C6433" s="59">
        <v>320</v>
      </c>
      <c r="D6433" s="51">
        <v>1</v>
      </c>
      <c r="E6433" s="51">
        <f t="shared" si="100"/>
        <v>1</v>
      </c>
    </row>
    <row r="6434" spans="1:5">
      <c r="A6434" s="59">
        <v>13</v>
      </c>
      <c r="B6434" s="59">
        <v>62</v>
      </c>
      <c r="C6434" s="59">
        <v>710</v>
      </c>
      <c r="D6434" s="51">
        <v>1</v>
      </c>
      <c r="E6434" s="51">
        <f t="shared" si="100"/>
        <v>1</v>
      </c>
    </row>
    <row r="6435" spans="1:5">
      <c r="A6435" s="59">
        <v>13</v>
      </c>
      <c r="B6435" s="59">
        <v>62</v>
      </c>
      <c r="C6435" s="59">
        <v>831</v>
      </c>
      <c r="D6435" s="51">
        <v>1</v>
      </c>
      <c r="E6435" s="51">
        <f t="shared" si="100"/>
        <v>1</v>
      </c>
    </row>
    <row r="6436" spans="1:5">
      <c r="A6436" s="59">
        <v>13</v>
      </c>
      <c r="B6436" s="59">
        <v>62</v>
      </c>
      <c r="C6436" s="59">
        <v>950</v>
      </c>
      <c r="D6436" s="51">
        <v>1</v>
      </c>
      <c r="E6436" s="51">
        <f t="shared" si="100"/>
        <v>1</v>
      </c>
    </row>
    <row r="6437" spans="1:5">
      <c r="A6437" s="59">
        <v>13</v>
      </c>
      <c r="B6437" s="59">
        <v>62</v>
      </c>
      <c r="C6437" s="59">
        <v>960</v>
      </c>
      <c r="D6437" s="51">
        <v>1</v>
      </c>
      <c r="E6437" s="51">
        <f t="shared" si="100"/>
        <v>1</v>
      </c>
    </row>
    <row r="6438" spans="1:5">
      <c r="A6438" s="59">
        <v>13</v>
      </c>
      <c r="B6438" s="59">
        <v>62</v>
      </c>
      <c r="C6438" s="59">
        <v>970</v>
      </c>
      <c r="D6438" s="51">
        <v>1</v>
      </c>
      <c r="E6438" s="51">
        <f t="shared" si="100"/>
        <v>1</v>
      </c>
    </row>
    <row r="6439" spans="1:5">
      <c r="A6439" s="59">
        <v>13</v>
      </c>
      <c r="B6439" s="59">
        <v>63</v>
      </c>
      <c r="C6439" s="59">
        <v>130</v>
      </c>
      <c r="D6439" s="51">
        <v>1</v>
      </c>
      <c r="E6439" s="51">
        <f t="shared" si="100"/>
        <v>0</v>
      </c>
    </row>
    <row r="6440" spans="1:5">
      <c r="A6440" s="59">
        <v>13</v>
      </c>
      <c r="B6440" s="59">
        <v>63</v>
      </c>
      <c r="C6440" s="59">
        <v>320</v>
      </c>
      <c r="D6440" s="51">
        <v>1</v>
      </c>
      <c r="E6440" s="51">
        <f t="shared" si="100"/>
        <v>0</v>
      </c>
    </row>
    <row r="6441" spans="1:5">
      <c r="A6441" s="59">
        <v>13</v>
      </c>
      <c r="B6441" s="59">
        <v>63</v>
      </c>
      <c r="C6441" s="59">
        <v>740</v>
      </c>
      <c r="D6441" s="51">
        <v>1</v>
      </c>
      <c r="E6441" s="51">
        <f t="shared" si="100"/>
        <v>0</v>
      </c>
    </row>
    <row r="6442" spans="1:5">
      <c r="A6442" s="59">
        <v>13</v>
      </c>
      <c r="B6442" s="59">
        <v>63</v>
      </c>
      <c r="C6442" s="59">
        <v>831</v>
      </c>
      <c r="D6442" s="51">
        <v>1</v>
      </c>
      <c r="E6442" s="51">
        <f t="shared" si="100"/>
        <v>0</v>
      </c>
    </row>
    <row r="6443" spans="1:5">
      <c r="A6443" s="59">
        <v>13</v>
      </c>
      <c r="B6443" s="59">
        <v>64</v>
      </c>
      <c r="C6443" s="59">
        <v>710</v>
      </c>
      <c r="D6443" s="51">
        <v>1</v>
      </c>
      <c r="E6443" s="51">
        <f t="shared" si="100"/>
        <v>0</v>
      </c>
    </row>
    <row r="6444" spans="1:5">
      <c r="A6444" s="59">
        <v>13</v>
      </c>
      <c r="B6444" s="59">
        <v>64</v>
      </c>
      <c r="C6444" s="59">
        <v>840</v>
      </c>
      <c r="D6444" s="51">
        <v>1</v>
      </c>
      <c r="E6444" s="51">
        <f t="shared" si="100"/>
        <v>0</v>
      </c>
    </row>
    <row r="6445" spans="1:5">
      <c r="A6445" s="59">
        <v>13</v>
      </c>
      <c r="B6445" s="59">
        <v>64</v>
      </c>
      <c r="C6445" s="59">
        <v>870</v>
      </c>
      <c r="D6445" s="51">
        <v>1</v>
      </c>
      <c r="E6445" s="51">
        <f t="shared" si="100"/>
        <v>0</v>
      </c>
    </row>
    <row r="6446" spans="1:5">
      <c r="A6446" s="59">
        <v>13</v>
      </c>
      <c r="B6446" s="59">
        <v>71</v>
      </c>
      <c r="C6446" s="59">
        <v>130</v>
      </c>
      <c r="D6446" s="51">
        <v>1</v>
      </c>
      <c r="E6446" s="51">
        <f t="shared" si="100"/>
        <v>0</v>
      </c>
    </row>
    <row r="6447" spans="1:5">
      <c r="A6447" s="59">
        <v>13</v>
      </c>
      <c r="B6447" s="59">
        <v>71</v>
      </c>
      <c r="C6447" s="59">
        <v>710</v>
      </c>
      <c r="D6447" s="51">
        <v>1</v>
      </c>
      <c r="E6447" s="51">
        <f t="shared" si="100"/>
        <v>0</v>
      </c>
    </row>
    <row r="6448" spans="1:5">
      <c r="A6448" s="59">
        <v>13</v>
      </c>
      <c r="B6448" s="59">
        <v>81</v>
      </c>
      <c r="C6448" s="59">
        <v>640</v>
      </c>
      <c r="D6448" s="51">
        <v>1</v>
      </c>
      <c r="E6448" s="51">
        <f t="shared" si="100"/>
        <v>0</v>
      </c>
    </row>
    <row r="6449" spans="1:5">
      <c r="A6449" s="59">
        <v>13</v>
      </c>
      <c r="B6449" s="59">
        <v>81</v>
      </c>
      <c r="C6449" s="59">
        <v>750</v>
      </c>
      <c r="D6449" s="51">
        <v>1</v>
      </c>
      <c r="E6449" s="51">
        <f t="shared" si="100"/>
        <v>0</v>
      </c>
    </row>
    <row r="6450" spans="1:5">
      <c r="A6450" s="59">
        <v>14</v>
      </c>
      <c r="B6450" s="59">
        <v>64</v>
      </c>
      <c r="C6450" s="59">
        <v>910</v>
      </c>
      <c r="D6450" s="51">
        <v>1318961</v>
      </c>
      <c r="E6450" s="51">
        <f t="shared" si="100"/>
        <v>1</v>
      </c>
    </row>
    <row r="6451" spans="1:5">
      <c r="A6451" s="59">
        <v>14</v>
      </c>
      <c r="B6451" s="59">
        <v>71</v>
      </c>
      <c r="C6451" s="59">
        <v>910</v>
      </c>
      <c r="D6451" s="51">
        <v>580162</v>
      </c>
      <c r="E6451" s="51">
        <f t="shared" si="100"/>
        <v>1</v>
      </c>
    </row>
    <row r="6452" spans="1:5">
      <c r="A6452" s="59">
        <v>14</v>
      </c>
      <c r="B6452" s="59">
        <v>43</v>
      </c>
      <c r="C6452" s="59">
        <v>910</v>
      </c>
      <c r="D6452" s="51">
        <v>423955</v>
      </c>
      <c r="E6452" s="51">
        <f t="shared" si="100"/>
        <v>1</v>
      </c>
    </row>
    <row r="6453" spans="1:5">
      <c r="A6453" s="59">
        <v>14</v>
      </c>
      <c r="B6453" s="59">
        <v>63</v>
      </c>
      <c r="C6453" s="59">
        <v>910</v>
      </c>
      <c r="D6453" s="51">
        <v>388072</v>
      </c>
      <c r="E6453" s="51">
        <f t="shared" si="100"/>
        <v>1</v>
      </c>
    </row>
    <row r="6454" spans="1:5">
      <c r="A6454" s="59">
        <v>14</v>
      </c>
      <c r="B6454" s="59">
        <v>62</v>
      </c>
      <c r="C6454" s="59">
        <v>910</v>
      </c>
      <c r="D6454" s="51">
        <v>357039</v>
      </c>
      <c r="E6454" s="51">
        <f t="shared" si="100"/>
        <v>1</v>
      </c>
    </row>
    <row r="6455" spans="1:5">
      <c r="A6455" s="59">
        <v>14</v>
      </c>
      <c r="B6455" s="59">
        <v>14</v>
      </c>
      <c r="C6455" s="59">
        <v>910</v>
      </c>
      <c r="D6455" s="51">
        <v>345280</v>
      </c>
      <c r="E6455" s="51">
        <f t="shared" si="100"/>
        <v>1</v>
      </c>
    </row>
    <row r="6456" spans="1:5">
      <c r="A6456" s="59">
        <v>14</v>
      </c>
      <c r="B6456" s="59">
        <v>13</v>
      </c>
      <c r="C6456" s="59">
        <v>910</v>
      </c>
      <c r="D6456" s="51">
        <v>234592</v>
      </c>
      <c r="E6456" s="51">
        <f t="shared" si="100"/>
        <v>1</v>
      </c>
    </row>
    <row r="6457" spans="1:5">
      <c r="A6457" s="59">
        <v>14</v>
      </c>
      <c r="B6457" s="59">
        <v>44</v>
      </c>
      <c r="C6457" s="59">
        <v>910</v>
      </c>
      <c r="D6457" s="51">
        <v>142458</v>
      </c>
      <c r="E6457" s="51">
        <f t="shared" si="100"/>
        <v>1</v>
      </c>
    </row>
    <row r="6458" spans="1:5">
      <c r="A6458" s="59">
        <v>14</v>
      </c>
      <c r="B6458" s="59">
        <v>22</v>
      </c>
      <c r="C6458" s="59">
        <v>910</v>
      </c>
      <c r="D6458" s="51">
        <v>94859</v>
      </c>
      <c r="E6458" s="51">
        <f t="shared" si="100"/>
        <v>1</v>
      </c>
    </row>
    <row r="6459" spans="1:5">
      <c r="A6459" s="59">
        <v>14</v>
      </c>
      <c r="B6459" s="59">
        <v>42</v>
      </c>
      <c r="C6459" s="59">
        <v>910</v>
      </c>
      <c r="D6459" s="51">
        <v>72108</v>
      </c>
      <c r="E6459" s="51">
        <f t="shared" si="100"/>
        <v>1</v>
      </c>
    </row>
    <row r="6460" spans="1:5">
      <c r="A6460" s="59">
        <v>14</v>
      </c>
      <c r="B6460" s="59">
        <v>15</v>
      </c>
      <c r="C6460" s="59">
        <v>910</v>
      </c>
      <c r="D6460" s="51">
        <v>66070</v>
      </c>
      <c r="E6460" s="51">
        <f t="shared" si="100"/>
        <v>1</v>
      </c>
    </row>
    <row r="6461" spans="1:5">
      <c r="A6461" s="59">
        <v>14</v>
      </c>
      <c r="B6461" s="59">
        <v>81</v>
      </c>
      <c r="C6461" s="59">
        <v>910</v>
      </c>
      <c r="D6461" s="51">
        <v>62818</v>
      </c>
      <c r="E6461" s="51">
        <f t="shared" si="100"/>
        <v>1</v>
      </c>
    </row>
    <row r="6462" spans="1:5">
      <c r="A6462" s="59">
        <v>14</v>
      </c>
      <c r="B6462" s="59">
        <v>16</v>
      </c>
      <c r="C6462" s="59">
        <v>910</v>
      </c>
      <c r="D6462" s="51">
        <v>42907</v>
      </c>
      <c r="E6462" s="51">
        <f t="shared" si="100"/>
        <v>1</v>
      </c>
    </row>
    <row r="6463" spans="1:5">
      <c r="A6463" s="59">
        <v>14</v>
      </c>
      <c r="B6463" s="59">
        <v>32</v>
      </c>
      <c r="C6463" s="59">
        <v>910</v>
      </c>
      <c r="D6463" s="51">
        <v>27358</v>
      </c>
      <c r="E6463" s="51">
        <f t="shared" si="100"/>
        <v>1</v>
      </c>
    </row>
    <row r="6464" spans="1:5">
      <c r="A6464" s="59">
        <v>14</v>
      </c>
      <c r="B6464" s="59">
        <v>33</v>
      </c>
      <c r="C6464" s="59">
        <v>910</v>
      </c>
      <c r="D6464" s="51">
        <v>19422</v>
      </c>
      <c r="E6464" s="51">
        <f t="shared" si="100"/>
        <v>1</v>
      </c>
    </row>
    <row r="6465" spans="1:5">
      <c r="A6465" s="59">
        <v>14</v>
      </c>
      <c r="B6465" s="59">
        <v>41</v>
      </c>
      <c r="C6465" s="59">
        <v>910</v>
      </c>
      <c r="D6465" s="51">
        <v>19240</v>
      </c>
      <c r="E6465" s="51">
        <f t="shared" si="100"/>
        <v>1</v>
      </c>
    </row>
    <row r="6466" spans="1:5">
      <c r="A6466" s="59">
        <v>14</v>
      </c>
      <c r="B6466" s="59">
        <v>71</v>
      </c>
      <c r="C6466" s="59">
        <v>920</v>
      </c>
      <c r="D6466" s="51">
        <v>16871</v>
      </c>
      <c r="E6466" s="51">
        <f t="shared" ref="E6466:E6529" si="101">IF(OR(A6466=6,A6466=7,A6466=14,A6466=15,A6466=16,A6466=17,A6466=18,A6466=19,A6466=20,A6466=21,A6466=22,A6466=23,A6466=25,A6466=26,A6466=27,A6466=28,B6466=41,B6466=44,B6466=62),1,0)</f>
        <v>1</v>
      </c>
    </row>
    <row r="6467" spans="1:5">
      <c r="A6467" s="59">
        <v>14</v>
      </c>
      <c r="B6467" s="59">
        <v>64</v>
      </c>
      <c r="C6467" s="59">
        <v>510</v>
      </c>
      <c r="D6467" s="51">
        <v>13295</v>
      </c>
      <c r="E6467" s="51">
        <f t="shared" si="101"/>
        <v>1</v>
      </c>
    </row>
    <row r="6468" spans="1:5">
      <c r="A6468" s="59">
        <v>14</v>
      </c>
      <c r="B6468" s="59">
        <v>64</v>
      </c>
      <c r="C6468" s="59">
        <v>920</v>
      </c>
      <c r="D6468" s="51">
        <v>11807</v>
      </c>
      <c r="E6468" s="51">
        <f t="shared" si="101"/>
        <v>1</v>
      </c>
    </row>
    <row r="6469" spans="1:5">
      <c r="A6469" s="59">
        <v>14</v>
      </c>
      <c r="B6469" s="59">
        <v>62</v>
      </c>
      <c r="C6469" s="59">
        <v>920</v>
      </c>
      <c r="D6469" s="51">
        <v>10744</v>
      </c>
      <c r="E6469" s="51">
        <f t="shared" si="101"/>
        <v>1</v>
      </c>
    </row>
    <row r="6470" spans="1:5">
      <c r="A6470" s="59">
        <v>14</v>
      </c>
      <c r="B6470" s="59">
        <v>71</v>
      </c>
      <c r="C6470" s="59">
        <v>610</v>
      </c>
      <c r="D6470" s="51">
        <v>7172</v>
      </c>
      <c r="E6470" s="51">
        <f t="shared" si="101"/>
        <v>1</v>
      </c>
    </row>
    <row r="6471" spans="1:5">
      <c r="A6471" s="59">
        <v>14</v>
      </c>
      <c r="B6471" s="59">
        <v>63</v>
      </c>
      <c r="C6471" s="59">
        <v>920</v>
      </c>
      <c r="D6471" s="51">
        <v>7035</v>
      </c>
      <c r="E6471" s="51">
        <f t="shared" si="101"/>
        <v>1</v>
      </c>
    </row>
    <row r="6472" spans="1:5">
      <c r="A6472" s="59">
        <v>14</v>
      </c>
      <c r="B6472" s="59">
        <v>64</v>
      </c>
      <c r="C6472" s="59">
        <v>110</v>
      </c>
      <c r="D6472" s="51">
        <v>6100</v>
      </c>
      <c r="E6472" s="51">
        <f t="shared" si="101"/>
        <v>1</v>
      </c>
    </row>
    <row r="6473" spans="1:5">
      <c r="A6473" s="59">
        <v>14</v>
      </c>
      <c r="B6473" s="59">
        <v>64</v>
      </c>
      <c r="C6473" s="59">
        <v>610</v>
      </c>
      <c r="D6473" s="51">
        <v>5508</v>
      </c>
      <c r="E6473" s="51">
        <f t="shared" si="101"/>
        <v>1</v>
      </c>
    </row>
    <row r="6474" spans="1:5">
      <c r="A6474" s="59">
        <v>14</v>
      </c>
      <c r="B6474" s="59">
        <v>11</v>
      </c>
      <c r="C6474" s="59">
        <v>910</v>
      </c>
      <c r="D6474" s="51">
        <v>5245</v>
      </c>
      <c r="E6474" s="51">
        <f t="shared" si="101"/>
        <v>1</v>
      </c>
    </row>
    <row r="6475" spans="1:5">
      <c r="A6475" s="59">
        <v>14</v>
      </c>
      <c r="B6475" s="59">
        <v>14</v>
      </c>
      <c r="C6475" s="59">
        <v>150</v>
      </c>
      <c r="D6475" s="51">
        <v>4918</v>
      </c>
      <c r="E6475" s="51">
        <f t="shared" si="101"/>
        <v>1</v>
      </c>
    </row>
    <row r="6476" spans="1:5">
      <c r="A6476" s="59">
        <v>14</v>
      </c>
      <c r="B6476" s="59">
        <v>43</v>
      </c>
      <c r="C6476" s="59">
        <v>920</v>
      </c>
      <c r="D6476" s="51">
        <v>4905</v>
      </c>
      <c r="E6476" s="51">
        <f t="shared" si="101"/>
        <v>1</v>
      </c>
    </row>
    <row r="6477" spans="1:5">
      <c r="A6477" s="59">
        <v>14</v>
      </c>
      <c r="B6477" s="59">
        <v>15</v>
      </c>
      <c r="C6477" s="59">
        <v>140</v>
      </c>
      <c r="D6477" s="51">
        <v>4889</v>
      </c>
      <c r="E6477" s="51">
        <f t="shared" si="101"/>
        <v>1</v>
      </c>
    </row>
    <row r="6478" spans="1:5">
      <c r="A6478" s="59">
        <v>14</v>
      </c>
      <c r="B6478" s="59">
        <v>63</v>
      </c>
      <c r="C6478" s="59">
        <v>510</v>
      </c>
      <c r="D6478" s="51">
        <v>4729</v>
      </c>
      <c r="E6478" s="51">
        <f t="shared" si="101"/>
        <v>1</v>
      </c>
    </row>
    <row r="6479" spans="1:5">
      <c r="A6479" s="59">
        <v>14</v>
      </c>
      <c r="B6479" s="59">
        <v>62</v>
      </c>
      <c r="C6479" s="59">
        <v>720</v>
      </c>
      <c r="D6479" s="51">
        <v>4490</v>
      </c>
      <c r="E6479" s="51">
        <f t="shared" si="101"/>
        <v>1</v>
      </c>
    </row>
    <row r="6480" spans="1:5">
      <c r="A6480" s="59">
        <v>14</v>
      </c>
      <c r="B6480" s="59">
        <v>64</v>
      </c>
      <c r="C6480" s="59">
        <v>720</v>
      </c>
      <c r="D6480" s="51">
        <v>4042</v>
      </c>
      <c r="E6480" s="51">
        <f t="shared" si="101"/>
        <v>1</v>
      </c>
    </row>
    <row r="6481" spans="1:5">
      <c r="A6481" s="59">
        <v>14</v>
      </c>
      <c r="B6481" s="59">
        <v>43</v>
      </c>
      <c r="C6481" s="59">
        <v>510</v>
      </c>
      <c r="D6481" s="51">
        <v>3860</v>
      </c>
      <c r="E6481" s="51">
        <f t="shared" si="101"/>
        <v>1</v>
      </c>
    </row>
    <row r="6482" spans="1:5">
      <c r="A6482" s="59">
        <v>14</v>
      </c>
      <c r="B6482" s="59">
        <v>44</v>
      </c>
      <c r="C6482" s="59">
        <v>920</v>
      </c>
      <c r="D6482" s="51">
        <v>3694</v>
      </c>
      <c r="E6482" s="51">
        <f t="shared" si="101"/>
        <v>1</v>
      </c>
    </row>
    <row r="6483" spans="1:5">
      <c r="A6483" s="59">
        <v>14</v>
      </c>
      <c r="B6483" s="59">
        <v>62</v>
      </c>
      <c r="C6483" s="59">
        <v>510</v>
      </c>
      <c r="D6483" s="51">
        <v>3605</v>
      </c>
      <c r="E6483" s="51">
        <f t="shared" si="101"/>
        <v>1</v>
      </c>
    </row>
    <row r="6484" spans="1:5">
      <c r="A6484" s="59">
        <v>14</v>
      </c>
      <c r="B6484" s="59">
        <v>64</v>
      </c>
      <c r="C6484" s="59">
        <v>530</v>
      </c>
      <c r="D6484" s="51">
        <v>3407</v>
      </c>
      <c r="E6484" s="51">
        <f t="shared" si="101"/>
        <v>1</v>
      </c>
    </row>
    <row r="6485" spans="1:5">
      <c r="A6485" s="59">
        <v>14</v>
      </c>
      <c r="B6485" s="59">
        <v>71</v>
      </c>
      <c r="C6485" s="59">
        <v>510</v>
      </c>
      <c r="D6485" s="51">
        <v>3229</v>
      </c>
      <c r="E6485" s="51">
        <f t="shared" si="101"/>
        <v>1</v>
      </c>
    </row>
    <row r="6486" spans="1:5">
      <c r="A6486" s="59">
        <v>14</v>
      </c>
      <c r="B6486" s="59">
        <v>14</v>
      </c>
      <c r="C6486" s="59">
        <v>110</v>
      </c>
      <c r="D6486" s="51">
        <v>3088</v>
      </c>
      <c r="E6486" s="51">
        <f t="shared" si="101"/>
        <v>1</v>
      </c>
    </row>
    <row r="6487" spans="1:5">
      <c r="A6487" s="59">
        <v>14</v>
      </c>
      <c r="B6487" s="59">
        <v>23</v>
      </c>
      <c r="C6487" s="59">
        <v>910</v>
      </c>
      <c r="D6487" s="51">
        <v>3033</v>
      </c>
      <c r="E6487" s="51">
        <f t="shared" si="101"/>
        <v>1</v>
      </c>
    </row>
    <row r="6488" spans="1:5">
      <c r="A6488" s="59">
        <v>14</v>
      </c>
      <c r="B6488" s="59">
        <v>63</v>
      </c>
      <c r="C6488" s="59">
        <v>610</v>
      </c>
      <c r="D6488" s="51">
        <v>2863</v>
      </c>
      <c r="E6488" s="51">
        <f t="shared" si="101"/>
        <v>1</v>
      </c>
    </row>
    <row r="6489" spans="1:5">
      <c r="A6489" s="59">
        <v>14</v>
      </c>
      <c r="B6489" s="59">
        <v>14</v>
      </c>
      <c r="C6489" s="59">
        <v>140</v>
      </c>
      <c r="D6489" s="51">
        <v>2713</v>
      </c>
      <c r="E6489" s="51">
        <f t="shared" si="101"/>
        <v>1</v>
      </c>
    </row>
    <row r="6490" spans="1:5">
      <c r="A6490" s="59">
        <v>14</v>
      </c>
      <c r="B6490" s="59">
        <v>21</v>
      </c>
      <c r="C6490" s="59">
        <v>910</v>
      </c>
      <c r="D6490" s="51">
        <v>2463</v>
      </c>
      <c r="E6490" s="51">
        <f t="shared" si="101"/>
        <v>1</v>
      </c>
    </row>
    <row r="6491" spans="1:5">
      <c r="A6491" s="59">
        <v>14</v>
      </c>
      <c r="B6491" s="59">
        <v>64</v>
      </c>
      <c r="C6491" s="59">
        <v>893</v>
      </c>
      <c r="D6491" s="51">
        <v>2283</v>
      </c>
      <c r="E6491" s="51">
        <f t="shared" si="101"/>
        <v>1</v>
      </c>
    </row>
    <row r="6492" spans="1:5">
      <c r="A6492" s="59">
        <v>14</v>
      </c>
      <c r="B6492" s="59">
        <v>64</v>
      </c>
      <c r="C6492" s="59">
        <v>150</v>
      </c>
      <c r="D6492" s="51">
        <v>2243</v>
      </c>
      <c r="E6492" s="51">
        <f t="shared" si="101"/>
        <v>1</v>
      </c>
    </row>
    <row r="6493" spans="1:5">
      <c r="A6493" s="59">
        <v>14</v>
      </c>
      <c r="B6493" s="59">
        <v>43</v>
      </c>
      <c r="C6493" s="59">
        <v>610</v>
      </c>
      <c r="D6493" s="51">
        <v>2223</v>
      </c>
      <c r="E6493" s="51">
        <f t="shared" si="101"/>
        <v>1</v>
      </c>
    </row>
    <row r="6494" spans="1:5">
      <c r="A6494" s="59">
        <v>14</v>
      </c>
      <c r="B6494" s="59">
        <v>81</v>
      </c>
      <c r="C6494" s="59">
        <v>920</v>
      </c>
      <c r="D6494" s="51">
        <v>2135</v>
      </c>
      <c r="E6494" s="51">
        <f t="shared" si="101"/>
        <v>1</v>
      </c>
    </row>
    <row r="6495" spans="1:5">
      <c r="A6495" s="59">
        <v>14</v>
      </c>
      <c r="B6495" s="59">
        <v>64</v>
      </c>
      <c r="C6495" s="59">
        <v>160</v>
      </c>
      <c r="D6495" s="51">
        <v>2127</v>
      </c>
      <c r="E6495" s="51">
        <f t="shared" si="101"/>
        <v>1</v>
      </c>
    </row>
    <row r="6496" spans="1:5">
      <c r="A6496" s="59">
        <v>14</v>
      </c>
      <c r="B6496" s="59">
        <v>63</v>
      </c>
      <c r="C6496" s="59">
        <v>720</v>
      </c>
      <c r="D6496" s="51">
        <v>1953</v>
      </c>
      <c r="E6496" s="51">
        <f t="shared" si="101"/>
        <v>1</v>
      </c>
    </row>
    <row r="6497" spans="1:5">
      <c r="A6497" s="59">
        <v>14</v>
      </c>
      <c r="B6497" s="59">
        <v>13</v>
      </c>
      <c r="C6497" s="59">
        <v>110</v>
      </c>
      <c r="D6497" s="51">
        <v>1947</v>
      </c>
      <c r="E6497" s="51">
        <f t="shared" si="101"/>
        <v>1</v>
      </c>
    </row>
    <row r="6498" spans="1:5">
      <c r="A6498" s="59">
        <v>14</v>
      </c>
      <c r="B6498" s="59">
        <v>13</v>
      </c>
      <c r="C6498" s="59">
        <v>150</v>
      </c>
      <c r="D6498" s="51">
        <v>1941</v>
      </c>
      <c r="E6498" s="51">
        <f t="shared" si="101"/>
        <v>1</v>
      </c>
    </row>
    <row r="6499" spans="1:5">
      <c r="A6499" s="59">
        <v>14</v>
      </c>
      <c r="B6499" s="59">
        <v>43</v>
      </c>
      <c r="C6499" s="59">
        <v>720</v>
      </c>
      <c r="D6499" s="51">
        <v>1830</v>
      </c>
      <c r="E6499" s="51">
        <f t="shared" si="101"/>
        <v>1</v>
      </c>
    </row>
    <row r="6500" spans="1:5">
      <c r="A6500" s="59">
        <v>14</v>
      </c>
      <c r="B6500" s="59">
        <v>51</v>
      </c>
      <c r="C6500" s="59">
        <v>910</v>
      </c>
      <c r="D6500" s="51">
        <v>1826</v>
      </c>
      <c r="E6500" s="51">
        <f t="shared" si="101"/>
        <v>1</v>
      </c>
    </row>
    <row r="6501" spans="1:5">
      <c r="A6501" s="59">
        <v>14</v>
      </c>
      <c r="B6501" s="59">
        <v>14</v>
      </c>
      <c r="C6501" s="59">
        <v>160</v>
      </c>
      <c r="D6501" s="51">
        <v>1810</v>
      </c>
      <c r="E6501" s="51">
        <f t="shared" si="101"/>
        <v>1</v>
      </c>
    </row>
    <row r="6502" spans="1:5">
      <c r="A6502" s="59">
        <v>14</v>
      </c>
      <c r="B6502" s="59">
        <v>62</v>
      </c>
      <c r="C6502" s="59">
        <v>610</v>
      </c>
      <c r="D6502" s="51">
        <v>1675</v>
      </c>
      <c r="E6502" s="51">
        <f t="shared" si="101"/>
        <v>1</v>
      </c>
    </row>
    <row r="6503" spans="1:5">
      <c r="A6503" s="59">
        <v>14</v>
      </c>
      <c r="B6503" s="59">
        <v>43</v>
      </c>
      <c r="C6503" s="59">
        <v>530</v>
      </c>
      <c r="D6503" s="51">
        <v>1361</v>
      </c>
      <c r="E6503" s="51">
        <f t="shared" si="101"/>
        <v>1</v>
      </c>
    </row>
    <row r="6504" spans="1:5">
      <c r="A6504" s="59">
        <v>14</v>
      </c>
      <c r="B6504" s="59">
        <v>42</v>
      </c>
      <c r="C6504" s="59">
        <v>920</v>
      </c>
      <c r="D6504" s="51">
        <v>1297</v>
      </c>
      <c r="E6504" s="51">
        <f t="shared" si="101"/>
        <v>1</v>
      </c>
    </row>
    <row r="6505" spans="1:5">
      <c r="A6505" s="59">
        <v>14</v>
      </c>
      <c r="B6505" s="59">
        <v>44</v>
      </c>
      <c r="C6505" s="59">
        <v>510</v>
      </c>
      <c r="D6505" s="51">
        <v>1244</v>
      </c>
      <c r="E6505" s="51">
        <f t="shared" si="101"/>
        <v>1</v>
      </c>
    </row>
    <row r="6506" spans="1:5">
      <c r="A6506" s="59">
        <v>14</v>
      </c>
      <c r="B6506" s="59">
        <v>43</v>
      </c>
      <c r="C6506" s="59">
        <v>930</v>
      </c>
      <c r="D6506" s="51">
        <v>1232</v>
      </c>
      <c r="E6506" s="51">
        <f t="shared" si="101"/>
        <v>1</v>
      </c>
    </row>
    <row r="6507" spans="1:5">
      <c r="A6507" s="59">
        <v>14</v>
      </c>
      <c r="B6507" s="59">
        <v>64</v>
      </c>
      <c r="C6507" s="59">
        <v>730</v>
      </c>
      <c r="D6507" s="51">
        <v>1209</v>
      </c>
      <c r="E6507" s="51">
        <f t="shared" si="101"/>
        <v>1</v>
      </c>
    </row>
    <row r="6508" spans="1:5">
      <c r="A6508" s="59">
        <v>14</v>
      </c>
      <c r="B6508" s="59">
        <v>15</v>
      </c>
      <c r="C6508" s="59">
        <v>150</v>
      </c>
      <c r="D6508" s="51">
        <v>1207</v>
      </c>
      <c r="E6508" s="51">
        <f t="shared" si="101"/>
        <v>1</v>
      </c>
    </row>
    <row r="6509" spans="1:5">
      <c r="A6509" s="59">
        <v>14</v>
      </c>
      <c r="B6509" s="59">
        <v>63</v>
      </c>
      <c r="C6509" s="59">
        <v>530</v>
      </c>
      <c r="D6509" s="51">
        <v>1194</v>
      </c>
      <c r="E6509" s="51">
        <f t="shared" si="101"/>
        <v>1</v>
      </c>
    </row>
    <row r="6510" spans="1:5">
      <c r="A6510" s="59">
        <v>14</v>
      </c>
      <c r="B6510" s="59">
        <v>43</v>
      </c>
      <c r="C6510" s="59">
        <v>160</v>
      </c>
      <c r="D6510" s="51">
        <v>1147</v>
      </c>
      <c r="E6510" s="51">
        <f t="shared" si="101"/>
        <v>1</v>
      </c>
    </row>
    <row r="6511" spans="1:5">
      <c r="A6511" s="59">
        <v>14</v>
      </c>
      <c r="B6511" s="59">
        <v>22</v>
      </c>
      <c r="C6511" s="59">
        <v>210</v>
      </c>
      <c r="D6511" s="51">
        <v>1110</v>
      </c>
      <c r="E6511" s="51">
        <f t="shared" si="101"/>
        <v>1</v>
      </c>
    </row>
    <row r="6512" spans="1:5">
      <c r="A6512" s="59">
        <v>14</v>
      </c>
      <c r="B6512" s="59">
        <v>62</v>
      </c>
      <c r="C6512" s="59">
        <v>730</v>
      </c>
      <c r="D6512" s="51">
        <v>1083</v>
      </c>
      <c r="E6512" s="51">
        <f t="shared" si="101"/>
        <v>1</v>
      </c>
    </row>
    <row r="6513" spans="1:5">
      <c r="A6513" s="59">
        <v>14</v>
      </c>
      <c r="B6513" s="59">
        <v>71</v>
      </c>
      <c r="C6513" s="59">
        <v>720</v>
      </c>
      <c r="D6513" s="51">
        <v>1030</v>
      </c>
      <c r="E6513" s="51">
        <f t="shared" si="101"/>
        <v>1</v>
      </c>
    </row>
    <row r="6514" spans="1:5">
      <c r="A6514" s="59">
        <v>14</v>
      </c>
      <c r="B6514" s="59">
        <v>43</v>
      </c>
      <c r="C6514" s="59">
        <v>110</v>
      </c>
      <c r="D6514" s="51">
        <v>1024</v>
      </c>
      <c r="E6514" s="51">
        <f t="shared" si="101"/>
        <v>1</v>
      </c>
    </row>
    <row r="6515" spans="1:5">
      <c r="A6515" s="59">
        <v>14</v>
      </c>
      <c r="B6515" s="59">
        <v>31</v>
      </c>
      <c r="C6515" s="59">
        <v>910</v>
      </c>
      <c r="D6515" s="51">
        <v>1012</v>
      </c>
      <c r="E6515" s="51">
        <f t="shared" si="101"/>
        <v>1</v>
      </c>
    </row>
    <row r="6516" spans="1:5">
      <c r="A6516" s="59">
        <v>14</v>
      </c>
      <c r="B6516" s="59">
        <v>12</v>
      </c>
      <c r="C6516" s="59">
        <v>910</v>
      </c>
      <c r="D6516" s="51">
        <v>973</v>
      </c>
      <c r="E6516" s="51">
        <f t="shared" si="101"/>
        <v>1</v>
      </c>
    </row>
    <row r="6517" spans="1:5">
      <c r="A6517" s="59">
        <v>14</v>
      </c>
      <c r="B6517" s="59">
        <v>42</v>
      </c>
      <c r="C6517" s="59">
        <v>610</v>
      </c>
      <c r="D6517" s="51">
        <v>972</v>
      </c>
      <c r="E6517" s="51">
        <f t="shared" si="101"/>
        <v>1</v>
      </c>
    </row>
    <row r="6518" spans="1:5">
      <c r="A6518" s="59">
        <v>14</v>
      </c>
      <c r="B6518" s="59">
        <v>44</v>
      </c>
      <c r="C6518" s="59">
        <v>720</v>
      </c>
      <c r="D6518" s="51">
        <v>919</v>
      </c>
      <c r="E6518" s="51">
        <f t="shared" si="101"/>
        <v>1</v>
      </c>
    </row>
    <row r="6519" spans="1:5">
      <c r="A6519" s="59">
        <v>14</v>
      </c>
      <c r="B6519" s="59">
        <v>13</v>
      </c>
      <c r="C6519" s="59">
        <v>160</v>
      </c>
      <c r="D6519" s="51">
        <v>852</v>
      </c>
      <c r="E6519" s="51">
        <f t="shared" si="101"/>
        <v>1</v>
      </c>
    </row>
    <row r="6520" spans="1:5">
      <c r="A6520" s="59">
        <v>14</v>
      </c>
      <c r="B6520" s="59">
        <v>62</v>
      </c>
      <c r="C6520" s="59">
        <v>530</v>
      </c>
      <c r="D6520" s="51">
        <v>851</v>
      </c>
      <c r="E6520" s="51">
        <f t="shared" si="101"/>
        <v>1</v>
      </c>
    </row>
    <row r="6521" spans="1:5">
      <c r="A6521" s="59">
        <v>14</v>
      </c>
      <c r="B6521" s="59">
        <v>13</v>
      </c>
      <c r="C6521" s="59">
        <v>920</v>
      </c>
      <c r="D6521" s="51">
        <v>841</v>
      </c>
      <c r="E6521" s="51">
        <f t="shared" si="101"/>
        <v>1</v>
      </c>
    </row>
    <row r="6522" spans="1:5">
      <c r="A6522" s="59">
        <v>14</v>
      </c>
      <c r="B6522" s="59">
        <v>81</v>
      </c>
      <c r="C6522" s="59">
        <v>720</v>
      </c>
      <c r="D6522" s="51">
        <v>816</v>
      </c>
      <c r="E6522" s="51">
        <f t="shared" si="101"/>
        <v>1</v>
      </c>
    </row>
    <row r="6523" spans="1:5">
      <c r="A6523" s="59">
        <v>14</v>
      </c>
      <c r="B6523" s="59">
        <v>64</v>
      </c>
      <c r="C6523" s="59">
        <v>410</v>
      </c>
      <c r="D6523" s="51">
        <v>791</v>
      </c>
      <c r="E6523" s="51">
        <f t="shared" si="101"/>
        <v>1</v>
      </c>
    </row>
    <row r="6524" spans="1:5">
      <c r="A6524" s="59">
        <v>14</v>
      </c>
      <c r="B6524" s="59">
        <v>44</v>
      </c>
      <c r="C6524" s="59">
        <v>610</v>
      </c>
      <c r="D6524" s="51">
        <v>746</v>
      </c>
      <c r="E6524" s="51">
        <f t="shared" si="101"/>
        <v>1</v>
      </c>
    </row>
    <row r="6525" spans="1:5">
      <c r="A6525" s="59">
        <v>14</v>
      </c>
      <c r="B6525" s="59">
        <v>16</v>
      </c>
      <c r="C6525" s="59">
        <v>140</v>
      </c>
      <c r="D6525" s="51">
        <v>743</v>
      </c>
      <c r="E6525" s="51">
        <f t="shared" si="101"/>
        <v>1</v>
      </c>
    </row>
    <row r="6526" spans="1:5">
      <c r="A6526" s="59">
        <v>14</v>
      </c>
      <c r="B6526" s="59">
        <v>71</v>
      </c>
      <c r="C6526" s="59">
        <v>620</v>
      </c>
      <c r="D6526" s="51">
        <v>705</v>
      </c>
      <c r="E6526" s="51">
        <f t="shared" si="101"/>
        <v>1</v>
      </c>
    </row>
    <row r="6527" spans="1:5">
      <c r="A6527" s="59">
        <v>14</v>
      </c>
      <c r="B6527" s="59">
        <v>43</v>
      </c>
      <c r="C6527" s="59">
        <v>150</v>
      </c>
      <c r="D6527" s="51">
        <v>695</v>
      </c>
      <c r="E6527" s="51">
        <f t="shared" si="101"/>
        <v>1</v>
      </c>
    </row>
    <row r="6528" spans="1:5">
      <c r="A6528" s="59">
        <v>14</v>
      </c>
      <c r="B6528" s="59">
        <v>32</v>
      </c>
      <c r="C6528" s="59">
        <v>420</v>
      </c>
      <c r="D6528" s="51">
        <v>682</v>
      </c>
      <c r="E6528" s="51">
        <f t="shared" si="101"/>
        <v>1</v>
      </c>
    </row>
    <row r="6529" spans="1:5">
      <c r="A6529" s="59">
        <v>14</v>
      </c>
      <c r="B6529" s="59">
        <v>16</v>
      </c>
      <c r="C6529" s="59">
        <v>150</v>
      </c>
      <c r="D6529" s="51">
        <v>664</v>
      </c>
      <c r="E6529" s="51">
        <f t="shared" si="101"/>
        <v>1</v>
      </c>
    </row>
    <row r="6530" spans="1:5">
      <c r="A6530" s="59">
        <v>14</v>
      </c>
      <c r="B6530" s="59">
        <v>64</v>
      </c>
      <c r="C6530" s="59">
        <v>861</v>
      </c>
      <c r="D6530" s="51">
        <v>664</v>
      </c>
      <c r="E6530" s="51">
        <f t="shared" ref="E6530:E6593" si="102">IF(OR(A6530=6,A6530=7,A6530=14,A6530=15,A6530=16,A6530=17,A6530=18,A6530=19,A6530=20,A6530=21,A6530=22,A6530=23,A6530=25,A6530=26,A6530=27,A6530=28,B6530=41,B6530=44,B6530=62),1,0)</f>
        <v>1</v>
      </c>
    </row>
    <row r="6531" spans="1:5">
      <c r="A6531" s="59">
        <v>14</v>
      </c>
      <c r="B6531" s="59">
        <v>64</v>
      </c>
      <c r="C6531" s="59">
        <v>620</v>
      </c>
      <c r="D6531" s="51">
        <v>663</v>
      </c>
      <c r="E6531" s="51">
        <f t="shared" si="102"/>
        <v>1</v>
      </c>
    </row>
    <row r="6532" spans="1:5">
      <c r="A6532" s="59">
        <v>14</v>
      </c>
      <c r="B6532" s="59">
        <v>14</v>
      </c>
      <c r="C6532" s="59">
        <v>920</v>
      </c>
      <c r="D6532" s="51">
        <v>657</v>
      </c>
      <c r="E6532" s="51">
        <f t="shared" si="102"/>
        <v>1</v>
      </c>
    </row>
    <row r="6533" spans="1:5">
      <c r="A6533" s="59">
        <v>14</v>
      </c>
      <c r="B6533" s="59">
        <v>63</v>
      </c>
      <c r="C6533" s="59">
        <v>730</v>
      </c>
      <c r="D6533" s="51">
        <v>626</v>
      </c>
      <c r="E6533" s="51">
        <f t="shared" si="102"/>
        <v>1</v>
      </c>
    </row>
    <row r="6534" spans="1:5">
      <c r="A6534" s="59">
        <v>14</v>
      </c>
      <c r="B6534" s="59">
        <v>71</v>
      </c>
      <c r="C6534" s="59">
        <v>530</v>
      </c>
      <c r="D6534" s="51">
        <v>602</v>
      </c>
      <c r="E6534" s="51">
        <f t="shared" si="102"/>
        <v>1</v>
      </c>
    </row>
    <row r="6535" spans="1:5">
      <c r="A6535" s="59">
        <v>14</v>
      </c>
      <c r="B6535" s="59">
        <v>41</v>
      </c>
      <c r="C6535" s="59">
        <v>920</v>
      </c>
      <c r="D6535" s="51">
        <v>587</v>
      </c>
      <c r="E6535" s="51">
        <f t="shared" si="102"/>
        <v>1</v>
      </c>
    </row>
    <row r="6536" spans="1:5">
      <c r="A6536" s="59">
        <v>14</v>
      </c>
      <c r="B6536" s="59">
        <v>32</v>
      </c>
      <c r="C6536" s="59">
        <v>410</v>
      </c>
      <c r="D6536" s="51">
        <v>581</v>
      </c>
      <c r="E6536" s="51">
        <f t="shared" si="102"/>
        <v>1</v>
      </c>
    </row>
    <row r="6537" spans="1:5">
      <c r="A6537" s="59">
        <v>14</v>
      </c>
      <c r="B6537" s="59">
        <v>13</v>
      </c>
      <c r="C6537" s="59">
        <v>510</v>
      </c>
      <c r="D6537" s="51">
        <v>550</v>
      </c>
      <c r="E6537" s="51">
        <f t="shared" si="102"/>
        <v>1</v>
      </c>
    </row>
    <row r="6538" spans="1:5">
      <c r="A6538" s="59">
        <v>14</v>
      </c>
      <c r="B6538" s="59">
        <v>62</v>
      </c>
      <c r="C6538" s="59">
        <v>893</v>
      </c>
      <c r="D6538" s="51">
        <v>535</v>
      </c>
      <c r="E6538" s="51">
        <f t="shared" si="102"/>
        <v>1</v>
      </c>
    </row>
    <row r="6539" spans="1:5">
      <c r="A6539" s="59">
        <v>14</v>
      </c>
      <c r="B6539" s="59">
        <v>64</v>
      </c>
      <c r="C6539" s="59">
        <v>520</v>
      </c>
      <c r="D6539" s="51">
        <v>533</v>
      </c>
      <c r="E6539" s="51">
        <f t="shared" si="102"/>
        <v>1</v>
      </c>
    </row>
    <row r="6540" spans="1:5">
      <c r="A6540" s="59">
        <v>14</v>
      </c>
      <c r="B6540" s="59">
        <v>62</v>
      </c>
      <c r="C6540" s="59">
        <v>990</v>
      </c>
      <c r="D6540" s="51">
        <v>522</v>
      </c>
      <c r="E6540" s="51">
        <f t="shared" si="102"/>
        <v>1</v>
      </c>
    </row>
    <row r="6541" spans="1:5">
      <c r="A6541" s="59">
        <v>14</v>
      </c>
      <c r="B6541" s="59">
        <v>64</v>
      </c>
      <c r="C6541" s="59">
        <v>750</v>
      </c>
      <c r="D6541" s="51">
        <v>518</v>
      </c>
      <c r="E6541" s="51">
        <f t="shared" si="102"/>
        <v>1</v>
      </c>
    </row>
    <row r="6542" spans="1:5">
      <c r="A6542" s="59">
        <v>14</v>
      </c>
      <c r="B6542" s="59">
        <v>24</v>
      </c>
      <c r="C6542" s="59">
        <v>910</v>
      </c>
      <c r="D6542" s="51">
        <v>510</v>
      </c>
      <c r="E6542" s="51">
        <f t="shared" si="102"/>
        <v>1</v>
      </c>
    </row>
    <row r="6543" spans="1:5">
      <c r="A6543" s="59">
        <v>14</v>
      </c>
      <c r="B6543" s="59">
        <v>61</v>
      </c>
      <c r="C6543" s="59">
        <v>910</v>
      </c>
      <c r="D6543" s="51">
        <v>499</v>
      </c>
      <c r="E6543" s="51">
        <f t="shared" si="102"/>
        <v>1</v>
      </c>
    </row>
    <row r="6544" spans="1:5">
      <c r="A6544" s="59">
        <v>14</v>
      </c>
      <c r="B6544" s="59">
        <v>64</v>
      </c>
      <c r="C6544" s="59">
        <v>210</v>
      </c>
      <c r="D6544" s="51">
        <v>497</v>
      </c>
      <c r="E6544" s="51">
        <f t="shared" si="102"/>
        <v>1</v>
      </c>
    </row>
    <row r="6545" spans="1:5">
      <c r="A6545" s="59">
        <v>14</v>
      </c>
      <c r="B6545" s="59">
        <v>41</v>
      </c>
      <c r="C6545" s="59">
        <v>720</v>
      </c>
      <c r="D6545" s="51">
        <v>486</v>
      </c>
      <c r="E6545" s="51">
        <f t="shared" si="102"/>
        <v>1</v>
      </c>
    </row>
    <row r="6546" spans="1:5">
      <c r="A6546" s="59">
        <v>14</v>
      </c>
      <c r="B6546" s="59">
        <v>81</v>
      </c>
      <c r="C6546" s="59">
        <v>510</v>
      </c>
      <c r="D6546" s="51">
        <v>482</v>
      </c>
      <c r="E6546" s="51">
        <f t="shared" si="102"/>
        <v>1</v>
      </c>
    </row>
    <row r="6547" spans="1:5">
      <c r="A6547" s="59">
        <v>14</v>
      </c>
      <c r="B6547" s="59">
        <v>22</v>
      </c>
      <c r="C6547" s="59">
        <v>110</v>
      </c>
      <c r="D6547" s="51">
        <v>475</v>
      </c>
      <c r="E6547" s="51">
        <f t="shared" si="102"/>
        <v>1</v>
      </c>
    </row>
    <row r="6548" spans="1:5">
      <c r="A6548" s="59">
        <v>14</v>
      </c>
      <c r="B6548" s="59">
        <v>14</v>
      </c>
      <c r="C6548" s="59">
        <v>310</v>
      </c>
      <c r="D6548" s="51">
        <v>466</v>
      </c>
      <c r="E6548" s="51">
        <f t="shared" si="102"/>
        <v>1</v>
      </c>
    </row>
    <row r="6549" spans="1:5">
      <c r="A6549" s="59">
        <v>14</v>
      </c>
      <c r="B6549" s="59">
        <v>43</v>
      </c>
      <c r="C6549" s="59">
        <v>940</v>
      </c>
      <c r="D6549" s="51">
        <v>465</v>
      </c>
      <c r="E6549" s="51">
        <f t="shared" si="102"/>
        <v>1</v>
      </c>
    </row>
    <row r="6550" spans="1:5">
      <c r="A6550" s="59">
        <v>14</v>
      </c>
      <c r="B6550" s="59">
        <v>44</v>
      </c>
      <c r="C6550" s="59">
        <v>530</v>
      </c>
      <c r="D6550" s="51">
        <v>463</v>
      </c>
      <c r="E6550" s="51">
        <f t="shared" si="102"/>
        <v>1</v>
      </c>
    </row>
    <row r="6551" spans="1:5">
      <c r="A6551" s="59">
        <v>14</v>
      </c>
      <c r="B6551" s="59">
        <v>22</v>
      </c>
      <c r="C6551" s="59">
        <v>310</v>
      </c>
      <c r="D6551" s="51">
        <v>462</v>
      </c>
      <c r="E6551" s="51">
        <f t="shared" si="102"/>
        <v>1</v>
      </c>
    </row>
    <row r="6552" spans="1:5">
      <c r="A6552" s="59">
        <v>14</v>
      </c>
      <c r="B6552" s="59">
        <v>62</v>
      </c>
      <c r="C6552" s="59">
        <v>750</v>
      </c>
      <c r="D6552" s="51">
        <v>458</v>
      </c>
      <c r="E6552" s="51">
        <f t="shared" si="102"/>
        <v>1</v>
      </c>
    </row>
    <row r="6553" spans="1:5">
      <c r="A6553" s="59">
        <v>14</v>
      </c>
      <c r="B6553" s="59">
        <v>44</v>
      </c>
      <c r="C6553" s="59">
        <v>893</v>
      </c>
      <c r="D6553" s="51">
        <v>457</v>
      </c>
      <c r="E6553" s="51">
        <f t="shared" si="102"/>
        <v>1</v>
      </c>
    </row>
    <row r="6554" spans="1:5">
      <c r="A6554" s="59">
        <v>14</v>
      </c>
      <c r="B6554" s="59">
        <v>14</v>
      </c>
      <c r="C6554" s="59">
        <v>210</v>
      </c>
      <c r="D6554" s="51">
        <v>440</v>
      </c>
      <c r="E6554" s="51">
        <f t="shared" si="102"/>
        <v>1</v>
      </c>
    </row>
    <row r="6555" spans="1:5">
      <c r="A6555" s="59">
        <v>14</v>
      </c>
      <c r="B6555" s="59">
        <v>15</v>
      </c>
      <c r="C6555" s="59">
        <v>110</v>
      </c>
      <c r="D6555" s="51">
        <v>438</v>
      </c>
      <c r="E6555" s="51">
        <f t="shared" si="102"/>
        <v>1</v>
      </c>
    </row>
    <row r="6556" spans="1:5">
      <c r="A6556" s="59">
        <v>14</v>
      </c>
      <c r="B6556" s="59">
        <v>22</v>
      </c>
      <c r="C6556" s="59">
        <v>230</v>
      </c>
      <c r="D6556" s="51">
        <v>426</v>
      </c>
      <c r="E6556" s="51">
        <f t="shared" si="102"/>
        <v>1</v>
      </c>
    </row>
    <row r="6557" spans="1:5">
      <c r="A6557" s="59">
        <v>14</v>
      </c>
      <c r="B6557" s="59">
        <v>22</v>
      </c>
      <c r="C6557" s="59">
        <v>150</v>
      </c>
      <c r="D6557" s="51">
        <v>423</v>
      </c>
      <c r="E6557" s="51">
        <f t="shared" si="102"/>
        <v>1</v>
      </c>
    </row>
    <row r="6558" spans="1:5">
      <c r="A6558" s="59">
        <v>14</v>
      </c>
      <c r="B6558" s="59">
        <v>43</v>
      </c>
      <c r="C6558" s="59">
        <v>893</v>
      </c>
      <c r="D6558" s="51">
        <v>414</v>
      </c>
      <c r="E6558" s="51">
        <f t="shared" si="102"/>
        <v>1</v>
      </c>
    </row>
    <row r="6559" spans="1:5">
      <c r="A6559" s="59">
        <v>14</v>
      </c>
      <c r="B6559" s="59">
        <v>43</v>
      </c>
      <c r="C6559" s="59">
        <v>210</v>
      </c>
      <c r="D6559" s="51">
        <v>410</v>
      </c>
      <c r="E6559" s="51">
        <f t="shared" si="102"/>
        <v>1</v>
      </c>
    </row>
    <row r="6560" spans="1:5">
      <c r="A6560" s="59">
        <v>14</v>
      </c>
      <c r="B6560" s="59">
        <v>63</v>
      </c>
      <c r="C6560" s="59">
        <v>750</v>
      </c>
      <c r="D6560" s="51">
        <v>402</v>
      </c>
      <c r="E6560" s="51">
        <f t="shared" si="102"/>
        <v>1</v>
      </c>
    </row>
    <row r="6561" spans="1:5">
      <c r="A6561" s="59">
        <v>14</v>
      </c>
      <c r="B6561" s="59">
        <v>14</v>
      </c>
      <c r="C6561" s="59">
        <v>330</v>
      </c>
      <c r="D6561" s="51">
        <v>353</v>
      </c>
      <c r="E6561" s="51">
        <f t="shared" si="102"/>
        <v>1</v>
      </c>
    </row>
    <row r="6562" spans="1:5">
      <c r="A6562" s="59">
        <v>14</v>
      </c>
      <c r="B6562" s="59">
        <v>43</v>
      </c>
      <c r="C6562" s="59">
        <v>620</v>
      </c>
      <c r="D6562" s="51">
        <v>353</v>
      </c>
      <c r="E6562" s="51">
        <f t="shared" si="102"/>
        <v>1</v>
      </c>
    </row>
    <row r="6563" spans="1:5">
      <c r="A6563" s="59">
        <v>14</v>
      </c>
      <c r="B6563" s="59">
        <v>71</v>
      </c>
      <c r="C6563" s="59">
        <v>520</v>
      </c>
      <c r="D6563" s="51">
        <v>353</v>
      </c>
      <c r="E6563" s="51">
        <f t="shared" si="102"/>
        <v>1</v>
      </c>
    </row>
    <row r="6564" spans="1:5">
      <c r="A6564" s="59">
        <v>14</v>
      </c>
      <c r="B6564" s="59">
        <v>22</v>
      </c>
      <c r="C6564" s="59">
        <v>240</v>
      </c>
      <c r="D6564" s="51">
        <v>349</v>
      </c>
      <c r="E6564" s="51">
        <f t="shared" si="102"/>
        <v>1</v>
      </c>
    </row>
    <row r="6565" spans="1:5">
      <c r="A6565" s="59">
        <v>14</v>
      </c>
      <c r="B6565" s="59">
        <v>14</v>
      </c>
      <c r="C6565" s="59">
        <v>930</v>
      </c>
      <c r="D6565" s="51">
        <v>348</v>
      </c>
      <c r="E6565" s="51">
        <f t="shared" si="102"/>
        <v>1</v>
      </c>
    </row>
    <row r="6566" spans="1:5">
      <c r="A6566" s="59">
        <v>14</v>
      </c>
      <c r="B6566" s="59">
        <v>63</v>
      </c>
      <c r="C6566" s="59">
        <v>620</v>
      </c>
      <c r="D6566" s="51">
        <v>343</v>
      </c>
      <c r="E6566" s="51">
        <f t="shared" si="102"/>
        <v>1</v>
      </c>
    </row>
    <row r="6567" spans="1:5">
      <c r="A6567" s="59">
        <v>14</v>
      </c>
      <c r="B6567" s="59">
        <v>81</v>
      </c>
      <c r="C6567" s="59">
        <v>990</v>
      </c>
      <c r="D6567" s="51">
        <v>341</v>
      </c>
      <c r="E6567" s="51">
        <f t="shared" si="102"/>
        <v>1</v>
      </c>
    </row>
    <row r="6568" spans="1:5">
      <c r="A6568" s="59">
        <v>14</v>
      </c>
      <c r="B6568" s="59">
        <v>14</v>
      </c>
      <c r="C6568" s="59">
        <v>510</v>
      </c>
      <c r="D6568" s="51">
        <v>337</v>
      </c>
      <c r="E6568" s="51">
        <f t="shared" si="102"/>
        <v>1</v>
      </c>
    </row>
    <row r="6569" spans="1:5">
      <c r="A6569" s="59">
        <v>14</v>
      </c>
      <c r="B6569" s="59">
        <v>21</v>
      </c>
      <c r="C6569" s="59">
        <v>140</v>
      </c>
      <c r="D6569" s="51">
        <v>332</v>
      </c>
      <c r="E6569" s="51">
        <f t="shared" si="102"/>
        <v>1</v>
      </c>
    </row>
    <row r="6570" spans="1:5">
      <c r="A6570" s="59">
        <v>14</v>
      </c>
      <c r="B6570" s="59">
        <v>44</v>
      </c>
      <c r="C6570" s="59">
        <v>930</v>
      </c>
      <c r="D6570" s="51">
        <v>323</v>
      </c>
      <c r="E6570" s="51">
        <f t="shared" si="102"/>
        <v>1</v>
      </c>
    </row>
    <row r="6571" spans="1:5">
      <c r="A6571" s="59">
        <v>14</v>
      </c>
      <c r="B6571" s="59">
        <v>43</v>
      </c>
      <c r="C6571" s="59">
        <v>730</v>
      </c>
      <c r="D6571" s="51">
        <v>322</v>
      </c>
      <c r="E6571" s="51">
        <f t="shared" si="102"/>
        <v>1</v>
      </c>
    </row>
    <row r="6572" spans="1:5">
      <c r="A6572" s="59">
        <v>14</v>
      </c>
      <c r="B6572" s="59">
        <v>43</v>
      </c>
      <c r="C6572" s="59">
        <v>990</v>
      </c>
      <c r="D6572" s="51">
        <v>320</v>
      </c>
      <c r="E6572" s="51">
        <f t="shared" si="102"/>
        <v>1</v>
      </c>
    </row>
    <row r="6573" spans="1:5">
      <c r="A6573" s="59">
        <v>14</v>
      </c>
      <c r="B6573" s="59">
        <v>43</v>
      </c>
      <c r="C6573" s="59">
        <v>520</v>
      </c>
      <c r="D6573" s="51">
        <v>315</v>
      </c>
      <c r="E6573" s="51">
        <f t="shared" si="102"/>
        <v>1</v>
      </c>
    </row>
    <row r="6574" spans="1:5">
      <c r="A6574" s="59">
        <v>14</v>
      </c>
      <c r="B6574" s="59">
        <v>63</v>
      </c>
      <c r="C6574" s="59">
        <v>110</v>
      </c>
      <c r="D6574" s="51">
        <v>312</v>
      </c>
      <c r="E6574" s="51">
        <f t="shared" si="102"/>
        <v>1</v>
      </c>
    </row>
    <row r="6575" spans="1:5">
      <c r="A6575" s="59">
        <v>14</v>
      </c>
      <c r="B6575" s="59">
        <v>64</v>
      </c>
      <c r="C6575" s="59">
        <v>990</v>
      </c>
      <c r="D6575" s="51">
        <v>312</v>
      </c>
      <c r="E6575" s="51">
        <f t="shared" si="102"/>
        <v>1</v>
      </c>
    </row>
    <row r="6576" spans="1:5">
      <c r="A6576" s="59">
        <v>14</v>
      </c>
      <c r="B6576" s="59">
        <v>43</v>
      </c>
      <c r="C6576" s="59">
        <v>230</v>
      </c>
      <c r="D6576" s="51">
        <v>309</v>
      </c>
      <c r="E6576" s="51">
        <f t="shared" si="102"/>
        <v>1</v>
      </c>
    </row>
    <row r="6577" spans="1:5">
      <c r="A6577" s="59">
        <v>14</v>
      </c>
      <c r="B6577" s="59">
        <v>81</v>
      </c>
      <c r="C6577" s="59">
        <v>730</v>
      </c>
      <c r="D6577" s="51">
        <v>307</v>
      </c>
      <c r="E6577" s="51">
        <f t="shared" si="102"/>
        <v>1</v>
      </c>
    </row>
    <row r="6578" spans="1:5">
      <c r="A6578" s="59">
        <v>14</v>
      </c>
      <c r="B6578" s="59">
        <v>43</v>
      </c>
      <c r="C6578" s="59">
        <v>895</v>
      </c>
      <c r="D6578" s="51">
        <v>303</v>
      </c>
      <c r="E6578" s="51">
        <f t="shared" si="102"/>
        <v>1</v>
      </c>
    </row>
    <row r="6579" spans="1:5">
      <c r="A6579" s="59">
        <v>14</v>
      </c>
      <c r="B6579" s="59">
        <v>13</v>
      </c>
      <c r="C6579" s="59">
        <v>930</v>
      </c>
      <c r="D6579" s="51">
        <v>298</v>
      </c>
      <c r="E6579" s="51">
        <f t="shared" si="102"/>
        <v>1</v>
      </c>
    </row>
    <row r="6580" spans="1:5">
      <c r="A6580" s="59">
        <v>14</v>
      </c>
      <c r="B6580" s="59">
        <v>42</v>
      </c>
      <c r="C6580" s="59">
        <v>510</v>
      </c>
      <c r="D6580" s="51">
        <v>292</v>
      </c>
      <c r="E6580" s="51">
        <f t="shared" si="102"/>
        <v>1</v>
      </c>
    </row>
    <row r="6581" spans="1:5">
      <c r="A6581" s="59">
        <v>14</v>
      </c>
      <c r="B6581" s="59">
        <v>14</v>
      </c>
      <c r="C6581" s="59">
        <v>950</v>
      </c>
      <c r="D6581" s="51">
        <v>281</v>
      </c>
      <c r="E6581" s="51">
        <f t="shared" si="102"/>
        <v>1</v>
      </c>
    </row>
    <row r="6582" spans="1:5">
      <c r="A6582" s="59">
        <v>14</v>
      </c>
      <c r="B6582" s="59">
        <v>43</v>
      </c>
      <c r="C6582" s="59">
        <v>950</v>
      </c>
      <c r="D6582" s="51">
        <v>275</v>
      </c>
      <c r="E6582" s="51">
        <f t="shared" si="102"/>
        <v>1</v>
      </c>
    </row>
    <row r="6583" spans="1:5">
      <c r="A6583" s="59">
        <v>14</v>
      </c>
      <c r="B6583" s="59">
        <v>63</v>
      </c>
      <c r="C6583" s="59">
        <v>893</v>
      </c>
      <c r="D6583" s="51">
        <v>271</v>
      </c>
      <c r="E6583" s="51">
        <f t="shared" si="102"/>
        <v>1</v>
      </c>
    </row>
    <row r="6584" spans="1:5">
      <c r="A6584" s="59">
        <v>14</v>
      </c>
      <c r="B6584" s="59">
        <v>16</v>
      </c>
      <c r="C6584" s="59">
        <v>110</v>
      </c>
      <c r="D6584" s="51">
        <v>251</v>
      </c>
      <c r="E6584" s="51">
        <f t="shared" si="102"/>
        <v>1</v>
      </c>
    </row>
    <row r="6585" spans="1:5">
      <c r="A6585" s="59">
        <v>14</v>
      </c>
      <c r="B6585" s="59">
        <v>64</v>
      </c>
      <c r="C6585" s="59">
        <v>310</v>
      </c>
      <c r="D6585" s="51">
        <v>247</v>
      </c>
      <c r="E6585" s="51">
        <f t="shared" si="102"/>
        <v>1</v>
      </c>
    </row>
    <row r="6586" spans="1:5">
      <c r="A6586" s="59">
        <v>14</v>
      </c>
      <c r="B6586" s="59">
        <v>64</v>
      </c>
      <c r="C6586" s="59">
        <v>220</v>
      </c>
      <c r="D6586" s="51">
        <v>242</v>
      </c>
      <c r="E6586" s="51">
        <f t="shared" si="102"/>
        <v>1</v>
      </c>
    </row>
    <row r="6587" spans="1:5">
      <c r="A6587" s="59">
        <v>14</v>
      </c>
      <c r="B6587" s="59">
        <v>81</v>
      </c>
      <c r="C6587" s="59">
        <v>610</v>
      </c>
      <c r="D6587" s="51">
        <v>240</v>
      </c>
      <c r="E6587" s="51">
        <f t="shared" si="102"/>
        <v>1</v>
      </c>
    </row>
    <row r="6588" spans="1:5">
      <c r="A6588" s="59">
        <v>14</v>
      </c>
      <c r="B6588" s="59">
        <v>64</v>
      </c>
      <c r="C6588" s="59">
        <v>420</v>
      </c>
      <c r="D6588" s="51">
        <v>235</v>
      </c>
      <c r="E6588" s="51">
        <f t="shared" si="102"/>
        <v>1</v>
      </c>
    </row>
    <row r="6589" spans="1:5">
      <c r="A6589" s="59">
        <v>14</v>
      </c>
      <c r="B6589" s="59">
        <v>71</v>
      </c>
      <c r="C6589" s="59">
        <v>893</v>
      </c>
      <c r="D6589" s="51">
        <v>234</v>
      </c>
      <c r="E6589" s="51">
        <f t="shared" si="102"/>
        <v>1</v>
      </c>
    </row>
    <row r="6590" spans="1:5">
      <c r="A6590" s="59">
        <v>14</v>
      </c>
      <c r="B6590" s="59">
        <v>62</v>
      </c>
      <c r="C6590" s="59">
        <v>110</v>
      </c>
      <c r="D6590" s="51">
        <v>233</v>
      </c>
      <c r="E6590" s="51">
        <f t="shared" si="102"/>
        <v>1</v>
      </c>
    </row>
    <row r="6591" spans="1:5">
      <c r="A6591" s="59">
        <v>14</v>
      </c>
      <c r="B6591" s="59">
        <v>14</v>
      </c>
      <c r="C6591" s="59">
        <v>320</v>
      </c>
      <c r="D6591" s="51">
        <v>232</v>
      </c>
      <c r="E6591" s="51">
        <f t="shared" si="102"/>
        <v>1</v>
      </c>
    </row>
    <row r="6592" spans="1:5">
      <c r="A6592" s="59">
        <v>14</v>
      </c>
      <c r="B6592" s="59">
        <v>64</v>
      </c>
      <c r="C6592" s="59">
        <v>440</v>
      </c>
      <c r="D6592" s="51">
        <v>228</v>
      </c>
      <c r="E6592" s="51">
        <f t="shared" si="102"/>
        <v>1</v>
      </c>
    </row>
    <row r="6593" spans="1:5">
      <c r="A6593" s="59">
        <v>14</v>
      </c>
      <c r="B6593" s="59">
        <v>62</v>
      </c>
      <c r="C6593" s="59">
        <v>710</v>
      </c>
      <c r="D6593" s="51">
        <v>227</v>
      </c>
      <c r="E6593" s="51">
        <f t="shared" si="102"/>
        <v>1</v>
      </c>
    </row>
    <row r="6594" spans="1:5">
      <c r="A6594" s="59">
        <v>14</v>
      </c>
      <c r="B6594" s="59">
        <v>64</v>
      </c>
      <c r="C6594" s="59">
        <v>930</v>
      </c>
      <c r="D6594" s="51">
        <v>225</v>
      </c>
      <c r="E6594" s="51">
        <f t="shared" ref="E6594:E6657" si="103">IF(OR(A6594=6,A6594=7,A6594=14,A6594=15,A6594=16,A6594=17,A6594=18,A6594=19,A6594=20,A6594=21,A6594=22,A6594=23,A6594=25,A6594=26,A6594=27,A6594=28,B6594=41,B6594=44,B6594=62),1,0)</f>
        <v>1</v>
      </c>
    </row>
    <row r="6595" spans="1:5">
      <c r="A6595" s="59">
        <v>14</v>
      </c>
      <c r="B6595" s="59">
        <v>15</v>
      </c>
      <c r="C6595" s="59">
        <v>160</v>
      </c>
      <c r="D6595" s="51">
        <v>221</v>
      </c>
      <c r="E6595" s="51">
        <f t="shared" si="103"/>
        <v>1</v>
      </c>
    </row>
    <row r="6596" spans="1:5">
      <c r="A6596" s="59">
        <v>14</v>
      </c>
      <c r="B6596" s="59">
        <v>71</v>
      </c>
      <c r="C6596" s="59">
        <v>110</v>
      </c>
      <c r="D6596" s="51">
        <v>221</v>
      </c>
      <c r="E6596" s="51">
        <f t="shared" si="103"/>
        <v>1</v>
      </c>
    </row>
    <row r="6597" spans="1:5">
      <c r="A6597" s="59">
        <v>14</v>
      </c>
      <c r="B6597" s="59">
        <v>81</v>
      </c>
      <c r="C6597" s="59">
        <v>530</v>
      </c>
      <c r="D6597" s="51">
        <v>220</v>
      </c>
      <c r="E6597" s="51">
        <f t="shared" si="103"/>
        <v>1</v>
      </c>
    </row>
    <row r="6598" spans="1:5">
      <c r="A6598" s="59">
        <v>14</v>
      </c>
      <c r="B6598" s="59">
        <v>13</v>
      </c>
      <c r="C6598" s="59">
        <v>610</v>
      </c>
      <c r="D6598" s="51">
        <v>214</v>
      </c>
      <c r="E6598" s="51">
        <f t="shared" si="103"/>
        <v>1</v>
      </c>
    </row>
    <row r="6599" spans="1:5">
      <c r="A6599" s="59">
        <v>14</v>
      </c>
      <c r="B6599" s="59">
        <v>22</v>
      </c>
      <c r="C6599" s="59">
        <v>140</v>
      </c>
      <c r="D6599" s="51">
        <v>206</v>
      </c>
      <c r="E6599" s="51">
        <f t="shared" si="103"/>
        <v>1</v>
      </c>
    </row>
    <row r="6600" spans="1:5">
      <c r="A6600" s="59">
        <v>14</v>
      </c>
      <c r="B6600" s="59">
        <v>64</v>
      </c>
      <c r="C6600" s="59">
        <v>710</v>
      </c>
      <c r="D6600" s="51">
        <v>205</v>
      </c>
      <c r="E6600" s="51">
        <f t="shared" si="103"/>
        <v>1</v>
      </c>
    </row>
    <row r="6601" spans="1:5">
      <c r="A6601" s="59">
        <v>14</v>
      </c>
      <c r="B6601" s="59">
        <v>14</v>
      </c>
      <c r="C6601" s="59">
        <v>230</v>
      </c>
      <c r="D6601" s="51">
        <v>203</v>
      </c>
      <c r="E6601" s="51">
        <f t="shared" si="103"/>
        <v>1</v>
      </c>
    </row>
    <row r="6602" spans="1:5">
      <c r="A6602" s="59">
        <v>14</v>
      </c>
      <c r="B6602" s="59">
        <v>64</v>
      </c>
      <c r="C6602" s="59">
        <v>950</v>
      </c>
      <c r="D6602" s="51">
        <v>203</v>
      </c>
      <c r="E6602" s="51">
        <f t="shared" si="103"/>
        <v>1</v>
      </c>
    </row>
    <row r="6603" spans="1:5">
      <c r="A6603" s="59">
        <v>14</v>
      </c>
      <c r="B6603" s="59">
        <v>64</v>
      </c>
      <c r="C6603" s="59">
        <v>430</v>
      </c>
      <c r="D6603" s="51">
        <v>202</v>
      </c>
      <c r="E6603" s="51">
        <f t="shared" si="103"/>
        <v>1</v>
      </c>
    </row>
    <row r="6604" spans="1:5">
      <c r="A6604" s="59">
        <v>14</v>
      </c>
      <c r="B6604" s="59">
        <v>14</v>
      </c>
      <c r="C6604" s="59">
        <v>130</v>
      </c>
      <c r="D6604" s="51">
        <v>200</v>
      </c>
      <c r="E6604" s="51">
        <f t="shared" si="103"/>
        <v>1</v>
      </c>
    </row>
    <row r="6605" spans="1:5">
      <c r="A6605" s="59">
        <v>14</v>
      </c>
      <c r="B6605" s="59">
        <v>22</v>
      </c>
      <c r="C6605" s="59">
        <v>160</v>
      </c>
      <c r="D6605" s="51">
        <v>195</v>
      </c>
      <c r="E6605" s="51">
        <f t="shared" si="103"/>
        <v>1</v>
      </c>
    </row>
    <row r="6606" spans="1:5">
      <c r="A6606" s="59">
        <v>14</v>
      </c>
      <c r="B6606" s="59">
        <v>41</v>
      </c>
      <c r="C6606" s="59">
        <v>510</v>
      </c>
      <c r="D6606" s="51">
        <v>193</v>
      </c>
      <c r="E6606" s="51">
        <f t="shared" si="103"/>
        <v>1</v>
      </c>
    </row>
    <row r="6607" spans="1:5">
      <c r="A6607" s="59">
        <v>14</v>
      </c>
      <c r="B6607" s="59">
        <v>64</v>
      </c>
      <c r="C6607" s="59">
        <v>230</v>
      </c>
      <c r="D6607" s="51">
        <v>188</v>
      </c>
      <c r="E6607" s="51">
        <f t="shared" si="103"/>
        <v>1</v>
      </c>
    </row>
    <row r="6608" spans="1:5">
      <c r="A6608" s="59">
        <v>14</v>
      </c>
      <c r="B6608" s="59">
        <v>13</v>
      </c>
      <c r="C6608" s="59">
        <v>950</v>
      </c>
      <c r="D6608" s="51">
        <v>186</v>
      </c>
      <c r="E6608" s="51">
        <f t="shared" si="103"/>
        <v>1</v>
      </c>
    </row>
    <row r="6609" spans="1:5">
      <c r="A6609" s="59">
        <v>14</v>
      </c>
      <c r="B6609" s="59">
        <v>71</v>
      </c>
      <c r="C6609" s="59">
        <v>730</v>
      </c>
      <c r="D6609" s="51">
        <v>184</v>
      </c>
      <c r="E6609" s="51">
        <f t="shared" si="103"/>
        <v>1</v>
      </c>
    </row>
    <row r="6610" spans="1:5">
      <c r="A6610" s="59">
        <v>14</v>
      </c>
      <c r="B6610" s="59">
        <v>43</v>
      </c>
      <c r="C6610" s="59">
        <v>430</v>
      </c>
      <c r="D6610" s="51">
        <v>181</v>
      </c>
      <c r="E6610" s="51">
        <f t="shared" si="103"/>
        <v>1</v>
      </c>
    </row>
    <row r="6611" spans="1:5">
      <c r="A6611" s="59">
        <v>14</v>
      </c>
      <c r="B6611" s="59">
        <v>22</v>
      </c>
      <c r="C6611" s="59">
        <v>930</v>
      </c>
      <c r="D6611" s="51">
        <v>180</v>
      </c>
      <c r="E6611" s="51">
        <f t="shared" si="103"/>
        <v>1</v>
      </c>
    </row>
    <row r="6612" spans="1:5">
      <c r="A6612" s="59">
        <v>14</v>
      </c>
      <c r="B6612" s="59">
        <v>43</v>
      </c>
      <c r="C6612" s="59">
        <v>410</v>
      </c>
      <c r="D6612" s="51">
        <v>180</v>
      </c>
      <c r="E6612" s="51">
        <f t="shared" si="103"/>
        <v>1</v>
      </c>
    </row>
    <row r="6613" spans="1:5">
      <c r="A6613" s="59">
        <v>14</v>
      </c>
      <c r="B6613" s="59">
        <v>43</v>
      </c>
      <c r="C6613" s="59">
        <v>861</v>
      </c>
      <c r="D6613" s="51">
        <v>178</v>
      </c>
      <c r="E6613" s="51">
        <f t="shared" si="103"/>
        <v>1</v>
      </c>
    </row>
    <row r="6614" spans="1:5">
      <c r="A6614" s="59">
        <v>14</v>
      </c>
      <c r="B6614" s="59">
        <v>44</v>
      </c>
      <c r="C6614" s="59">
        <v>892</v>
      </c>
      <c r="D6614" s="51">
        <v>178</v>
      </c>
      <c r="E6614" s="51">
        <f t="shared" si="103"/>
        <v>1</v>
      </c>
    </row>
    <row r="6615" spans="1:5">
      <c r="A6615" s="59">
        <v>14</v>
      </c>
      <c r="B6615" s="59">
        <v>13</v>
      </c>
      <c r="C6615" s="59">
        <v>530</v>
      </c>
      <c r="D6615" s="51">
        <v>177</v>
      </c>
      <c r="E6615" s="51">
        <f t="shared" si="103"/>
        <v>1</v>
      </c>
    </row>
    <row r="6616" spans="1:5">
      <c r="A6616" s="59">
        <v>14</v>
      </c>
      <c r="B6616" s="59">
        <v>64</v>
      </c>
      <c r="C6616" s="59">
        <v>240</v>
      </c>
      <c r="D6616" s="51">
        <v>177</v>
      </c>
      <c r="E6616" s="51">
        <f t="shared" si="103"/>
        <v>1</v>
      </c>
    </row>
    <row r="6617" spans="1:5">
      <c r="A6617" s="59">
        <v>14</v>
      </c>
      <c r="B6617" s="59">
        <v>16</v>
      </c>
      <c r="C6617" s="59">
        <v>210</v>
      </c>
      <c r="D6617" s="51">
        <v>169</v>
      </c>
      <c r="E6617" s="51">
        <f t="shared" si="103"/>
        <v>1</v>
      </c>
    </row>
    <row r="6618" spans="1:5">
      <c r="A6618" s="59">
        <v>14</v>
      </c>
      <c r="B6618" s="59">
        <v>63</v>
      </c>
      <c r="C6618" s="59">
        <v>520</v>
      </c>
      <c r="D6618" s="51">
        <v>165</v>
      </c>
      <c r="E6618" s="51">
        <f t="shared" si="103"/>
        <v>1</v>
      </c>
    </row>
    <row r="6619" spans="1:5">
      <c r="A6619" s="59">
        <v>14</v>
      </c>
      <c r="B6619" s="59">
        <v>63</v>
      </c>
      <c r="C6619" s="59">
        <v>160</v>
      </c>
      <c r="D6619" s="51">
        <v>157</v>
      </c>
      <c r="E6619" s="51">
        <f t="shared" si="103"/>
        <v>1</v>
      </c>
    </row>
    <row r="6620" spans="1:5">
      <c r="A6620" s="59">
        <v>14</v>
      </c>
      <c r="B6620" s="59">
        <v>13</v>
      </c>
      <c r="C6620" s="59">
        <v>210</v>
      </c>
      <c r="D6620" s="51">
        <v>154</v>
      </c>
      <c r="E6620" s="51">
        <f t="shared" si="103"/>
        <v>1</v>
      </c>
    </row>
    <row r="6621" spans="1:5">
      <c r="A6621" s="59">
        <v>14</v>
      </c>
      <c r="B6621" s="59">
        <v>13</v>
      </c>
      <c r="C6621" s="59">
        <v>310</v>
      </c>
      <c r="D6621" s="51">
        <v>150</v>
      </c>
      <c r="E6621" s="51">
        <f t="shared" si="103"/>
        <v>1</v>
      </c>
    </row>
    <row r="6622" spans="1:5">
      <c r="A6622" s="59">
        <v>14</v>
      </c>
      <c r="B6622" s="59">
        <v>14</v>
      </c>
      <c r="C6622" s="59">
        <v>240</v>
      </c>
      <c r="D6622" s="51">
        <v>150</v>
      </c>
      <c r="E6622" s="51">
        <f t="shared" si="103"/>
        <v>1</v>
      </c>
    </row>
    <row r="6623" spans="1:5">
      <c r="A6623" s="59">
        <v>14</v>
      </c>
      <c r="B6623" s="59">
        <v>22</v>
      </c>
      <c r="C6623" s="59">
        <v>950</v>
      </c>
      <c r="D6623" s="51">
        <v>150</v>
      </c>
      <c r="E6623" s="51">
        <f t="shared" si="103"/>
        <v>1</v>
      </c>
    </row>
    <row r="6624" spans="1:5">
      <c r="A6624" s="59">
        <v>14</v>
      </c>
      <c r="B6624" s="59">
        <v>71</v>
      </c>
      <c r="C6624" s="59">
        <v>160</v>
      </c>
      <c r="D6624" s="51">
        <v>150</v>
      </c>
      <c r="E6624" s="51">
        <f t="shared" si="103"/>
        <v>1</v>
      </c>
    </row>
    <row r="6625" spans="1:5">
      <c r="A6625" s="59">
        <v>14</v>
      </c>
      <c r="B6625" s="59">
        <v>62</v>
      </c>
      <c r="C6625" s="59">
        <v>160</v>
      </c>
      <c r="D6625" s="51">
        <v>148</v>
      </c>
      <c r="E6625" s="51">
        <f t="shared" si="103"/>
        <v>1</v>
      </c>
    </row>
    <row r="6626" spans="1:5">
      <c r="A6626" s="59">
        <v>14</v>
      </c>
      <c r="B6626" s="59">
        <v>22</v>
      </c>
      <c r="C6626" s="59">
        <v>920</v>
      </c>
      <c r="D6626" s="51">
        <v>145</v>
      </c>
      <c r="E6626" s="51">
        <f t="shared" si="103"/>
        <v>1</v>
      </c>
    </row>
    <row r="6627" spans="1:5">
      <c r="A6627" s="59">
        <v>14</v>
      </c>
      <c r="B6627" s="59">
        <v>44</v>
      </c>
      <c r="C6627" s="59">
        <v>990</v>
      </c>
      <c r="D6627" s="51">
        <v>145</v>
      </c>
      <c r="E6627" s="51">
        <f t="shared" si="103"/>
        <v>1</v>
      </c>
    </row>
    <row r="6628" spans="1:5">
      <c r="A6628" s="59">
        <v>14</v>
      </c>
      <c r="B6628" s="59">
        <v>63</v>
      </c>
      <c r="C6628" s="59">
        <v>440</v>
      </c>
      <c r="D6628" s="51">
        <v>145</v>
      </c>
      <c r="E6628" s="51">
        <f t="shared" si="103"/>
        <v>1</v>
      </c>
    </row>
    <row r="6629" spans="1:5">
      <c r="A6629" s="59">
        <v>14</v>
      </c>
      <c r="B6629" s="59">
        <v>22</v>
      </c>
      <c r="C6629" s="59">
        <v>330</v>
      </c>
      <c r="D6629" s="51">
        <v>144</v>
      </c>
      <c r="E6629" s="51">
        <f t="shared" si="103"/>
        <v>1</v>
      </c>
    </row>
    <row r="6630" spans="1:5">
      <c r="A6630" s="59">
        <v>14</v>
      </c>
      <c r="B6630" s="59">
        <v>63</v>
      </c>
      <c r="C6630" s="59">
        <v>150</v>
      </c>
      <c r="D6630" s="51">
        <v>144</v>
      </c>
      <c r="E6630" s="51">
        <f t="shared" si="103"/>
        <v>1</v>
      </c>
    </row>
    <row r="6631" spans="1:5">
      <c r="A6631" s="59">
        <v>14</v>
      </c>
      <c r="B6631" s="59">
        <v>64</v>
      </c>
      <c r="C6631" s="59">
        <v>860</v>
      </c>
      <c r="D6631" s="51">
        <v>144</v>
      </c>
      <c r="E6631" s="51">
        <f t="shared" si="103"/>
        <v>1</v>
      </c>
    </row>
    <row r="6632" spans="1:5">
      <c r="A6632" s="59">
        <v>14</v>
      </c>
      <c r="B6632" s="59">
        <v>32</v>
      </c>
      <c r="C6632" s="59">
        <v>430</v>
      </c>
      <c r="D6632" s="51">
        <v>142</v>
      </c>
      <c r="E6632" s="51">
        <f t="shared" si="103"/>
        <v>1</v>
      </c>
    </row>
    <row r="6633" spans="1:5">
      <c r="A6633" s="59">
        <v>14</v>
      </c>
      <c r="B6633" s="59">
        <v>16</v>
      </c>
      <c r="C6633" s="59">
        <v>310</v>
      </c>
      <c r="D6633" s="51">
        <v>138</v>
      </c>
      <c r="E6633" s="51">
        <f t="shared" si="103"/>
        <v>1</v>
      </c>
    </row>
    <row r="6634" spans="1:5">
      <c r="A6634" s="59">
        <v>14</v>
      </c>
      <c r="B6634" s="59">
        <v>62</v>
      </c>
      <c r="C6634" s="59">
        <v>620</v>
      </c>
      <c r="D6634" s="51">
        <v>137</v>
      </c>
      <c r="E6634" s="51">
        <f t="shared" si="103"/>
        <v>1</v>
      </c>
    </row>
    <row r="6635" spans="1:5">
      <c r="A6635" s="59">
        <v>14</v>
      </c>
      <c r="B6635" s="59">
        <v>14</v>
      </c>
      <c r="C6635" s="59">
        <v>610</v>
      </c>
      <c r="D6635" s="51">
        <v>135</v>
      </c>
      <c r="E6635" s="51">
        <f t="shared" si="103"/>
        <v>1</v>
      </c>
    </row>
    <row r="6636" spans="1:5">
      <c r="A6636" s="59">
        <v>14</v>
      </c>
      <c r="B6636" s="59">
        <v>62</v>
      </c>
      <c r="C6636" s="59">
        <v>520</v>
      </c>
      <c r="D6636" s="51">
        <v>135</v>
      </c>
      <c r="E6636" s="51">
        <f t="shared" si="103"/>
        <v>1</v>
      </c>
    </row>
    <row r="6637" spans="1:5">
      <c r="A6637" s="59">
        <v>14</v>
      </c>
      <c r="B6637" s="59">
        <v>43</v>
      </c>
      <c r="C6637" s="59">
        <v>840</v>
      </c>
      <c r="D6637" s="51">
        <v>134</v>
      </c>
      <c r="E6637" s="51">
        <f t="shared" si="103"/>
        <v>1</v>
      </c>
    </row>
    <row r="6638" spans="1:5">
      <c r="A6638" s="59">
        <v>14</v>
      </c>
      <c r="B6638" s="59">
        <v>15</v>
      </c>
      <c r="C6638" s="59">
        <v>210</v>
      </c>
      <c r="D6638" s="51">
        <v>132</v>
      </c>
      <c r="E6638" s="51">
        <f t="shared" si="103"/>
        <v>1</v>
      </c>
    </row>
    <row r="6639" spans="1:5">
      <c r="A6639" s="59">
        <v>14</v>
      </c>
      <c r="B6639" s="59">
        <v>16</v>
      </c>
      <c r="C6639" s="59">
        <v>160</v>
      </c>
      <c r="D6639" s="51">
        <v>132</v>
      </c>
      <c r="E6639" s="51">
        <f t="shared" si="103"/>
        <v>1</v>
      </c>
    </row>
    <row r="6640" spans="1:5">
      <c r="A6640" s="59">
        <v>14</v>
      </c>
      <c r="B6640" s="59">
        <v>22</v>
      </c>
      <c r="C6640" s="59">
        <v>320</v>
      </c>
      <c r="D6640" s="51">
        <v>131</v>
      </c>
      <c r="E6640" s="51">
        <f t="shared" si="103"/>
        <v>1</v>
      </c>
    </row>
    <row r="6641" spans="1:5">
      <c r="A6641" s="59">
        <v>14</v>
      </c>
      <c r="B6641" s="59">
        <v>32</v>
      </c>
      <c r="C6641" s="59">
        <v>895</v>
      </c>
      <c r="D6641" s="51">
        <v>127</v>
      </c>
      <c r="E6641" s="51">
        <f t="shared" si="103"/>
        <v>1</v>
      </c>
    </row>
    <row r="6642" spans="1:5">
      <c r="A6642" s="59">
        <v>14</v>
      </c>
      <c r="B6642" s="59">
        <v>64</v>
      </c>
      <c r="C6642" s="59">
        <v>550</v>
      </c>
      <c r="D6642" s="51">
        <v>127</v>
      </c>
      <c r="E6642" s="51">
        <f t="shared" si="103"/>
        <v>1</v>
      </c>
    </row>
    <row r="6643" spans="1:5">
      <c r="A6643" s="59">
        <v>14</v>
      </c>
      <c r="B6643" s="59">
        <v>63</v>
      </c>
      <c r="C6643" s="59">
        <v>990</v>
      </c>
      <c r="D6643" s="51">
        <v>124</v>
      </c>
      <c r="E6643" s="51">
        <f t="shared" si="103"/>
        <v>1</v>
      </c>
    </row>
    <row r="6644" spans="1:5">
      <c r="A6644" s="59">
        <v>14</v>
      </c>
      <c r="B6644" s="59">
        <v>41</v>
      </c>
      <c r="C6644" s="59">
        <v>930</v>
      </c>
      <c r="D6644" s="51">
        <v>123</v>
      </c>
      <c r="E6644" s="51">
        <f t="shared" si="103"/>
        <v>1</v>
      </c>
    </row>
    <row r="6645" spans="1:5">
      <c r="A6645" s="59">
        <v>14</v>
      </c>
      <c r="B6645" s="59">
        <v>43</v>
      </c>
      <c r="C6645" s="59">
        <v>750</v>
      </c>
      <c r="D6645" s="51">
        <v>121</v>
      </c>
      <c r="E6645" s="51">
        <f t="shared" si="103"/>
        <v>1</v>
      </c>
    </row>
    <row r="6646" spans="1:5">
      <c r="A6646" s="59">
        <v>14</v>
      </c>
      <c r="B6646" s="59">
        <v>13</v>
      </c>
      <c r="C6646" s="59">
        <v>720</v>
      </c>
      <c r="D6646" s="51">
        <v>117</v>
      </c>
      <c r="E6646" s="51">
        <f t="shared" si="103"/>
        <v>1</v>
      </c>
    </row>
    <row r="6647" spans="1:5">
      <c r="A6647" s="59">
        <v>14</v>
      </c>
      <c r="B6647" s="59">
        <v>43</v>
      </c>
      <c r="C6647" s="59">
        <v>220</v>
      </c>
      <c r="D6647" s="51">
        <v>117</v>
      </c>
      <c r="E6647" s="51">
        <f t="shared" si="103"/>
        <v>1</v>
      </c>
    </row>
    <row r="6648" spans="1:5">
      <c r="A6648" s="59">
        <v>14</v>
      </c>
      <c r="B6648" s="59">
        <v>33</v>
      </c>
      <c r="C6648" s="59">
        <v>410</v>
      </c>
      <c r="D6648" s="51">
        <v>116</v>
      </c>
      <c r="E6648" s="51">
        <f t="shared" si="103"/>
        <v>1</v>
      </c>
    </row>
    <row r="6649" spans="1:5">
      <c r="A6649" s="59">
        <v>14</v>
      </c>
      <c r="B6649" s="59">
        <v>33</v>
      </c>
      <c r="C6649" s="59">
        <v>420</v>
      </c>
      <c r="D6649" s="51">
        <v>116</v>
      </c>
      <c r="E6649" s="51">
        <f t="shared" si="103"/>
        <v>1</v>
      </c>
    </row>
    <row r="6650" spans="1:5">
      <c r="A6650" s="59">
        <v>14</v>
      </c>
      <c r="B6650" s="59">
        <v>43</v>
      </c>
      <c r="C6650" s="59">
        <v>240</v>
      </c>
      <c r="D6650" s="51">
        <v>116</v>
      </c>
      <c r="E6650" s="51">
        <f t="shared" si="103"/>
        <v>1</v>
      </c>
    </row>
    <row r="6651" spans="1:5">
      <c r="A6651" s="59">
        <v>14</v>
      </c>
      <c r="B6651" s="59">
        <v>71</v>
      </c>
      <c r="C6651" s="59">
        <v>750</v>
      </c>
      <c r="D6651" s="51">
        <v>115</v>
      </c>
      <c r="E6651" s="51">
        <f t="shared" si="103"/>
        <v>1</v>
      </c>
    </row>
    <row r="6652" spans="1:5">
      <c r="A6652" s="59">
        <v>14</v>
      </c>
      <c r="B6652" s="59">
        <v>15</v>
      </c>
      <c r="C6652" s="59">
        <v>930</v>
      </c>
      <c r="D6652" s="51">
        <v>114</v>
      </c>
      <c r="E6652" s="51">
        <f t="shared" si="103"/>
        <v>1</v>
      </c>
    </row>
    <row r="6653" spans="1:5">
      <c r="A6653" s="59">
        <v>14</v>
      </c>
      <c r="B6653" s="59">
        <v>43</v>
      </c>
      <c r="C6653" s="59">
        <v>970</v>
      </c>
      <c r="D6653" s="51">
        <v>111</v>
      </c>
      <c r="E6653" s="51">
        <f t="shared" si="103"/>
        <v>1</v>
      </c>
    </row>
    <row r="6654" spans="1:5">
      <c r="A6654" s="59">
        <v>14</v>
      </c>
      <c r="B6654" s="59">
        <v>62</v>
      </c>
      <c r="C6654" s="59">
        <v>150</v>
      </c>
      <c r="D6654" s="51">
        <v>111</v>
      </c>
      <c r="E6654" s="51">
        <f t="shared" si="103"/>
        <v>1</v>
      </c>
    </row>
    <row r="6655" spans="1:5">
      <c r="A6655" s="59">
        <v>14</v>
      </c>
      <c r="B6655" s="59">
        <v>32</v>
      </c>
      <c r="C6655" s="59">
        <v>920</v>
      </c>
      <c r="D6655" s="51">
        <v>110</v>
      </c>
      <c r="E6655" s="51">
        <f t="shared" si="103"/>
        <v>1</v>
      </c>
    </row>
    <row r="6656" spans="1:5">
      <c r="A6656" s="59">
        <v>14</v>
      </c>
      <c r="B6656" s="59">
        <v>44</v>
      </c>
      <c r="C6656" s="59">
        <v>160</v>
      </c>
      <c r="D6656" s="51">
        <v>110</v>
      </c>
      <c r="E6656" s="51">
        <f t="shared" si="103"/>
        <v>1</v>
      </c>
    </row>
    <row r="6657" spans="1:5">
      <c r="A6657" s="59">
        <v>14</v>
      </c>
      <c r="B6657" s="59">
        <v>42</v>
      </c>
      <c r="C6657" s="59">
        <v>620</v>
      </c>
      <c r="D6657" s="51">
        <v>109</v>
      </c>
      <c r="E6657" s="51">
        <f t="shared" si="103"/>
        <v>1</v>
      </c>
    </row>
    <row r="6658" spans="1:5">
      <c r="A6658" s="59">
        <v>14</v>
      </c>
      <c r="B6658" s="59">
        <v>22</v>
      </c>
      <c r="C6658" s="59">
        <v>940</v>
      </c>
      <c r="D6658" s="51">
        <v>108</v>
      </c>
      <c r="E6658" s="51">
        <f t="shared" ref="E6658:E6721" si="104">IF(OR(A6658=6,A6658=7,A6658=14,A6658=15,A6658=16,A6658=17,A6658=18,A6658=19,A6658=20,A6658=21,A6658=22,A6658=23,A6658=25,A6658=26,A6658=27,A6658=28,B6658=41,B6658=44,B6658=62),1,0)</f>
        <v>1</v>
      </c>
    </row>
    <row r="6659" spans="1:5">
      <c r="A6659" s="59">
        <v>14</v>
      </c>
      <c r="B6659" s="59">
        <v>43</v>
      </c>
      <c r="C6659" s="59">
        <v>892</v>
      </c>
      <c r="D6659" s="51">
        <v>107</v>
      </c>
      <c r="E6659" s="51">
        <f t="shared" si="104"/>
        <v>1</v>
      </c>
    </row>
    <row r="6660" spans="1:5">
      <c r="A6660" s="59">
        <v>14</v>
      </c>
      <c r="B6660" s="59">
        <v>14</v>
      </c>
      <c r="C6660" s="59">
        <v>940</v>
      </c>
      <c r="D6660" s="51">
        <v>106</v>
      </c>
      <c r="E6660" s="51">
        <f t="shared" si="104"/>
        <v>1</v>
      </c>
    </row>
    <row r="6661" spans="1:5">
      <c r="A6661" s="59">
        <v>14</v>
      </c>
      <c r="B6661" s="59">
        <v>43</v>
      </c>
      <c r="C6661" s="59">
        <v>420</v>
      </c>
      <c r="D6661" s="51">
        <v>106</v>
      </c>
      <c r="E6661" s="51">
        <f t="shared" si="104"/>
        <v>1</v>
      </c>
    </row>
    <row r="6662" spans="1:5">
      <c r="A6662" s="59">
        <v>14</v>
      </c>
      <c r="B6662" s="59">
        <v>16</v>
      </c>
      <c r="C6662" s="59">
        <v>920</v>
      </c>
      <c r="D6662" s="51">
        <v>105</v>
      </c>
      <c r="E6662" s="51">
        <f t="shared" si="104"/>
        <v>1</v>
      </c>
    </row>
    <row r="6663" spans="1:5">
      <c r="A6663" s="59">
        <v>14</v>
      </c>
      <c r="B6663" s="59">
        <v>64</v>
      </c>
      <c r="C6663" s="59">
        <v>940</v>
      </c>
      <c r="D6663" s="51">
        <v>105</v>
      </c>
      <c r="E6663" s="51">
        <f t="shared" si="104"/>
        <v>1</v>
      </c>
    </row>
    <row r="6664" spans="1:5">
      <c r="A6664" s="59">
        <v>14</v>
      </c>
      <c r="B6664" s="59">
        <v>13</v>
      </c>
      <c r="C6664" s="59">
        <v>230</v>
      </c>
      <c r="D6664" s="51">
        <v>104</v>
      </c>
      <c r="E6664" s="51">
        <f t="shared" si="104"/>
        <v>1</v>
      </c>
    </row>
    <row r="6665" spans="1:5">
      <c r="A6665" s="59">
        <v>14</v>
      </c>
      <c r="B6665" s="59">
        <v>62</v>
      </c>
      <c r="C6665" s="59">
        <v>440</v>
      </c>
      <c r="D6665" s="51">
        <v>101</v>
      </c>
      <c r="E6665" s="51">
        <f t="shared" si="104"/>
        <v>1</v>
      </c>
    </row>
    <row r="6666" spans="1:5">
      <c r="A6666" s="59">
        <v>14</v>
      </c>
      <c r="B6666" s="59">
        <v>22</v>
      </c>
      <c r="C6666" s="59">
        <v>220</v>
      </c>
      <c r="D6666" s="51">
        <v>100</v>
      </c>
      <c r="E6666" s="51">
        <f t="shared" si="104"/>
        <v>1</v>
      </c>
    </row>
    <row r="6667" spans="1:5">
      <c r="A6667" s="59">
        <v>14</v>
      </c>
      <c r="B6667" s="59">
        <v>44</v>
      </c>
      <c r="C6667" s="59">
        <v>940</v>
      </c>
      <c r="D6667" s="51">
        <v>100</v>
      </c>
      <c r="E6667" s="51">
        <f t="shared" si="104"/>
        <v>1</v>
      </c>
    </row>
    <row r="6668" spans="1:5">
      <c r="A6668" s="59">
        <v>14</v>
      </c>
      <c r="B6668" s="59">
        <v>44</v>
      </c>
      <c r="C6668" s="59">
        <v>730</v>
      </c>
      <c r="D6668" s="51">
        <v>95</v>
      </c>
      <c r="E6668" s="51">
        <f t="shared" si="104"/>
        <v>1</v>
      </c>
    </row>
    <row r="6669" spans="1:5">
      <c r="A6669" s="59">
        <v>14</v>
      </c>
      <c r="B6669" s="59">
        <v>14</v>
      </c>
      <c r="C6669" s="59">
        <v>530</v>
      </c>
      <c r="D6669" s="51">
        <v>94</v>
      </c>
      <c r="E6669" s="51">
        <f t="shared" si="104"/>
        <v>1</v>
      </c>
    </row>
    <row r="6670" spans="1:5">
      <c r="A6670" s="59">
        <v>14</v>
      </c>
      <c r="B6670" s="59">
        <v>14</v>
      </c>
      <c r="C6670" s="59">
        <v>720</v>
      </c>
      <c r="D6670" s="51">
        <v>94</v>
      </c>
      <c r="E6670" s="51">
        <f t="shared" si="104"/>
        <v>1</v>
      </c>
    </row>
    <row r="6671" spans="1:5">
      <c r="A6671" s="59">
        <v>14</v>
      </c>
      <c r="B6671" s="59">
        <v>41</v>
      </c>
      <c r="C6671" s="59">
        <v>610</v>
      </c>
      <c r="D6671" s="51">
        <v>94</v>
      </c>
      <c r="E6671" s="51">
        <f t="shared" si="104"/>
        <v>1</v>
      </c>
    </row>
    <row r="6672" spans="1:5">
      <c r="A6672" s="59">
        <v>14</v>
      </c>
      <c r="B6672" s="59">
        <v>13</v>
      </c>
      <c r="C6672" s="59">
        <v>320</v>
      </c>
      <c r="D6672" s="51">
        <v>93</v>
      </c>
      <c r="E6672" s="51">
        <f t="shared" si="104"/>
        <v>1</v>
      </c>
    </row>
    <row r="6673" spans="1:5">
      <c r="A6673" s="59">
        <v>14</v>
      </c>
      <c r="B6673" s="59">
        <v>16</v>
      </c>
      <c r="C6673" s="59">
        <v>230</v>
      </c>
      <c r="D6673" s="51">
        <v>93</v>
      </c>
      <c r="E6673" s="51">
        <f t="shared" si="104"/>
        <v>1</v>
      </c>
    </row>
    <row r="6674" spans="1:5">
      <c r="A6674" s="59">
        <v>14</v>
      </c>
      <c r="B6674" s="59">
        <v>32</v>
      </c>
      <c r="C6674" s="59">
        <v>930</v>
      </c>
      <c r="D6674" s="51">
        <v>89</v>
      </c>
      <c r="E6674" s="51">
        <f t="shared" si="104"/>
        <v>1</v>
      </c>
    </row>
    <row r="6675" spans="1:5">
      <c r="A6675" s="59">
        <v>14</v>
      </c>
      <c r="B6675" s="59">
        <v>13</v>
      </c>
      <c r="C6675" s="59">
        <v>330</v>
      </c>
      <c r="D6675" s="51">
        <v>87</v>
      </c>
      <c r="E6675" s="51">
        <f t="shared" si="104"/>
        <v>1</v>
      </c>
    </row>
    <row r="6676" spans="1:5">
      <c r="A6676" s="59">
        <v>14</v>
      </c>
      <c r="B6676" s="59">
        <v>33</v>
      </c>
      <c r="C6676" s="59">
        <v>920</v>
      </c>
      <c r="D6676" s="51">
        <v>85</v>
      </c>
      <c r="E6676" s="51">
        <f t="shared" si="104"/>
        <v>1</v>
      </c>
    </row>
    <row r="6677" spans="1:5">
      <c r="A6677" s="59">
        <v>14</v>
      </c>
      <c r="B6677" s="59">
        <v>44</v>
      </c>
      <c r="C6677" s="59">
        <v>950</v>
      </c>
      <c r="D6677" s="51">
        <v>85</v>
      </c>
      <c r="E6677" s="51">
        <f t="shared" si="104"/>
        <v>1</v>
      </c>
    </row>
    <row r="6678" spans="1:5">
      <c r="A6678" s="59">
        <v>14</v>
      </c>
      <c r="B6678" s="59">
        <v>13</v>
      </c>
      <c r="C6678" s="59">
        <v>130</v>
      </c>
      <c r="D6678" s="51">
        <v>84</v>
      </c>
      <c r="E6678" s="51">
        <f t="shared" si="104"/>
        <v>1</v>
      </c>
    </row>
    <row r="6679" spans="1:5">
      <c r="A6679" s="59">
        <v>14</v>
      </c>
      <c r="B6679" s="59">
        <v>14</v>
      </c>
      <c r="C6679" s="59">
        <v>120</v>
      </c>
      <c r="D6679" s="51">
        <v>84</v>
      </c>
      <c r="E6679" s="51">
        <f t="shared" si="104"/>
        <v>1</v>
      </c>
    </row>
    <row r="6680" spans="1:5">
      <c r="A6680" s="59">
        <v>14</v>
      </c>
      <c r="B6680" s="59">
        <v>71</v>
      </c>
      <c r="C6680" s="59">
        <v>710</v>
      </c>
      <c r="D6680" s="51">
        <v>84</v>
      </c>
      <c r="E6680" s="51">
        <f t="shared" si="104"/>
        <v>1</v>
      </c>
    </row>
    <row r="6681" spans="1:5">
      <c r="A6681" s="59">
        <v>14</v>
      </c>
      <c r="B6681" s="59">
        <v>13</v>
      </c>
      <c r="C6681" s="59">
        <v>240</v>
      </c>
      <c r="D6681" s="51">
        <v>82</v>
      </c>
      <c r="E6681" s="51">
        <f t="shared" si="104"/>
        <v>1</v>
      </c>
    </row>
    <row r="6682" spans="1:5">
      <c r="A6682" s="59">
        <v>14</v>
      </c>
      <c r="B6682" s="59">
        <v>63</v>
      </c>
      <c r="C6682" s="59">
        <v>710</v>
      </c>
      <c r="D6682" s="51">
        <v>82</v>
      </c>
      <c r="E6682" s="51">
        <f t="shared" si="104"/>
        <v>1</v>
      </c>
    </row>
    <row r="6683" spans="1:5">
      <c r="A6683" s="59">
        <v>14</v>
      </c>
      <c r="B6683" s="59">
        <v>43</v>
      </c>
      <c r="C6683" s="59">
        <v>710</v>
      </c>
      <c r="D6683" s="51">
        <v>81</v>
      </c>
      <c r="E6683" s="51">
        <f t="shared" si="104"/>
        <v>1</v>
      </c>
    </row>
    <row r="6684" spans="1:5">
      <c r="A6684" s="59">
        <v>14</v>
      </c>
      <c r="B6684" s="59">
        <v>62</v>
      </c>
      <c r="C6684" s="59">
        <v>210</v>
      </c>
      <c r="D6684" s="51">
        <v>81</v>
      </c>
      <c r="E6684" s="51">
        <f t="shared" si="104"/>
        <v>1</v>
      </c>
    </row>
    <row r="6685" spans="1:5">
      <c r="A6685" s="59">
        <v>14</v>
      </c>
      <c r="B6685" s="59">
        <v>16</v>
      </c>
      <c r="C6685" s="59">
        <v>240</v>
      </c>
      <c r="D6685" s="51">
        <v>80</v>
      </c>
      <c r="E6685" s="51">
        <f t="shared" si="104"/>
        <v>1</v>
      </c>
    </row>
    <row r="6686" spans="1:5">
      <c r="A6686" s="59">
        <v>14</v>
      </c>
      <c r="B6686" s="59">
        <v>43</v>
      </c>
      <c r="C6686" s="59">
        <v>310</v>
      </c>
      <c r="D6686" s="51">
        <v>80</v>
      </c>
      <c r="E6686" s="51">
        <f t="shared" si="104"/>
        <v>1</v>
      </c>
    </row>
    <row r="6687" spans="1:5">
      <c r="A6687" s="59">
        <v>14</v>
      </c>
      <c r="B6687" s="59">
        <v>64</v>
      </c>
      <c r="C6687" s="59">
        <v>970</v>
      </c>
      <c r="D6687" s="51">
        <v>80</v>
      </c>
      <c r="E6687" s="51">
        <f t="shared" si="104"/>
        <v>1</v>
      </c>
    </row>
    <row r="6688" spans="1:5">
      <c r="A6688" s="59">
        <v>14</v>
      </c>
      <c r="B6688" s="59">
        <v>71</v>
      </c>
      <c r="C6688" s="59">
        <v>990</v>
      </c>
      <c r="D6688" s="51">
        <v>80</v>
      </c>
      <c r="E6688" s="51">
        <f t="shared" si="104"/>
        <v>1</v>
      </c>
    </row>
    <row r="6689" spans="1:5">
      <c r="A6689" s="59">
        <v>14</v>
      </c>
      <c r="B6689" s="59">
        <v>16</v>
      </c>
      <c r="C6689" s="59">
        <v>330</v>
      </c>
      <c r="D6689" s="51">
        <v>79</v>
      </c>
      <c r="E6689" s="51">
        <f t="shared" si="104"/>
        <v>1</v>
      </c>
    </row>
    <row r="6690" spans="1:5">
      <c r="A6690" s="59">
        <v>14</v>
      </c>
      <c r="B6690" s="59">
        <v>41</v>
      </c>
      <c r="C6690" s="59">
        <v>530</v>
      </c>
      <c r="D6690" s="51">
        <v>79</v>
      </c>
      <c r="E6690" s="51">
        <f t="shared" si="104"/>
        <v>1</v>
      </c>
    </row>
    <row r="6691" spans="1:5">
      <c r="A6691" s="59">
        <v>14</v>
      </c>
      <c r="B6691" s="59">
        <v>33</v>
      </c>
      <c r="C6691" s="59">
        <v>430</v>
      </c>
      <c r="D6691" s="51">
        <v>76</v>
      </c>
      <c r="E6691" s="51">
        <f t="shared" si="104"/>
        <v>1</v>
      </c>
    </row>
    <row r="6692" spans="1:5">
      <c r="A6692" s="59">
        <v>14</v>
      </c>
      <c r="B6692" s="59">
        <v>64</v>
      </c>
      <c r="C6692" s="59">
        <v>540</v>
      </c>
      <c r="D6692" s="51">
        <v>76</v>
      </c>
      <c r="E6692" s="51">
        <f t="shared" si="104"/>
        <v>1</v>
      </c>
    </row>
    <row r="6693" spans="1:5">
      <c r="A6693" s="59">
        <v>14</v>
      </c>
      <c r="B6693" s="59">
        <v>33</v>
      </c>
      <c r="C6693" s="59">
        <v>110</v>
      </c>
      <c r="D6693" s="51">
        <v>75</v>
      </c>
      <c r="E6693" s="51">
        <f t="shared" si="104"/>
        <v>1</v>
      </c>
    </row>
    <row r="6694" spans="1:5">
      <c r="A6694" s="59">
        <v>14</v>
      </c>
      <c r="B6694" s="59">
        <v>16</v>
      </c>
      <c r="C6694" s="59">
        <v>320</v>
      </c>
      <c r="D6694" s="51">
        <v>74</v>
      </c>
      <c r="E6694" s="51">
        <f t="shared" si="104"/>
        <v>1</v>
      </c>
    </row>
    <row r="6695" spans="1:5">
      <c r="A6695" s="59">
        <v>14</v>
      </c>
      <c r="B6695" s="59">
        <v>81</v>
      </c>
      <c r="C6695" s="59">
        <v>110</v>
      </c>
      <c r="D6695" s="51">
        <v>73</v>
      </c>
      <c r="E6695" s="51">
        <f t="shared" si="104"/>
        <v>1</v>
      </c>
    </row>
    <row r="6696" spans="1:5">
      <c r="A6696" s="59">
        <v>14</v>
      </c>
      <c r="B6696" s="59">
        <v>71</v>
      </c>
      <c r="C6696" s="59">
        <v>150</v>
      </c>
      <c r="D6696" s="51">
        <v>72</v>
      </c>
      <c r="E6696" s="51">
        <f t="shared" si="104"/>
        <v>1</v>
      </c>
    </row>
    <row r="6697" spans="1:5">
      <c r="A6697" s="59">
        <v>14</v>
      </c>
      <c r="B6697" s="59">
        <v>41</v>
      </c>
      <c r="C6697" s="59">
        <v>160</v>
      </c>
      <c r="D6697" s="51">
        <v>69</v>
      </c>
      <c r="E6697" s="51">
        <f t="shared" si="104"/>
        <v>1</v>
      </c>
    </row>
    <row r="6698" spans="1:5">
      <c r="A6698" s="59">
        <v>14</v>
      </c>
      <c r="B6698" s="59">
        <v>16</v>
      </c>
      <c r="C6698" s="59">
        <v>940</v>
      </c>
      <c r="D6698" s="51">
        <v>68</v>
      </c>
      <c r="E6698" s="51">
        <f t="shared" si="104"/>
        <v>1</v>
      </c>
    </row>
    <row r="6699" spans="1:5">
      <c r="A6699" s="59">
        <v>14</v>
      </c>
      <c r="B6699" s="59">
        <v>44</v>
      </c>
      <c r="C6699" s="59">
        <v>840</v>
      </c>
      <c r="D6699" s="51">
        <v>68</v>
      </c>
      <c r="E6699" s="51">
        <f t="shared" si="104"/>
        <v>1</v>
      </c>
    </row>
    <row r="6700" spans="1:5">
      <c r="A6700" s="59">
        <v>14</v>
      </c>
      <c r="B6700" s="59">
        <v>62</v>
      </c>
      <c r="C6700" s="59">
        <v>899</v>
      </c>
      <c r="D6700" s="51">
        <v>68</v>
      </c>
      <c r="E6700" s="51">
        <f t="shared" si="104"/>
        <v>1</v>
      </c>
    </row>
    <row r="6701" spans="1:5">
      <c r="A6701" s="59">
        <v>14</v>
      </c>
      <c r="B6701" s="59">
        <v>62</v>
      </c>
      <c r="C6701" s="59">
        <v>950</v>
      </c>
      <c r="D6701" s="51">
        <v>68</v>
      </c>
      <c r="E6701" s="51">
        <f t="shared" si="104"/>
        <v>1</v>
      </c>
    </row>
    <row r="6702" spans="1:5">
      <c r="A6702" s="59">
        <v>14</v>
      </c>
      <c r="B6702" s="59">
        <v>32</v>
      </c>
      <c r="C6702" s="59">
        <v>510</v>
      </c>
      <c r="D6702" s="51">
        <v>67</v>
      </c>
      <c r="E6702" s="51">
        <f t="shared" si="104"/>
        <v>1</v>
      </c>
    </row>
    <row r="6703" spans="1:5">
      <c r="A6703" s="59">
        <v>14</v>
      </c>
      <c r="B6703" s="59">
        <v>15</v>
      </c>
      <c r="C6703" s="59">
        <v>310</v>
      </c>
      <c r="D6703" s="51">
        <v>66</v>
      </c>
      <c r="E6703" s="51">
        <f t="shared" si="104"/>
        <v>1</v>
      </c>
    </row>
    <row r="6704" spans="1:5">
      <c r="A6704" s="59">
        <v>14</v>
      </c>
      <c r="B6704" s="59">
        <v>13</v>
      </c>
      <c r="C6704" s="59">
        <v>140</v>
      </c>
      <c r="D6704" s="51">
        <v>65</v>
      </c>
      <c r="E6704" s="51">
        <f t="shared" si="104"/>
        <v>1</v>
      </c>
    </row>
    <row r="6705" spans="1:5">
      <c r="A6705" s="59">
        <v>14</v>
      </c>
      <c r="B6705" s="59">
        <v>14</v>
      </c>
      <c r="C6705" s="59">
        <v>220</v>
      </c>
      <c r="D6705" s="51">
        <v>62</v>
      </c>
      <c r="E6705" s="51">
        <f t="shared" si="104"/>
        <v>1</v>
      </c>
    </row>
    <row r="6706" spans="1:5">
      <c r="A6706" s="59">
        <v>14</v>
      </c>
      <c r="B6706" s="59">
        <v>42</v>
      </c>
      <c r="C6706" s="59">
        <v>530</v>
      </c>
      <c r="D6706" s="51">
        <v>62</v>
      </c>
      <c r="E6706" s="51">
        <f t="shared" si="104"/>
        <v>1</v>
      </c>
    </row>
    <row r="6707" spans="1:5">
      <c r="A6707" s="59">
        <v>14</v>
      </c>
      <c r="B6707" s="59">
        <v>14</v>
      </c>
      <c r="C6707" s="59">
        <v>410</v>
      </c>
      <c r="D6707" s="51">
        <v>61</v>
      </c>
      <c r="E6707" s="51">
        <f t="shared" si="104"/>
        <v>1</v>
      </c>
    </row>
    <row r="6708" spans="1:5">
      <c r="A6708" s="59">
        <v>14</v>
      </c>
      <c r="B6708" s="59">
        <v>64</v>
      </c>
      <c r="C6708" s="59">
        <v>330</v>
      </c>
      <c r="D6708" s="51">
        <v>61</v>
      </c>
      <c r="E6708" s="51">
        <f t="shared" si="104"/>
        <v>1</v>
      </c>
    </row>
    <row r="6709" spans="1:5">
      <c r="A6709" s="59">
        <v>14</v>
      </c>
      <c r="B6709" s="59">
        <v>42</v>
      </c>
      <c r="C6709" s="59">
        <v>160</v>
      </c>
      <c r="D6709" s="51">
        <v>60</v>
      </c>
      <c r="E6709" s="51">
        <f t="shared" si="104"/>
        <v>1</v>
      </c>
    </row>
    <row r="6710" spans="1:5">
      <c r="A6710" s="59">
        <v>14</v>
      </c>
      <c r="B6710" s="59">
        <v>43</v>
      </c>
      <c r="C6710" s="59">
        <v>860</v>
      </c>
      <c r="D6710" s="51">
        <v>60</v>
      </c>
      <c r="E6710" s="51">
        <f t="shared" si="104"/>
        <v>1</v>
      </c>
    </row>
    <row r="6711" spans="1:5">
      <c r="A6711" s="59">
        <v>14</v>
      </c>
      <c r="B6711" s="59">
        <v>13</v>
      </c>
      <c r="C6711" s="59">
        <v>410</v>
      </c>
      <c r="D6711" s="51">
        <v>59</v>
      </c>
      <c r="E6711" s="51">
        <f t="shared" si="104"/>
        <v>1</v>
      </c>
    </row>
    <row r="6712" spans="1:5">
      <c r="A6712" s="59">
        <v>14</v>
      </c>
      <c r="B6712" s="59">
        <v>43</v>
      </c>
      <c r="C6712" s="59">
        <v>960</v>
      </c>
      <c r="D6712" s="51">
        <v>56</v>
      </c>
      <c r="E6712" s="51">
        <f t="shared" si="104"/>
        <v>1</v>
      </c>
    </row>
    <row r="6713" spans="1:5">
      <c r="A6713" s="59">
        <v>14</v>
      </c>
      <c r="B6713" s="59">
        <v>64</v>
      </c>
      <c r="C6713" s="59">
        <v>320</v>
      </c>
      <c r="D6713" s="51">
        <v>56</v>
      </c>
      <c r="E6713" s="51">
        <f t="shared" si="104"/>
        <v>1</v>
      </c>
    </row>
    <row r="6714" spans="1:5">
      <c r="A6714" s="59">
        <v>14</v>
      </c>
      <c r="B6714" s="59">
        <v>64</v>
      </c>
      <c r="C6714" s="59">
        <v>870</v>
      </c>
      <c r="D6714" s="51">
        <v>56</v>
      </c>
      <c r="E6714" s="51">
        <f t="shared" si="104"/>
        <v>1</v>
      </c>
    </row>
    <row r="6715" spans="1:5">
      <c r="A6715" s="59">
        <v>14</v>
      </c>
      <c r="B6715" s="59">
        <v>15</v>
      </c>
      <c r="C6715" s="59">
        <v>330</v>
      </c>
      <c r="D6715" s="51">
        <v>55</v>
      </c>
      <c r="E6715" s="51">
        <f t="shared" si="104"/>
        <v>1</v>
      </c>
    </row>
    <row r="6716" spans="1:5">
      <c r="A6716" s="59">
        <v>14</v>
      </c>
      <c r="B6716" s="59">
        <v>32</v>
      </c>
      <c r="C6716" s="59">
        <v>530</v>
      </c>
      <c r="D6716" s="51">
        <v>54</v>
      </c>
      <c r="E6716" s="51">
        <f t="shared" si="104"/>
        <v>1</v>
      </c>
    </row>
    <row r="6717" spans="1:5">
      <c r="A6717" s="59">
        <v>14</v>
      </c>
      <c r="B6717" s="59">
        <v>42</v>
      </c>
      <c r="C6717" s="59">
        <v>110</v>
      </c>
      <c r="D6717" s="51">
        <v>54</v>
      </c>
      <c r="E6717" s="51">
        <f t="shared" si="104"/>
        <v>1</v>
      </c>
    </row>
    <row r="6718" spans="1:5">
      <c r="A6718" s="59">
        <v>14</v>
      </c>
      <c r="B6718" s="59">
        <v>44</v>
      </c>
      <c r="C6718" s="59">
        <v>970</v>
      </c>
      <c r="D6718" s="51">
        <v>54</v>
      </c>
      <c r="E6718" s="51">
        <f t="shared" si="104"/>
        <v>1</v>
      </c>
    </row>
    <row r="6719" spans="1:5">
      <c r="A6719" s="59">
        <v>14</v>
      </c>
      <c r="B6719" s="59">
        <v>13</v>
      </c>
      <c r="C6719" s="59">
        <v>220</v>
      </c>
      <c r="D6719" s="51">
        <v>53</v>
      </c>
      <c r="E6719" s="51">
        <f t="shared" si="104"/>
        <v>1</v>
      </c>
    </row>
    <row r="6720" spans="1:5">
      <c r="A6720" s="59">
        <v>14</v>
      </c>
      <c r="B6720" s="59">
        <v>15</v>
      </c>
      <c r="C6720" s="59">
        <v>920</v>
      </c>
      <c r="D6720" s="51">
        <v>53</v>
      </c>
      <c r="E6720" s="51">
        <f t="shared" si="104"/>
        <v>1</v>
      </c>
    </row>
    <row r="6721" spans="1:5">
      <c r="A6721" s="59">
        <v>14</v>
      </c>
      <c r="B6721" s="59">
        <v>81</v>
      </c>
      <c r="C6721" s="59">
        <v>620</v>
      </c>
      <c r="D6721" s="51">
        <v>53</v>
      </c>
      <c r="E6721" s="51">
        <f t="shared" si="104"/>
        <v>1</v>
      </c>
    </row>
    <row r="6722" spans="1:5">
      <c r="A6722" s="59">
        <v>14</v>
      </c>
      <c r="B6722" s="59">
        <v>43</v>
      </c>
      <c r="C6722" s="59">
        <v>550</v>
      </c>
      <c r="D6722" s="51">
        <v>52</v>
      </c>
      <c r="E6722" s="51">
        <f t="shared" ref="E6722:E6785" si="105">IF(OR(A6722=6,A6722=7,A6722=14,A6722=15,A6722=16,A6722=17,A6722=18,A6722=19,A6722=20,A6722=21,A6722=22,A6722=23,A6722=25,A6722=26,A6722=27,A6722=28,B6722=41,B6722=44,B6722=62),1,0)</f>
        <v>1</v>
      </c>
    </row>
    <row r="6723" spans="1:5">
      <c r="A6723" s="59">
        <v>14</v>
      </c>
      <c r="B6723" s="59">
        <v>44</v>
      </c>
      <c r="C6723" s="59">
        <v>110</v>
      </c>
      <c r="D6723" s="51">
        <v>52</v>
      </c>
      <c r="E6723" s="51">
        <f t="shared" si="105"/>
        <v>1</v>
      </c>
    </row>
    <row r="6724" spans="1:5">
      <c r="A6724" s="59">
        <v>14</v>
      </c>
      <c r="B6724" s="59">
        <v>15</v>
      </c>
      <c r="C6724" s="59">
        <v>240</v>
      </c>
      <c r="D6724" s="51">
        <v>50</v>
      </c>
      <c r="E6724" s="51">
        <f t="shared" si="105"/>
        <v>1</v>
      </c>
    </row>
    <row r="6725" spans="1:5">
      <c r="A6725" s="59">
        <v>14</v>
      </c>
      <c r="B6725" s="59">
        <v>33</v>
      </c>
      <c r="C6725" s="59">
        <v>210</v>
      </c>
      <c r="D6725" s="51">
        <v>49</v>
      </c>
      <c r="E6725" s="51">
        <f t="shared" si="105"/>
        <v>1</v>
      </c>
    </row>
    <row r="6726" spans="1:5">
      <c r="A6726" s="59">
        <v>14</v>
      </c>
      <c r="B6726" s="59">
        <v>33</v>
      </c>
      <c r="C6726" s="59">
        <v>510</v>
      </c>
      <c r="D6726" s="51">
        <v>49</v>
      </c>
      <c r="E6726" s="51">
        <f t="shared" si="105"/>
        <v>1</v>
      </c>
    </row>
    <row r="6727" spans="1:5">
      <c r="A6727" s="59">
        <v>14</v>
      </c>
      <c r="B6727" s="59">
        <v>71</v>
      </c>
      <c r="C6727" s="59">
        <v>930</v>
      </c>
      <c r="D6727" s="51">
        <v>49</v>
      </c>
      <c r="E6727" s="51">
        <f t="shared" si="105"/>
        <v>1</v>
      </c>
    </row>
    <row r="6728" spans="1:5">
      <c r="A6728" s="59">
        <v>14</v>
      </c>
      <c r="B6728" s="59">
        <v>11</v>
      </c>
      <c r="C6728" s="59">
        <v>930</v>
      </c>
      <c r="D6728" s="51">
        <v>48</v>
      </c>
      <c r="E6728" s="51">
        <f t="shared" si="105"/>
        <v>1</v>
      </c>
    </row>
    <row r="6729" spans="1:5">
      <c r="A6729" s="59">
        <v>14</v>
      </c>
      <c r="B6729" s="59">
        <v>23</v>
      </c>
      <c r="C6729" s="59">
        <v>140</v>
      </c>
      <c r="D6729" s="51">
        <v>48</v>
      </c>
      <c r="E6729" s="51">
        <f t="shared" si="105"/>
        <v>1</v>
      </c>
    </row>
    <row r="6730" spans="1:5">
      <c r="A6730" s="59">
        <v>14</v>
      </c>
      <c r="B6730" s="59">
        <v>43</v>
      </c>
      <c r="C6730" s="59">
        <v>330</v>
      </c>
      <c r="D6730" s="51">
        <v>48</v>
      </c>
      <c r="E6730" s="51">
        <f t="shared" si="105"/>
        <v>1</v>
      </c>
    </row>
    <row r="6731" spans="1:5">
      <c r="A6731" s="59">
        <v>14</v>
      </c>
      <c r="B6731" s="59">
        <v>15</v>
      </c>
      <c r="C6731" s="59">
        <v>230</v>
      </c>
      <c r="D6731" s="51">
        <v>46</v>
      </c>
      <c r="E6731" s="51">
        <f t="shared" si="105"/>
        <v>1</v>
      </c>
    </row>
    <row r="6732" spans="1:5">
      <c r="A6732" s="59">
        <v>14</v>
      </c>
      <c r="B6732" s="59">
        <v>63</v>
      </c>
      <c r="C6732" s="59">
        <v>550</v>
      </c>
      <c r="D6732" s="51">
        <v>46</v>
      </c>
      <c r="E6732" s="51">
        <f t="shared" si="105"/>
        <v>1</v>
      </c>
    </row>
    <row r="6733" spans="1:5">
      <c r="A6733" s="59">
        <v>14</v>
      </c>
      <c r="B6733" s="59">
        <v>15</v>
      </c>
      <c r="C6733" s="59">
        <v>320</v>
      </c>
      <c r="D6733" s="51">
        <v>45</v>
      </c>
      <c r="E6733" s="51">
        <f t="shared" si="105"/>
        <v>1</v>
      </c>
    </row>
    <row r="6734" spans="1:5">
      <c r="A6734" s="59">
        <v>14</v>
      </c>
      <c r="B6734" s="59">
        <v>32</v>
      </c>
      <c r="C6734" s="59">
        <v>720</v>
      </c>
      <c r="D6734" s="51">
        <v>45</v>
      </c>
      <c r="E6734" s="51">
        <f t="shared" si="105"/>
        <v>1</v>
      </c>
    </row>
    <row r="6735" spans="1:5">
      <c r="A6735" s="59">
        <v>14</v>
      </c>
      <c r="B6735" s="59">
        <v>42</v>
      </c>
      <c r="C6735" s="59">
        <v>940</v>
      </c>
      <c r="D6735" s="51">
        <v>45</v>
      </c>
      <c r="E6735" s="51">
        <f t="shared" si="105"/>
        <v>1</v>
      </c>
    </row>
    <row r="6736" spans="1:5">
      <c r="A6736" s="59">
        <v>14</v>
      </c>
      <c r="B6736" s="59">
        <v>43</v>
      </c>
      <c r="C6736" s="59">
        <v>440</v>
      </c>
      <c r="D6736" s="51">
        <v>45</v>
      </c>
      <c r="E6736" s="51">
        <f t="shared" si="105"/>
        <v>1</v>
      </c>
    </row>
    <row r="6737" spans="1:5">
      <c r="A6737" s="59">
        <v>14</v>
      </c>
      <c r="B6737" s="59">
        <v>81</v>
      </c>
      <c r="C6737" s="59">
        <v>950</v>
      </c>
      <c r="D6737" s="51">
        <v>45</v>
      </c>
      <c r="E6737" s="51">
        <f t="shared" si="105"/>
        <v>1</v>
      </c>
    </row>
    <row r="6738" spans="1:5">
      <c r="A6738" s="59">
        <v>14</v>
      </c>
      <c r="B6738" s="59">
        <v>13</v>
      </c>
      <c r="C6738" s="59">
        <v>120</v>
      </c>
      <c r="D6738" s="51">
        <v>44</v>
      </c>
      <c r="E6738" s="51">
        <f t="shared" si="105"/>
        <v>1</v>
      </c>
    </row>
    <row r="6739" spans="1:5">
      <c r="A6739" s="59">
        <v>14</v>
      </c>
      <c r="B6739" s="59">
        <v>44</v>
      </c>
      <c r="C6739" s="59">
        <v>220</v>
      </c>
      <c r="D6739" s="51">
        <v>44</v>
      </c>
      <c r="E6739" s="51">
        <f t="shared" si="105"/>
        <v>1</v>
      </c>
    </row>
    <row r="6740" spans="1:5">
      <c r="A6740" s="59">
        <v>14</v>
      </c>
      <c r="B6740" s="59">
        <v>44</v>
      </c>
      <c r="C6740" s="59">
        <v>520</v>
      </c>
      <c r="D6740" s="51">
        <v>44</v>
      </c>
      <c r="E6740" s="51">
        <f t="shared" si="105"/>
        <v>1</v>
      </c>
    </row>
    <row r="6741" spans="1:5">
      <c r="A6741" s="59">
        <v>14</v>
      </c>
      <c r="B6741" s="59">
        <v>44</v>
      </c>
      <c r="C6741" s="59">
        <v>620</v>
      </c>
      <c r="D6741" s="51">
        <v>44</v>
      </c>
      <c r="E6741" s="51">
        <f t="shared" si="105"/>
        <v>1</v>
      </c>
    </row>
    <row r="6742" spans="1:5">
      <c r="A6742" s="59">
        <v>14</v>
      </c>
      <c r="B6742" s="59">
        <v>16</v>
      </c>
      <c r="C6742" s="59">
        <v>510</v>
      </c>
      <c r="D6742" s="51">
        <v>43</v>
      </c>
      <c r="E6742" s="51">
        <f t="shared" si="105"/>
        <v>1</v>
      </c>
    </row>
    <row r="6743" spans="1:5">
      <c r="A6743" s="59">
        <v>14</v>
      </c>
      <c r="B6743" s="59">
        <v>62</v>
      </c>
      <c r="C6743" s="59">
        <v>430</v>
      </c>
      <c r="D6743" s="51">
        <v>43</v>
      </c>
      <c r="E6743" s="51">
        <f t="shared" si="105"/>
        <v>1</v>
      </c>
    </row>
    <row r="6744" spans="1:5">
      <c r="A6744" s="59">
        <v>14</v>
      </c>
      <c r="B6744" s="59">
        <v>71</v>
      </c>
      <c r="C6744" s="59">
        <v>640</v>
      </c>
      <c r="D6744" s="51">
        <v>43</v>
      </c>
      <c r="E6744" s="51">
        <f t="shared" si="105"/>
        <v>1</v>
      </c>
    </row>
    <row r="6745" spans="1:5">
      <c r="A6745" s="59">
        <v>14</v>
      </c>
      <c r="B6745" s="59">
        <v>14</v>
      </c>
      <c r="C6745" s="59">
        <v>893</v>
      </c>
      <c r="D6745" s="51">
        <v>42</v>
      </c>
      <c r="E6745" s="51">
        <f t="shared" si="105"/>
        <v>1</v>
      </c>
    </row>
    <row r="6746" spans="1:5">
      <c r="A6746" s="59">
        <v>14</v>
      </c>
      <c r="B6746" s="59">
        <v>44</v>
      </c>
      <c r="C6746" s="59">
        <v>750</v>
      </c>
      <c r="D6746" s="51">
        <v>42</v>
      </c>
      <c r="E6746" s="51">
        <f t="shared" si="105"/>
        <v>1</v>
      </c>
    </row>
    <row r="6747" spans="1:5">
      <c r="A6747" s="59">
        <v>14</v>
      </c>
      <c r="B6747" s="59">
        <v>32</v>
      </c>
      <c r="C6747" s="59">
        <v>610</v>
      </c>
      <c r="D6747" s="51">
        <v>41</v>
      </c>
      <c r="E6747" s="51">
        <f t="shared" si="105"/>
        <v>1</v>
      </c>
    </row>
    <row r="6748" spans="1:5">
      <c r="A6748" s="59">
        <v>14</v>
      </c>
      <c r="B6748" s="59">
        <v>16</v>
      </c>
      <c r="C6748" s="59">
        <v>930</v>
      </c>
      <c r="D6748" s="51">
        <v>40</v>
      </c>
      <c r="E6748" s="51">
        <f t="shared" si="105"/>
        <v>1</v>
      </c>
    </row>
    <row r="6749" spans="1:5">
      <c r="A6749" s="59">
        <v>14</v>
      </c>
      <c r="B6749" s="59">
        <v>13</v>
      </c>
      <c r="C6749" s="59">
        <v>990</v>
      </c>
      <c r="D6749" s="51">
        <v>39</v>
      </c>
      <c r="E6749" s="51">
        <f t="shared" si="105"/>
        <v>1</v>
      </c>
    </row>
    <row r="6750" spans="1:5">
      <c r="A6750" s="59">
        <v>14</v>
      </c>
      <c r="B6750" s="59">
        <v>33</v>
      </c>
      <c r="C6750" s="59">
        <v>150</v>
      </c>
      <c r="D6750" s="51">
        <v>39</v>
      </c>
      <c r="E6750" s="51">
        <f t="shared" si="105"/>
        <v>1</v>
      </c>
    </row>
    <row r="6751" spans="1:5">
      <c r="A6751" s="59">
        <v>14</v>
      </c>
      <c r="B6751" s="59">
        <v>41</v>
      </c>
      <c r="C6751" s="59">
        <v>730</v>
      </c>
      <c r="D6751" s="51">
        <v>39</v>
      </c>
      <c r="E6751" s="51">
        <f t="shared" si="105"/>
        <v>1</v>
      </c>
    </row>
    <row r="6752" spans="1:5">
      <c r="A6752" s="59">
        <v>14</v>
      </c>
      <c r="B6752" s="59">
        <v>13</v>
      </c>
      <c r="C6752" s="59">
        <v>730</v>
      </c>
      <c r="D6752" s="51">
        <v>38</v>
      </c>
      <c r="E6752" s="51">
        <f t="shared" si="105"/>
        <v>1</v>
      </c>
    </row>
    <row r="6753" spans="1:5">
      <c r="A6753" s="59">
        <v>14</v>
      </c>
      <c r="B6753" s="59">
        <v>44</v>
      </c>
      <c r="C6753" s="59">
        <v>899</v>
      </c>
      <c r="D6753" s="51">
        <v>38</v>
      </c>
      <c r="E6753" s="51">
        <f t="shared" si="105"/>
        <v>1</v>
      </c>
    </row>
    <row r="6754" spans="1:5">
      <c r="A6754" s="59">
        <v>14</v>
      </c>
      <c r="B6754" s="59">
        <v>71</v>
      </c>
      <c r="C6754" s="59">
        <v>550</v>
      </c>
      <c r="D6754" s="51">
        <v>38</v>
      </c>
      <c r="E6754" s="51">
        <f t="shared" si="105"/>
        <v>1</v>
      </c>
    </row>
    <row r="6755" spans="1:5">
      <c r="A6755" s="59">
        <v>14</v>
      </c>
      <c r="B6755" s="59">
        <v>43</v>
      </c>
      <c r="C6755" s="59">
        <v>320</v>
      </c>
      <c r="D6755" s="51">
        <v>37</v>
      </c>
      <c r="E6755" s="51">
        <f t="shared" si="105"/>
        <v>1</v>
      </c>
    </row>
    <row r="6756" spans="1:5">
      <c r="A6756" s="59">
        <v>14</v>
      </c>
      <c r="B6756" s="59">
        <v>62</v>
      </c>
      <c r="C6756" s="59">
        <v>930</v>
      </c>
      <c r="D6756" s="51">
        <v>37</v>
      </c>
      <c r="E6756" s="51">
        <f t="shared" si="105"/>
        <v>1</v>
      </c>
    </row>
    <row r="6757" spans="1:5">
      <c r="A6757" s="59">
        <v>14</v>
      </c>
      <c r="B6757" s="59">
        <v>63</v>
      </c>
      <c r="C6757" s="59">
        <v>950</v>
      </c>
      <c r="D6757" s="51">
        <v>37</v>
      </c>
      <c r="E6757" s="51">
        <f t="shared" si="105"/>
        <v>1</v>
      </c>
    </row>
    <row r="6758" spans="1:5">
      <c r="A6758" s="59">
        <v>14</v>
      </c>
      <c r="B6758" s="59">
        <v>21</v>
      </c>
      <c r="C6758" s="59">
        <v>210</v>
      </c>
      <c r="D6758" s="51">
        <v>36</v>
      </c>
      <c r="E6758" s="51">
        <f t="shared" si="105"/>
        <v>1</v>
      </c>
    </row>
    <row r="6759" spans="1:5">
      <c r="A6759" s="59">
        <v>14</v>
      </c>
      <c r="B6759" s="59">
        <v>44</v>
      </c>
      <c r="C6759" s="59">
        <v>860</v>
      </c>
      <c r="D6759" s="51">
        <v>36</v>
      </c>
      <c r="E6759" s="51">
        <f t="shared" si="105"/>
        <v>1</v>
      </c>
    </row>
    <row r="6760" spans="1:5">
      <c r="A6760" s="59">
        <v>14</v>
      </c>
      <c r="B6760" s="59">
        <v>64</v>
      </c>
      <c r="C6760" s="59">
        <v>740</v>
      </c>
      <c r="D6760" s="51">
        <v>36</v>
      </c>
      <c r="E6760" s="51">
        <f t="shared" si="105"/>
        <v>1</v>
      </c>
    </row>
    <row r="6761" spans="1:5">
      <c r="A6761" s="59">
        <v>14</v>
      </c>
      <c r="B6761" s="59">
        <v>71</v>
      </c>
      <c r="C6761" s="59">
        <v>220</v>
      </c>
      <c r="D6761" s="51">
        <v>36</v>
      </c>
      <c r="E6761" s="51">
        <f t="shared" si="105"/>
        <v>1</v>
      </c>
    </row>
    <row r="6762" spans="1:5">
      <c r="A6762" s="59">
        <v>14</v>
      </c>
      <c r="B6762" s="59">
        <v>16</v>
      </c>
      <c r="C6762" s="59">
        <v>220</v>
      </c>
      <c r="D6762" s="51">
        <v>35</v>
      </c>
      <c r="E6762" s="51">
        <f t="shared" si="105"/>
        <v>1</v>
      </c>
    </row>
    <row r="6763" spans="1:5">
      <c r="A6763" s="59">
        <v>14</v>
      </c>
      <c r="B6763" s="59">
        <v>64</v>
      </c>
      <c r="C6763" s="59">
        <v>640</v>
      </c>
      <c r="D6763" s="51">
        <v>35</v>
      </c>
      <c r="E6763" s="51">
        <f t="shared" si="105"/>
        <v>1</v>
      </c>
    </row>
    <row r="6764" spans="1:5">
      <c r="A6764" s="59">
        <v>14</v>
      </c>
      <c r="B6764" s="59">
        <v>16</v>
      </c>
      <c r="C6764" s="59">
        <v>410</v>
      </c>
      <c r="D6764" s="51">
        <v>33</v>
      </c>
      <c r="E6764" s="51">
        <f t="shared" si="105"/>
        <v>1</v>
      </c>
    </row>
    <row r="6765" spans="1:5">
      <c r="A6765" s="59">
        <v>14</v>
      </c>
      <c r="B6765" s="59">
        <v>41</v>
      </c>
      <c r="C6765" s="59">
        <v>110</v>
      </c>
      <c r="D6765" s="51">
        <v>33</v>
      </c>
      <c r="E6765" s="51">
        <f t="shared" si="105"/>
        <v>1</v>
      </c>
    </row>
    <row r="6766" spans="1:5">
      <c r="A6766" s="59">
        <v>14</v>
      </c>
      <c r="B6766" s="59">
        <v>64</v>
      </c>
      <c r="C6766" s="59">
        <v>840</v>
      </c>
      <c r="D6766" s="51">
        <v>33</v>
      </c>
      <c r="E6766" s="51">
        <f t="shared" si="105"/>
        <v>1</v>
      </c>
    </row>
    <row r="6767" spans="1:5">
      <c r="A6767" s="59">
        <v>14</v>
      </c>
      <c r="B6767" s="59">
        <v>81</v>
      </c>
      <c r="C6767" s="59">
        <v>160</v>
      </c>
      <c r="D6767" s="51">
        <v>33</v>
      </c>
      <c r="E6767" s="51">
        <f t="shared" si="105"/>
        <v>1</v>
      </c>
    </row>
    <row r="6768" spans="1:5">
      <c r="A6768" s="59">
        <v>14</v>
      </c>
      <c r="B6768" s="59">
        <v>16</v>
      </c>
      <c r="C6768" s="59">
        <v>840</v>
      </c>
      <c r="D6768" s="51">
        <v>32</v>
      </c>
      <c r="E6768" s="51">
        <f t="shared" si="105"/>
        <v>1</v>
      </c>
    </row>
    <row r="6769" spans="1:5">
      <c r="A6769" s="59">
        <v>14</v>
      </c>
      <c r="B6769" s="59">
        <v>22</v>
      </c>
      <c r="C6769" s="59">
        <v>510</v>
      </c>
      <c r="D6769" s="51">
        <v>31</v>
      </c>
      <c r="E6769" s="51">
        <f t="shared" si="105"/>
        <v>1</v>
      </c>
    </row>
    <row r="6770" spans="1:5">
      <c r="A6770" s="59">
        <v>14</v>
      </c>
      <c r="B6770" s="59">
        <v>44</v>
      </c>
      <c r="C6770" s="59">
        <v>150</v>
      </c>
      <c r="D6770" s="51">
        <v>31</v>
      </c>
      <c r="E6770" s="51">
        <f t="shared" si="105"/>
        <v>1</v>
      </c>
    </row>
    <row r="6771" spans="1:5">
      <c r="A6771" s="59">
        <v>14</v>
      </c>
      <c r="B6771" s="59">
        <v>14</v>
      </c>
      <c r="C6771" s="59">
        <v>730</v>
      </c>
      <c r="D6771" s="51">
        <v>30</v>
      </c>
      <c r="E6771" s="51">
        <f t="shared" si="105"/>
        <v>1</v>
      </c>
    </row>
    <row r="6772" spans="1:5">
      <c r="A6772" s="59">
        <v>14</v>
      </c>
      <c r="B6772" s="59">
        <v>13</v>
      </c>
      <c r="C6772" s="59">
        <v>620</v>
      </c>
      <c r="D6772" s="51">
        <v>29</v>
      </c>
      <c r="E6772" s="51">
        <f t="shared" si="105"/>
        <v>1</v>
      </c>
    </row>
    <row r="6773" spans="1:5">
      <c r="A6773" s="59">
        <v>14</v>
      </c>
      <c r="B6773" s="59">
        <v>42</v>
      </c>
      <c r="C6773" s="59">
        <v>150</v>
      </c>
      <c r="D6773" s="51">
        <v>29</v>
      </c>
      <c r="E6773" s="51">
        <f t="shared" si="105"/>
        <v>1</v>
      </c>
    </row>
    <row r="6774" spans="1:5">
      <c r="A6774" s="59">
        <v>14</v>
      </c>
      <c r="B6774" s="59">
        <v>63</v>
      </c>
      <c r="C6774" s="59">
        <v>220</v>
      </c>
      <c r="D6774" s="51">
        <v>29</v>
      </c>
      <c r="E6774" s="51">
        <f t="shared" si="105"/>
        <v>1</v>
      </c>
    </row>
    <row r="6775" spans="1:5">
      <c r="A6775" s="59">
        <v>14</v>
      </c>
      <c r="B6775" s="59">
        <v>41</v>
      </c>
      <c r="C6775" s="59">
        <v>150</v>
      </c>
      <c r="D6775" s="51">
        <v>28</v>
      </c>
      <c r="E6775" s="51">
        <f t="shared" si="105"/>
        <v>1</v>
      </c>
    </row>
    <row r="6776" spans="1:5">
      <c r="A6776" s="59">
        <v>14</v>
      </c>
      <c r="B6776" s="59">
        <v>62</v>
      </c>
      <c r="C6776" s="59">
        <v>310</v>
      </c>
      <c r="D6776" s="51">
        <v>28</v>
      </c>
      <c r="E6776" s="51">
        <f t="shared" si="105"/>
        <v>1</v>
      </c>
    </row>
    <row r="6777" spans="1:5">
      <c r="A6777" s="59">
        <v>14</v>
      </c>
      <c r="B6777" s="59">
        <v>15</v>
      </c>
      <c r="C6777" s="59">
        <v>130</v>
      </c>
      <c r="D6777" s="51">
        <v>27</v>
      </c>
      <c r="E6777" s="51">
        <f t="shared" si="105"/>
        <v>1</v>
      </c>
    </row>
    <row r="6778" spans="1:5">
      <c r="A6778" s="59">
        <v>14</v>
      </c>
      <c r="B6778" s="59">
        <v>16</v>
      </c>
      <c r="C6778" s="59">
        <v>610</v>
      </c>
      <c r="D6778" s="51">
        <v>27</v>
      </c>
      <c r="E6778" s="51">
        <f t="shared" si="105"/>
        <v>1</v>
      </c>
    </row>
    <row r="6779" spans="1:5">
      <c r="A6779" s="59">
        <v>14</v>
      </c>
      <c r="B6779" s="59">
        <v>22</v>
      </c>
      <c r="C6779" s="59">
        <v>530</v>
      </c>
      <c r="D6779" s="51">
        <v>27</v>
      </c>
      <c r="E6779" s="51">
        <f t="shared" si="105"/>
        <v>1</v>
      </c>
    </row>
    <row r="6780" spans="1:5">
      <c r="A6780" s="59">
        <v>14</v>
      </c>
      <c r="B6780" s="59">
        <v>44</v>
      </c>
      <c r="C6780" s="59">
        <v>210</v>
      </c>
      <c r="D6780" s="51">
        <v>27</v>
      </c>
      <c r="E6780" s="51">
        <f t="shared" si="105"/>
        <v>1</v>
      </c>
    </row>
    <row r="6781" spans="1:5">
      <c r="A6781" s="59">
        <v>14</v>
      </c>
      <c r="B6781" s="59">
        <v>44</v>
      </c>
      <c r="C6781" s="59">
        <v>430</v>
      </c>
      <c r="D6781" s="51">
        <v>27</v>
      </c>
      <c r="E6781" s="51">
        <f t="shared" si="105"/>
        <v>1</v>
      </c>
    </row>
    <row r="6782" spans="1:5">
      <c r="A6782" s="59">
        <v>14</v>
      </c>
      <c r="B6782" s="59">
        <v>44</v>
      </c>
      <c r="C6782" s="59">
        <v>861</v>
      </c>
      <c r="D6782" s="51">
        <v>27</v>
      </c>
      <c r="E6782" s="51">
        <f t="shared" si="105"/>
        <v>1</v>
      </c>
    </row>
    <row r="6783" spans="1:5">
      <c r="A6783" s="59">
        <v>14</v>
      </c>
      <c r="B6783" s="59">
        <v>62</v>
      </c>
      <c r="C6783" s="59">
        <v>550</v>
      </c>
      <c r="D6783" s="51">
        <v>27</v>
      </c>
      <c r="E6783" s="51">
        <f t="shared" si="105"/>
        <v>1</v>
      </c>
    </row>
    <row r="6784" spans="1:5">
      <c r="A6784" s="59">
        <v>14</v>
      </c>
      <c r="B6784" s="59">
        <v>63</v>
      </c>
      <c r="C6784" s="59">
        <v>210</v>
      </c>
      <c r="D6784" s="51">
        <v>27</v>
      </c>
      <c r="E6784" s="51">
        <f t="shared" si="105"/>
        <v>1</v>
      </c>
    </row>
    <row r="6785" spans="1:5">
      <c r="A6785" s="59">
        <v>14</v>
      </c>
      <c r="B6785" s="59">
        <v>64</v>
      </c>
      <c r="C6785" s="59">
        <v>130</v>
      </c>
      <c r="D6785" s="51">
        <v>27</v>
      </c>
      <c r="E6785" s="51">
        <f t="shared" si="105"/>
        <v>1</v>
      </c>
    </row>
    <row r="6786" spans="1:5">
      <c r="A6786" s="59">
        <v>14</v>
      </c>
      <c r="B6786" s="59">
        <v>64</v>
      </c>
      <c r="C6786" s="59">
        <v>630</v>
      </c>
      <c r="D6786" s="51">
        <v>27</v>
      </c>
      <c r="E6786" s="51">
        <f t="shared" ref="E6786:E6849" si="106">IF(OR(A6786=6,A6786=7,A6786=14,A6786=15,A6786=16,A6786=17,A6786=18,A6786=19,A6786=20,A6786=21,A6786=22,A6786=23,A6786=25,A6786=26,A6786=27,A6786=28,B6786=41,B6786=44,B6786=62),1,0)</f>
        <v>1</v>
      </c>
    </row>
    <row r="6787" spans="1:5">
      <c r="A6787" s="59">
        <v>14</v>
      </c>
      <c r="B6787" s="59">
        <v>81</v>
      </c>
      <c r="C6787" s="59">
        <v>150</v>
      </c>
      <c r="D6787" s="51">
        <v>27</v>
      </c>
      <c r="E6787" s="51">
        <f t="shared" si="106"/>
        <v>1</v>
      </c>
    </row>
    <row r="6788" spans="1:5">
      <c r="A6788" s="59">
        <v>14</v>
      </c>
      <c r="B6788" s="59">
        <v>14</v>
      </c>
      <c r="C6788" s="59">
        <v>520</v>
      </c>
      <c r="D6788" s="51">
        <v>26</v>
      </c>
      <c r="E6788" s="51">
        <f t="shared" si="106"/>
        <v>1</v>
      </c>
    </row>
    <row r="6789" spans="1:5">
      <c r="A6789" s="59">
        <v>14</v>
      </c>
      <c r="B6789" s="59">
        <v>44</v>
      </c>
      <c r="C6789" s="59">
        <v>540</v>
      </c>
      <c r="D6789" s="51">
        <v>26</v>
      </c>
      <c r="E6789" s="51">
        <f t="shared" si="106"/>
        <v>1</v>
      </c>
    </row>
    <row r="6790" spans="1:5">
      <c r="A6790" s="59">
        <v>14</v>
      </c>
      <c r="B6790" s="59">
        <v>71</v>
      </c>
      <c r="C6790" s="59">
        <v>410</v>
      </c>
      <c r="D6790" s="51">
        <v>26</v>
      </c>
      <c r="E6790" s="51">
        <f t="shared" si="106"/>
        <v>1</v>
      </c>
    </row>
    <row r="6791" spans="1:5">
      <c r="A6791" s="59">
        <v>14</v>
      </c>
      <c r="B6791" s="59">
        <v>32</v>
      </c>
      <c r="C6791" s="59">
        <v>150</v>
      </c>
      <c r="D6791" s="51">
        <v>25</v>
      </c>
      <c r="E6791" s="51">
        <f t="shared" si="106"/>
        <v>1</v>
      </c>
    </row>
    <row r="6792" spans="1:5">
      <c r="A6792" s="59">
        <v>14</v>
      </c>
      <c r="B6792" s="59">
        <v>32</v>
      </c>
      <c r="C6792" s="59">
        <v>970</v>
      </c>
      <c r="D6792" s="51">
        <v>25</v>
      </c>
      <c r="E6792" s="51">
        <f t="shared" si="106"/>
        <v>1</v>
      </c>
    </row>
    <row r="6793" spans="1:5">
      <c r="A6793" s="59">
        <v>14</v>
      </c>
      <c r="B6793" s="59">
        <v>42</v>
      </c>
      <c r="C6793" s="59">
        <v>520</v>
      </c>
      <c r="D6793" s="51">
        <v>25</v>
      </c>
      <c r="E6793" s="51">
        <f t="shared" si="106"/>
        <v>1</v>
      </c>
    </row>
    <row r="6794" spans="1:5">
      <c r="A6794" s="59">
        <v>14</v>
      </c>
      <c r="B6794" s="59">
        <v>64</v>
      </c>
      <c r="C6794" s="59">
        <v>140</v>
      </c>
      <c r="D6794" s="51">
        <v>25</v>
      </c>
      <c r="E6794" s="51">
        <f t="shared" si="106"/>
        <v>1</v>
      </c>
    </row>
    <row r="6795" spans="1:5">
      <c r="A6795" s="59">
        <v>14</v>
      </c>
      <c r="B6795" s="59">
        <v>64</v>
      </c>
      <c r="C6795" s="59">
        <v>820</v>
      </c>
      <c r="D6795" s="51">
        <v>25</v>
      </c>
      <c r="E6795" s="51">
        <f t="shared" si="106"/>
        <v>1</v>
      </c>
    </row>
    <row r="6796" spans="1:5">
      <c r="A6796" s="59">
        <v>14</v>
      </c>
      <c r="B6796" s="59">
        <v>71</v>
      </c>
      <c r="C6796" s="59">
        <v>210</v>
      </c>
      <c r="D6796" s="51">
        <v>25</v>
      </c>
      <c r="E6796" s="51">
        <f t="shared" si="106"/>
        <v>1</v>
      </c>
    </row>
    <row r="6797" spans="1:5">
      <c r="A6797" s="59">
        <v>14</v>
      </c>
      <c r="B6797" s="59">
        <v>71</v>
      </c>
      <c r="C6797" s="59">
        <v>630</v>
      </c>
      <c r="D6797" s="51">
        <v>25</v>
      </c>
      <c r="E6797" s="51">
        <f t="shared" si="106"/>
        <v>1</v>
      </c>
    </row>
    <row r="6798" spans="1:5">
      <c r="A6798" s="59">
        <v>14</v>
      </c>
      <c r="B6798" s="59">
        <v>32</v>
      </c>
      <c r="C6798" s="59">
        <v>110</v>
      </c>
      <c r="D6798" s="51">
        <v>24</v>
      </c>
      <c r="E6798" s="51">
        <f t="shared" si="106"/>
        <v>1</v>
      </c>
    </row>
    <row r="6799" spans="1:5">
      <c r="A6799" s="59">
        <v>14</v>
      </c>
      <c r="B6799" s="59">
        <v>33</v>
      </c>
      <c r="C6799" s="59">
        <v>160</v>
      </c>
      <c r="D6799" s="51">
        <v>24</v>
      </c>
      <c r="E6799" s="51">
        <f t="shared" si="106"/>
        <v>1</v>
      </c>
    </row>
    <row r="6800" spans="1:5">
      <c r="A6800" s="59">
        <v>14</v>
      </c>
      <c r="B6800" s="59">
        <v>41</v>
      </c>
      <c r="C6800" s="59">
        <v>893</v>
      </c>
      <c r="D6800" s="51">
        <v>24</v>
      </c>
      <c r="E6800" s="51">
        <f t="shared" si="106"/>
        <v>1</v>
      </c>
    </row>
    <row r="6801" spans="1:5">
      <c r="A6801" s="59">
        <v>14</v>
      </c>
      <c r="B6801" s="59">
        <v>44</v>
      </c>
      <c r="C6801" s="59">
        <v>880</v>
      </c>
      <c r="D6801" s="51">
        <v>24</v>
      </c>
      <c r="E6801" s="51">
        <f t="shared" si="106"/>
        <v>1</v>
      </c>
    </row>
    <row r="6802" spans="1:5">
      <c r="A6802" s="59">
        <v>14</v>
      </c>
      <c r="B6802" s="59">
        <v>62</v>
      </c>
      <c r="C6802" s="59">
        <v>230</v>
      </c>
      <c r="D6802" s="51">
        <v>24</v>
      </c>
      <c r="E6802" s="51">
        <f t="shared" si="106"/>
        <v>1</v>
      </c>
    </row>
    <row r="6803" spans="1:5">
      <c r="A6803" s="59">
        <v>14</v>
      </c>
      <c r="B6803" s="59">
        <v>63</v>
      </c>
      <c r="C6803" s="59">
        <v>430</v>
      </c>
      <c r="D6803" s="51">
        <v>24</v>
      </c>
      <c r="E6803" s="51">
        <f t="shared" si="106"/>
        <v>1</v>
      </c>
    </row>
    <row r="6804" spans="1:5">
      <c r="A6804" s="59">
        <v>14</v>
      </c>
      <c r="B6804" s="59">
        <v>12</v>
      </c>
      <c r="C6804" s="59">
        <v>150</v>
      </c>
      <c r="D6804" s="51">
        <v>23</v>
      </c>
      <c r="E6804" s="51">
        <f t="shared" si="106"/>
        <v>1</v>
      </c>
    </row>
    <row r="6805" spans="1:5">
      <c r="A6805" s="59">
        <v>14</v>
      </c>
      <c r="B6805" s="59">
        <v>14</v>
      </c>
      <c r="C6805" s="59">
        <v>990</v>
      </c>
      <c r="D6805" s="51">
        <v>23</v>
      </c>
      <c r="E6805" s="51">
        <f t="shared" si="106"/>
        <v>1</v>
      </c>
    </row>
    <row r="6806" spans="1:5">
      <c r="A6806" s="59">
        <v>14</v>
      </c>
      <c r="B6806" s="59">
        <v>33</v>
      </c>
      <c r="C6806" s="59">
        <v>930</v>
      </c>
      <c r="D6806" s="51">
        <v>23</v>
      </c>
      <c r="E6806" s="51">
        <f t="shared" si="106"/>
        <v>1</v>
      </c>
    </row>
    <row r="6807" spans="1:5">
      <c r="A6807" s="59">
        <v>14</v>
      </c>
      <c r="B6807" s="59">
        <v>81</v>
      </c>
      <c r="C6807" s="59">
        <v>210</v>
      </c>
      <c r="D6807" s="51">
        <v>23</v>
      </c>
      <c r="E6807" s="51">
        <f t="shared" si="106"/>
        <v>1</v>
      </c>
    </row>
    <row r="6808" spans="1:5">
      <c r="A6808" s="59">
        <v>14</v>
      </c>
      <c r="B6808" s="59">
        <v>13</v>
      </c>
      <c r="C6808" s="59">
        <v>430</v>
      </c>
      <c r="D6808" s="51">
        <v>22</v>
      </c>
      <c r="E6808" s="51">
        <f t="shared" si="106"/>
        <v>1</v>
      </c>
    </row>
    <row r="6809" spans="1:5">
      <c r="A6809" s="59">
        <v>14</v>
      </c>
      <c r="B6809" s="59">
        <v>14</v>
      </c>
      <c r="C6809" s="59">
        <v>420</v>
      </c>
      <c r="D6809" s="51">
        <v>22</v>
      </c>
      <c r="E6809" s="51">
        <f t="shared" si="106"/>
        <v>1</v>
      </c>
    </row>
    <row r="6810" spans="1:5">
      <c r="A6810" s="59">
        <v>14</v>
      </c>
      <c r="B6810" s="59">
        <v>23</v>
      </c>
      <c r="C6810" s="59">
        <v>210</v>
      </c>
      <c r="D6810" s="51">
        <v>22</v>
      </c>
      <c r="E6810" s="51">
        <f t="shared" si="106"/>
        <v>1</v>
      </c>
    </row>
    <row r="6811" spans="1:5">
      <c r="A6811" s="59">
        <v>14</v>
      </c>
      <c r="B6811" s="59">
        <v>31</v>
      </c>
      <c r="C6811" s="59">
        <v>410</v>
      </c>
      <c r="D6811" s="51">
        <v>22</v>
      </c>
      <c r="E6811" s="51">
        <f t="shared" si="106"/>
        <v>1</v>
      </c>
    </row>
    <row r="6812" spans="1:5">
      <c r="A6812" s="59">
        <v>14</v>
      </c>
      <c r="B6812" s="59">
        <v>62</v>
      </c>
      <c r="C6812" s="59">
        <v>540</v>
      </c>
      <c r="D6812" s="51">
        <v>22</v>
      </c>
      <c r="E6812" s="51">
        <f t="shared" si="106"/>
        <v>1</v>
      </c>
    </row>
    <row r="6813" spans="1:5">
      <c r="A6813" s="59">
        <v>14</v>
      </c>
      <c r="B6813" s="59">
        <v>63</v>
      </c>
      <c r="C6813" s="59">
        <v>940</v>
      </c>
      <c r="D6813" s="51">
        <v>22</v>
      </c>
      <c r="E6813" s="51">
        <f t="shared" si="106"/>
        <v>1</v>
      </c>
    </row>
    <row r="6814" spans="1:5">
      <c r="A6814" s="59">
        <v>14</v>
      </c>
      <c r="B6814" s="59">
        <v>13</v>
      </c>
      <c r="C6814" s="59">
        <v>750</v>
      </c>
      <c r="D6814" s="51">
        <v>21</v>
      </c>
      <c r="E6814" s="51">
        <f t="shared" si="106"/>
        <v>1</v>
      </c>
    </row>
    <row r="6815" spans="1:5">
      <c r="A6815" s="59">
        <v>14</v>
      </c>
      <c r="B6815" s="59">
        <v>32</v>
      </c>
      <c r="C6815" s="59">
        <v>520</v>
      </c>
      <c r="D6815" s="51">
        <v>21</v>
      </c>
      <c r="E6815" s="51">
        <f t="shared" si="106"/>
        <v>1</v>
      </c>
    </row>
    <row r="6816" spans="1:5">
      <c r="A6816" s="59">
        <v>14</v>
      </c>
      <c r="B6816" s="59">
        <v>42</v>
      </c>
      <c r="C6816" s="59">
        <v>930</v>
      </c>
      <c r="D6816" s="51">
        <v>21</v>
      </c>
      <c r="E6816" s="51">
        <f t="shared" si="106"/>
        <v>1</v>
      </c>
    </row>
    <row r="6817" spans="1:5">
      <c r="A6817" s="59">
        <v>14</v>
      </c>
      <c r="B6817" s="59">
        <v>62</v>
      </c>
      <c r="C6817" s="59">
        <v>410</v>
      </c>
      <c r="D6817" s="51">
        <v>21</v>
      </c>
      <c r="E6817" s="51">
        <f t="shared" si="106"/>
        <v>1</v>
      </c>
    </row>
    <row r="6818" spans="1:5">
      <c r="A6818" s="59">
        <v>14</v>
      </c>
      <c r="B6818" s="59">
        <v>62</v>
      </c>
      <c r="C6818" s="59">
        <v>970</v>
      </c>
      <c r="D6818" s="51">
        <v>21</v>
      </c>
      <c r="E6818" s="51">
        <f t="shared" si="106"/>
        <v>1</v>
      </c>
    </row>
    <row r="6819" spans="1:5">
      <c r="A6819" s="59">
        <v>14</v>
      </c>
      <c r="B6819" s="59">
        <v>81</v>
      </c>
      <c r="C6819" s="59">
        <v>750</v>
      </c>
      <c r="D6819" s="51">
        <v>21</v>
      </c>
      <c r="E6819" s="51">
        <f t="shared" si="106"/>
        <v>1</v>
      </c>
    </row>
    <row r="6820" spans="1:5">
      <c r="A6820" s="59">
        <v>14</v>
      </c>
      <c r="B6820" s="59">
        <v>11</v>
      </c>
      <c r="C6820" s="59">
        <v>110</v>
      </c>
      <c r="D6820" s="51">
        <v>20</v>
      </c>
      <c r="E6820" s="51">
        <f t="shared" si="106"/>
        <v>1</v>
      </c>
    </row>
    <row r="6821" spans="1:5">
      <c r="A6821" s="59">
        <v>14</v>
      </c>
      <c r="B6821" s="59">
        <v>13</v>
      </c>
      <c r="C6821" s="59">
        <v>940</v>
      </c>
      <c r="D6821" s="51">
        <v>20</v>
      </c>
      <c r="E6821" s="51">
        <f t="shared" si="106"/>
        <v>1</v>
      </c>
    </row>
    <row r="6822" spans="1:5">
      <c r="A6822" s="59">
        <v>14</v>
      </c>
      <c r="B6822" s="59">
        <v>15</v>
      </c>
      <c r="C6822" s="59">
        <v>950</v>
      </c>
      <c r="D6822" s="51">
        <v>20</v>
      </c>
      <c r="E6822" s="51">
        <f t="shared" si="106"/>
        <v>1</v>
      </c>
    </row>
    <row r="6823" spans="1:5">
      <c r="A6823" s="59">
        <v>14</v>
      </c>
      <c r="B6823" s="59">
        <v>16</v>
      </c>
      <c r="C6823" s="59">
        <v>420</v>
      </c>
      <c r="D6823" s="51">
        <v>20</v>
      </c>
      <c r="E6823" s="51">
        <f t="shared" si="106"/>
        <v>1</v>
      </c>
    </row>
    <row r="6824" spans="1:5">
      <c r="A6824" s="59">
        <v>14</v>
      </c>
      <c r="B6824" s="59">
        <v>32</v>
      </c>
      <c r="C6824" s="59">
        <v>960</v>
      </c>
      <c r="D6824" s="51">
        <v>20</v>
      </c>
      <c r="E6824" s="51">
        <f t="shared" si="106"/>
        <v>1</v>
      </c>
    </row>
    <row r="6825" spans="1:5">
      <c r="A6825" s="59">
        <v>14</v>
      </c>
      <c r="B6825" s="59">
        <v>41</v>
      </c>
      <c r="C6825" s="59">
        <v>750</v>
      </c>
      <c r="D6825" s="51">
        <v>20</v>
      </c>
      <c r="E6825" s="51">
        <f t="shared" si="106"/>
        <v>1</v>
      </c>
    </row>
    <row r="6826" spans="1:5">
      <c r="A6826" s="59">
        <v>14</v>
      </c>
      <c r="B6826" s="59">
        <v>81</v>
      </c>
      <c r="C6826" s="59">
        <v>710</v>
      </c>
      <c r="D6826" s="51">
        <v>20</v>
      </c>
      <c r="E6826" s="51">
        <f t="shared" si="106"/>
        <v>1</v>
      </c>
    </row>
    <row r="6827" spans="1:5">
      <c r="A6827" s="59">
        <v>14</v>
      </c>
      <c r="B6827" s="59">
        <v>14</v>
      </c>
      <c r="C6827" s="59">
        <v>620</v>
      </c>
      <c r="D6827" s="51">
        <v>19</v>
      </c>
      <c r="E6827" s="51">
        <f t="shared" si="106"/>
        <v>1</v>
      </c>
    </row>
    <row r="6828" spans="1:5">
      <c r="A6828" s="59">
        <v>14</v>
      </c>
      <c r="B6828" s="59">
        <v>23</v>
      </c>
      <c r="C6828" s="59">
        <v>240</v>
      </c>
      <c r="D6828" s="51">
        <v>19</v>
      </c>
      <c r="E6828" s="51">
        <f t="shared" si="106"/>
        <v>1</v>
      </c>
    </row>
    <row r="6829" spans="1:5">
      <c r="A6829" s="59">
        <v>14</v>
      </c>
      <c r="B6829" s="59">
        <v>31</v>
      </c>
      <c r="C6829" s="59">
        <v>895</v>
      </c>
      <c r="D6829" s="51">
        <v>19</v>
      </c>
      <c r="E6829" s="51">
        <f t="shared" si="106"/>
        <v>1</v>
      </c>
    </row>
    <row r="6830" spans="1:5">
      <c r="A6830" s="59">
        <v>14</v>
      </c>
      <c r="B6830" s="59">
        <v>33</v>
      </c>
      <c r="C6830" s="59">
        <v>230</v>
      </c>
      <c r="D6830" s="51">
        <v>19</v>
      </c>
      <c r="E6830" s="51">
        <f t="shared" si="106"/>
        <v>1</v>
      </c>
    </row>
    <row r="6831" spans="1:5">
      <c r="A6831" s="59">
        <v>14</v>
      </c>
      <c r="B6831" s="59">
        <v>41</v>
      </c>
      <c r="C6831" s="59">
        <v>230</v>
      </c>
      <c r="D6831" s="51">
        <v>19</v>
      </c>
      <c r="E6831" s="51">
        <f t="shared" si="106"/>
        <v>1</v>
      </c>
    </row>
    <row r="6832" spans="1:5">
      <c r="A6832" s="59">
        <v>14</v>
      </c>
      <c r="B6832" s="59">
        <v>43</v>
      </c>
      <c r="C6832" s="59">
        <v>891</v>
      </c>
      <c r="D6832" s="51">
        <v>19</v>
      </c>
      <c r="E6832" s="51">
        <f t="shared" si="106"/>
        <v>1</v>
      </c>
    </row>
    <row r="6833" spans="1:5">
      <c r="A6833" s="59">
        <v>14</v>
      </c>
      <c r="B6833" s="59">
        <v>44</v>
      </c>
      <c r="C6833" s="59">
        <v>410</v>
      </c>
      <c r="D6833" s="51">
        <v>19</v>
      </c>
      <c r="E6833" s="51">
        <f t="shared" si="106"/>
        <v>1</v>
      </c>
    </row>
    <row r="6834" spans="1:5">
      <c r="A6834" s="59">
        <v>14</v>
      </c>
      <c r="B6834" s="59">
        <v>51</v>
      </c>
      <c r="C6834" s="59">
        <v>920</v>
      </c>
      <c r="D6834" s="51">
        <v>19</v>
      </c>
      <c r="E6834" s="51">
        <f t="shared" si="106"/>
        <v>1</v>
      </c>
    </row>
    <row r="6835" spans="1:5">
      <c r="A6835" s="59">
        <v>14</v>
      </c>
      <c r="B6835" s="59">
        <v>62</v>
      </c>
      <c r="C6835" s="59">
        <v>940</v>
      </c>
      <c r="D6835" s="51">
        <v>19</v>
      </c>
      <c r="E6835" s="51">
        <f t="shared" si="106"/>
        <v>1</v>
      </c>
    </row>
    <row r="6836" spans="1:5">
      <c r="A6836" s="59">
        <v>14</v>
      </c>
      <c r="B6836" s="59">
        <v>63</v>
      </c>
      <c r="C6836" s="59">
        <v>640</v>
      </c>
      <c r="D6836" s="51">
        <v>19</v>
      </c>
      <c r="E6836" s="51">
        <f t="shared" si="106"/>
        <v>1</v>
      </c>
    </row>
    <row r="6837" spans="1:5">
      <c r="A6837" s="59">
        <v>14</v>
      </c>
      <c r="B6837" s="59">
        <v>64</v>
      </c>
      <c r="C6837" s="59">
        <v>891</v>
      </c>
      <c r="D6837" s="51">
        <v>19</v>
      </c>
      <c r="E6837" s="51">
        <f t="shared" si="106"/>
        <v>1</v>
      </c>
    </row>
    <row r="6838" spans="1:5">
      <c r="A6838" s="59">
        <v>14</v>
      </c>
      <c r="B6838" s="59">
        <v>71</v>
      </c>
      <c r="C6838" s="59">
        <v>440</v>
      </c>
      <c r="D6838" s="51">
        <v>19</v>
      </c>
      <c r="E6838" s="51">
        <f t="shared" si="106"/>
        <v>1</v>
      </c>
    </row>
    <row r="6839" spans="1:5">
      <c r="A6839" s="59">
        <v>14</v>
      </c>
      <c r="B6839" s="59">
        <v>13</v>
      </c>
      <c r="C6839" s="59">
        <v>420</v>
      </c>
      <c r="D6839" s="51">
        <v>18</v>
      </c>
      <c r="E6839" s="51">
        <f t="shared" si="106"/>
        <v>1</v>
      </c>
    </row>
    <row r="6840" spans="1:5">
      <c r="A6840" s="59">
        <v>14</v>
      </c>
      <c r="B6840" s="59">
        <v>15</v>
      </c>
      <c r="C6840" s="59">
        <v>510</v>
      </c>
      <c r="D6840" s="51">
        <v>18</v>
      </c>
      <c r="E6840" s="51">
        <f t="shared" si="106"/>
        <v>1</v>
      </c>
    </row>
    <row r="6841" spans="1:5">
      <c r="A6841" s="59">
        <v>14</v>
      </c>
      <c r="B6841" s="59">
        <v>33</v>
      </c>
      <c r="C6841" s="59">
        <v>330</v>
      </c>
      <c r="D6841" s="51">
        <v>18</v>
      </c>
      <c r="E6841" s="51">
        <f t="shared" si="106"/>
        <v>1</v>
      </c>
    </row>
    <row r="6842" spans="1:5">
      <c r="A6842" s="59">
        <v>14</v>
      </c>
      <c r="B6842" s="59">
        <v>33</v>
      </c>
      <c r="C6842" s="59">
        <v>610</v>
      </c>
      <c r="D6842" s="51">
        <v>18</v>
      </c>
      <c r="E6842" s="51">
        <f t="shared" si="106"/>
        <v>1</v>
      </c>
    </row>
    <row r="6843" spans="1:5">
      <c r="A6843" s="59">
        <v>14</v>
      </c>
      <c r="B6843" s="59">
        <v>33</v>
      </c>
      <c r="C6843" s="59">
        <v>970</v>
      </c>
      <c r="D6843" s="51">
        <v>18</v>
      </c>
      <c r="E6843" s="51">
        <f t="shared" si="106"/>
        <v>1</v>
      </c>
    </row>
    <row r="6844" spans="1:5">
      <c r="A6844" s="59">
        <v>14</v>
      </c>
      <c r="B6844" s="59">
        <v>63</v>
      </c>
      <c r="C6844" s="59">
        <v>410</v>
      </c>
      <c r="D6844" s="51">
        <v>18</v>
      </c>
      <c r="E6844" s="51">
        <f t="shared" si="106"/>
        <v>1</v>
      </c>
    </row>
    <row r="6845" spans="1:5">
      <c r="A6845" s="59">
        <v>14</v>
      </c>
      <c r="B6845" s="59">
        <v>63</v>
      </c>
      <c r="C6845" s="59">
        <v>930</v>
      </c>
      <c r="D6845" s="51">
        <v>18</v>
      </c>
      <c r="E6845" s="51">
        <f t="shared" si="106"/>
        <v>1</v>
      </c>
    </row>
    <row r="6846" spans="1:5">
      <c r="A6846" s="59">
        <v>14</v>
      </c>
      <c r="B6846" s="59">
        <v>71</v>
      </c>
      <c r="C6846" s="59">
        <v>540</v>
      </c>
      <c r="D6846" s="51">
        <v>18</v>
      </c>
      <c r="E6846" s="51">
        <f t="shared" si="106"/>
        <v>1</v>
      </c>
    </row>
    <row r="6847" spans="1:5">
      <c r="A6847" s="59">
        <v>14</v>
      </c>
      <c r="B6847" s="59">
        <v>13</v>
      </c>
      <c r="C6847" s="59">
        <v>520</v>
      </c>
      <c r="D6847" s="51">
        <v>17</v>
      </c>
      <c r="E6847" s="51">
        <f t="shared" si="106"/>
        <v>1</v>
      </c>
    </row>
    <row r="6848" spans="1:5">
      <c r="A6848" s="59">
        <v>14</v>
      </c>
      <c r="B6848" s="59">
        <v>21</v>
      </c>
      <c r="C6848" s="59">
        <v>930</v>
      </c>
      <c r="D6848" s="51">
        <v>17</v>
      </c>
      <c r="E6848" s="51">
        <f t="shared" si="106"/>
        <v>1</v>
      </c>
    </row>
    <row r="6849" spans="1:5">
      <c r="A6849" s="59">
        <v>14</v>
      </c>
      <c r="B6849" s="59">
        <v>22</v>
      </c>
      <c r="C6849" s="59">
        <v>890</v>
      </c>
      <c r="D6849" s="51">
        <v>17</v>
      </c>
      <c r="E6849" s="51">
        <f t="shared" si="106"/>
        <v>1</v>
      </c>
    </row>
    <row r="6850" spans="1:5">
      <c r="A6850" s="59">
        <v>14</v>
      </c>
      <c r="B6850" s="59">
        <v>23</v>
      </c>
      <c r="C6850" s="59">
        <v>110</v>
      </c>
      <c r="D6850" s="51">
        <v>17</v>
      </c>
      <c r="E6850" s="51">
        <f t="shared" ref="E6850:E6913" si="107">IF(OR(A6850=6,A6850=7,A6850=14,A6850=15,A6850=16,A6850=17,A6850=18,A6850=19,A6850=20,A6850=21,A6850=22,A6850=23,A6850=25,A6850=26,A6850=27,A6850=28,B6850=41,B6850=44,B6850=62),1,0)</f>
        <v>1</v>
      </c>
    </row>
    <row r="6851" spans="1:5">
      <c r="A6851" s="59">
        <v>14</v>
      </c>
      <c r="B6851" s="59">
        <v>33</v>
      </c>
      <c r="C6851" s="59">
        <v>310</v>
      </c>
      <c r="D6851" s="51">
        <v>17</v>
      </c>
      <c r="E6851" s="51">
        <f t="shared" si="107"/>
        <v>1</v>
      </c>
    </row>
    <row r="6852" spans="1:5">
      <c r="A6852" s="59">
        <v>14</v>
      </c>
      <c r="B6852" s="59">
        <v>41</v>
      </c>
      <c r="C6852" s="59">
        <v>710</v>
      </c>
      <c r="D6852" s="51">
        <v>17</v>
      </c>
      <c r="E6852" s="51">
        <f t="shared" si="107"/>
        <v>1</v>
      </c>
    </row>
    <row r="6853" spans="1:5">
      <c r="A6853" s="59">
        <v>14</v>
      </c>
      <c r="B6853" s="59">
        <v>61</v>
      </c>
      <c r="C6853" s="59">
        <v>610</v>
      </c>
      <c r="D6853" s="51">
        <v>17</v>
      </c>
      <c r="E6853" s="51">
        <f t="shared" si="107"/>
        <v>1</v>
      </c>
    </row>
    <row r="6854" spans="1:5">
      <c r="A6854" s="59">
        <v>14</v>
      </c>
      <c r="B6854" s="59">
        <v>62</v>
      </c>
      <c r="C6854" s="59">
        <v>740</v>
      </c>
      <c r="D6854" s="51">
        <v>17</v>
      </c>
      <c r="E6854" s="51">
        <f t="shared" si="107"/>
        <v>1</v>
      </c>
    </row>
    <row r="6855" spans="1:5">
      <c r="A6855" s="59">
        <v>14</v>
      </c>
      <c r="B6855" s="59">
        <v>16</v>
      </c>
      <c r="C6855" s="59">
        <v>950</v>
      </c>
      <c r="D6855" s="51">
        <v>16</v>
      </c>
      <c r="E6855" s="51">
        <f t="shared" si="107"/>
        <v>1</v>
      </c>
    </row>
    <row r="6856" spans="1:5">
      <c r="A6856" s="59">
        <v>14</v>
      </c>
      <c r="B6856" s="59">
        <v>22</v>
      </c>
      <c r="C6856" s="59">
        <v>990</v>
      </c>
      <c r="D6856" s="51">
        <v>16</v>
      </c>
      <c r="E6856" s="51">
        <f t="shared" si="107"/>
        <v>1</v>
      </c>
    </row>
    <row r="6857" spans="1:5">
      <c r="A6857" s="59">
        <v>14</v>
      </c>
      <c r="B6857" s="59">
        <v>63</v>
      </c>
      <c r="C6857" s="59">
        <v>740</v>
      </c>
      <c r="D6857" s="51">
        <v>16</v>
      </c>
      <c r="E6857" s="51">
        <f t="shared" si="107"/>
        <v>1</v>
      </c>
    </row>
    <row r="6858" spans="1:5">
      <c r="A6858" s="59">
        <v>14</v>
      </c>
      <c r="B6858" s="59">
        <v>11</v>
      </c>
      <c r="C6858" s="59">
        <v>150</v>
      </c>
      <c r="D6858" s="51">
        <v>15</v>
      </c>
      <c r="E6858" s="51">
        <f t="shared" si="107"/>
        <v>1</v>
      </c>
    </row>
    <row r="6859" spans="1:5">
      <c r="A6859" s="59">
        <v>14</v>
      </c>
      <c r="B6859" s="59">
        <v>11</v>
      </c>
      <c r="C6859" s="59">
        <v>920</v>
      </c>
      <c r="D6859" s="51">
        <v>15</v>
      </c>
      <c r="E6859" s="51">
        <f t="shared" si="107"/>
        <v>1</v>
      </c>
    </row>
    <row r="6860" spans="1:5">
      <c r="A6860" s="59">
        <v>14</v>
      </c>
      <c r="B6860" s="59">
        <v>15</v>
      </c>
      <c r="C6860" s="59">
        <v>730</v>
      </c>
      <c r="D6860" s="51">
        <v>15</v>
      </c>
      <c r="E6860" s="51">
        <f t="shared" si="107"/>
        <v>1</v>
      </c>
    </row>
    <row r="6861" spans="1:5">
      <c r="A6861" s="59">
        <v>14</v>
      </c>
      <c r="B6861" s="59">
        <v>33</v>
      </c>
      <c r="C6861" s="59">
        <v>140</v>
      </c>
      <c r="D6861" s="51">
        <v>15</v>
      </c>
      <c r="E6861" s="51">
        <f t="shared" si="107"/>
        <v>1</v>
      </c>
    </row>
    <row r="6862" spans="1:5">
      <c r="A6862" s="59">
        <v>14</v>
      </c>
      <c r="B6862" s="59">
        <v>41</v>
      </c>
      <c r="C6862" s="59">
        <v>620</v>
      </c>
      <c r="D6862" s="51">
        <v>15</v>
      </c>
      <c r="E6862" s="51">
        <f t="shared" si="107"/>
        <v>1</v>
      </c>
    </row>
    <row r="6863" spans="1:5">
      <c r="A6863" s="59">
        <v>14</v>
      </c>
      <c r="B6863" s="59">
        <v>42</v>
      </c>
      <c r="C6863" s="59">
        <v>990</v>
      </c>
      <c r="D6863" s="51">
        <v>15</v>
      </c>
      <c r="E6863" s="51">
        <f t="shared" si="107"/>
        <v>1</v>
      </c>
    </row>
    <row r="6864" spans="1:5">
      <c r="A6864" s="59">
        <v>14</v>
      </c>
      <c r="B6864" s="59">
        <v>62</v>
      </c>
      <c r="C6864" s="59">
        <v>220</v>
      </c>
      <c r="D6864" s="51">
        <v>15</v>
      </c>
      <c r="E6864" s="51">
        <f t="shared" si="107"/>
        <v>1</v>
      </c>
    </row>
    <row r="6865" spans="1:5">
      <c r="A6865" s="59">
        <v>14</v>
      </c>
      <c r="B6865" s="59">
        <v>63</v>
      </c>
      <c r="C6865" s="59">
        <v>970</v>
      </c>
      <c r="D6865" s="51">
        <v>15</v>
      </c>
      <c r="E6865" s="51">
        <f t="shared" si="107"/>
        <v>1</v>
      </c>
    </row>
    <row r="6866" spans="1:5">
      <c r="A6866" s="59">
        <v>14</v>
      </c>
      <c r="B6866" s="59">
        <v>64</v>
      </c>
      <c r="C6866" s="59">
        <v>892</v>
      </c>
      <c r="D6866" s="51">
        <v>15</v>
      </c>
      <c r="E6866" s="51">
        <f t="shared" si="107"/>
        <v>1</v>
      </c>
    </row>
    <row r="6867" spans="1:5">
      <c r="A6867" s="59">
        <v>14</v>
      </c>
      <c r="B6867" s="59">
        <v>64</v>
      </c>
      <c r="C6867" s="59">
        <v>899</v>
      </c>
      <c r="D6867" s="51">
        <v>15</v>
      </c>
      <c r="E6867" s="51">
        <f t="shared" si="107"/>
        <v>1</v>
      </c>
    </row>
    <row r="6868" spans="1:5">
      <c r="A6868" s="59">
        <v>14</v>
      </c>
      <c r="B6868" s="59">
        <v>11</v>
      </c>
      <c r="C6868" s="59">
        <v>160</v>
      </c>
      <c r="D6868" s="51">
        <v>14</v>
      </c>
      <c r="E6868" s="51">
        <f t="shared" si="107"/>
        <v>1</v>
      </c>
    </row>
    <row r="6869" spans="1:5">
      <c r="A6869" s="59">
        <v>14</v>
      </c>
      <c r="B6869" s="59">
        <v>14</v>
      </c>
      <c r="C6869" s="59">
        <v>430</v>
      </c>
      <c r="D6869" s="51">
        <v>14</v>
      </c>
      <c r="E6869" s="51">
        <f t="shared" si="107"/>
        <v>1</v>
      </c>
    </row>
    <row r="6870" spans="1:5">
      <c r="A6870" s="59">
        <v>14</v>
      </c>
      <c r="B6870" s="59">
        <v>22</v>
      </c>
      <c r="C6870" s="59">
        <v>840</v>
      </c>
      <c r="D6870" s="51">
        <v>14</v>
      </c>
      <c r="E6870" s="51">
        <f t="shared" si="107"/>
        <v>1</v>
      </c>
    </row>
    <row r="6871" spans="1:5">
      <c r="A6871" s="59">
        <v>14</v>
      </c>
      <c r="B6871" s="59">
        <v>32</v>
      </c>
      <c r="C6871" s="59">
        <v>210</v>
      </c>
      <c r="D6871" s="51">
        <v>14</v>
      </c>
      <c r="E6871" s="51">
        <f t="shared" si="107"/>
        <v>1</v>
      </c>
    </row>
    <row r="6872" spans="1:5">
      <c r="A6872" s="59">
        <v>14</v>
      </c>
      <c r="B6872" s="59">
        <v>42</v>
      </c>
      <c r="C6872" s="59">
        <v>210</v>
      </c>
      <c r="D6872" s="51">
        <v>14</v>
      </c>
      <c r="E6872" s="51">
        <f t="shared" si="107"/>
        <v>1</v>
      </c>
    </row>
    <row r="6873" spans="1:5">
      <c r="A6873" s="59">
        <v>14</v>
      </c>
      <c r="B6873" s="59">
        <v>42</v>
      </c>
      <c r="C6873" s="59">
        <v>220</v>
      </c>
      <c r="D6873" s="51">
        <v>14</v>
      </c>
      <c r="E6873" s="51">
        <f t="shared" si="107"/>
        <v>1</v>
      </c>
    </row>
    <row r="6874" spans="1:5">
      <c r="A6874" s="59">
        <v>14</v>
      </c>
      <c r="B6874" s="59">
        <v>43</v>
      </c>
      <c r="C6874" s="59">
        <v>120</v>
      </c>
      <c r="D6874" s="51">
        <v>14</v>
      </c>
      <c r="E6874" s="51">
        <f t="shared" si="107"/>
        <v>1</v>
      </c>
    </row>
    <row r="6875" spans="1:5">
      <c r="A6875" s="59">
        <v>14</v>
      </c>
      <c r="B6875" s="59">
        <v>64</v>
      </c>
      <c r="C6875" s="59">
        <v>120</v>
      </c>
      <c r="D6875" s="51">
        <v>14</v>
      </c>
      <c r="E6875" s="51">
        <f t="shared" si="107"/>
        <v>1</v>
      </c>
    </row>
    <row r="6876" spans="1:5">
      <c r="A6876" s="59">
        <v>14</v>
      </c>
      <c r="B6876" s="59">
        <v>16</v>
      </c>
      <c r="C6876" s="59">
        <v>130</v>
      </c>
      <c r="D6876" s="51">
        <v>13</v>
      </c>
      <c r="E6876" s="51">
        <f t="shared" si="107"/>
        <v>1</v>
      </c>
    </row>
    <row r="6877" spans="1:5">
      <c r="A6877" s="59">
        <v>14</v>
      </c>
      <c r="B6877" s="59">
        <v>23</v>
      </c>
      <c r="C6877" s="59">
        <v>230</v>
      </c>
      <c r="D6877" s="51">
        <v>13</v>
      </c>
      <c r="E6877" s="51">
        <f t="shared" si="107"/>
        <v>1</v>
      </c>
    </row>
    <row r="6878" spans="1:5">
      <c r="A6878" s="59">
        <v>14</v>
      </c>
      <c r="B6878" s="59">
        <v>31</v>
      </c>
      <c r="C6878" s="59">
        <v>430</v>
      </c>
      <c r="D6878" s="51">
        <v>13</v>
      </c>
      <c r="E6878" s="51">
        <f t="shared" si="107"/>
        <v>1</v>
      </c>
    </row>
    <row r="6879" spans="1:5">
      <c r="A6879" s="59">
        <v>14</v>
      </c>
      <c r="B6879" s="59">
        <v>42</v>
      </c>
      <c r="C6879" s="59">
        <v>410</v>
      </c>
      <c r="D6879" s="51">
        <v>13</v>
      </c>
      <c r="E6879" s="51">
        <f t="shared" si="107"/>
        <v>1</v>
      </c>
    </row>
    <row r="6880" spans="1:5">
      <c r="A6880" s="59">
        <v>14</v>
      </c>
      <c r="B6880" s="59">
        <v>43</v>
      </c>
      <c r="C6880" s="59">
        <v>540</v>
      </c>
      <c r="D6880" s="51">
        <v>13</v>
      </c>
      <c r="E6880" s="51">
        <f t="shared" si="107"/>
        <v>1</v>
      </c>
    </row>
    <row r="6881" spans="1:5">
      <c r="A6881" s="59">
        <v>14</v>
      </c>
      <c r="B6881" s="59">
        <v>43</v>
      </c>
      <c r="C6881" s="59">
        <v>740</v>
      </c>
      <c r="D6881" s="51">
        <v>13</v>
      </c>
      <c r="E6881" s="51">
        <f t="shared" si="107"/>
        <v>1</v>
      </c>
    </row>
    <row r="6882" spans="1:5">
      <c r="A6882" s="59">
        <v>14</v>
      </c>
      <c r="B6882" s="59">
        <v>64</v>
      </c>
      <c r="C6882" s="59">
        <v>850</v>
      </c>
      <c r="D6882" s="51">
        <v>13</v>
      </c>
      <c r="E6882" s="51">
        <f t="shared" si="107"/>
        <v>1</v>
      </c>
    </row>
    <row r="6883" spans="1:5">
      <c r="A6883" s="59">
        <v>14</v>
      </c>
      <c r="B6883" s="59">
        <v>71</v>
      </c>
      <c r="C6883" s="59">
        <v>970</v>
      </c>
      <c r="D6883" s="51">
        <v>13</v>
      </c>
      <c r="E6883" s="51">
        <f t="shared" si="107"/>
        <v>1</v>
      </c>
    </row>
    <row r="6884" spans="1:5">
      <c r="A6884" s="59">
        <v>14</v>
      </c>
      <c r="B6884" s="59">
        <v>81</v>
      </c>
      <c r="C6884" s="59">
        <v>930</v>
      </c>
      <c r="D6884" s="51">
        <v>13</v>
      </c>
      <c r="E6884" s="51">
        <f t="shared" si="107"/>
        <v>1</v>
      </c>
    </row>
    <row r="6885" spans="1:5">
      <c r="A6885" s="59">
        <v>14</v>
      </c>
      <c r="B6885" s="59">
        <v>32</v>
      </c>
      <c r="C6885" s="59">
        <v>730</v>
      </c>
      <c r="D6885" s="51">
        <v>12</v>
      </c>
      <c r="E6885" s="51">
        <f t="shared" si="107"/>
        <v>1</v>
      </c>
    </row>
    <row r="6886" spans="1:5">
      <c r="A6886" s="59">
        <v>14</v>
      </c>
      <c r="B6886" s="59">
        <v>42</v>
      </c>
      <c r="C6886" s="59">
        <v>720</v>
      </c>
      <c r="D6886" s="51">
        <v>12</v>
      </c>
      <c r="E6886" s="51">
        <f t="shared" si="107"/>
        <v>1</v>
      </c>
    </row>
    <row r="6887" spans="1:5">
      <c r="A6887" s="59">
        <v>14</v>
      </c>
      <c r="B6887" s="59">
        <v>42</v>
      </c>
      <c r="C6887" s="59">
        <v>950</v>
      </c>
      <c r="D6887" s="51">
        <v>12</v>
      </c>
      <c r="E6887" s="51">
        <f t="shared" si="107"/>
        <v>1</v>
      </c>
    </row>
    <row r="6888" spans="1:5">
      <c r="A6888" s="59">
        <v>14</v>
      </c>
      <c r="B6888" s="59">
        <v>43</v>
      </c>
      <c r="C6888" s="59">
        <v>130</v>
      </c>
      <c r="D6888" s="51">
        <v>12</v>
      </c>
      <c r="E6888" s="51">
        <f t="shared" si="107"/>
        <v>1</v>
      </c>
    </row>
    <row r="6889" spans="1:5">
      <c r="A6889" s="59">
        <v>14</v>
      </c>
      <c r="B6889" s="59">
        <v>51</v>
      </c>
      <c r="C6889" s="59">
        <v>160</v>
      </c>
      <c r="D6889" s="51">
        <v>12</v>
      </c>
      <c r="E6889" s="51">
        <f t="shared" si="107"/>
        <v>1</v>
      </c>
    </row>
    <row r="6890" spans="1:5">
      <c r="A6890" s="59">
        <v>14</v>
      </c>
      <c r="B6890" s="59">
        <v>62</v>
      </c>
      <c r="C6890" s="59">
        <v>420</v>
      </c>
      <c r="D6890" s="51">
        <v>12</v>
      </c>
      <c r="E6890" s="51">
        <f t="shared" si="107"/>
        <v>1</v>
      </c>
    </row>
    <row r="6891" spans="1:5">
      <c r="A6891" s="59">
        <v>14</v>
      </c>
      <c r="B6891" s="59">
        <v>81</v>
      </c>
      <c r="C6891" s="59">
        <v>740</v>
      </c>
      <c r="D6891" s="51">
        <v>12</v>
      </c>
      <c r="E6891" s="51">
        <f t="shared" si="107"/>
        <v>1</v>
      </c>
    </row>
    <row r="6892" spans="1:5">
      <c r="A6892" s="59">
        <v>14</v>
      </c>
      <c r="B6892" s="59">
        <v>21</v>
      </c>
      <c r="C6892" s="59">
        <v>240</v>
      </c>
      <c r="D6892" s="51">
        <v>11</v>
      </c>
      <c r="E6892" s="51">
        <f t="shared" si="107"/>
        <v>1</v>
      </c>
    </row>
    <row r="6893" spans="1:5">
      <c r="A6893" s="59">
        <v>14</v>
      </c>
      <c r="B6893" s="59">
        <v>22</v>
      </c>
      <c r="C6893" s="59">
        <v>610</v>
      </c>
      <c r="D6893" s="51">
        <v>11</v>
      </c>
      <c r="E6893" s="51">
        <f t="shared" si="107"/>
        <v>1</v>
      </c>
    </row>
    <row r="6894" spans="1:5">
      <c r="A6894" s="59">
        <v>14</v>
      </c>
      <c r="B6894" s="59">
        <v>24</v>
      </c>
      <c r="C6894" s="59">
        <v>210</v>
      </c>
      <c r="D6894" s="51">
        <v>11</v>
      </c>
      <c r="E6894" s="51">
        <f t="shared" si="107"/>
        <v>1</v>
      </c>
    </row>
    <row r="6895" spans="1:5">
      <c r="A6895" s="59">
        <v>14</v>
      </c>
      <c r="B6895" s="59">
        <v>33</v>
      </c>
      <c r="C6895" s="59">
        <v>720</v>
      </c>
      <c r="D6895" s="51">
        <v>11</v>
      </c>
      <c r="E6895" s="51">
        <f t="shared" si="107"/>
        <v>1</v>
      </c>
    </row>
    <row r="6896" spans="1:5">
      <c r="A6896" s="59">
        <v>14</v>
      </c>
      <c r="B6896" s="59">
        <v>44</v>
      </c>
      <c r="C6896" s="59">
        <v>310</v>
      </c>
      <c r="D6896" s="51">
        <v>11</v>
      </c>
      <c r="E6896" s="51">
        <f t="shared" si="107"/>
        <v>1</v>
      </c>
    </row>
    <row r="6897" spans="1:5">
      <c r="A6897" s="59">
        <v>14</v>
      </c>
      <c r="B6897" s="59">
        <v>63</v>
      </c>
      <c r="C6897" s="59">
        <v>230</v>
      </c>
      <c r="D6897" s="51">
        <v>11</v>
      </c>
      <c r="E6897" s="51">
        <f t="shared" si="107"/>
        <v>1</v>
      </c>
    </row>
    <row r="6898" spans="1:5">
      <c r="A6898" s="59">
        <v>14</v>
      </c>
      <c r="B6898" s="59">
        <v>63</v>
      </c>
      <c r="C6898" s="59">
        <v>540</v>
      </c>
      <c r="D6898" s="51">
        <v>11</v>
      </c>
      <c r="E6898" s="51">
        <f t="shared" si="107"/>
        <v>1</v>
      </c>
    </row>
    <row r="6899" spans="1:5">
      <c r="A6899" s="59">
        <v>14</v>
      </c>
      <c r="B6899" s="59">
        <v>64</v>
      </c>
      <c r="C6899" s="59">
        <v>960</v>
      </c>
      <c r="D6899" s="51">
        <v>11</v>
      </c>
      <c r="E6899" s="51">
        <f t="shared" si="107"/>
        <v>1</v>
      </c>
    </row>
    <row r="6900" spans="1:5">
      <c r="A6900" s="59">
        <v>14</v>
      </c>
      <c r="B6900" s="59">
        <v>15</v>
      </c>
      <c r="C6900" s="59">
        <v>220</v>
      </c>
      <c r="D6900" s="51">
        <v>10</v>
      </c>
      <c r="E6900" s="51">
        <f t="shared" si="107"/>
        <v>1</v>
      </c>
    </row>
    <row r="6901" spans="1:5">
      <c r="A6901" s="59">
        <v>14</v>
      </c>
      <c r="B6901" s="59">
        <v>33</v>
      </c>
      <c r="C6901" s="59">
        <v>950</v>
      </c>
      <c r="D6901" s="51">
        <v>10</v>
      </c>
      <c r="E6901" s="51">
        <f t="shared" si="107"/>
        <v>1</v>
      </c>
    </row>
    <row r="6902" spans="1:5">
      <c r="A6902" s="59">
        <v>14</v>
      </c>
      <c r="B6902" s="59">
        <v>42</v>
      </c>
      <c r="C6902" s="59">
        <v>230</v>
      </c>
      <c r="D6902" s="51">
        <v>10</v>
      </c>
      <c r="E6902" s="51">
        <f t="shared" si="107"/>
        <v>1</v>
      </c>
    </row>
    <row r="6903" spans="1:5">
      <c r="A6903" s="59">
        <v>14</v>
      </c>
      <c r="B6903" s="59">
        <v>44</v>
      </c>
      <c r="C6903" s="59">
        <v>710</v>
      </c>
      <c r="D6903" s="51">
        <v>10</v>
      </c>
      <c r="E6903" s="51">
        <f t="shared" si="107"/>
        <v>1</v>
      </c>
    </row>
    <row r="6904" spans="1:5">
      <c r="A6904" s="59">
        <v>14</v>
      </c>
      <c r="B6904" s="59">
        <v>44</v>
      </c>
      <c r="C6904" s="59">
        <v>960</v>
      </c>
      <c r="D6904" s="51">
        <v>10</v>
      </c>
      <c r="E6904" s="51">
        <f t="shared" si="107"/>
        <v>1</v>
      </c>
    </row>
    <row r="6905" spans="1:5">
      <c r="A6905" s="59">
        <v>14</v>
      </c>
      <c r="B6905" s="59">
        <v>62</v>
      </c>
      <c r="C6905" s="59">
        <v>960</v>
      </c>
      <c r="D6905" s="51">
        <v>10</v>
      </c>
      <c r="E6905" s="51">
        <f t="shared" si="107"/>
        <v>1</v>
      </c>
    </row>
    <row r="6906" spans="1:5">
      <c r="A6906" s="59">
        <v>14</v>
      </c>
      <c r="B6906" s="59">
        <v>63</v>
      </c>
      <c r="C6906" s="59">
        <v>420</v>
      </c>
      <c r="D6906" s="51">
        <v>10</v>
      </c>
      <c r="E6906" s="51">
        <f t="shared" si="107"/>
        <v>1</v>
      </c>
    </row>
    <row r="6907" spans="1:5">
      <c r="A6907" s="59">
        <v>14</v>
      </c>
      <c r="B6907" s="59">
        <v>71</v>
      </c>
      <c r="C6907" s="59">
        <v>430</v>
      </c>
      <c r="D6907" s="51">
        <v>10</v>
      </c>
      <c r="E6907" s="51">
        <f t="shared" si="107"/>
        <v>1</v>
      </c>
    </row>
    <row r="6908" spans="1:5">
      <c r="A6908" s="59">
        <v>14</v>
      </c>
      <c r="B6908" s="59">
        <v>15</v>
      </c>
      <c r="C6908" s="59">
        <v>530</v>
      </c>
      <c r="D6908" s="51">
        <v>9</v>
      </c>
      <c r="E6908" s="51">
        <f t="shared" si="107"/>
        <v>1</v>
      </c>
    </row>
    <row r="6909" spans="1:5">
      <c r="A6909" s="59">
        <v>14</v>
      </c>
      <c r="B6909" s="59">
        <v>16</v>
      </c>
      <c r="C6909" s="59">
        <v>430</v>
      </c>
      <c r="D6909" s="51">
        <v>9</v>
      </c>
      <c r="E6909" s="51">
        <f t="shared" si="107"/>
        <v>1</v>
      </c>
    </row>
    <row r="6910" spans="1:5">
      <c r="A6910" s="59">
        <v>14</v>
      </c>
      <c r="B6910" s="59">
        <v>21</v>
      </c>
      <c r="C6910" s="59">
        <v>230</v>
      </c>
      <c r="D6910" s="51">
        <v>9</v>
      </c>
      <c r="E6910" s="51">
        <f t="shared" si="107"/>
        <v>1</v>
      </c>
    </row>
    <row r="6911" spans="1:5">
      <c r="A6911" s="59">
        <v>14</v>
      </c>
      <c r="B6911" s="59">
        <v>33</v>
      </c>
      <c r="C6911" s="59">
        <v>990</v>
      </c>
      <c r="D6911" s="51">
        <v>9</v>
      </c>
      <c r="E6911" s="51">
        <f t="shared" si="107"/>
        <v>1</v>
      </c>
    </row>
    <row r="6912" spans="1:5">
      <c r="A6912" s="59">
        <v>14</v>
      </c>
      <c r="B6912" s="59">
        <v>42</v>
      </c>
      <c r="C6912" s="59">
        <v>420</v>
      </c>
      <c r="D6912" s="51">
        <v>9</v>
      </c>
      <c r="E6912" s="51">
        <f t="shared" si="107"/>
        <v>1</v>
      </c>
    </row>
    <row r="6913" spans="1:5">
      <c r="A6913" s="59">
        <v>14</v>
      </c>
      <c r="B6913" s="59">
        <v>71</v>
      </c>
      <c r="C6913" s="59">
        <v>230</v>
      </c>
      <c r="D6913" s="51">
        <v>9</v>
      </c>
      <c r="E6913" s="51">
        <f t="shared" si="107"/>
        <v>1</v>
      </c>
    </row>
    <row r="6914" spans="1:5">
      <c r="A6914" s="59">
        <v>14</v>
      </c>
      <c r="B6914" s="59">
        <v>81</v>
      </c>
      <c r="C6914" s="59">
        <v>520</v>
      </c>
      <c r="D6914" s="51">
        <v>9</v>
      </c>
      <c r="E6914" s="51">
        <f t="shared" ref="E6914:E6977" si="108">IF(OR(A6914=6,A6914=7,A6914=14,A6914=15,A6914=16,A6914=17,A6914=18,A6914=19,A6914=20,A6914=21,A6914=22,A6914=23,A6914=25,A6914=26,A6914=27,A6914=28,B6914=41,B6914=44,B6914=62),1,0)</f>
        <v>1</v>
      </c>
    </row>
    <row r="6915" spans="1:5">
      <c r="A6915" s="59">
        <v>14</v>
      </c>
      <c r="B6915" s="59">
        <v>81</v>
      </c>
      <c r="C6915" s="59">
        <v>831</v>
      </c>
      <c r="D6915" s="51">
        <v>9</v>
      </c>
      <c r="E6915" s="51">
        <f t="shared" si="108"/>
        <v>1</v>
      </c>
    </row>
    <row r="6916" spans="1:5">
      <c r="A6916" s="59">
        <v>14</v>
      </c>
      <c r="B6916" s="59">
        <v>14</v>
      </c>
      <c r="C6916" s="59">
        <v>750</v>
      </c>
      <c r="D6916" s="51">
        <v>8</v>
      </c>
      <c r="E6916" s="51">
        <f t="shared" si="108"/>
        <v>1</v>
      </c>
    </row>
    <row r="6917" spans="1:5">
      <c r="A6917" s="59">
        <v>14</v>
      </c>
      <c r="B6917" s="59">
        <v>15</v>
      </c>
      <c r="C6917" s="59">
        <v>410</v>
      </c>
      <c r="D6917" s="51">
        <v>8</v>
      </c>
      <c r="E6917" s="51">
        <f t="shared" si="108"/>
        <v>1</v>
      </c>
    </row>
    <row r="6918" spans="1:5">
      <c r="A6918" s="59">
        <v>14</v>
      </c>
      <c r="B6918" s="59">
        <v>16</v>
      </c>
      <c r="C6918" s="59">
        <v>530</v>
      </c>
      <c r="D6918" s="51">
        <v>8</v>
      </c>
      <c r="E6918" s="51">
        <f t="shared" si="108"/>
        <v>1</v>
      </c>
    </row>
    <row r="6919" spans="1:5">
      <c r="A6919" s="59">
        <v>14</v>
      </c>
      <c r="B6919" s="59">
        <v>23</v>
      </c>
      <c r="C6919" s="59">
        <v>150</v>
      </c>
      <c r="D6919" s="51">
        <v>8</v>
      </c>
      <c r="E6919" s="51">
        <f t="shared" si="108"/>
        <v>1</v>
      </c>
    </row>
    <row r="6920" spans="1:5">
      <c r="A6920" s="59">
        <v>14</v>
      </c>
      <c r="B6920" s="59">
        <v>23</v>
      </c>
      <c r="C6920" s="59">
        <v>310</v>
      </c>
      <c r="D6920" s="51">
        <v>8</v>
      </c>
      <c r="E6920" s="51">
        <f t="shared" si="108"/>
        <v>1</v>
      </c>
    </row>
    <row r="6921" spans="1:5">
      <c r="A6921" s="59">
        <v>14</v>
      </c>
      <c r="B6921" s="59">
        <v>32</v>
      </c>
      <c r="C6921" s="59">
        <v>620</v>
      </c>
      <c r="D6921" s="51">
        <v>8</v>
      </c>
      <c r="E6921" s="51">
        <f t="shared" si="108"/>
        <v>1</v>
      </c>
    </row>
    <row r="6922" spans="1:5">
      <c r="A6922" s="59">
        <v>14</v>
      </c>
      <c r="B6922" s="59">
        <v>33</v>
      </c>
      <c r="C6922" s="59">
        <v>240</v>
      </c>
      <c r="D6922" s="51">
        <v>8</v>
      </c>
      <c r="E6922" s="51">
        <f t="shared" si="108"/>
        <v>1</v>
      </c>
    </row>
    <row r="6923" spans="1:5">
      <c r="A6923" s="59">
        <v>14</v>
      </c>
      <c r="B6923" s="59">
        <v>41</v>
      </c>
      <c r="C6923" s="59">
        <v>210</v>
      </c>
      <c r="D6923" s="51">
        <v>8</v>
      </c>
      <c r="E6923" s="51">
        <f t="shared" si="108"/>
        <v>1</v>
      </c>
    </row>
    <row r="6924" spans="1:5">
      <c r="A6924" s="59">
        <v>14</v>
      </c>
      <c r="B6924" s="59">
        <v>41</v>
      </c>
      <c r="C6924" s="59">
        <v>940</v>
      </c>
      <c r="D6924" s="51">
        <v>8</v>
      </c>
      <c r="E6924" s="51">
        <f t="shared" si="108"/>
        <v>1</v>
      </c>
    </row>
    <row r="6925" spans="1:5">
      <c r="A6925" s="59">
        <v>14</v>
      </c>
      <c r="B6925" s="59">
        <v>42</v>
      </c>
      <c r="C6925" s="59">
        <v>320</v>
      </c>
      <c r="D6925" s="51">
        <v>8</v>
      </c>
      <c r="E6925" s="51">
        <f t="shared" si="108"/>
        <v>1</v>
      </c>
    </row>
    <row r="6926" spans="1:5">
      <c r="A6926" s="59">
        <v>14</v>
      </c>
      <c r="B6926" s="59">
        <v>43</v>
      </c>
      <c r="C6926" s="59">
        <v>640</v>
      </c>
      <c r="D6926" s="51">
        <v>8</v>
      </c>
      <c r="E6926" s="51">
        <f t="shared" si="108"/>
        <v>1</v>
      </c>
    </row>
    <row r="6927" spans="1:5">
      <c r="A6927" s="59">
        <v>14</v>
      </c>
      <c r="B6927" s="59">
        <v>61</v>
      </c>
      <c r="C6927" s="59">
        <v>510</v>
      </c>
      <c r="D6927" s="51">
        <v>8</v>
      </c>
      <c r="E6927" s="51">
        <f t="shared" si="108"/>
        <v>1</v>
      </c>
    </row>
    <row r="6928" spans="1:5">
      <c r="A6928" s="59">
        <v>14</v>
      </c>
      <c r="B6928" s="59">
        <v>61</v>
      </c>
      <c r="C6928" s="59">
        <v>720</v>
      </c>
      <c r="D6928" s="51">
        <v>8</v>
      </c>
      <c r="E6928" s="51">
        <f t="shared" si="108"/>
        <v>1</v>
      </c>
    </row>
    <row r="6929" spans="1:5">
      <c r="A6929" s="59">
        <v>14</v>
      </c>
      <c r="B6929" s="59">
        <v>62</v>
      </c>
      <c r="C6929" s="59">
        <v>861</v>
      </c>
      <c r="D6929" s="51">
        <v>8</v>
      </c>
      <c r="E6929" s="51">
        <f t="shared" si="108"/>
        <v>1</v>
      </c>
    </row>
    <row r="6930" spans="1:5">
      <c r="A6930" s="59">
        <v>14</v>
      </c>
      <c r="B6930" s="59">
        <v>63</v>
      </c>
      <c r="C6930" s="59">
        <v>630</v>
      </c>
      <c r="D6930" s="51">
        <v>8</v>
      </c>
      <c r="E6930" s="51">
        <f t="shared" si="108"/>
        <v>1</v>
      </c>
    </row>
    <row r="6931" spans="1:5">
      <c r="A6931" s="59">
        <v>14</v>
      </c>
      <c r="B6931" s="59">
        <v>71</v>
      </c>
      <c r="C6931" s="59">
        <v>950</v>
      </c>
      <c r="D6931" s="51">
        <v>8</v>
      </c>
      <c r="E6931" s="51">
        <f t="shared" si="108"/>
        <v>1</v>
      </c>
    </row>
    <row r="6932" spans="1:5">
      <c r="A6932" s="59">
        <v>14</v>
      </c>
      <c r="B6932" s="59">
        <v>81</v>
      </c>
      <c r="C6932" s="59">
        <v>860</v>
      </c>
      <c r="D6932" s="51">
        <v>8</v>
      </c>
      <c r="E6932" s="51">
        <f t="shared" si="108"/>
        <v>1</v>
      </c>
    </row>
    <row r="6933" spans="1:5">
      <c r="A6933" s="59">
        <v>14</v>
      </c>
      <c r="B6933" s="59">
        <v>11</v>
      </c>
      <c r="C6933" s="59">
        <v>950</v>
      </c>
      <c r="D6933" s="51">
        <v>7</v>
      </c>
      <c r="E6933" s="51">
        <f t="shared" si="108"/>
        <v>1</v>
      </c>
    </row>
    <row r="6934" spans="1:5">
      <c r="A6934" s="59">
        <v>14</v>
      </c>
      <c r="B6934" s="59">
        <v>13</v>
      </c>
      <c r="C6934" s="59">
        <v>540</v>
      </c>
      <c r="D6934" s="51">
        <v>7</v>
      </c>
      <c r="E6934" s="51">
        <f t="shared" si="108"/>
        <v>1</v>
      </c>
    </row>
    <row r="6935" spans="1:5">
      <c r="A6935" s="59">
        <v>14</v>
      </c>
      <c r="B6935" s="59">
        <v>13</v>
      </c>
      <c r="C6935" s="59">
        <v>970</v>
      </c>
      <c r="D6935" s="51">
        <v>7</v>
      </c>
      <c r="E6935" s="51">
        <f t="shared" si="108"/>
        <v>1</v>
      </c>
    </row>
    <row r="6936" spans="1:5">
      <c r="A6936" s="59">
        <v>14</v>
      </c>
      <c r="B6936" s="59">
        <v>15</v>
      </c>
      <c r="C6936" s="59">
        <v>990</v>
      </c>
      <c r="D6936" s="51">
        <v>7</v>
      </c>
      <c r="E6936" s="51">
        <f t="shared" si="108"/>
        <v>1</v>
      </c>
    </row>
    <row r="6937" spans="1:5">
      <c r="A6937" s="59">
        <v>14</v>
      </c>
      <c r="B6937" s="59">
        <v>16</v>
      </c>
      <c r="C6937" s="59">
        <v>990</v>
      </c>
      <c r="D6937" s="51">
        <v>7</v>
      </c>
      <c r="E6937" s="51">
        <f t="shared" si="108"/>
        <v>1</v>
      </c>
    </row>
    <row r="6938" spans="1:5">
      <c r="A6938" s="59">
        <v>14</v>
      </c>
      <c r="B6938" s="59">
        <v>22</v>
      </c>
      <c r="C6938" s="59">
        <v>130</v>
      </c>
      <c r="D6938" s="51">
        <v>7</v>
      </c>
      <c r="E6938" s="51">
        <f t="shared" si="108"/>
        <v>1</v>
      </c>
    </row>
    <row r="6939" spans="1:5">
      <c r="A6939" s="59">
        <v>14</v>
      </c>
      <c r="B6939" s="59">
        <v>23</v>
      </c>
      <c r="C6939" s="59">
        <v>930</v>
      </c>
      <c r="D6939" s="51">
        <v>7</v>
      </c>
      <c r="E6939" s="51">
        <f t="shared" si="108"/>
        <v>1</v>
      </c>
    </row>
    <row r="6940" spans="1:5">
      <c r="A6940" s="59">
        <v>14</v>
      </c>
      <c r="B6940" s="59">
        <v>31</v>
      </c>
      <c r="C6940" s="59">
        <v>420</v>
      </c>
      <c r="D6940" s="51">
        <v>7</v>
      </c>
      <c r="E6940" s="51">
        <f t="shared" si="108"/>
        <v>1</v>
      </c>
    </row>
    <row r="6941" spans="1:5">
      <c r="A6941" s="59">
        <v>14</v>
      </c>
      <c r="B6941" s="59">
        <v>33</v>
      </c>
      <c r="C6941" s="59">
        <v>530</v>
      </c>
      <c r="D6941" s="51">
        <v>7</v>
      </c>
      <c r="E6941" s="51">
        <f t="shared" si="108"/>
        <v>1</v>
      </c>
    </row>
    <row r="6942" spans="1:5">
      <c r="A6942" s="59">
        <v>14</v>
      </c>
      <c r="B6942" s="59">
        <v>41</v>
      </c>
      <c r="C6942" s="59">
        <v>950</v>
      </c>
      <c r="D6942" s="51">
        <v>7</v>
      </c>
      <c r="E6942" s="51">
        <f t="shared" si="108"/>
        <v>1</v>
      </c>
    </row>
    <row r="6943" spans="1:5">
      <c r="A6943" s="59">
        <v>14</v>
      </c>
      <c r="B6943" s="59">
        <v>42</v>
      </c>
      <c r="C6943" s="59">
        <v>970</v>
      </c>
      <c r="D6943" s="51">
        <v>7</v>
      </c>
      <c r="E6943" s="51">
        <f t="shared" si="108"/>
        <v>1</v>
      </c>
    </row>
    <row r="6944" spans="1:5">
      <c r="A6944" s="59">
        <v>14</v>
      </c>
      <c r="B6944" s="59">
        <v>61</v>
      </c>
      <c r="C6944" s="59">
        <v>920</v>
      </c>
      <c r="D6944" s="51">
        <v>7</v>
      </c>
      <c r="E6944" s="51">
        <f t="shared" si="108"/>
        <v>1</v>
      </c>
    </row>
    <row r="6945" spans="1:5">
      <c r="A6945" s="59">
        <v>14</v>
      </c>
      <c r="B6945" s="59">
        <v>63</v>
      </c>
      <c r="C6945" s="59">
        <v>320</v>
      </c>
      <c r="D6945" s="51">
        <v>7</v>
      </c>
      <c r="E6945" s="51">
        <f t="shared" si="108"/>
        <v>1</v>
      </c>
    </row>
    <row r="6946" spans="1:5">
      <c r="A6946" s="59">
        <v>14</v>
      </c>
      <c r="B6946" s="59">
        <v>14</v>
      </c>
      <c r="C6946" s="59">
        <v>710</v>
      </c>
      <c r="D6946" s="51">
        <v>6</v>
      </c>
      <c r="E6946" s="51">
        <f t="shared" si="108"/>
        <v>1</v>
      </c>
    </row>
    <row r="6947" spans="1:5">
      <c r="A6947" s="59">
        <v>14</v>
      </c>
      <c r="B6947" s="59">
        <v>14</v>
      </c>
      <c r="C6947" s="59">
        <v>960</v>
      </c>
      <c r="D6947" s="51">
        <v>6</v>
      </c>
      <c r="E6947" s="51">
        <f t="shared" si="108"/>
        <v>1</v>
      </c>
    </row>
    <row r="6948" spans="1:5">
      <c r="A6948" s="59">
        <v>14</v>
      </c>
      <c r="B6948" s="59">
        <v>15</v>
      </c>
      <c r="C6948" s="59">
        <v>120</v>
      </c>
      <c r="D6948" s="51">
        <v>6</v>
      </c>
      <c r="E6948" s="51">
        <f t="shared" si="108"/>
        <v>1</v>
      </c>
    </row>
    <row r="6949" spans="1:5">
      <c r="A6949" s="59">
        <v>14</v>
      </c>
      <c r="B6949" s="59">
        <v>15</v>
      </c>
      <c r="C6949" s="59">
        <v>960</v>
      </c>
      <c r="D6949" s="51">
        <v>6</v>
      </c>
      <c r="E6949" s="51">
        <f t="shared" si="108"/>
        <v>1</v>
      </c>
    </row>
    <row r="6950" spans="1:5">
      <c r="A6950" s="59">
        <v>14</v>
      </c>
      <c r="B6950" s="59">
        <v>15</v>
      </c>
      <c r="C6950" s="59">
        <v>970</v>
      </c>
      <c r="D6950" s="51">
        <v>6</v>
      </c>
      <c r="E6950" s="51">
        <f t="shared" si="108"/>
        <v>1</v>
      </c>
    </row>
    <row r="6951" spans="1:5">
      <c r="A6951" s="59">
        <v>14</v>
      </c>
      <c r="B6951" s="59">
        <v>23</v>
      </c>
      <c r="C6951" s="59">
        <v>160</v>
      </c>
      <c r="D6951" s="51">
        <v>6</v>
      </c>
      <c r="E6951" s="51">
        <f t="shared" si="108"/>
        <v>1</v>
      </c>
    </row>
    <row r="6952" spans="1:5">
      <c r="A6952" s="59">
        <v>14</v>
      </c>
      <c r="B6952" s="59">
        <v>31</v>
      </c>
      <c r="C6952" s="59">
        <v>920</v>
      </c>
      <c r="D6952" s="51">
        <v>6</v>
      </c>
      <c r="E6952" s="51">
        <f t="shared" si="108"/>
        <v>1</v>
      </c>
    </row>
    <row r="6953" spans="1:5">
      <c r="A6953" s="59">
        <v>14</v>
      </c>
      <c r="B6953" s="59">
        <v>32</v>
      </c>
      <c r="C6953" s="59">
        <v>540</v>
      </c>
      <c r="D6953" s="51">
        <v>6</v>
      </c>
      <c r="E6953" s="51">
        <f t="shared" si="108"/>
        <v>1</v>
      </c>
    </row>
    <row r="6954" spans="1:5">
      <c r="A6954" s="59">
        <v>14</v>
      </c>
      <c r="B6954" s="59">
        <v>33</v>
      </c>
      <c r="C6954" s="59">
        <v>220</v>
      </c>
      <c r="D6954" s="51">
        <v>6</v>
      </c>
      <c r="E6954" s="51">
        <f t="shared" si="108"/>
        <v>1</v>
      </c>
    </row>
    <row r="6955" spans="1:5">
      <c r="A6955" s="59">
        <v>14</v>
      </c>
      <c r="B6955" s="59">
        <v>33</v>
      </c>
      <c r="C6955" s="59">
        <v>520</v>
      </c>
      <c r="D6955" s="51">
        <v>6</v>
      </c>
      <c r="E6955" s="51">
        <f t="shared" si="108"/>
        <v>1</v>
      </c>
    </row>
    <row r="6956" spans="1:5">
      <c r="A6956" s="59">
        <v>14</v>
      </c>
      <c r="B6956" s="59">
        <v>41</v>
      </c>
      <c r="C6956" s="59">
        <v>990</v>
      </c>
      <c r="D6956" s="51">
        <v>6</v>
      </c>
      <c r="E6956" s="51">
        <f t="shared" si="108"/>
        <v>1</v>
      </c>
    </row>
    <row r="6957" spans="1:5">
      <c r="A6957" s="59">
        <v>14</v>
      </c>
      <c r="B6957" s="59">
        <v>42</v>
      </c>
      <c r="C6957" s="59">
        <v>430</v>
      </c>
      <c r="D6957" s="51">
        <v>6</v>
      </c>
      <c r="E6957" s="51">
        <f t="shared" si="108"/>
        <v>1</v>
      </c>
    </row>
    <row r="6958" spans="1:5">
      <c r="A6958" s="59">
        <v>14</v>
      </c>
      <c r="B6958" s="59">
        <v>42</v>
      </c>
      <c r="C6958" s="59">
        <v>893</v>
      </c>
      <c r="D6958" s="51">
        <v>6</v>
      </c>
      <c r="E6958" s="51">
        <f t="shared" si="108"/>
        <v>1</v>
      </c>
    </row>
    <row r="6959" spans="1:5">
      <c r="A6959" s="59">
        <v>14</v>
      </c>
      <c r="B6959" s="59">
        <v>43</v>
      </c>
      <c r="C6959" s="59">
        <v>140</v>
      </c>
      <c r="D6959" s="51">
        <v>6</v>
      </c>
      <c r="E6959" s="51">
        <f t="shared" si="108"/>
        <v>1</v>
      </c>
    </row>
    <row r="6960" spans="1:5">
      <c r="A6960" s="59">
        <v>14</v>
      </c>
      <c r="B6960" s="59">
        <v>62</v>
      </c>
      <c r="C6960" s="59">
        <v>640</v>
      </c>
      <c r="D6960" s="51">
        <v>6</v>
      </c>
      <c r="E6960" s="51">
        <f t="shared" si="108"/>
        <v>1</v>
      </c>
    </row>
    <row r="6961" spans="1:5">
      <c r="A6961" s="59">
        <v>14</v>
      </c>
      <c r="B6961" s="59">
        <v>63</v>
      </c>
      <c r="C6961" s="59">
        <v>310</v>
      </c>
      <c r="D6961" s="51">
        <v>6</v>
      </c>
      <c r="E6961" s="51">
        <f t="shared" si="108"/>
        <v>1</v>
      </c>
    </row>
    <row r="6962" spans="1:5">
      <c r="A6962" s="59">
        <v>14</v>
      </c>
      <c r="B6962" s="59">
        <v>71</v>
      </c>
      <c r="C6962" s="59">
        <v>420</v>
      </c>
      <c r="D6962" s="51">
        <v>6</v>
      </c>
      <c r="E6962" s="51">
        <f t="shared" si="108"/>
        <v>1</v>
      </c>
    </row>
    <row r="6963" spans="1:5">
      <c r="A6963" s="59">
        <v>14</v>
      </c>
      <c r="B6963" s="59">
        <v>81</v>
      </c>
      <c r="C6963" s="59">
        <v>840</v>
      </c>
      <c r="D6963" s="51">
        <v>6</v>
      </c>
      <c r="E6963" s="51">
        <f t="shared" si="108"/>
        <v>1</v>
      </c>
    </row>
    <row r="6964" spans="1:5">
      <c r="A6964" s="59">
        <v>14</v>
      </c>
      <c r="B6964" s="59">
        <v>11</v>
      </c>
      <c r="C6964" s="59">
        <v>510</v>
      </c>
      <c r="D6964" s="51">
        <v>5</v>
      </c>
      <c r="E6964" s="51">
        <f t="shared" si="108"/>
        <v>1</v>
      </c>
    </row>
    <row r="6965" spans="1:5">
      <c r="A6965" s="59">
        <v>14</v>
      </c>
      <c r="B6965" s="59">
        <v>13</v>
      </c>
      <c r="C6965" s="59">
        <v>550</v>
      </c>
      <c r="D6965" s="51">
        <v>5</v>
      </c>
      <c r="E6965" s="51">
        <f t="shared" si="108"/>
        <v>1</v>
      </c>
    </row>
    <row r="6966" spans="1:5">
      <c r="A6966" s="59">
        <v>14</v>
      </c>
      <c r="B6966" s="59">
        <v>14</v>
      </c>
      <c r="C6966" s="59">
        <v>970</v>
      </c>
      <c r="D6966" s="51">
        <v>5</v>
      </c>
      <c r="E6966" s="51">
        <f t="shared" si="108"/>
        <v>1</v>
      </c>
    </row>
    <row r="6967" spans="1:5">
      <c r="A6967" s="59">
        <v>14</v>
      </c>
      <c r="B6967" s="59">
        <v>21</v>
      </c>
      <c r="C6967" s="59">
        <v>110</v>
      </c>
      <c r="D6967" s="51">
        <v>5</v>
      </c>
      <c r="E6967" s="51">
        <f t="shared" si="108"/>
        <v>1</v>
      </c>
    </row>
    <row r="6968" spans="1:5">
      <c r="A6968" s="59">
        <v>14</v>
      </c>
      <c r="B6968" s="59">
        <v>21</v>
      </c>
      <c r="C6968" s="59">
        <v>330</v>
      </c>
      <c r="D6968" s="51">
        <v>5</v>
      </c>
      <c r="E6968" s="51">
        <f t="shared" si="108"/>
        <v>1</v>
      </c>
    </row>
    <row r="6969" spans="1:5">
      <c r="A6969" s="59">
        <v>14</v>
      </c>
      <c r="B6969" s="59">
        <v>21</v>
      </c>
      <c r="C6969" s="59">
        <v>940</v>
      </c>
      <c r="D6969" s="51">
        <v>5</v>
      </c>
      <c r="E6969" s="51">
        <f t="shared" si="108"/>
        <v>1</v>
      </c>
    </row>
    <row r="6970" spans="1:5">
      <c r="A6970" s="59">
        <v>14</v>
      </c>
      <c r="B6970" s="59">
        <v>23</v>
      </c>
      <c r="C6970" s="59">
        <v>330</v>
      </c>
      <c r="D6970" s="51">
        <v>5</v>
      </c>
      <c r="E6970" s="51">
        <f t="shared" si="108"/>
        <v>1</v>
      </c>
    </row>
    <row r="6971" spans="1:5">
      <c r="A6971" s="59">
        <v>14</v>
      </c>
      <c r="B6971" s="59">
        <v>32</v>
      </c>
      <c r="C6971" s="59">
        <v>230</v>
      </c>
      <c r="D6971" s="51">
        <v>5</v>
      </c>
      <c r="E6971" s="51">
        <f t="shared" si="108"/>
        <v>1</v>
      </c>
    </row>
    <row r="6972" spans="1:5">
      <c r="A6972" s="59">
        <v>14</v>
      </c>
      <c r="B6972" s="59">
        <v>43</v>
      </c>
      <c r="C6972" s="59">
        <v>820</v>
      </c>
      <c r="D6972" s="51">
        <v>5</v>
      </c>
      <c r="E6972" s="51">
        <f t="shared" si="108"/>
        <v>1</v>
      </c>
    </row>
    <row r="6973" spans="1:5">
      <c r="A6973" s="59">
        <v>14</v>
      </c>
      <c r="B6973" s="59">
        <v>43</v>
      </c>
      <c r="C6973" s="59">
        <v>890</v>
      </c>
      <c r="D6973" s="51">
        <v>5</v>
      </c>
      <c r="E6973" s="51">
        <f t="shared" si="108"/>
        <v>1</v>
      </c>
    </row>
    <row r="6974" spans="1:5">
      <c r="A6974" s="59">
        <v>14</v>
      </c>
      <c r="B6974" s="59">
        <v>44</v>
      </c>
      <c r="C6974" s="59">
        <v>230</v>
      </c>
      <c r="D6974" s="51">
        <v>5</v>
      </c>
      <c r="E6974" s="51">
        <f t="shared" si="108"/>
        <v>1</v>
      </c>
    </row>
    <row r="6975" spans="1:5">
      <c r="A6975" s="59">
        <v>14</v>
      </c>
      <c r="B6975" s="59">
        <v>44</v>
      </c>
      <c r="C6975" s="59">
        <v>890</v>
      </c>
      <c r="D6975" s="51">
        <v>5</v>
      </c>
      <c r="E6975" s="51">
        <f t="shared" si="108"/>
        <v>1</v>
      </c>
    </row>
    <row r="6976" spans="1:5">
      <c r="A6976" s="59">
        <v>14</v>
      </c>
      <c r="B6976" s="59">
        <v>51</v>
      </c>
      <c r="C6976" s="59">
        <v>530</v>
      </c>
      <c r="D6976" s="51">
        <v>5</v>
      </c>
      <c r="E6976" s="51">
        <f t="shared" si="108"/>
        <v>1</v>
      </c>
    </row>
    <row r="6977" spans="1:5">
      <c r="A6977" s="59">
        <v>14</v>
      </c>
      <c r="B6977" s="59">
        <v>62</v>
      </c>
      <c r="C6977" s="59">
        <v>320</v>
      </c>
      <c r="D6977" s="51">
        <v>5</v>
      </c>
      <c r="E6977" s="51">
        <f t="shared" si="108"/>
        <v>1</v>
      </c>
    </row>
    <row r="6978" spans="1:5">
      <c r="A6978" s="59">
        <v>14</v>
      </c>
      <c r="B6978" s="59">
        <v>62</v>
      </c>
      <c r="C6978" s="59">
        <v>330</v>
      </c>
      <c r="D6978" s="51">
        <v>5</v>
      </c>
      <c r="E6978" s="51">
        <f t="shared" ref="E6978:E7041" si="109">IF(OR(A6978=6,A6978=7,A6978=14,A6978=15,A6978=16,A6978=17,A6978=18,A6978=19,A6978=20,A6978=21,A6978=22,A6978=23,A6978=25,A6978=26,A6978=27,A6978=28,B6978=41,B6978=44,B6978=62),1,0)</f>
        <v>1</v>
      </c>
    </row>
    <row r="6979" spans="1:5">
      <c r="A6979" s="59">
        <v>14</v>
      </c>
      <c r="B6979" s="59">
        <v>71</v>
      </c>
      <c r="C6979" s="59">
        <v>240</v>
      </c>
      <c r="D6979" s="51">
        <v>5</v>
      </c>
      <c r="E6979" s="51">
        <f t="shared" si="109"/>
        <v>1</v>
      </c>
    </row>
    <row r="6980" spans="1:5">
      <c r="A6980" s="59">
        <v>14</v>
      </c>
      <c r="B6980" s="59">
        <v>71</v>
      </c>
      <c r="C6980" s="59">
        <v>310</v>
      </c>
      <c r="D6980" s="51">
        <v>5</v>
      </c>
      <c r="E6980" s="51">
        <f t="shared" si="109"/>
        <v>1</v>
      </c>
    </row>
    <row r="6981" spans="1:5">
      <c r="A6981" s="59">
        <v>14</v>
      </c>
      <c r="B6981" s="59">
        <v>71</v>
      </c>
      <c r="C6981" s="59">
        <v>330</v>
      </c>
      <c r="D6981" s="51">
        <v>5</v>
      </c>
      <c r="E6981" s="51">
        <f t="shared" si="109"/>
        <v>1</v>
      </c>
    </row>
    <row r="6982" spans="1:5">
      <c r="A6982" s="59">
        <v>14</v>
      </c>
      <c r="B6982" s="59">
        <v>71</v>
      </c>
      <c r="C6982" s="59">
        <v>940</v>
      </c>
      <c r="D6982" s="51">
        <v>5</v>
      </c>
      <c r="E6982" s="51">
        <f t="shared" si="109"/>
        <v>1</v>
      </c>
    </row>
    <row r="6983" spans="1:5">
      <c r="A6983" s="59">
        <v>14</v>
      </c>
      <c r="B6983" s="59">
        <v>81</v>
      </c>
      <c r="C6983" s="59">
        <v>230</v>
      </c>
      <c r="D6983" s="51">
        <v>5</v>
      </c>
      <c r="E6983" s="51">
        <f t="shared" si="109"/>
        <v>1</v>
      </c>
    </row>
    <row r="6984" spans="1:5">
      <c r="A6984" s="59">
        <v>14</v>
      </c>
      <c r="B6984" s="59">
        <v>81</v>
      </c>
      <c r="C6984" s="59">
        <v>970</v>
      </c>
      <c r="D6984" s="51">
        <v>5</v>
      </c>
      <c r="E6984" s="51">
        <f t="shared" si="109"/>
        <v>1</v>
      </c>
    </row>
    <row r="6985" spans="1:5">
      <c r="A6985" s="59">
        <v>14</v>
      </c>
      <c r="B6985" s="59">
        <v>15</v>
      </c>
      <c r="C6985" s="59">
        <v>940</v>
      </c>
      <c r="D6985" s="51">
        <v>4</v>
      </c>
      <c r="E6985" s="51">
        <f t="shared" si="109"/>
        <v>1</v>
      </c>
    </row>
    <row r="6986" spans="1:5">
      <c r="A6986" s="59">
        <v>14</v>
      </c>
      <c r="B6986" s="59">
        <v>16</v>
      </c>
      <c r="C6986" s="59">
        <v>720</v>
      </c>
      <c r="D6986" s="51">
        <v>4</v>
      </c>
      <c r="E6986" s="51">
        <f t="shared" si="109"/>
        <v>1</v>
      </c>
    </row>
    <row r="6987" spans="1:5">
      <c r="A6987" s="59">
        <v>14</v>
      </c>
      <c r="B6987" s="59">
        <v>22</v>
      </c>
      <c r="C6987" s="59">
        <v>120</v>
      </c>
      <c r="D6987" s="51">
        <v>4</v>
      </c>
      <c r="E6987" s="51">
        <f t="shared" si="109"/>
        <v>1</v>
      </c>
    </row>
    <row r="6988" spans="1:5">
      <c r="A6988" s="59">
        <v>14</v>
      </c>
      <c r="B6988" s="59">
        <v>22</v>
      </c>
      <c r="C6988" s="59">
        <v>720</v>
      </c>
      <c r="D6988" s="51">
        <v>4</v>
      </c>
      <c r="E6988" s="51">
        <f t="shared" si="109"/>
        <v>1</v>
      </c>
    </row>
    <row r="6989" spans="1:5">
      <c r="A6989" s="59">
        <v>14</v>
      </c>
      <c r="B6989" s="59">
        <v>22</v>
      </c>
      <c r="C6989" s="59">
        <v>730</v>
      </c>
      <c r="D6989" s="51">
        <v>4</v>
      </c>
      <c r="E6989" s="51">
        <f t="shared" si="109"/>
        <v>1</v>
      </c>
    </row>
    <row r="6990" spans="1:5">
      <c r="A6990" s="59">
        <v>14</v>
      </c>
      <c r="B6990" s="59">
        <v>23</v>
      </c>
      <c r="C6990" s="59">
        <v>320</v>
      </c>
      <c r="D6990" s="51">
        <v>4</v>
      </c>
      <c r="E6990" s="51">
        <f t="shared" si="109"/>
        <v>1</v>
      </c>
    </row>
    <row r="6991" spans="1:5">
      <c r="A6991" s="59">
        <v>14</v>
      </c>
      <c r="B6991" s="59">
        <v>24</v>
      </c>
      <c r="C6991" s="59">
        <v>230</v>
      </c>
      <c r="D6991" s="51">
        <v>4</v>
      </c>
      <c r="E6991" s="51">
        <f t="shared" si="109"/>
        <v>1</v>
      </c>
    </row>
    <row r="6992" spans="1:5">
      <c r="A6992" s="59">
        <v>14</v>
      </c>
      <c r="B6992" s="59">
        <v>31</v>
      </c>
      <c r="C6992" s="59">
        <v>530</v>
      </c>
      <c r="D6992" s="51">
        <v>4</v>
      </c>
      <c r="E6992" s="51">
        <f t="shared" si="109"/>
        <v>1</v>
      </c>
    </row>
    <row r="6993" spans="1:5">
      <c r="A6993" s="59">
        <v>14</v>
      </c>
      <c r="B6993" s="59">
        <v>32</v>
      </c>
      <c r="C6993" s="59">
        <v>220</v>
      </c>
      <c r="D6993" s="51">
        <v>4</v>
      </c>
      <c r="E6993" s="51">
        <f t="shared" si="109"/>
        <v>1</v>
      </c>
    </row>
    <row r="6994" spans="1:5">
      <c r="A6994" s="59">
        <v>14</v>
      </c>
      <c r="B6994" s="59">
        <v>32</v>
      </c>
      <c r="C6994" s="59">
        <v>310</v>
      </c>
      <c r="D6994" s="51">
        <v>4</v>
      </c>
      <c r="E6994" s="51">
        <f t="shared" si="109"/>
        <v>1</v>
      </c>
    </row>
    <row r="6995" spans="1:5">
      <c r="A6995" s="59">
        <v>14</v>
      </c>
      <c r="B6995" s="59">
        <v>32</v>
      </c>
      <c r="C6995" s="59">
        <v>750</v>
      </c>
      <c r="D6995" s="51">
        <v>4</v>
      </c>
      <c r="E6995" s="51">
        <f t="shared" si="109"/>
        <v>1</v>
      </c>
    </row>
    <row r="6996" spans="1:5">
      <c r="A6996" s="59">
        <v>14</v>
      </c>
      <c r="B6996" s="59">
        <v>33</v>
      </c>
      <c r="C6996" s="59">
        <v>120</v>
      </c>
      <c r="D6996" s="51">
        <v>4</v>
      </c>
      <c r="E6996" s="51">
        <f t="shared" si="109"/>
        <v>1</v>
      </c>
    </row>
    <row r="6997" spans="1:5">
      <c r="A6997" s="59">
        <v>14</v>
      </c>
      <c r="B6997" s="59">
        <v>41</v>
      </c>
      <c r="C6997" s="59">
        <v>860</v>
      </c>
      <c r="D6997" s="51">
        <v>4</v>
      </c>
      <c r="E6997" s="51">
        <f t="shared" si="109"/>
        <v>1</v>
      </c>
    </row>
    <row r="6998" spans="1:5">
      <c r="A6998" s="59">
        <v>14</v>
      </c>
      <c r="B6998" s="59">
        <v>41</v>
      </c>
      <c r="C6998" s="59">
        <v>960</v>
      </c>
      <c r="D6998" s="51">
        <v>4</v>
      </c>
      <c r="E6998" s="51">
        <f t="shared" si="109"/>
        <v>1</v>
      </c>
    </row>
    <row r="6999" spans="1:5">
      <c r="A6999" s="59">
        <v>14</v>
      </c>
      <c r="B6999" s="59">
        <v>42</v>
      </c>
      <c r="C6999" s="59">
        <v>240</v>
      </c>
      <c r="D6999" s="51">
        <v>4</v>
      </c>
      <c r="E6999" s="51">
        <f t="shared" si="109"/>
        <v>1</v>
      </c>
    </row>
    <row r="7000" spans="1:5">
      <c r="A7000" s="59">
        <v>14</v>
      </c>
      <c r="B7000" s="59">
        <v>42</v>
      </c>
      <c r="C7000" s="59">
        <v>310</v>
      </c>
      <c r="D7000" s="51">
        <v>4</v>
      </c>
      <c r="E7000" s="51">
        <f t="shared" si="109"/>
        <v>1</v>
      </c>
    </row>
    <row r="7001" spans="1:5">
      <c r="A7001" s="59">
        <v>14</v>
      </c>
      <c r="B7001" s="59">
        <v>42</v>
      </c>
      <c r="C7001" s="59">
        <v>330</v>
      </c>
      <c r="D7001" s="51">
        <v>4</v>
      </c>
      <c r="E7001" s="51">
        <f t="shared" si="109"/>
        <v>1</v>
      </c>
    </row>
    <row r="7002" spans="1:5">
      <c r="A7002" s="59">
        <v>14</v>
      </c>
      <c r="B7002" s="59">
        <v>42</v>
      </c>
      <c r="C7002" s="59">
        <v>730</v>
      </c>
      <c r="D7002" s="51">
        <v>4</v>
      </c>
      <c r="E7002" s="51">
        <f t="shared" si="109"/>
        <v>1</v>
      </c>
    </row>
    <row r="7003" spans="1:5">
      <c r="A7003" s="59">
        <v>14</v>
      </c>
      <c r="B7003" s="59">
        <v>43</v>
      </c>
      <c r="C7003" s="59">
        <v>630</v>
      </c>
      <c r="D7003" s="51">
        <v>4</v>
      </c>
      <c r="E7003" s="51">
        <f t="shared" si="109"/>
        <v>1</v>
      </c>
    </row>
    <row r="7004" spans="1:5">
      <c r="A7004" s="59">
        <v>14</v>
      </c>
      <c r="B7004" s="59">
        <v>44</v>
      </c>
      <c r="C7004" s="59">
        <v>240</v>
      </c>
      <c r="D7004" s="51">
        <v>4</v>
      </c>
      <c r="E7004" s="51">
        <f t="shared" si="109"/>
        <v>1</v>
      </c>
    </row>
    <row r="7005" spans="1:5">
      <c r="A7005" s="59">
        <v>14</v>
      </c>
      <c r="B7005" s="59">
        <v>44</v>
      </c>
      <c r="C7005" s="59">
        <v>320</v>
      </c>
      <c r="D7005" s="51">
        <v>4</v>
      </c>
      <c r="E7005" s="51">
        <f t="shared" si="109"/>
        <v>1</v>
      </c>
    </row>
    <row r="7006" spans="1:5">
      <c r="A7006" s="59">
        <v>14</v>
      </c>
      <c r="B7006" s="59">
        <v>51</v>
      </c>
      <c r="C7006" s="59">
        <v>990</v>
      </c>
      <c r="D7006" s="51">
        <v>4</v>
      </c>
      <c r="E7006" s="51">
        <f t="shared" si="109"/>
        <v>1</v>
      </c>
    </row>
    <row r="7007" spans="1:5">
      <c r="A7007" s="59">
        <v>14</v>
      </c>
      <c r="B7007" s="59">
        <v>62</v>
      </c>
      <c r="C7007" s="59">
        <v>630</v>
      </c>
      <c r="D7007" s="51">
        <v>4</v>
      </c>
      <c r="E7007" s="51">
        <f t="shared" si="109"/>
        <v>1</v>
      </c>
    </row>
    <row r="7008" spans="1:5">
      <c r="A7008" s="59">
        <v>14</v>
      </c>
      <c r="B7008" s="59">
        <v>62</v>
      </c>
      <c r="C7008" s="59">
        <v>850</v>
      </c>
      <c r="D7008" s="51">
        <v>4</v>
      </c>
      <c r="E7008" s="51">
        <f t="shared" si="109"/>
        <v>1</v>
      </c>
    </row>
    <row r="7009" spans="1:5">
      <c r="A7009" s="59">
        <v>14</v>
      </c>
      <c r="B7009" s="59">
        <v>63</v>
      </c>
      <c r="C7009" s="59">
        <v>960</v>
      </c>
      <c r="D7009" s="51">
        <v>4</v>
      </c>
      <c r="E7009" s="51">
        <f t="shared" si="109"/>
        <v>1</v>
      </c>
    </row>
    <row r="7010" spans="1:5">
      <c r="A7010" s="59">
        <v>14</v>
      </c>
      <c r="B7010" s="59">
        <v>64</v>
      </c>
      <c r="C7010" s="59">
        <v>831</v>
      </c>
      <c r="D7010" s="51">
        <v>4</v>
      </c>
      <c r="E7010" s="51">
        <f t="shared" si="109"/>
        <v>1</v>
      </c>
    </row>
    <row r="7011" spans="1:5">
      <c r="A7011" s="59">
        <v>14</v>
      </c>
      <c r="B7011" s="59">
        <v>64</v>
      </c>
      <c r="C7011" s="59">
        <v>862</v>
      </c>
      <c r="D7011" s="51">
        <v>4</v>
      </c>
      <c r="E7011" s="51">
        <f t="shared" si="109"/>
        <v>1</v>
      </c>
    </row>
    <row r="7012" spans="1:5">
      <c r="A7012" s="59">
        <v>14</v>
      </c>
      <c r="B7012" s="59">
        <v>11</v>
      </c>
      <c r="C7012" s="59">
        <v>130</v>
      </c>
      <c r="D7012" s="51">
        <v>3</v>
      </c>
      <c r="E7012" s="51">
        <f t="shared" si="109"/>
        <v>1</v>
      </c>
    </row>
    <row r="7013" spans="1:5">
      <c r="A7013" s="59">
        <v>14</v>
      </c>
      <c r="B7013" s="59">
        <v>11</v>
      </c>
      <c r="C7013" s="59">
        <v>720</v>
      </c>
      <c r="D7013" s="51">
        <v>3</v>
      </c>
      <c r="E7013" s="51">
        <f t="shared" si="109"/>
        <v>1</v>
      </c>
    </row>
    <row r="7014" spans="1:5">
      <c r="A7014" s="59">
        <v>14</v>
      </c>
      <c r="B7014" s="59">
        <v>12</v>
      </c>
      <c r="C7014" s="59">
        <v>930</v>
      </c>
      <c r="D7014" s="51">
        <v>3</v>
      </c>
      <c r="E7014" s="51">
        <f t="shared" si="109"/>
        <v>1</v>
      </c>
    </row>
    <row r="7015" spans="1:5">
      <c r="A7015" s="59">
        <v>14</v>
      </c>
      <c r="B7015" s="59">
        <v>15</v>
      </c>
      <c r="C7015" s="59">
        <v>720</v>
      </c>
      <c r="D7015" s="51">
        <v>3</v>
      </c>
      <c r="E7015" s="51">
        <f t="shared" si="109"/>
        <v>1</v>
      </c>
    </row>
    <row r="7016" spans="1:5">
      <c r="A7016" s="59">
        <v>14</v>
      </c>
      <c r="B7016" s="59">
        <v>21</v>
      </c>
      <c r="C7016" s="59">
        <v>150</v>
      </c>
      <c r="D7016" s="51">
        <v>3</v>
      </c>
      <c r="E7016" s="51">
        <f t="shared" si="109"/>
        <v>1</v>
      </c>
    </row>
    <row r="7017" spans="1:5">
      <c r="A7017" s="59">
        <v>14</v>
      </c>
      <c r="B7017" s="59">
        <v>21</v>
      </c>
      <c r="C7017" s="59">
        <v>220</v>
      </c>
      <c r="D7017" s="51">
        <v>3</v>
      </c>
      <c r="E7017" s="51">
        <f t="shared" si="109"/>
        <v>1</v>
      </c>
    </row>
    <row r="7018" spans="1:5">
      <c r="A7018" s="59">
        <v>14</v>
      </c>
      <c r="B7018" s="59">
        <v>22</v>
      </c>
      <c r="C7018" s="59">
        <v>410</v>
      </c>
      <c r="D7018" s="51">
        <v>3</v>
      </c>
      <c r="E7018" s="51">
        <f t="shared" si="109"/>
        <v>1</v>
      </c>
    </row>
    <row r="7019" spans="1:5">
      <c r="A7019" s="59">
        <v>14</v>
      </c>
      <c r="B7019" s="59">
        <v>22</v>
      </c>
      <c r="C7019" s="59">
        <v>420</v>
      </c>
      <c r="D7019" s="51">
        <v>3</v>
      </c>
      <c r="E7019" s="51">
        <f t="shared" si="109"/>
        <v>1</v>
      </c>
    </row>
    <row r="7020" spans="1:5">
      <c r="A7020" s="59">
        <v>14</v>
      </c>
      <c r="B7020" s="59">
        <v>22</v>
      </c>
      <c r="C7020" s="59">
        <v>750</v>
      </c>
      <c r="D7020" s="51">
        <v>3</v>
      </c>
      <c r="E7020" s="51">
        <f t="shared" si="109"/>
        <v>1</v>
      </c>
    </row>
    <row r="7021" spans="1:5">
      <c r="A7021" s="59">
        <v>14</v>
      </c>
      <c r="B7021" s="59">
        <v>22</v>
      </c>
      <c r="C7021" s="59">
        <v>970</v>
      </c>
      <c r="D7021" s="51">
        <v>3</v>
      </c>
      <c r="E7021" s="51">
        <f t="shared" si="109"/>
        <v>1</v>
      </c>
    </row>
    <row r="7022" spans="1:5">
      <c r="A7022" s="59">
        <v>14</v>
      </c>
      <c r="B7022" s="59">
        <v>23</v>
      </c>
      <c r="C7022" s="59">
        <v>220</v>
      </c>
      <c r="D7022" s="51">
        <v>3</v>
      </c>
      <c r="E7022" s="51">
        <f t="shared" si="109"/>
        <v>1</v>
      </c>
    </row>
    <row r="7023" spans="1:5">
      <c r="A7023" s="59">
        <v>14</v>
      </c>
      <c r="B7023" s="59">
        <v>23</v>
      </c>
      <c r="C7023" s="59">
        <v>510</v>
      </c>
      <c r="D7023" s="51">
        <v>3</v>
      </c>
      <c r="E7023" s="51">
        <f t="shared" si="109"/>
        <v>1</v>
      </c>
    </row>
    <row r="7024" spans="1:5">
      <c r="A7024" s="59">
        <v>14</v>
      </c>
      <c r="B7024" s="59">
        <v>23</v>
      </c>
      <c r="C7024" s="59">
        <v>920</v>
      </c>
      <c r="D7024" s="51">
        <v>3</v>
      </c>
      <c r="E7024" s="51">
        <f t="shared" si="109"/>
        <v>1</v>
      </c>
    </row>
    <row r="7025" spans="1:5">
      <c r="A7025" s="59">
        <v>14</v>
      </c>
      <c r="B7025" s="59">
        <v>23</v>
      </c>
      <c r="C7025" s="59">
        <v>940</v>
      </c>
      <c r="D7025" s="51">
        <v>3</v>
      </c>
      <c r="E7025" s="51">
        <f t="shared" si="109"/>
        <v>1</v>
      </c>
    </row>
    <row r="7026" spans="1:5">
      <c r="A7026" s="59">
        <v>14</v>
      </c>
      <c r="B7026" s="59">
        <v>24</v>
      </c>
      <c r="C7026" s="59">
        <v>530</v>
      </c>
      <c r="D7026" s="51">
        <v>3</v>
      </c>
      <c r="E7026" s="51">
        <f t="shared" si="109"/>
        <v>1</v>
      </c>
    </row>
    <row r="7027" spans="1:5">
      <c r="A7027" s="59">
        <v>14</v>
      </c>
      <c r="B7027" s="59">
        <v>24</v>
      </c>
      <c r="C7027" s="59">
        <v>730</v>
      </c>
      <c r="D7027" s="51">
        <v>3</v>
      </c>
      <c r="E7027" s="51">
        <f t="shared" si="109"/>
        <v>1</v>
      </c>
    </row>
    <row r="7028" spans="1:5">
      <c r="A7028" s="59">
        <v>14</v>
      </c>
      <c r="B7028" s="59">
        <v>31</v>
      </c>
      <c r="C7028" s="59">
        <v>510</v>
      </c>
      <c r="D7028" s="51">
        <v>3</v>
      </c>
      <c r="E7028" s="51">
        <f t="shared" si="109"/>
        <v>1</v>
      </c>
    </row>
    <row r="7029" spans="1:5">
      <c r="A7029" s="59">
        <v>14</v>
      </c>
      <c r="B7029" s="59">
        <v>32</v>
      </c>
      <c r="C7029" s="59">
        <v>160</v>
      </c>
      <c r="D7029" s="51">
        <v>3</v>
      </c>
      <c r="E7029" s="51">
        <f t="shared" si="109"/>
        <v>1</v>
      </c>
    </row>
    <row r="7030" spans="1:5">
      <c r="A7030" s="59">
        <v>14</v>
      </c>
      <c r="B7030" s="59">
        <v>33</v>
      </c>
      <c r="C7030" s="59">
        <v>620</v>
      </c>
      <c r="D7030" s="51">
        <v>3</v>
      </c>
      <c r="E7030" s="51">
        <f t="shared" si="109"/>
        <v>1</v>
      </c>
    </row>
    <row r="7031" spans="1:5">
      <c r="A7031" s="59">
        <v>14</v>
      </c>
      <c r="B7031" s="59">
        <v>33</v>
      </c>
      <c r="C7031" s="59">
        <v>730</v>
      </c>
      <c r="D7031" s="51">
        <v>3</v>
      </c>
      <c r="E7031" s="51">
        <f t="shared" si="109"/>
        <v>1</v>
      </c>
    </row>
    <row r="7032" spans="1:5">
      <c r="A7032" s="59">
        <v>14</v>
      </c>
      <c r="B7032" s="59">
        <v>41</v>
      </c>
      <c r="C7032" s="59">
        <v>220</v>
      </c>
      <c r="D7032" s="51">
        <v>3</v>
      </c>
      <c r="E7032" s="51">
        <f t="shared" si="109"/>
        <v>1</v>
      </c>
    </row>
    <row r="7033" spans="1:5">
      <c r="A7033" s="59">
        <v>14</v>
      </c>
      <c r="B7033" s="59">
        <v>41</v>
      </c>
      <c r="C7033" s="59">
        <v>310</v>
      </c>
      <c r="D7033" s="51">
        <v>3</v>
      </c>
      <c r="E7033" s="51">
        <f t="shared" si="109"/>
        <v>1</v>
      </c>
    </row>
    <row r="7034" spans="1:5">
      <c r="A7034" s="59">
        <v>14</v>
      </c>
      <c r="B7034" s="59">
        <v>41</v>
      </c>
      <c r="C7034" s="59">
        <v>410</v>
      </c>
      <c r="D7034" s="51">
        <v>3</v>
      </c>
      <c r="E7034" s="51">
        <f t="shared" si="109"/>
        <v>1</v>
      </c>
    </row>
    <row r="7035" spans="1:5">
      <c r="A7035" s="59">
        <v>14</v>
      </c>
      <c r="B7035" s="59">
        <v>41</v>
      </c>
      <c r="C7035" s="59">
        <v>520</v>
      </c>
      <c r="D7035" s="51">
        <v>3</v>
      </c>
      <c r="E7035" s="51">
        <f t="shared" si="109"/>
        <v>1</v>
      </c>
    </row>
    <row r="7036" spans="1:5">
      <c r="A7036" s="59">
        <v>14</v>
      </c>
      <c r="B7036" s="59">
        <v>41</v>
      </c>
      <c r="C7036" s="59">
        <v>970</v>
      </c>
      <c r="D7036" s="51">
        <v>3</v>
      </c>
      <c r="E7036" s="51">
        <f t="shared" si="109"/>
        <v>1</v>
      </c>
    </row>
    <row r="7037" spans="1:5">
      <c r="A7037" s="59">
        <v>14</v>
      </c>
      <c r="B7037" s="59">
        <v>42</v>
      </c>
      <c r="C7037" s="59">
        <v>630</v>
      </c>
      <c r="D7037" s="51">
        <v>3</v>
      </c>
      <c r="E7037" s="51">
        <f t="shared" si="109"/>
        <v>1</v>
      </c>
    </row>
    <row r="7038" spans="1:5">
      <c r="A7038" s="59">
        <v>14</v>
      </c>
      <c r="B7038" s="59">
        <v>43</v>
      </c>
      <c r="C7038" s="59">
        <v>862</v>
      </c>
      <c r="D7038" s="51">
        <v>3</v>
      </c>
      <c r="E7038" s="51">
        <f t="shared" si="109"/>
        <v>1</v>
      </c>
    </row>
    <row r="7039" spans="1:5">
      <c r="A7039" s="59">
        <v>14</v>
      </c>
      <c r="B7039" s="59">
        <v>44</v>
      </c>
      <c r="C7039" s="59">
        <v>140</v>
      </c>
      <c r="D7039" s="51">
        <v>3</v>
      </c>
      <c r="E7039" s="51">
        <f t="shared" si="109"/>
        <v>1</v>
      </c>
    </row>
    <row r="7040" spans="1:5">
      <c r="A7040" s="59">
        <v>14</v>
      </c>
      <c r="B7040" s="59">
        <v>62</v>
      </c>
      <c r="C7040" s="59">
        <v>130</v>
      </c>
      <c r="D7040" s="51">
        <v>3</v>
      </c>
      <c r="E7040" s="51">
        <f t="shared" si="109"/>
        <v>1</v>
      </c>
    </row>
    <row r="7041" spans="1:5">
      <c r="A7041" s="59">
        <v>14</v>
      </c>
      <c r="B7041" s="59">
        <v>63</v>
      </c>
      <c r="C7041" s="59">
        <v>240</v>
      </c>
      <c r="D7041" s="51">
        <v>3</v>
      </c>
      <c r="E7041" s="51">
        <f t="shared" si="109"/>
        <v>1</v>
      </c>
    </row>
    <row r="7042" spans="1:5">
      <c r="A7042" s="59">
        <v>14</v>
      </c>
      <c r="B7042" s="59">
        <v>63</v>
      </c>
      <c r="C7042" s="59">
        <v>330</v>
      </c>
      <c r="D7042" s="51">
        <v>3</v>
      </c>
      <c r="E7042" s="51">
        <f t="shared" ref="E7042:E7105" si="110">IF(OR(A7042=6,A7042=7,A7042=14,A7042=15,A7042=16,A7042=17,A7042=18,A7042=19,A7042=20,A7042=21,A7042=22,A7042=23,A7042=25,A7042=26,A7042=27,A7042=28,B7042=41,B7042=44,B7042=62),1,0)</f>
        <v>1</v>
      </c>
    </row>
    <row r="7043" spans="1:5">
      <c r="A7043" s="59">
        <v>14</v>
      </c>
      <c r="B7043" s="59">
        <v>63</v>
      </c>
      <c r="C7043" s="59">
        <v>830</v>
      </c>
      <c r="D7043" s="51">
        <v>3</v>
      </c>
      <c r="E7043" s="51">
        <f t="shared" si="110"/>
        <v>1</v>
      </c>
    </row>
    <row r="7044" spans="1:5">
      <c r="A7044" s="59">
        <v>14</v>
      </c>
      <c r="B7044" s="59">
        <v>63</v>
      </c>
      <c r="C7044" s="59">
        <v>831</v>
      </c>
      <c r="D7044" s="51">
        <v>3</v>
      </c>
      <c r="E7044" s="51">
        <f t="shared" si="110"/>
        <v>1</v>
      </c>
    </row>
    <row r="7045" spans="1:5">
      <c r="A7045" s="59">
        <v>14</v>
      </c>
      <c r="B7045" s="59">
        <v>71</v>
      </c>
      <c r="C7045" s="59">
        <v>320</v>
      </c>
      <c r="D7045" s="51">
        <v>3</v>
      </c>
      <c r="E7045" s="51">
        <f t="shared" si="110"/>
        <v>1</v>
      </c>
    </row>
    <row r="7046" spans="1:5">
      <c r="A7046" s="59">
        <v>14</v>
      </c>
      <c r="B7046" s="59">
        <v>71</v>
      </c>
      <c r="C7046" s="59">
        <v>740</v>
      </c>
      <c r="D7046" s="51">
        <v>3</v>
      </c>
      <c r="E7046" s="51">
        <f t="shared" si="110"/>
        <v>1</v>
      </c>
    </row>
    <row r="7047" spans="1:5">
      <c r="A7047" s="59">
        <v>14</v>
      </c>
      <c r="B7047" s="59">
        <v>81</v>
      </c>
      <c r="C7047" s="59">
        <v>320</v>
      </c>
      <c r="D7047" s="51">
        <v>3</v>
      </c>
      <c r="E7047" s="51">
        <f t="shared" si="110"/>
        <v>1</v>
      </c>
    </row>
    <row r="7048" spans="1:5">
      <c r="A7048" s="59">
        <v>14</v>
      </c>
      <c r="B7048" s="59">
        <v>81</v>
      </c>
      <c r="C7048" s="59">
        <v>430</v>
      </c>
      <c r="D7048" s="51">
        <v>3</v>
      </c>
      <c r="E7048" s="51">
        <f t="shared" si="110"/>
        <v>1</v>
      </c>
    </row>
    <row r="7049" spans="1:5">
      <c r="A7049" s="59">
        <v>14</v>
      </c>
      <c r="B7049" s="59">
        <v>81</v>
      </c>
      <c r="C7049" s="59">
        <v>960</v>
      </c>
      <c r="D7049" s="51">
        <v>3</v>
      </c>
      <c r="E7049" s="51">
        <f t="shared" si="110"/>
        <v>1</v>
      </c>
    </row>
    <row r="7050" spans="1:5">
      <c r="A7050" s="59">
        <v>14</v>
      </c>
      <c r="B7050" s="59">
        <v>11</v>
      </c>
      <c r="C7050" s="59">
        <v>120</v>
      </c>
      <c r="D7050" s="51">
        <v>2</v>
      </c>
      <c r="E7050" s="51">
        <f t="shared" si="110"/>
        <v>1</v>
      </c>
    </row>
    <row r="7051" spans="1:5">
      <c r="A7051" s="59">
        <v>14</v>
      </c>
      <c r="B7051" s="59">
        <v>11</v>
      </c>
      <c r="C7051" s="59">
        <v>530</v>
      </c>
      <c r="D7051" s="51">
        <v>2</v>
      </c>
      <c r="E7051" s="51">
        <f t="shared" si="110"/>
        <v>1</v>
      </c>
    </row>
    <row r="7052" spans="1:5">
      <c r="A7052" s="59">
        <v>14</v>
      </c>
      <c r="B7052" s="59">
        <v>11</v>
      </c>
      <c r="C7052" s="59">
        <v>610</v>
      </c>
      <c r="D7052" s="51">
        <v>2</v>
      </c>
      <c r="E7052" s="51">
        <f t="shared" si="110"/>
        <v>1</v>
      </c>
    </row>
    <row r="7053" spans="1:5">
      <c r="A7053" s="59">
        <v>14</v>
      </c>
      <c r="B7053" s="59">
        <v>11</v>
      </c>
      <c r="C7053" s="59">
        <v>730</v>
      </c>
      <c r="D7053" s="51">
        <v>2</v>
      </c>
      <c r="E7053" s="51">
        <f t="shared" si="110"/>
        <v>1</v>
      </c>
    </row>
    <row r="7054" spans="1:5">
      <c r="A7054" s="59">
        <v>14</v>
      </c>
      <c r="B7054" s="59">
        <v>12</v>
      </c>
      <c r="C7054" s="59">
        <v>510</v>
      </c>
      <c r="D7054" s="51">
        <v>2</v>
      </c>
      <c r="E7054" s="51">
        <f t="shared" si="110"/>
        <v>1</v>
      </c>
    </row>
    <row r="7055" spans="1:5">
      <c r="A7055" s="59">
        <v>14</v>
      </c>
      <c r="B7055" s="59">
        <v>15</v>
      </c>
      <c r="C7055" s="59">
        <v>610</v>
      </c>
      <c r="D7055" s="51">
        <v>2</v>
      </c>
      <c r="E7055" s="51">
        <f t="shared" si="110"/>
        <v>1</v>
      </c>
    </row>
    <row r="7056" spans="1:5">
      <c r="A7056" s="59">
        <v>14</v>
      </c>
      <c r="B7056" s="59">
        <v>16</v>
      </c>
      <c r="C7056" s="59">
        <v>730</v>
      </c>
      <c r="D7056" s="51">
        <v>2</v>
      </c>
      <c r="E7056" s="51">
        <f t="shared" si="110"/>
        <v>1</v>
      </c>
    </row>
    <row r="7057" spans="1:5">
      <c r="A7057" s="59">
        <v>14</v>
      </c>
      <c r="B7057" s="59">
        <v>21</v>
      </c>
      <c r="C7057" s="59">
        <v>310</v>
      </c>
      <c r="D7057" s="51">
        <v>2</v>
      </c>
      <c r="E7057" s="51">
        <f t="shared" si="110"/>
        <v>1</v>
      </c>
    </row>
    <row r="7058" spans="1:5">
      <c r="A7058" s="59">
        <v>14</v>
      </c>
      <c r="B7058" s="59">
        <v>22</v>
      </c>
      <c r="C7058" s="59">
        <v>620</v>
      </c>
      <c r="D7058" s="51">
        <v>2</v>
      </c>
      <c r="E7058" s="51">
        <f t="shared" si="110"/>
        <v>1</v>
      </c>
    </row>
    <row r="7059" spans="1:5">
      <c r="A7059" s="59">
        <v>14</v>
      </c>
      <c r="B7059" s="59">
        <v>23</v>
      </c>
      <c r="C7059" s="59">
        <v>610</v>
      </c>
      <c r="D7059" s="51">
        <v>2</v>
      </c>
      <c r="E7059" s="51">
        <f t="shared" si="110"/>
        <v>1</v>
      </c>
    </row>
    <row r="7060" spans="1:5">
      <c r="A7060" s="59">
        <v>14</v>
      </c>
      <c r="B7060" s="59">
        <v>23</v>
      </c>
      <c r="C7060" s="59">
        <v>950</v>
      </c>
      <c r="D7060" s="51">
        <v>2</v>
      </c>
      <c r="E7060" s="51">
        <f t="shared" si="110"/>
        <v>1</v>
      </c>
    </row>
    <row r="7061" spans="1:5">
      <c r="A7061" s="59">
        <v>14</v>
      </c>
      <c r="B7061" s="59">
        <v>24</v>
      </c>
      <c r="C7061" s="59">
        <v>220</v>
      </c>
      <c r="D7061" s="51">
        <v>2</v>
      </c>
      <c r="E7061" s="51">
        <f t="shared" si="110"/>
        <v>1</v>
      </c>
    </row>
    <row r="7062" spans="1:5">
      <c r="A7062" s="59">
        <v>14</v>
      </c>
      <c r="B7062" s="59">
        <v>24</v>
      </c>
      <c r="C7062" s="59">
        <v>240</v>
      </c>
      <c r="D7062" s="51">
        <v>2</v>
      </c>
      <c r="E7062" s="51">
        <f t="shared" si="110"/>
        <v>1</v>
      </c>
    </row>
    <row r="7063" spans="1:5">
      <c r="A7063" s="59">
        <v>14</v>
      </c>
      <c r="B7063" s="59">
        <v>24</v>
      </c>
      <c r="C7063" s="59">
        <v>410</v>
      </c>
      <c r="D7063" s="51">
        <v>2</v>
      </c>
      <c r="E7063" s="51">
        <f t="shared" si="110"/>
        <v>1</v>
      </c>
    </row>
    <row r="7064" spans="1:5">
      <c r="A7064" s="59">
        <v>14</v>
      </c>
      <c r="B7064" s="59">
        <v>31</v>
      </c>
      <c r="C7064" s="59">
        <v>960</v>
      </c>
      <c r="D7064" s="51">
        <v>2</v>
      </c>
      <c r="E7064" s="51">
        <f t="shared" si="110"/>
        <v>1</v>
      </c>
    </row>
    <row r="7065" spans="1:5">
      <c r="A7065" s="59">
        <v>14</v>
      </c>
      <c r="B7065" s="59">
        <v>31</v>
      </c>
      <c r="C7065" s="59">
        <v>970</v>
      </c>
      <c r="D7065" s="51">
        <v>2</v>
      </c>
      <c r="E7065" s="51">
        <f t="shared" si="110"/>
        <v>1</v>
      </c>
    </row>
    <row r="7066" spans="1:5">
      <c r="A7066" s="59">
        <v>14</v>
      </c>
      <c r="B7066" s="59">
        <v>32</v>
      </c>
      <c r="C7066" s="59">
        <v>120</v>
      </c>
      <c r="D7066" s="51">
        <v>2</v>
      </c>
      <c r="E7066" s="51">
        <f t="shared" si="110"/>
        <v>1</v>
      </c>
    </row>
    <row r="7067" spans="1:5">
      <c r="A7067" s="59">
        <v>14</v>
      </c>
      <c r="B7067" s="59">
        <v>32</v>
      </c>
      <c r="C7067" s="59">
        <v>940</v>
      </c>
      <c r="D7067" s="51">
        <v>2</v>
      </c>
      <c r="E7067" s="51">
        <f t="shared" si="110"/>
        <v>1</v>
      </c>
    </row>
    <row r="7068" spans="1:5">
      <c r="A7068" s="59">
        <v>14</v>
      </c>
      <c r="B7068" s="59">
        <v>32</v>
      </c>
      <c r="C7068" s="59">
        <v>990</v>
      </c>
      <c r="D7068" s="51">
        <v>2</v>
      </c>
      <c r="E7068" s="51">
        <f t="shared" si="110"/>
        <v>1</v>
      </c>
    </row>
    <row r="7069" spans="1:5">
      <c r="A7069" s="59">
        <v>14</v>
      </c>
      <c r="B7069" s="59">
        <v>33</v>
      </c>
      <c r="C7069" s="59">
        <v>320</v>
      </c>
      <c r="D7069" s="51">
        <v>2</v>
      </c>
      <c r="E7069" s="51">
        <f t="shared" si="110"/>
        <v>1</v>
      </c>
    </row>
    <row r="7070" spans="1:5">
      <c r="A7070" s="59">
        <v>14</v>
      </c>
      <c r="B7070" s="59">
        <v>33</v>
      </c>
      <c r="C7070" s="59">
        <v>940</v>
      </c>
      <c r="D7070" s="51">
        <v>2</v>
      </c>
      <c r="E7070" s="51">
        <f t="shared" si="110"/>
        <v>1</v>
      </c>
    </row>
    <row r="7071" spans="1:5">
      <c r="A7071" s="59">
        <v>14</v>
      </c>
      <c r="B7071" s="59">
        <v>41</v>
      </c>
      <c r="C7071" s="59">
        <v>850</v>
      </c>
      <c r="D7071" s="51">
        <v>2</v>
      </c>
      <c r="E7071" s="51">
        <f t="shared" si="110"/>
        <v>1</v>
      </c>
    </row>
    <row r="7072" spans="1:5">
      <c r="A7072" s="59">
        <v>14</v>
      </c>
      <c r="B7072" s="59">
        <v>42</v>
      </c>
      <c r="C7072" s="59">
        <v>710</v>
      </c>
      <c r="D7072" s="51">
        <v>2</v>
      </c>
      <c r="E7072" s="51">
        <f t="shared" si="110"/>
        <v>1</v>
      </c>
    </row>
    <row r="7073" spans="1:5">
      <c r="A7073" s="59">
        <v>14</v>
      </c>
      <c r="B7073" s="59">
        <v>42</v>
      </c>
      <c r="C7073" s="59">
        <v>750</v>
      </c>
      <c r="D7073" s="51">
        <v>2</v>
      </c>
      <c r="E7073" s="51">
        <f t="shared" si="110"/>
        <v>1</v>
      </c>
    </row>
    <row r="7074" spans="1:5">
      <c r="A7074" s="59">
        <v>14</v>
      </c>
      <c r="B7074" s="59">
        <v>43</v>
      </c>
      <c r="C7074" s="59">
        <v>870</v>
      </c>
      <c r="D7074" s="51">
        <v>2</v>
      </c>
      <c r="E7074" s="51">
        <f t="shared" si="110"/>
        <v>1</v>
      </c>
    </row>
    <row r="7075" spans="1:5">
      <c r="A7075" s="59">
        <v>14</v>
      </c>
      <c r="B7075" s="59">
        <v>44</v>
      </c>
      <c r="C7075" s="59">
        <v>120</v>
      </c>
      <c r="D7075" s="51">
        <v>2</v>
      </c>
      <c r="E7075" s="51">
        <f t="shared" si="110"/>
        <v>1</v>
      </c>
    </row>
    <row r="7076" spans="1:5">
      <c r="A7076" s="59">
        <v>14</v>
      </c>
      <c r="B7076" s="59">
        <v>44</v>
      </c>
      <c r="C7076" s="59">
        <v>420</v>
      </c>
      <c r="D7076" s="51">
        <v>2</v>
      </c>
      <c r="E7076" s="51">
        <f t="shared" si="110"/>
        <v>1</v>
      </c>
    </row>
    <row r="7077" spans="1:5">
      <c r="A7077" s="59">
        <v>14</v>
      </c>
      <c r="B7077" s="59">
        <v>44</v>
      </c>
      <c r="C7077" s="59">
        <v>740</v>
      </c>
      <c r="D7077" s="51">
        <v>2</v>
      </c>
      <c r="E7077" s="51">
        <f t="shared" si="110"/>
        <v>1</v>
      </c>
    </row>
    <row r="7078" spans="1:5">
      <c r="A7078" s="59">
        <v>14</v>
      </c>
      <c r="B7078" s="59">
        <v>51</v>
      </c>
      <c r="C7078" s="59">
        <v>150</v>
      </c>
      <c r="D7078" s="51">
        <v>2</v>
      </c>
      <c r="E7078" s="51">
        <f t="shared" si="110"/>
        <v>1</v>
      </c>
    </row>
    <row r="7079" spans="1:5">
      <c r="A7079" s="59">
        <v>14</v>
      </c>
      <c r="B7079" s="59">
        <v>51</v>
      </c>
      <c r="C7079" s="59">
        <v>510</v>
      </c>
      <c r="D7079" s="51">
        <v>2</v>
      </c>
      <c r="E7079" s="51">
        <f t="shared" si="110"/>
        <v>1</v>
      </c>
    </row>
    <row r="7080" spans="1:5">
      <c r="A7080" s="59">
        <v>14</v>
      </c>
      <c r="B7080" s="59">
        <v>51</v>
      </c>
      <c r="C7080" s="59">
        <v>620</v>
      </c>
      <c r="D7080" s="51">
        <v>2</v>
      </c>
      <c r="E7080" s="51">
        <f t="shared" si="110"/>
        <v>1</v>
      </c>
    </row>
    <row r="7081" spans="1:5">
      <c r="A7081" s="59">
        <v>14</v>
      </c>
      <c r="B7081" s="59">
        <v>62</v>
      </c>
      <c r="C7081" s="59">
        <v>240</v>
      </c>
      <c r="D7081" s="51">
        <v>2</v>
      </c>
      <c r="E7081" s="51">
        <f t="shared" si="110"/>
        <v>1</v>
      </c>
    </row>
    <row r="7082" spans="1:5">
      <c r="A7082" s="59">
        <v>14</v>
      </c>
      <c r="B7082" s="59">
        <v>62</v>
      </c>
      <c r="C7082" s="59">
        <v>831</v>
      </c>
      <c r="D7082" s="51">
        <v>2</v>
      </c>
      <c r="E7082" s="51">
        <f t="shared" si="110"/>
        <v>1</v>
      </c>
    </row>
    <row r="7083" spans="1:5">
      <c r="A7083" s="59">
        <v>14</v>
      </c>
      <c r="B7083" s="59">
        <v>62</v>
      </c>
      <c r="C7083" s="59">
        <v>860</v>
      </c>
      <c r="D7083" s="51">
        <v>2</v>
      </c>
      <c r="E7083" s="51">
        <f t="shared" si="110"/>
        <v>1</v>
      </c>
    </row>
    <row r="7084" spans="1:5">
      <c r="A7084" s="59">
        <v>14</v>
      </c>
      <c r="B7084" s="59">
        <v>64</v>
      </c>
      <c r="C7084" s="59">
        <v>895</v>
      </c>
      <c r="D7084" s="51">
        <v>2</v>
      </c>
      <c r="E7084" s="51">
        <f t="shared" si="110"/>
        <v>1</v>
      </c>
    </row>
    <row r="7085" spans="1:5">
      <c r="A7085" s="59">
        <v>14</v>
      </c>
      <c r="B7085" s="59">
        <v>71</v>
      </c>
      <c r="C7085" s="59">
        <v>140</v>
      </c>
      <c r="D7085" s="51">
        <v>2</v>
      </c>
      <c r="E7085" s="51">
        <f t="shared" si="110"/>
        <v>1</v>
      </c>
    </row>
    <row r="7086" spans="1:5">
      <c r="A7086" s="59">
        <v>14</v>
      </c>
      <c r="B7086" s="59">
        <v>71</v>
      </c>
      <c r="C7086" s="59">
        <v>960</v>
      </c>
      <c r="D7086" s="51">
        <v>2</v>
      </c>
      <c r="E7086" s="51">
        <f t="shared" si="110"/>
        <v>1</v>
      </c>
    </row>
    <row r="7087" spans="1:5">
      <c r="A7087" s="59">
        <v>14</v>
      </c>
      <c r="B7087" s="59">
        <v>81</v>
      </c>
      <c r="C7087" s="59">
        <v>220</v>
      </c>
      <c r="D7087" s="51">
        <v>2</v>
      </c>
      <c r="E7087" s="51">
        <f t="shared" si="110"/>
        <v>1</v>
      </c>
    </row>
    <row r="7088" spans="1:5">
      <c r="A7088" s="59">
        <v>14</v>
      </c>
      <c r="B7088" s="59">
        <v>81</v>
      </c>
      <c r="C7088" s="59">
        <v>310</v>
      </c>
      <c r="D7088" s="51">
        <v>2</v>
      </c>
      <c r="E7088" s="51">
        <f t="shared" si="110"/>
        <v>1</v>
      </c>
    </row>
    <row r="7089" spans="1:5">
      <c r="A7089" s="59">
        <v>14</v>
      </c>
      <c r="B7089" s="59">
        <v>81</v>
      </c>
      <c r="C7089" s="59">
        <v>550</v>
      </c>
      <c r="D7089" s="51">
        <v>2</v>
      </c>
      <c r="E7089" s="51">
        <f t="shared" si="110"/>
        <v>1</v>
      </c>
    </row>
    <row r="7090" spans="1:5">
      <c r="A7090" s="59">
        <v>14</v>
      </c>
      <c r="B7090" s="59">
        <v>81</v>
      </c>
      <c r="C7090" s="59">
        <v>893</v>
      </c>
      <c r="D7090" s="51">
        <v>2</v>
      </c>
      <c r="E7090" s="51">
        <f t="shared" si="110"/>
        <v>1</v>
      </c>
    </row>
    <row r="7091" spans="1:5">
      <c r="A7091" s="59">
        <v>14</v>
      </c>
      <c r="B7091" s="59">
        <v>11</v>
      </c>
      <c r="C7091" s="59">
        <v>230</v>
      </c>
      <c r="D7091" s="51">
        <v>1</v>
      </c>
      <c r="E7091" s="51">
        <f t="shared" si="110"/>
        <v>1</v>
      </c>
    </row>
    <row r="7092" spans="1:5">
      <c r="A7092" s="59">
        <v>14</v>
      </c>
      <c r="B7092" s="59">
        <v>11</v>
      </c>
      <c r="C7092" s="59">
        <v>520</v>
      </c>
      <c r="D7092" s="51">
        <v>1</v>
      </c>
      <c r="E7092" s="51">
        <f t="shared" si="110"/>
        <v>1</v>
      </c>
    </row>
    <row r="7093" spans="1:5">
      <c r="A7093" s="59">
        <v>14</v>
      </c>
      <c r="B7093" s="59">
        <v>13</v>
      </c>
      <c r="C7093" s="59">
        <v>630</v>
      </c>
      <c r="D7093" s="51">
        <v>1</v>
      </c>
      <c r="E7093" s="51">
        <f t="shared" si="110"/>
        <v>1</v>
      </c>
    </row>
    <row r="7094" spans="1:5">
      <c r="A7094" s="59">
        <v>14</v>
      </c>
      <c r="B7094" s="59">
        <v>13</v>
      </c>
      <c r="C7094" s="59">
        <v>640</v>
      </c>
      <c r="D7094" s="51">
        <v>1</v>
      </c>
      <c r="E7094" s="51">
        <f t="shared" si="110"/>
        <v>1</v>
      </c>
    </row>
    <row r="7095" spans="1:5">
      <c r="A7095" s="59">
        <v>14</v>
      </c>
      <c r="B7095" s="59">
        <v>13</v>
      </c>
      <c r="C7095" s="59">
        <v>960</v>
      </c>
      <c r="D7095" s="51">
        <v>1</v>
      </c>
      <c r="E7095" s="51">
        <f t="shared" si="110"/>
        <v>1</v>
      </c>
    </row>
    <row r="7096" spans="1:5">
      <c r="A7096" s="59">
        <v>14</v>
      </c>
      <c r="B7096" s="59">
        <v>14</v>
      </c>
      <c r="C7096" s="59">
        <v>550</v>
      </c>
      <c r="D7096" s="51">
        <v>1</v>
      </c>
      <c r="E7096" s="51">
        <f t="shared" si="110"/>
        <v>1</v>
      </c>
    </row>
    <row r="7097" spans="1:5">
      <c r="A7097" s="59">
        <v>14</v>
      </c>
      <c r="B7097" s="59">
        <v>14</v>
      </c>
      <c r="C7097" s="59">
        <v>640</v>
      </c>
      <c r="D7097" s="51">
        <v>1</v>
      </c>
      <c r="E7097" s="51">
        <f t="shared" si="110"/>
        <v>1</v>
      </c>
    </row>
    <row r="7098" spans="1:5">
      <c r="A7098" s="59">
        <v>14</v>
      </c>
      <c r="B7098" s="59">
        <v>14</v>
      </c>
      <c r="C7098" s="59">
        <v>740</v>
      </c>
      <c r="D7098" s="51">
        <v>1</v>
      </c>
      <c r="E7098" s="51">
        <f t="shared" si="110"/>
        <v>1</v>
      </c>
    </row>
    <row r="7099" spans="1:5">
      <c r="A7099" s="59">
        <v>14</v>
      </c>
      <c r="B7099" s="59">
        <v>15</v>
      </c>
      <c r="C7099" s="59">
        <v>430</v>
      </c>
      <c r="D7099" s="51">
        <v>1</v>
      </c>
      <c r="E7099" s="51">
        <f t="shared" si="110"/>
        <v>1</v>
      </c>
    </row>
    <row r="7100" spans="1:5">
      <c r="A7100" s="59">
        <v>14</v>
      </c>
      <c r="B7100" s="59">
        <v>15</v>
      </c>
      <c r="C7100" s="59">
        <v>710</v>
      </c>
      <c r="D7100" s="51">
        <v>1</v>
      </c>
      <c r="E7100" s="51">
        <f t="shared" si="110"/>
        <v>1</v>
      </c>
    </row>
    <row r="7101" spans="1:5">
      <c r="A7101" s="59">
        <v>14</v>
      </c>
      <c r="B7101" s="59">
        <v>16</v>
      </c>
      <c r="C7101" s="59">
        <v>620</v>
      </c>
      <c r="D7101" s="51">
        <v>1</v>
      </c>
      <c r="E7101" s="51">
        <f t="shared" si="110"/>
        <v>1</v>
      </c>
    </row>
    <row r="7102" spans="1:5">
      <c r="A7102" s="59">
        <v>14</v>
      </c>
      <c r="B7102" s="59">
        <v>16</v>
      </c>
      <c r="C7102" s="59">
        <v>890</v>
      </c>
      <c r="D7102" s="51">
        <v>1</v>
      </c>
      <c r="E7102" s="51">
        <f t="shared" si="110"/>
        <v>1</v>
      </c>
    </row>
    <row r="7103" spans="1:5">
      <c r="A7103" s="59">
        <v>14</v>
      </c>
      <c r="B7103" s="59">
        <v>21</v>
      </c>
      <c r="C7103" s="59">
        <v>160</v>
      </c>
      <c r="D7103" s="51">
        <v>1</v>
      </c>
      <c r="E7103" s="51">
        <f t="shared" si="110"/>
        <v>1</v>
      </c>
    </row>
    <row r="7104" spans="1:5">
      <c r="A7104" s="59">
        <v>14</v>
      </c>
      <c r="B7104" s="59">
        <v>21</v>
      </c>
      <c r="C7104" s="59">
        <v>960</v>
      </c>
      <c r="D7104" s="51">
        <v>1</v>
      </c>
      <c r="E7104" s="51">
        <f t="shared" si="110"/>
        <v>1</v>
      </c>
    </row>
    <row r="7105" spans="1:5">
      <c r="A7105" s="59">
        <v>14</v>
      </c>
      <c r="B7105" s="59">
        <v>21</v>
      </c>
      <c r="C7105" s="59">
        <v>990</v>
      </c>
      <c r="D7105" s="51">
        <v>1</v>
      </c>
      <c r="E7105" s="51">
        <f t="shared" si="110"/>
        <v>1</v>
      </c>
    </row>
    <row r="7106" spans="1:5">
      <c r="A7106" s="59">
        <v>14</v>
      </c>
      <c r="B7106" s="59">
        <v>22</v>
      </c>
      <c r="C7106" s="59">
        <v>430</v>
      </c>
      <c r="D7106" s="51">
        <v>1</v>
      </c>
      <c r="E7106" s="51">
        <f t="shared" ref="E7106:E7169" si="111">IF(OR(A7106=6,A7106=7,A7106=14,A7106=15,A7106=16,A7106=17,A7106=18,A7106=19,A7106=20,A7106=21,A7106=22,A7106=23,A7106=25,A7106=26,A7106=27,A7106=28,B7106=41,B7106=44,B7106=62),1,0)</f>
        <v>1</v>
      </c>
    </row>
    <row r="7107" spans="1:5">
      <c r="A7107" s="59">
        <v>14</v>
      </c>
      <c r="B7107" s="59">
        <v>23</v>
      </c>
      <c r="C7107" s="59">
        <v>530</v>
      </c>
      <c r="D7107" s="51">
        <v>1</v>
      </c>
      <c r="E7107" s="51">
        <f t="shared" si="111"/>
        <v>1</v>
      </c>
    </row>
    <row r="7108" spans="1:5">
      <c r="A7108" s="59">
        <v>14</v>
      </c>
      <c r="B7108" s="59">
        <v>24</v>
      </c>
      <c r="C7108" s="59">
        <v>310</v>
      </c>
      <c r="D7108" s="51">
        <v>1</v>
      </c>
      <c r="E7108" s="51">
        <f t="shared" si="111"/>
        <v>1</v>
      </c>
    </row>
    <row r="7109" spans="1:5">
      <c r="A7109" s="59">
        <v>14</v>
      </c>
      <c r="B7109" s="59">
        <v>24</v>
      </c>
      <c r="C7109" s="59">
        <v>510</v>
      </c>
      <c r="D7109" s="51">
        <v>1</v>
      </c>
      <c r="E7109" s="51">
        <f t="shared" si="111"/>
        <v>1</v>
      </c>
    </row>
    <row r="7110" spans="1:5">
      <c r="A7110" s="59">
        <v>14</v>
      </c>
      <c r="B7110" s="59">
        <v>24</v>
      </c>
      <c r="C7110" s="59">
        <v>610</v>
      </c>
      <c r="D7110" s="51">
        <v>1</v>
      </c>
      <c r="E7110" s="51">
        <f t="shared" si="111"/>
        <v>1</v>
      </c>
    </row>
    <row r="7111" spans="1:5">
      <c r="A7111" s="59">
        <v>14</v>
      </c>
      <c r="B7111" s="59">
        <v>24</v>
      </c>
      <c r="C7111" s="59">
        <v>920</v>
      </c>
      <c r="D7111" s="51">
        <v>1</v>
      </c>
      <c r="E7111" s="51">
        <f t="shared" si="111"/>
        <v>1</v>
      </c>
    </row>
    <row r="7112" spans="1:5">
      <c r="A7112" s="59">
        <v>14</v>
      </c>
      <c r="B7112" s="59">
        <v>24</v>
      </c>
      <c r="C7112" s="59">
        <v>930</v>
      </c>
      <c r="D7112" s="51">
        <v>1</v>
      </c>
      <c r="E7112" s="51">
        <f t="shared" si="111"/>
        <v>1</v>
      </c>
    </row>
    <row r="7113" spans="1:5">
      <c r="A7113" s="59">
        <v>14</v>
      </c>
      <c r="B7113" s="59">
        <v>31</v>
      </c>
      <c r="C7113" s="59">
        <v>110</v>
      </c>
      <c r="D7113" s="51">
        <v>1</v>
      </c>
      <c r="E7113" s="51">
        <f t="shared" si="111"/>
        <v>1</v>
      </c>
    </row>
    <row r="7114" spans="1:5">
      <c r="A7114" s="59">
        <v>14</v>
      </c>
      <c r="B7114" s="59">
        <v>31</v>
      </c>
      <c r="C7114" s="59">
        <v>610</v>
      </c>
      <c r="D7114" s="51">
        <v>1</v>
      </c>
      <c r="E7114" s="51">
        <f t="shared" si="111"/>
        <v>1</v>
      </c>
    </row>
    <row r="7115" spans="1:5">
      <c r="A7115" s="59">
        <v>14</v>
      </c>
      <c r="B7115" s="59">
        <v>31</v>
      </c>
      <c r="C7115" s="59">
        <v>620</v>
      </c>
      <c r="D7115" s="51">
        <v>1</v>
      </c>
      <c r="E7115" s="51">
        <f t="shared" si="111"/>
        <v>1</v>
      </c>
    </row>
    <row r="7116" spans="1:5">
      <c r="A7116" s="59">
        <v>14</v>
      </c>
      <c r="B7116" s="59">
        <v>32</v>
      </c>
      <c r="C7116" s="59">
        <v>240</v>
      </c>
      <c r="D7116" s="51">
        <v>1</v>
      </c>
      <c r="E7116" s="51">
        <f t="shared" si="111"/>
        <v>1</v>
      </c>
    </row>
    <row r="7117" spans="1:5">
      <c r="A7117" s="59">
        <v>14</v>
      </c>
      <c r="B7117" s="59">
        <v>32</v>
      </c>
      <c r="C7117" s="59">
        <v>330</v>
      </c>
      <c r="D7117" s="51">
        <v>1</v>
      </c>
      <c r="E7117" s="51">
        <f t="shared" si="111"/>
        <v>1</v>
      </c>
    </row>
    <row r="7118" spans="1:5">
      <c r="A7118" s="59">
        <v>14</v>
      </c>
      <c r="B7118" s="59">
        <v>32</v>
      </c>
      <c r="C7118" s="59">
        <v>820</v>
      </c>
      <c r="D7118" s="51">
        <v>1</v>
      </c>
      <c r="E7118" s="51">
        <f t="shared" si="111"/>
        <v>1</v>
      </c>
    </row>
    <row r="7119" spans="1:5">
      <c r="A7119" s="59">
        <v>14</v>
      </c>
      <c r="B7119" s="59">
        <v>32</v>
      </c>
      <c r="C7119" s="59">
        <v>950</v>
      </c>
      <c r="D7119" s="51">
        <v>1</v>
      </c>
      <c r="E7119" s="51">
        <f t="shared" si="111"/>
        <v>1</v>
      </c>
    </row>
    <row r="7120" spans="1:5">
      <c r="A7120" s="59">
        <v>14</v>
      </c>
      <c r="B7120" s="59">
        <v>33</v>
      </c>
      <c r="C7120" s="59">
        <v>130</v>
      </c>
      <c r="D7120" s="51">
        <v>1</v>
      </c>
      <c r="E7120" s="51">
        <f t="shared" si="111"/>
        <v>1</v>
      </c>
    </row>
    <row r="7121" spans="1:5">
      <c r="A7121" s="59">
        <v>14</v>
      </c>
      <c r="B7121" s="59">
        <v>33</v>
      </c>
      <c r="C7121" s="59">
        <v>540</v>
      </c>
      <c r="D7121" s="51">
        <v>1</v>
      </c>
      <c r="E7121" s="51">
        <f t="shared" si="111"/>
        <v>1</v>
      </c>
    </row>
    <row r="7122" spans="1:5">
      <c r="A7122" s="59">
        <v>14</v>
      </c>
      <c r="B7122" s="59">
        <v>41</v>
      </c>
      <c r="C7122" s="59">
        <v>320</v>
      </c>
      <c r="D7122" s="51">
        <v>1</v>
      </c>
      <c r="E7122" s="51">
        <f t="shared" si="111"/>
        <v>1</v>
      </c>
    </row>
    <row r="7123" spans="1:5">
      <c r="A7123" s="59">
        <v>14</v>
      </c>
      <c r="B7123" s="59">
        <v>41</v>
      </c>
      <c r="C7123" s="59">
        <v>540</v>
      </c>
      <c r="D7123" s="51">
        <v>1</v>
      </c>
      <c r="E7123" s="51">
        <f t="shared" si="111"/>
        <v>1</v>
      </c>
    </row>
    <row r="7124" spans="1:5">
      <c r="A7124" s="59">
        <v>14</v>
      </c>
      <c r="B7124" s="59">
        <v>41</v>
      </c>
      <c r="C7124" s="59">
        <v>550</v>
      </c>
      <c r="D7124" s="51">
        <v>1</v>
      </c>
      <c r="E7124" s="51">
        <f t="shared" si="111"/>
        <v>1</v>
      </c>
    </row>
    <row r="7125" spans="1:5">
      <c r="A7125" s="59">
        <v>14</v>
      </c>
      <c r="B7125" s="59">
        <v>41</v>
      </c>
      <c r="C7125" s="59">
        <v>740</v>
      </c>
      <c r="D7125" s="51">
        <v>1</v>
      </c>
      <c r="E7125" s="51">
        <f t="shared" si="111"/>
        <v>1</v>
      </c>
    </row>
    <row r="7126" spans="1:5">
      <c r="A7126" s="59">
        <v>14</v>
      </c>
      <c r="B7126" s="59">
        <v>41</v>
      </c>
      <c r="C7126" s="59">
        <v>899</v>
      </c>
      <c r="D7126" s="51">
        <v>1</v>
      </c>
      <c r="E7126" s="51">
        <f t="shared" si="111"/>
        <v>1</v>
      </c>
    </row>
    <row r="7127" spans="1:5">
      <c r="A7127" s="59">
        <v>14</v>
      </c>
      <c r="B7127" s="59">
        <v>42</v>
      </c>
      <c r="C7127" s="59">
        <v>440</v>
      </c>
      <c r="D7127" s="51">
        <v>1</v>
      </c>
      <c r="E7127" s="51">
        <f t="shared" si="111"/>
        <v>1</v>
      </c>
    </row>
    <row r="7128" spans="1:5">
      <c r="A7128" s="59">
        <v>14</v>
      </c>
      <c r="B7128" s="59">
        <v>42</v>
      </c>
      <c r="C7128" s="59">
        <v>540</v>
      </c>
      <c r="D7128" s="51">
        <v>1</v>
      </c>
      <c r="E7128" s="51">
        <f t="shared" si="111"/>
        <v>1</v>
      </c>
    </row>
    <row r="7129" spans="1:5">
      <c r="A7129" s="59">
        <v>14</v>
      </c>
      <c r="B7129" s="59">
        <v>42</v>
      </c>
      <c r="C7129" s="59">
        <v>640</v>
      </c>
      <c r="D7129" s="51">
        <v>1</v>
      </c>
      <c r="E7129" s="51">
        <f t="shared" si="111"/>
        <v>1</v>
      </c>
    </row>
    <row r="7130" spans="1:5">
      <c r="A7130" s="59">
        <v>14</v>
      </c>
      <c r="B7130" s="59">
        <v>42</v>
      </c>
      <c r="C7130" s="59">
        <v>960</v>
      </c>
      <c r="D7130" s="51">
        <v>1</v>
      </c>
      <c r="E7130" s="51">
        <f t="shared" si="111"/>
        <v>1</v>
      </c>
    </row>
    <row r="7131" spans="1:5">
      <c r="A7131" s="59">
        <v>14</v>
      </c>
      <c r="B7131" s="59">
        <v>43</v>
      </c>
      <c r="C7131" s="59">
        <v>830</v>
      </c>
      <c r="D7131" s="51">
        <v>1</v>
      </c>
      <c r="E7131" s="51">
        <f t="shared" si="111"/>
        <v>1</v>
      </c>
    </row>
    <row r="7132" spans="1:5">
      <c r="A7132" s="59">
        <v>14</v>
      </c>
      <c r="B7132" s="59">
        <v>43</v>
      </c>
      <c r="C7132" s="59">
        <v>831</v>
      </c>
      <c r="D7132" s="51">
        <v>1</v>
      </c>
      <c r="E7132" s="51">
        <f t="shared" si="111"/>
        <v>1</v>
      </c>
    </row>
    <row r="7133" spans="1:5">
      <c r="A7133" s="59">
        <v>14</v>
      </c>
      <c r="B7133" s="59">
        <v>43</v>
      </c>
      <c r="C7133" s="59">
        <v>850</v>
      </c>
      <c r="D7133" s="51">
        <v>1</v>
      </c>
      <c r="E7133" s="51">
        <f t="shared" si="111"/>
        <v>1</v>
      </c>
    </row>
    <row r="7134" spans="1:5">
      <c r="A7134" s="59">
        <v>14</v>
      </c>
      <c r="B7134" s="59">
        <v>43</v>
      </c>
      <c r="C7134" s="59">
        <v>899</v>
      </c>
      <c r="D7134" s="51">
        <v>1</v>
      </c>
      <c r="E7134" s="51">
        <f t="shared" si="111"/>
        <v>1</v>
      </c>
    </row>
    <row r="7135" spans="1:5">
      <c r="A7135" s="59">
        <v>14</v>
      </c>
      <c r="B7135" s="59">
        <v>44</v>
      </c>
      <c r="C7135" s="59">
        <v>330</v>
      </c>
      <c r="D7135" s="51">
        <v>1</v>
      </c>
      <c r="E7135" s="51">
        <f t="shared" si="111"/>
        <v>1</v>
      </c>
    </row>
    <row r="7136" spans="1:5">
      <c r="A7136" s="59">
        <v>14</v>
      </c>
      <c r="B7136" s="59">
        <v>44</v>
      </c>
      <c r="C7136" s="59">
        <v>630</v>
      </c>
      <c r="D7136" s="51">
        <v>1</v>
      </c>
      <c r="E7136" s="51">
        <f t="shared" si="111"/>
        <v>1</v>
      </c>
    </row>
    <row r="7137" spans="1:5">
      <c r="A7137" s="59">
        <v>14</v>
      </c>
      <c r="B7137" s="59">
        <v>44</v>
      </c>
      <c r="C7137" s="59">
        <v>640</v>
      </c>
      <c r="D7137" s="51">
        <v>1</v>
      </c>
      <c r="E7137" s="51">
        <f t="shared" si="111"/>
        <v>1</v>
      </c>
    </row>
    <row r="7138" spans="1:5">
      <c r="A7138" s="59">
        <v>14</v>
      </c>
      <c r="B7138" s="59">
        <v>51</v>
      </c>
      <c r="C7138" s="59">
        <v>230</v>
      </c>
      <c r="D7138" s="51">
        <v>1</v>
      </c>
      <c r="E7138" s="51">
        <f t="shared" si="111"/>
        <v>1</v>
      </c>
    </row>
    <row r="7139" spans="1:5">
      <c r="A7139" s="59">
        <v>14</v>
      </c>
      <c r="B7139" s="59">
        <v>61</v>
      </c>
      <c r="C7139" s="59">
        <v>730</v>
      </c>
      <c r="D7139" s="51">
        <v>1</v>
      </c>
      <c r="E7139" s="51">
        <f t="shared" si="111"/>
        <v>1</v>
      </c>
    </row>
    <row r="7140" spans="1:5">
      <c r="A7140" s="59">
        <v>14</v>
      </c>
      <c r="B7140" s="59">
        <v>61</v>
      </c>
      <c r="C7140" s="59">
        <v>750</v>
      </c>
      <c r="D7140" s="51">
        <v>1</v>
      </c>
      <c r="E7140" s="51">
        <f t="shared" si="111"/>
        <v>1</v>
      </c>
    </row>
    <row r="7141" spans="1:5">
      <c r="A7141" s="59">
        <v>14</v>
      </c>
      <c r="B7141" s="59">
        <v>63</v>
      </c>
      <c r="C7141" s="59">
        <v>130</v>
      </c>
      <c r="D7141" s="51">
        <v>1</v>
      </c>
      <c r="E7141" s="51">
        <f t="shared" si="111"/>
        <v>1</v>
      </c>
    </row>
    <row r="7142" spans="1:5">
      <c r="A7142" s="59">
        <v>14</v>
      </c>
      <c r="B7142" s="59">
        <v>63</v>
      </c>
      <c r="C7142" s="59">
        <v>850</v>
      </c>
      <c r="D7142" s="51">
        <v>1</v>
      </c>
      <c r="E7142" s="51">
        <f t="shared" si="111"/>
        <v>1</v>
      </c>
    </row>
    <row r="7143" spans="1:5">
      <c r="A7143" s="59">
        <v>14</v>
      </c>
      <c r="B7143" s="59">
        <v>63</v>
      </c>
      <c r="C7143" s="59">
        <v>861</v>
      </c>
      <c r="D7143" s="51">
        <v>1</v>
      </c>
      <c r="E7143" s="51">
        <f t="shared" si="111"/>
        <v>1</v>
      </c>
    </row>
    <row r="7144" spans="1:5">
      <c r="A7144" s="59">
        <v>14</v>
      </c>
      <c r="B7144" s="59">
        <v>64</v>
      </c>
      <c r="C7144" s="59">
        <v>830</v>
      </c>
      <c r="D7144" s="51">
        <v>1</v>
      </c>
      <c r="E7144" s="51">
        <f t="shared" si="111"/>
        <v>1</v>
      </c>
    </row>
    <row r="7145" spans="1:5">
      <c r="A7145" s="59">
        <v>14</v>
      </c>
      <c r="B7145" s="59">
        <v>64</v>
      </c>
      <c r="C7145" s="59">
        <v>890</v>
      </c>
      <c r="D7145" s="51">
        <v>1</v>
      </c>
      <c r="E7145" s="51">
        <f t="shared" si="111"/>
        <v>1</v>
      </c>
    </row>
    <row r="7146" spans="1:5">
      <c r="A7146" s="59">
        <v>14</v>
      </c>
      <c r="B7146" s="59">
        <v>71</v>
      </c>
      <c r="C7146" s="59">
        <v>831</v>
      </c>
      <c r="D7146" s="51">
        <v>1</v>
      </c>
      <c r="E7146" s="51">
        <f t="shared" si="111"/>
        <v>1</v>
      </c>
    </row>
    <row r="7147" spans="1:5">
      <c r="A7147" s="59">
        <v>14</v>
      </c>
      <c r="B7147" s="59">
        <v>81</v>
      </c>
      <c r="C7147" s="59">
        <v>330</v>
      </c>
      <c r="D7147" s="51">
        <v>1</v>
      </c>
      <c r="E7147" s="51">
        <f t="shared" si="111"/>
        <v>1</v>
      </c>
    </row>
    <row r="7148" spans="1:5">
      <c r="A7148" s="59">
        <v>14</v>
      </c>
      <c r="B7148" s="59">
        <v>81</v>
      </c>
      <c r="C7148" s="59">
        <v>410</v>
      </c>
      <c r="D7148" s="51">
        <v>1</v>
      </c>
      <c r="E7148" s="51">
        <f t="shared" si="111"/>
        <v>1</v>
      </c>
    </row>
    <row r="7149" spans="1:5">
      <c r="A7149" s="59">
        <v>14</v>
      </c>
      <c r="B7149" s="59">
        <v>81</v>
      </c>
      <c r="C7149" s="59">
        <v>420</v>
      </c>
      <c r="D7149" s="51">
        <v>1</v>
      </c>
      <c r="E7149" s="51">
        <f t="shared" si="111"/>
        <v>1</v>
      </c>
    </row>
    <row r="7150" spans="1:5">
      <c r="A7150" s="59">
        <v>14</v>
      </c>
      <c r="B7150" s="59">
        <v>81</v>
      </c>
      <c r="C7150" s="59">
        <v>440</v>
      </c>
      <c r="D7150" s="51">
        <v>1</v>
      </c>
      <c r="E7150" s="51">
        <f t="shared" si="111"/>
        <v>1</v>
      </c>
    </row>
    <row r="7151" spans="1:5">
      <c r="A7151" s="59">
        <v>14</v>
      </c>
      <c r="B7151" s="59">
        <v>81</v>
      </c>
      <c r="C7151" s="59">
        <v>891</v>
      </c>
      <c r="D7151" s="51">
        <v>1</v>
      </c>
      <c r="E7151" s="51">
        <f t="shared" si="111"/>
        <v>1</v>
      </c>
    </row>
    <row r="7152" spans="1:5">
      <c r="A7152" s="59">
        <v>15</v>
      </c>
      <c r="B7152" s="59">
        <v>43</v>
      </c>
      <c r="C7152" s="59">
        <v>910</v>
      </c>
      <c r="D7152" s="51">
        <v>26899</v>
      </c>
      <c r="E7152" s="51">
        <f t="shared" si="111"/>
        <v>1</v>
      </c>
    </row>
    <row r="7153" spans="1:5">
      <c r="A7153" s="59">
        <v>15</v>
      </c>
      <c r="B7153" s="59">
        <v>64</v>
      </c>
      <c r="C7153" s="59">
        <v>910</v>
      </c>
      <c r="D7153" s="51">
        <v>17069</v>
      </c>
      <c r="E7153" s="51">
        <f t="shared" si="111"/>
        <v>1</v>
      </c>
    </row>
    <row r="7154" spans="1:5">
      <c r="A7154" s="59">
        <v>15</v>
      </c>
      <c r="B7154" s="59">
        <v>44</v>
      </c>
      <c r="C7154" s="59">
        <v>910</v>
      </c>
      <c r="D7154" s="51">
        <v>8782</v>
      </c>
      <c r="E7154" s="51">
        <f t="shared" si="111"/>
        <v>1</v>
      </c>
    </row>
    <row r="7155" spans="1:5">
      <c r="A7155" s="59">
        <v>15</v>
      </c>
      <c r="B7155" s="59">
        <v>62</v>
      </c>
      <c r="C7155" s="59">
        <v>910</v>
      </c>
      <c r="D7155" s="51">
        <v>8527</v>
      </c>
      <c r="E7155" s="51">
        <f t="shared" si="111"/>
        <v>1</v>
      </c>
    </row>
    <row r="7156" spans="1:5">
      <c r="A7156" s="59">
        <v>15</v>
      </c>
      <c r="B7156" s="59">
        <v>71</v>
      </c>
      <c r="C7156" s="59">
        <v>910</v>
      </c>
      <c r="D7156" s="51">
        <v>6025</v>
      </c>
      <c r="E7156" s="51">
        <f t="shared" si="111"/>
        <v>1</v>
      </c>
    </row>
    <row r="7157" spans="1:5">
      <c r="A7157" s="59">
        <v>15</v>
      </c>
      <c r="B7157" s="59">
        <v>63</v>
      </c>
      <c r="C7157" s="59">
        <v>910</v>
      </c>
      <c r="D7157" s="51">
        <v>5961</v>
      </c>
      <c r="E7157" s="51">
        <f t="shared" si="111"/>
        <v>1</v>
      </c>
    </row>
    <row r="7158" spans="1:5">
      <c r="A7158" s="59">
        <v>15</v>
      </c>
      <c r="B7158" s="59">
        <v>14</v>
      </c>
      <c r="C7158" s="59">
        <v>910</v>
      </c>
      <c r="D7158" s="51">
        <v>5101</v>
      </c>
      <c r="E7158" s="51">
        <f t="shared" si="111"/>
        <v>1</v>
      </c>
    </row>
    <row r="7159" spans="1:5">
      <c r="A7159" s="59">
        <v>15</v>
      </c>
      <c r="B7159" s="59">
        <v>42</v>
      </c>
      <c r="C7159" s="59">
        <v>910</v>
      </c>
      <c r="D7159" s="51">
        <v>2818</v>
      </c>
      <c r="E7159" s="51">
        <f t="shared" si="111"/>
        <v>1</v>
      </c>
    </row>
    <row r="7160" spans="1:5">
      <c r="A7160" s="59">
        <v>15</v>
      </c>
      <c r="B7160" s="59">
        <v>13</v>
      </c>
      <c r="C7160" s="59">
        <v>910</v>
      </c>
      <c r="D7160" s="51">
        <v>2590</v>
      </c>
      <c r="E7160" s="51">
        <f t="shared" si="111"/>
        <v>1</v>
      </c>
    </row>
    <row r="7161" spans="1:5">
      <c r="A7161" s="59">
        <v>15</v>
      </c>
      <c r="B7161" s="59">
        <v>22</v>
      </c>
      <c r="C7161" s="59">
        <v>910</v>
      </c>
      <c r="D7161" s="51">
        <v>1826</v>
      </c>
      <c r="E7161" s="51">
        <f t="shared" si="111"/>
        <v>1</v>
      </c>
    </row>
    <row r="7162" spans="1:5">
      <c r="A7162" s="59">
        <v>15</v>
      </c>
      <c r="B7162" s="59">
        <v>32</v>
      </c>
      <c r="C7162" s="59">
        <v>910</v>
      </c>
      <c r="D7162" s="51">
        <v>1287</v>
      </c>
      <c r="E7162" s="51">
        <f t="shared" si="111"/>
        <v>1</v>
      </c>
    </row>
    <row r="7163" spans="1:5">
      <c r="A7163" s="59">
        <v>15</v>
      </c>
      <c r="B7163" s="59">
        <v>64</v>
      </c>
      <c r="C7163" s="59">
        <v>510</v>
      </c>
      <c r="D7163" s="51">
        <v>1164</v>
      </c>
      <c r="E7163" s="51">
        <f t="shared" si="111"/>
        <v>1</v>
      </c>
    </row>
    <row r="7164" spans="1:5">
      <c r="A7164" s="59">
        <v>15</v>
      </c>
      <c r="B7164" s="59">
        <v>43</v>
      </c>
      <c r="C7164" s="59">
        <v>510</v>
      </c>
      <c r="D7164" s="51">
        <v>1161</v>
      </c>
      <c r="E7164" s="51">
        <f t="shared" si="111"/>
        <v>1</v>
      </c>
    </row>
    <row r="7165" spans="1:5">
      <c r="A7165" s="59">
        <v>15</v>
      </c>
      <c r="B7165" s="59">
        <v>41</v>
      </c>
      <c r="C7165" s="59">
        <v>910</v>
      </c>
      <c r="D7165" s="51">
        <v>1155</v>
      </c>
      <c r="E7165" s="51">
        <f t="shared" si="111"/>
        <v>1</v>
      </c>
    </row>
    <row r="7166" spans="1:5">
      <c r="A7166" s="59">
        <v>15</v>
      </c>
      <c r="B7166" s="59">
        <v>33</v>
      </c>
      <c r="C7166" s="59">
        <v>910</v>
      </c>
      <c r="D7166" s="51">
        <v>1035</v>
      </c>
      <c r="E7166" s="51">
        <f t="shared" si="111"/>
        <v>1</v>
      </c>
    </row>
    <row r="7167" spans="1:5">
      <c r="A7167" s="59">
        <v>15</v>
      </c>
      <c r="B7167" s="59">
        <v>15</v>
      </c>
      <c r="C7167" s="59">
        <v>910</v>
      </c>
      <c r="D7167" s="51">
        <v>1033</v>
      </c>
      <c r="E7167" s="51">
        <f t="shared" si="111"/>
        <v>1</v>
      </c>
    </row>
    <row r="7168" spans="1:5">
      <c r="A7168" s="59">
        <v>15</v>
      </c>
      <c r="B7168" s="59">
        <v>64</v>
      </c>
      <c r="C7168" s="59">
        <v>530</v>
      </c>
      <c r="D7168" s="51">
        <v>888</v>
      </c>
      <c r="E7168" s="51">
        <f t="shared" si="111"/>
        <v>1</v>
      </c>
    </row>
    <row r="7169" spans="1:5">
      <c r="A7169" s="59">
        <v>15</v>
      </c>
      <c r="B7169" s="59">
        <v>43</v>
      </c>
      <c r="C7169" s="59">
        <v>530</v>
      </c>
      <c r="D7169" s="51">
        <v>803</v>
      </c>
      <c r="E7169" s="51">
        <f t="shared" si="111"/>
        <v>1</v>
      </c>
    </row>
    <row r="7170" spans="1:5">
      <c r="A7170" s="59">
        <v>15</v>
      </c>
      <c r="B7170" s="59">
        <v>62</v>
      </c>
      <c r="C7170" s="59">
        <v>920</v>
      </c>
      <c r="D7170" s="51">
        <v>790</v>
      </c>
      <c r="E7170" s="51">
        <f t="shared" ref="E7170:E7233" si="112">IF(OR(A7170=6,A7170=7,A7170=14,A7170=15,A7170=16,A7170=17,A7170=18,A7170=19,A7170=20,A7170=21,A7170=22,A7170=23,A7170=25,A7170=26,A7170=27,A7170=28,B7170=41,B7170=44,B7170=62),1,0)</f>
        <v>1</v>
      </c>
    </row>
    <row r="7171" spans="1:5">
      <c r="A7171" s="59">
        <v>15</v>
      </c>
      <c r="B7171" s="59">
        <v>44</v>
      </c>
      <c r="C7171" s="59">
        <v>530</v>
      </c>
      <c r="D7171" s="51">
        <v>728</v>
      </c>
      <c r="E7171" s="51">
        <f t="shared" si="112"/>
        <v>1</v>
      </c>
    </row>
    <row r="7172" spans="1:5">
      <c r="A7172" s="59">
        <v>15</v>
      </c>
      <c r="B7172" s="59">
        <v>14</v>
      </c>
      <c r="C7172" s="59">
        <v>150</v>
      </c>
      <c r="D7172" s="51">
        <v>663</v>
      </c>
      <c r="E7172" s="51">
        <f t="shared" si="112"/>
        <v>1</v>
      </c>
    </row>
    <row r="7173" spans="1:5">
      <c r="A7173" s="59">
        <v>15</v>
      </c>
      <c r="B7173" s="59">
        <v>16</v>
      </c>
      <c r="C7173" s="59">
        <v>910</v>
      </c>
      <c r="D7173" s="51">
        <v>576</v>
      </c>
      <c r="E7173" s="51">
        <f t="shared" si="112"/>
        <v>1</v>
      </c>
    </row>
    <row r="7174" spans="1:5">
      <c r="A7174" s="59">
        <v>15</v>
      </c>
      <c r="B7174" s="59">
        <v>14</v>
      </c>
      <c r="C7174" s="59">
        <v>160</v>
      </c>
      <c r="D7174" s="51">
        <v>517</v>
      </c>
      <c r="E7174" s="51">
        <f t="shared" si="112"/>
        <v>1</v>
      </c>
    </row>
    <row r="7175" spans="1:5">
      <c r="A7175" s="59">
        <v>15</v>
      </c>
      <c r="B7175" s="59">
        <v>43</v>
      </c>
      <c r="C7175" s="59">
        <v>610</v>
      </c>
      <c r="D7175" s="51">
        <v>515</v>
      </c>
      <c r="E7175" s="51">
        <f t="shared" si="112"/>
        <v>1</v>
      </c>
    </row>
    <row r="7176" spans="1:5">
      <c r="A7176" s="59">
        <v>15</v>
      </c>
      <c r="B7176" s="59">
        <v>43</v>
      </c>
      <c r="C7176" s="59">
        <v>920</v>
      </c>
      <c r="D7176" s="51">
        <v>515</v>
      </c>
      <c r="E7176" s="51">
        <f t="shared" si="112"/>
        <v>1</v>
      </c>
    </row>
    <row r="7177" spans="1:5">
      <c r="A7177" s="59">
        <v>15</v>
      </c>
      <c r="B7177" s="59">
        <v>71</v>
      </c>
      <c r="C7177" s="59">
        <v>610</v>
      </c>
      <c r="D7177" s="51">
        <v>496</v>
      </c>
      <c r="E7177" s="51">
        <f t="shared" si="112"/>
        <v>1</v>
      </c>
    </row>
    <row r="7178" spans="1:5">
      <c r="A7178" s="59">
        <v>15</v>
      </c>
      <c r="B7178" s="59">
        <v>81</v>
      </c>
      <c r="C7178" s="59">
        <v>910</v>
      </c>
      <c r="D7178" s="51">
        <v>475</v>
      </c>
      <c r="E7178" s="51">
        <f t="shared" si="112"/>
        <v>1</v>
      </c>
    </row>
    <row r="7179" spans="1:5">
      <c r="A7179" s="59">
        <v>15</v>
      </c>
      <c r="B7179" s="59">
        <v>14</v>
      </c>
      <c r="C7179" s="59">
        <v>110</v>
      </c>
      <c r="D7179" s="51">
        <v>430</v>
      </c>
      <c r="E7179" s="51">
        <f t="shared" si="112"/>
        <v>1</v>
      </c>
    </row>
    <row r="7180" spans="1:5">
      <c r="A7180" s="59">
        <v>15</v>
      </c>
      <c r="B7180" s="59">
        <v>64</v>
      </c>
      <c r="C7180" s="59">
        <v>610</v>
      </c>
      <c r="D7180" s="51">
        <v>391</v>
      </c>
      <c r="E7180" s="51">
        <f t="shared" si="112"/>
        <v>1</v>
      </c>
    </row>
    <row r="7181" spans="1:5">
      <c r="A7181" s="59">
        <v>15</v>
      </c>
      <c r="B7181" s="59">
        <v>44</v>
      </c>
      <c r="C7181" s="59">
        <v>510</v>
      </c>
      <c r="D7181" s="51">
        <v>364</v>
      </c>
      <c r="E7181" s="51">
        <f t="shared" si="112"/>
        <v>1</v>
      </c>
    </row>
    <row r="7182" spans="1:5">
      <c r="A7182" s="59">
        <v>15</v>
      </c>
      <c r="B7182" s="59">
        <v>64</v>
      </c>
      <c r="C7182" s="59">
        <v>720</v>
      </c>
      <c r="D7182" s="51">
        <v>363</v>
      </c>
      <c r="E7182" s="51">
        <f t="shared" si="112"/>
        <v>1</v>
      </c>
    </row>
    <row r="7183" spans="1:5">
      <c r="A7183" s="59">
        <v>15</v>
      </c>
      <c r="B7183" s="59">
        <v>62</v>
      </c>
      <c r="C7183" s="59">
        <v>530</v>
      </c>
      <c r="D7183" s="51">
        <v>359</v>
      </c>
      <c r="E7183" s="51">
        <f t="shared" si="112"/>
        <v>1</v>
      </c>
    </row>
    <row r="7184" spans="1:5">
      <c r="A7184" s="59">
        <v>15</v>
      </c>
      <c r="B7184" s="59">
        <v>43</v>
      </c>
      <c r="C7184" s="59">
        <v>160</v>
      </c>
      <c r="D7184" s="51">
        <v>323</v>
      </c>
      <c r="E7184" s="51">
        <f t="shared" si="112"/>
        <v>1</v>
      </c>
    </row>
    <row r="7185" spans="1:5">
      <c r="A7185" s="59">
        <v>15</v>
      </c>
      <c r="B7185" s="59">
        <v>22</v>
      </c>
      <c r="C7185" s="59">
        <v>160</v>
      </c>
      <c r="D7185" s="51">
        <v>317</v>
      </c>
      <c r="E7185" s="51">
        <f t="shared" si="112"/>
        <v>1</v>
      </c>
    </row>
    <row r="7186" spans="1:5">
      <c r="A7186" s="59">
        <v>15</v>
      </c>
      <c r="B7186" s="59">
        <v>64</v>
      </c>
      <c r="C7186" s="59">
        <v>620</v>
      </c>
      <c r="D7186" s="51">
        <v>310</v>
      </c>
      <c r="E7186" s="51">
        <f t="shared" si="112"/>
        <v>1</v>
      </c>
    </row>
    <row r="7187" spans="1:5">
      <c r="A7187" s="59">
        <v>15</v>
      </c>
      <c r="B7187" s="59">
        <v>13</v>
      </c>
      <c r="C7187" s="59">
        <v>150</v>
      </c>
      <c r="D7187" s="51">
        <v>303</v>
      </c>
      <c r="E7187" s="51">
        <f t="shared" si="112"/>
        <v>1</v>
      </c>
    </row>
    <row r="7188" spans="1:5">
      <c r="A7188" s="59">
        <v>15</v>
      </c>
      <c r="B7188" s="59">
        <v>13</v>
      </c>
      <c r="C7188" s="59">
        <v>110</v>
      </c>
      <c r="D7188" s="51">
        <v>286</v>
      </c>
      <c r="E7188" s="51">
        <f t="shared" si="112"/>
        <v>1</v>
      </c>
    </row>
    <row r="7189" spans="1:5">
      <c r="A7189" s="59">
        <v>15</v>
      </c>
      <c r="B7189" s="59">
        <v>64</v>
      </c>
      <c r="C7189" s="59">
        <v>110</v>
      </c>
      <c r="D7189" s="51">
        <v>277</v>
      </c>
      <c r="E7189" s="51">
        <f t="shared" si="112"/>
        <v>1</v>
      </c>
    </row>
    <row r="7190" spans="1:5">
      <c r="A7190" s="59">
        <v>15</v>
      </c>
      <c r="B7190" s="59">
        <v>63</v>
      </c>
      <c r="C7190" s="59">
        <v>610</v>
      </c>
      <c r="D7190" s="51">
        <v>270</v>
      </c>
      <c r="E7190" s="51">
        <f t="shared" si="112"/>
        <v>1</v>
      </c>
    </row>
    <row r="7191" spans="1:5">
      <c r="A7191" s="59">
        <v>15</v>
      </c>
      <c r="B7191" s="59">
        <v>62</v>
      </c>
      <c r="C7191" s="59">
        <v>510</v>
      </c>
      <c r="D7191" s="51">
        <v>269</v>
      </c>
      <c r="E7191" s="51">
        <f t="shared" si="112"/>
        <v>1</v>
      </c>
    </row>
    <row r="7192" spans="1:5">
      <c r="A7192" s="59">
        <v>15</v>
      </c>
      <c r="B7192" s="59">
        <v>43</v>
      </c>
      <c r="C7192" s="59">
        <v>720</v>
      </c>
      <c r="D7192" s="51">
        <v>265</v>
      </c>
      <c r="E7192" s="51">
        <f t="shared" si="112"/>
        <v>1</v>
      </c>
    </row>
    <row r="7193" spans="1:5">
      <c r="A7193" s="59">
        <v>15</v>
      </c>
      <c r="B7193" s="59">
        <v>63</v>
      </c>
      <c r="C7193" s="59">
        <v>510</v>
      </c>
      <c r="D7193" s="51">
        <v>261</v>
      </c>
      <c r="E7193" s="51">
        <f t="shared" si="112"/>
        <v>1</v>
      </c>
    </row>
    <row r="7194" spans="1:5">
      <c r="A7194" s="59">
        <v>15</v>
      </c>
      <c r="B7194" s="59">
        <v>64</v>
      </c>
      <c r="C7194" s="59">
        <v>920</v>
      </c>
      <c r="D7194" s="51">
        <v>261</v>
      </c>
      <c r="E7194" s="51">
        <f t="shared" si="112"/>
        <v>1</v>
      </c>
    </row>
    <row r="7195" spans="1:5">
      <c r="A7195" s="59">
        <v>15</v>
      </c>
      <c r="B7195" s="59">
        <v>64</v>
      </c>
      <c r="C7195" s="59">
        <v>160</v>
      </c>
      <c r="D7195" s="51">
        <v>260</v>
      </c>
      <c r="E7195" s="51">
        <f t="shared" si="112"/>
        <v>1</v>
      </c>
    </row>
    <row r="7196" spans="1:5">
      <c r="A7196" s="59">
        <v>15</v>
      </c>
      <c r="B7196" s="59">
        <v>44</v>
      </c>
      <c r="C7196" s="59">
        <v>430</v>
      </c>
      <c r="D7196" s="51">
        <v>250</v>
      </c>
      <c r="E7196" s="51">
        <f t="shared" si="112"/>
        <v>1</v>
      </c>
    </row>
    <row r="7197" spans="1:5">
      <c r="A7197" s="59">
        <v>15</v>
      </c>
      <c r="B7197" s="59">
        <v>22</v>
      </c>
      <c r="C7197" s="59">
        <v>210</v>
      </c>
      <c r="D7197" s="51">
        <v>241</v>
      </c>
      <c r="E7197" s="51">
        <f t="shared" si="112"/>
        <v>1</v>
      </c>
    </row>
    <row r="7198" spans="1:5">
      <c r="A7198" s="59">
        <v>15</v>
      </c>
      <c r="B7198" s="59">
        <v>22</v>
      </c>
      <c r="C7198" s="59">
        <v>110</v>
      </c>
      <c r="D7198" s="51">
        <v>238</v>
      </c>
      <c r="E7198" s="51">
        <f t="shared" si="112"/>
        <v>1</v>
      </c>
    </row>
    <row r="7199" spans="1:5">
      <c r="A7199" s="59">
        <v>15</v>
      </c>
      <c r="B7199" s="59">
        <v>43</v>
      </c>
      <c r="C7199" s="59">
        <v>620</v>
      </c>
      <c r="D7199" s="51">
        <v>234</v>
      </c>
      <c r="E7199" s="51">
        <f t="shared" si="112"/>
        <v>1</v>
      </c>
    </row>
    <row r="7200" spans="1:5">
      <c r="A7200" s="59">
        <v>15</v>
      </c>
      <c r="B7200" s="59">
        <v>62</v>
      </c>
      <c r="C7200" s="59">
        <v>720</v>
      </c>
      <c r="D7200" s="51">
        <v>232</v>
      </c>
      <c r="E7200" s="51">
        <f t="shared" si="112"/>
        <v>1</v>
      </c>
    </row>
    <row r="7201" spans="1:5">
      <c r="A7201" s="59">
        <v>15</v>
      </c>
      <c r="B7201" s="59">
        <v>42</v>
      </c>
      <c r="C7201" s="59">
        <v>610</v>
      </c>
      <c r="D7201" s="51">
        <v>215</v>
      </c>
      <c r="E7201" s="51">
        <f t="shared" si="112"/>
        <v>1</v>
      </c>
    </row>
    <row r="7202" spans="1:5">
      <c r="A7202" s="59">
        <v>15</v>
      </c>
      <c r="B7202" s="59">
        <v>43</v>
      </c>
      <c r="C7202" s="59">
        <v>150</v>
      </c>
      <c r="D7202" s="51">
        <v>210</v>
      </c>
      <c r="E7202" s="51">
        <f t="shared" si="112"/>
        <v>1</v>
      </c>
    </row>
    <row r="7203" spans="1:5">
      <c r="A7203" s="59">
        <v>15</v>
      </c>
      <c r="B7203" s="59">
        <v>64</v>
      </c>
      <c r="C7203" s="59">
        <v>240</v>
      </c>
      <c r="D7203" s="51">
        <v>209</v>
      </c>
      <c r="E7203" s="51">
        <f t="shared" si="112"/>
        <v>1</v>
      </c>
    </row>
    <row r="7204" spans="1:5">
      <c r="A7204" s="59">
        <v>15</v>
      </c>
      <c r="B7204" s="59">
        <v>14</v>
      </c>
      <c r="C7204" s="59">
        <v>510</v>
      </c>
      <c r="D7204" s="51">
        <v>195</v>
      </c>
      <c r="E7204" s="51">
        <f t="shared" si="112"/>
        <v>1</v>
      </c>
    </row>
    <row r="7205" spans="1:5">
      <c r="A7205" s="59">
        <v>15</v>
      </c>
      <c r="B7205" s="59">
        <v>44</v>
      </c>
      <c r="C7205" s="59">
        <v>160</v>
      </c>
      <c r="D7205" s="51">
        <v>194</v>
      </c>
      <c r="E7205" s="51">
        <f t="shared" si="112"/>
        <v>1</v>
      </c>
    </row>
    <row r="7206" spans="1:5">
      <c r="A7206" s="59">
        <v>15</v>
      </c>
      <c r="B7206" s="59">
        <v>62</v>
      </c>
      <c r="C7206" s="59">
        <v>620</v>
      </c>
      <c r="D7206" s="51">
        <v>194</v>
      </c>
      <c r="E7206" s="51">
        <f t="shared" si="112"/>
        <v>1</v>
      </c>
    </row>
    <row r="7207" spans="1:5">
      <c r="A7207" s="59">
        <v>15</v>
      </c>
      <c r="B7207" s="59">
        <v>22</v>
      </c>
      <c r="C7207" s="59">
        <v>150</v>
      </c>
      <c r="D7207" s="51">
        <v>188</v>
      </c>
      <c r="E7207" s="51">
        <f t="shared" si="112"/>
        <v>1</v>
      </c>
    </row>
    <row r="7208" spans="1:5">
      <c r="A7208" s="59">
        <v>15</v>
      </c>
      <c r="B7208" s="59">
        <v>44</v>
      </c>
      <c r="C7208" s="59">
        <v>920</v>
      </c>
      <c r="D7208" s="51">
        <v>188</v>
      </c>
      <c r="E7208" s="51">
        <f t="shared" si="112"/>
        <v>1</v>
      </c>
    </row>
    <row r="7209" spans="1:5">
      <c r="A7209" s="59">
        <v>15</v>
      </c>
      <c r="B7209" s="59">
        <v>43</v>
      </c>
      <c r="C7209" s="59">
        <v>990</v>
      </c>
      <c r="D7209" s="51">
        <v>186</v>
      </c>
      <c r="E7209" s="51">
        <f t="shared" si="112"/>
        <v>1</v>
      </c>
    </row>
    <row r="7210" spans="1:5">
      <c r="A7210" s="59">
        <v>15</v>
      </c>
      <c r="B7210" s="59">
        <v>44</v>
      </c>
      <c r="C7210" s="59">
        <v>990</v>
      </c>
      <c r="D7210" s="51">
        <v>180</v>
      </c>
      <c r="E7210" s="51">
        <f t="shared" si="112"/>
        <v>1</v>
      </c>
    </row>
    <row r="7211" spans="1:5">
      <c r="A7211" s="59">
        <v>15</v>
      </c>
      <c r="B7211" s="59">
        <v>43</v>
      </c>
      <c r="C7211" s="59">
        <v>110</v>
      </c>
      <c r="D7211" s="51">
        <v>179</v>
      </c>
      <c r="E7211" s="51">
        <f t="shared" si="112"/>
        <v>1</v>
      </c>
    </row>
    <row r="7212" spans="1:5">
      <c r="A7212" s="59">
        <v>15</v>
      </c>
      <c r="B7212" s="59">
        <v>43</v>
      </c>
      <c r="C7212" s="59">
        <v>930</v>
      </c>
      <c r="D7212" s="51">
        <v>177</v>
      </c>
      <c r="E7212" s="51">
        <f t="shared" si="112"/>
        <v>1</v>
      </c>
    </row>
    <row r="7213" spans="1:5">
      <c r="A7213" s="59">
        <v>15</v>
      </c>
      <c r="B7213" s="59">
        <v>31</v>
      </c>
      <c r="C7213" s="59">
        <v>430</v>
      </c>
      <c r="D7213" s="51">
        <v>174</v>
      </c>
      <c r="E7213" s="51">
        <f t="shared" si="112"/>
        <v>1</v>
      </c>
    </row>
    <row r="7214" spans="1:5">
      <c r="A7214" s="59">
        <v>15</v>
      </c>
      <c r="B7214" s="59">
        <v>62</v>
      </c>
      <c r="C7214" s="59">
        <v>750</v>
      </c>
      <c r="D7214" s="51">
        <v>172</v>
      </c>
      <c r="E7214" s="51">
        <f t="shared" si="112"/>
        <v>1</v>
      </c>
    </row>
    <row r="7215" spans="1:5">
      <c r="A7215" s="59">
        <v>15</v>
      </c>
      <c r="B7215" s="59">
        <v>43</v>
      </c>
      <c r="C7215" s="59">
        <v>220</v>
      </c>
      <c r="D7215" s="51">
        <v>169</v>
      </c>
      <c r="E7215" s="51">
        <f t="shared" si="112"/>
        <v>1</v>
      </c>
    </row>
    <row r="7216" spans="1:5">
      <c r="A7216" s="59">
        <v>15</v>
      </c>
      <c r="B7216" s="59">
        <v>44</v>
      </c>
      <c r="C7216" s="59">
        <v>610</v>
      </c>
      <c r="D7216" s="51">
        <v>162</v>
      </c>
      <c r="E7216" s="51">
        <f t="shared" si="112"/>
        <v>1</v>
      </c>
    </row>
    <row r="7217" spans="1:5">
      <c r="A7217" s="59">
        <v>15</v>
      </c>
      <c r="B7217" s="59">
        <v>13</v>
      </c>
      <c r="C7217" s="59">
        <v>510</v>
      </c>
      <c r="D7217" s="51">
        <v>159</v>
      </c>
      <c r="E7217" s="51">
        <f t="shared" si="112"/>
        <v>1</v>
      </c>
    </row>
    <row r="7218" spans="1:5">
      <c r="A7218" s="59">
        <v>15</v>
      </c>
      <c r="B7218" s="59">
        <v>64</v>
      </c>
      <c r="C7218" s="59">
        <v>730</v>
      </c>
      <c r="D7218" s="51">
        <v>152</v>
      </c>
      <c r="E7218" s="51">
        <f t="shared" si="112"/>
        <v>1</v>
      </c>
    </row>
    <row r="7219" spans="1:5">
      <c r="A7219" s="59">
        <v>15</v>
      </c>
      <c r="B7219" s="59">
        <v>13</v>
      </c>
      <c r="C7219" s="59">
        <v>160</v>
      </c>
      <c r="D7219" s="51">
        <v>149</v>
      </c>
      <c r="E7219" s="51">
        <f t="shared" si="112"/>
        <v>1</v>
      </c>
    </row>
    <row r="7220" spans="1:5">
      <c r="A7220" s="59">
        <v>15</v>
      </c>
      <c r="B7220" s="59">
        <v>71</v>
      </c>
      <c r="C7220" s="59">
        <v>920</v>
      </c>
      <c r="D7220" s="51">
        <v>149</v>
      </c>
      <c r="E7220" s="51">
        <f t="shared" si="112"/>
        <v>1</v>
      </c>
    </row>
    <row r="7221" spans="1:5">
      <c r="A7221" s="59">
        <v>15</v>
      </c>
      <c r="B7221" s="59">
        <v>22</v>
      </c>
      <c r="C7221" s="59">
        <v>310</v>
      </c>
      <c r="D7221" s="51">
        <v>148</v>
      </c>
      <c r="E7221" s="51">
        <f t="shared" si="112"/>
        <v>1</v>
      </c>
    </row>
    <row r="7222" spans="1:5">
      <c r="A7222" s="59">
        <v>15</v>
      </c>
      <c r="B7222" s="59">
        <v>71</v>
      </c>
      <c r="C7222" s="59">
        <v>510</v>
      </c>
      <c r="D7222" s="51">
        <v>144</v>
      </c>
      <c r="E7222" s="51">
        <f t="shared" si="112"/>
        <v>1</v>
      </c>
    </row>
    <row r="7223" spans="1:5">
      <c r="A7223" s="59">
        <v>15</v>
      </c>
      <c r="B7223" s="59">
        <v>44</v>
      </c>
      <c r="C7223" s="59">
        <v>720</v>
      </c>
      <c r="D7223" s="51">
        <v>132</v>
      </c>
      <c r="E7223" s="51">
        <f t="shared" si="112"/>
        <v>1</v>
      </c>
    </row>
    <row r="7224" spans="1:5">
      <c r="A7224" s="59">
        <v>15</v>
      </c>
      <c r="B7224" s="59">
        <v>64</v>
      </c>
      <c r="C7224" s="59">
        <v>150</v>
      </c>
      <c r="D7224" s="51">
        <v>129</v>
      </c>
      <c r="E7224" s="51">
        <f t="shared" si="112"/>
        <v>1</v>
      </c>
    </row>
    <row r="7225" spans="1:5">
      <c r="A7225" s="59">
        <v>15</v>
      </c>
      <c r="B7225" s="59">
        <v>43</v>
      </c>
      <c r="C7225" s="59">
        <v>950</v>
      </c>
      <c r="D7225" s="51">
        <v>124</v>
      </c>
      <c r="E7225" s="51">
        <f t="shared" si="112"/>
        <v>1</v>
      </c>
    </row>
    <row r="7226" spans="1:5">
      <c r="A7226" s="59">
        <v>15</v>
      </c>
      <c r="B7226" s="59">
        <v>63</v>
      </c>
      <c r="C7226" s="59">
        <v>920</v>
      </c>
      <c r="D7226" s="51">
        <v>119</v>
      </c>
      <c r="E7226" s="51">
        <f t="shared" si="112"/>
        <v>1</v>
      </c>
    </row>
    <row r="7227" spans="1:5">
      <c r="A7227" s="59">
        <v>15</v>
      </c>
      <c r="B7227" s="59">
        <v>43</v>
      </c>
      <c r="C7227" s="59">
        <v>430</v>
      </c>
      <c r="D7227" s="51">
        <v>117</v>
      </c>
      <c r="E7227" s="51">
        <f t="shared" si="112"/>
        <v>1</v>
      </c>
    </row>
    <row r="7228" spans="1:5">
      <c r="A7228" s="59">
        <v>15</v>
      </c>
      <c r="B7228" s="59">
        <v>63</v>
      </c>
      <c r="C7228" s="59">
        <v>530</v>
      </c>
      <c r="D7228" s="51">
        <v>116</v>
      </c>
      <c r="E7228" s="51">
        <f t="shared" si="112"/>
        <v>1</v>
      </c>
    </row>
    <row r="7229" spans="1:5">
      <c r="A7229" s="59">
        <v>15</v>
      </c>
      <c r="B7229" s="59">
        <v>64</v>
      </c>
      <c r="C7229" s="59">
        <v>750</v>
      </c>
      <c r="D7229" s="51">
        <v>115</v>
      </c>
      <c r="E7229" s="51">
        <f t="shared" si="112"/>
        <v>1</v>
      </c>
    </row>
    <row r="7230" spans="1:5">
      <c r="A7230" s="59">
        <v>15</v>
      </c>
      <c r="B7230" s="59">
        <v>42</v>
      </c>
      <c r="C7230" s="59">
        <v>620</v>
      </c>
      <c r="D7230" s="51">
        <v>112</v>
      </c>
      <c r="E7230" s="51">
        <f t="shared" si="112"/>
        <v>1</v>
      </c>
    </row>
    <row r="7231" spans="1:5">
      <c r="A7231" s="59">
        <v>15</v>
      </c>
      <c r="B7231" s="59">
        <v>16</v>
      </c>
      <c r="C7231" s="59">
        <v>150</v>
      </c>
      <c r="D7231" s="51">
        <v>110</v>
      </c>
      <c r="E7231" s="51">
        <f t="shared" si="112"/>
        <v>1</v>
      </c>
    </row>
    <row r="7232" spans="1:5">
      <c r="A7232" s="59">
        <v>15</v>
      </c>
      <c r="B7232" s="59">
        <v>22</v>
      </c>
      <c r="C7232" s="59">
        <v>240</v>
      </c>
      <c r="D7232" s="51">
        <v>108</v>
      </c>
      <c r="E7232" s="51">
        <f t="shared" si="112"/>
        <v>1</v>
      </c>
    </row>
    <row r="7233" spans="1:5">
      <c r="A7233" s="59">
        <v>15</v>
      </c>
      <c r="B7233" s="59">
        <v>64</v>
      </c>
      <c r="C7233" s="59">
        <v>520</v>
      </c>
      <c r="D7233" s="51">
        <v>103</v>
      </c>
      <c r="E7233" s="51">
        <f t="shared" si="112"/>
        <v>1</v>
      </c>
    </row>
    <row r="7234" spans="1:5">
      <c r="A7234" s="59">
        <v>15</v>
      </c>
      <c r="B7234" s="59">
        <v>31</v>
      </c>
      <c r="C7234" s="59">
        <v>910</v>
      </c>
      <c r="D7234" s="51">
        <v>102</v>
      </c>
      <c r="E7234" s="51">
        <f t="shared" ref="E7234:E7297" si="113">IF(OR(A7234=6,A7234=7,A7234=14,A7234=15,A7234=16,A7234=17,A7234=18,A7234=19,A7234=20,A7234=21,A7234=22,A7234=23,A7234=25,A7234=26,A7234=27,A7234=28,B7234=41,B7234=44,B7234=62),1,0)</f>
        <v>1</v>
      </c>
    </row>
    <row r="7235" spans="1:5">
      <c r="A7235" s="59">
        <v>15</v>
      </c>
      <c r="B7235" s="59">
        <v>43</v>
      </c>
      <c r="C7235" s="59">
        <v>730</v>
      </c>
      <c r="D7235" s="51">
        <v>99</v>
      </c>
      <c r="E7235" s="51">
        <f t="shared" si="113"/>
        <v>1</v>
      </c>
    </row>
    <row r="7236" spans="1:5">
      <c r="A7236" s="59">
        <v>15</v>
      </c>
      <c r="B7236" s="59">
        <v>62</v>
      </c>
      <c r="C7236" s="59">
        <v>610</v>
      </c>
      <c r="D7236" s="51">
        <v>99</v>
      </c>
      <c r="E7236" s="51">
        <f t="shared" si="113"/>
        <v>1</v>
      </c>
    </row>
    <row r="7237" spans="1:5">
      <c r="A7237" s="59">
        <v>15</v>
      </c>
      <c r="B7237" s="59">
        <v>44</v>
      </c>
      <c r="C7237" s="59">
        <v>950</v>
      </c>
      <c r="D7237" s="51">
        <v>97</v>
      </c>
      <c r="E7237" s="51">
        <f t="shared" si="113"/>
        <v>1</v>
      </c>
    </row>
    <row r="7238" spans="1:5">
      <c r="A7238" s="59">
        <v>15</v>
      </c>
      <c r="B7238" s="59">
        <v>62</v>
      </c>
      <c r="C7238" s="59">
        <v>730</v>
      </c>
      <c r="D7238" s="51">
        <v>97</v>
      </c>
      <c r="E7238" s="51">
        <f t="shared" si="113"/>
        <v>1</v>
      </c>
    </row>
    <row r="7239" spans="1:5">
      <c r="A7239" s="59">
        <v>15</v>
      </c>
      <c r="B7239" s="59">
        <v>16</v>
      </c>
      <c r="C7239" s="59">
        <v>110</v>
      </c>
      <c r="D7239" s="51">
        <v>96</v>
      </c>
      <c r="E7239" s="51">
        <f t="shared" si="113"/>
        <v>1</v>
      </c>
    </row>
    <row r="7240" spans="1:5">
      <c r="A7240" s="59">
        <v>15</v>
      </c>
      <c r="B7240" s="59">
        <v>22</v>
      </c>
      <c r="C7240" s="59">
        <v>230</v>
      </c>
      <c r="D7240" s="51">
        <v>96</v>
      </c>
      <c r="E7240" s="51">
        <f t="shared" si="113"/>
        <v>1</v>
      </c>
    </row>
    <row r="7241" spans="1:5">
      <c r="A7241" s="59">
        <v>15</v>
      </c>
      <c r="B7241" s="59">
        <v>16</v>
      </c>
      <c r="C7241" s="59">
        <v>240</v>
      </c>
      <c r="D7241" s="51">
        <v>93</v>
      </c>
      <c r="E7241" s="51">
        <f t="shared" si="113"/>
        <v>1</v>
      </c>
    </row>
    <row r="7242" spans="1:5">
      <c r="A7242" s="59">
        <v>15</v>
      </c>
      <c r="B7242" s="59">
        <v>32</v>
      </c>
      <c r="C7242" s="59">
        <v>410</v>
      </c>
      <c r="D7242" s="51">
        <v>93</v>
      </c>
      <c r="E7242" s="51">
        <f t="shared" si="113"/>
        <v>1</v>
      </c>
    </row>
    <row r="7243" spans="1:5">
      <c r="A7243" s="59">
        <v>15</v>
      </c>
      <c r="B7243" s="59">
        <v>32</v>
      </c>
      <c r="C7243" s="59">
        <v>420</v>
      </c>
      <c r="D7243" s="51">
        <v>93</v>
      </c>
      <c r="E7243" s="51">
        <f t="shared" si="113"/>
        <v>1</v>
      </c>
    </row>
    <row r="7244" spans="1:5">
      <c r="A7244" s="59">
        <v>15</v>
      </c>
      <c r="B7244" s="59">
        <v>15</v>
      </c>
      <c r="C7244" s="59">
        <v>150</v>
      </c>
      <c r="D7244" s="51">
        <v>86</v>
      </c>
      <c r="E7244" s="51">
        <f t="shared" si="113"/>
        <v>1</v>
      </c>
    </row>
    <row r="7245" spans="1:5">
      <c r="A7245" s="59">
        <v>15</v>
      </c>
      <c r="B7245" s="59">
        <v>21</v>
      </c>
      <c r="C7245" s="59">
        <v>910</v>
      </c>
      <c r="D7245" s="51">
        <v>85</v>
      </c>
      <c r="E7245" s="51">
        <f t="shared" si="113"/>
        <v>1</v>
      </c>
    </row>
    <row r="7246" spans="1:5">
      <c r="A7246" s="59">
        <v>15</v>
      </c>
      <c r="B7246" s="59">
        <v>42</v>
      </c>
      <c r="C7246" s="59">
        <v>510</v>
      </c>
      <c r="D7246" s="51">
        <v>83</v>
      </c>
      <c r="E7246" s="51">
        <f t="shared" si="113"/>
        <v>1</v>
      </c>
    </row>
    <row r="7247" spans="1:5">
      <c r="A7247" s="59">
        <v>15</v>
      </c>
      <c r="B7247" s="59">
        <v>22</v>
      </c>
      <c r="C7247" s="59">
        <v>330</v>
      </c>
      <c r="D7247" s="51">
        <v>81</v>
      </c>
      <c r="E7247" s="51">
        <f t="shared" si="113"/>
        <v>1</v>
      </c>
    </row>
    <row r="7248" spans="1:5">
      <c r="A7248" s="59">
        <v>15</v>
      </c>
      <c r="B7248" s="59">
        <v>63</v>
      </c>
      <c r="C7248" s="59">
        <v>720</v>
      </c>
      <c r="D7248" s="51">
        <v>80</v>
      </c>
      <c r="E7248" s="51">
        <f t="shared" si="113"/>
        <v>1</v>
      </c>
    </row>
    <row r="7249" spans="1:5">
      <c r="A7249" s="59">
        <v>15</v>
      </c>
      <c r="B7249" s="59">
        <v>71</v>
      </c>
      <c r="C7249" s="59">
        <v>620</v>
      </c>
      <c r="D7249" s="51">
        <v>77</v>
      </c>
      <c r="E7249" s="51">
        <f t="shared" si="113"/>
        <v>1</v>
      </c>
    </row>
    <row r="7250" spans="1:5">
      <c r="A7250" s="59">
        <v>15</v>
      </c>
      <c r="B7250" s="59">
        <v>15</v>
      </c>
      <c r="C7250" s="59">
        <v>140</v>
      </c>
      <c r="D7250" s="51">
        <v>76</v>
      </c>
      <c r="E7250" s="51">
        <f t="shared" si="113"/>
        <v>1</v>
      </c>
    </row>
    <row r="7251" spans="1:5">
      <c r="A7251" s="59">
        <v>15</v>
      </c>
      <c r="B7251" s="59">
        <v>64</v>
      </c>
      <c r="C7251" s="59">
        <v>220</v>
      </c>
      <c r="D7251" s="51">
        <v>75</v>
      </c>
      <c r="E7251" s="51">
        <f t="shared" si="113"/>
        <v>1</v>
      </c>
    </row>
    <row r="7252" spans="1:5">
      <c r="A7252" s="59">
        <v>15</v>
      </c>
      <c r="B7252" s="59">
        <v>14</v>
      </c>
      <c r="C7252" s="59">
        <v>970</v>
      </c>
      <c r="D7252" s="51">
        <v>73</v>
      </c>
      <c r="E7252" s="51">
        <f t="shared" si="113"/>
        <v>1</v>
      </c>
    </row>
    <row r="7253" spans="1:5">
      <c r="A7253" s="59">
        <v>15</v>
      </c>
      <c r="B7253" s="59">
        <v>71</v>
      </c>
      <c r="C7253" s="59">
        <v>530</v>
      </c>
      <c r="D7253" s="51">
        <v>70</v>
      </c>
      <c r="E7253" s="51">
        <f t="shared" si="113"/>
        <v>1</v>
      </c>
    </row>
    <row r="7254" spans="1:5">
      <c r="A7254" s="59">
        <v>15</v>
      </c>
      <c r="B7254" s="59">
        <v>32</v>
      </c>
      <c r="C7254" s="59">
        <v>430</v>
      </c>
      <c r="D7254" s="51">
        <v>68</v>
      </c>
      <c r="E7254" s="51">
        <f t="shared" si="113"/>
        <v>1</v>
      </c>
    </row>
    <row r="7255" spans="1:5">
      <c r="A7255" s="59">
        <v>15</v>
      </c>
      <c r="B7255" s="59">
        <v>14</v>
      </c>
      <c r="C7255" s="59">
        <v>210</v>
      </c>
      <c r="D7255" s="51">
        <v>67</v>
      </c>
      <c r="E7255" s="51">
        <f t="shared" si="113"/>
        <v>1</v>
      </c>
    </row>
    <row r="7256" spans="1:5">
      <c r="A7256" s="59">
        <v>15</v>
      </c>
      <c r="B7256" s="59">
        <v>14</v>
      </c>
      <c r="C7256" s="59">
        <v>930</v>
      </c>
      <c r="D7256" s="51">
        <v>66</v>
      </c>
      <c r="E7256" s="51">
        <f t="shared" si="113"/>
        <v>1</v>
      </c>
    </row>
    <row r="7257" spans="1:5">
      <c r="A7257" s="59">
        <v>15</v>
      </c>
      <c r="B7257" s="59">
        <v>42</v>
      </c>
      <c r="C7257" s="59">
        <v>920</v>
      </c>
      <c r="D7257" s="51">
        <v>65</v>
      </c>
      <c r="E7257" s="51">
        <f t="shared" si="113"/>
        <v>1</v>
      </c>
    </row>
    <row r="7258" spans="1:5">
      <c r="A7258" s="59">
        <v>15</v>
      </c>
      <c r="B7258" s="59">
        <v>64</v>
      </c>
      <c r="C7258" s="59">
        <v>990</v>
      </c>
      <c r="D7258" s="51">
        <v>63</v>
      </c>
      <c r="E7258" s="51">
        <f t="shared" si="113"/>
        <v>1</v>
      </c>
    </row>
    <row r="7259" spans="1:5">
      <c r="A7259" s="59">
        <v>15</v>
      </c>
      <c r="B7259" s="59">
        <v>63</v>
      </c>
      <c r="C7259" s="59">
        <v>620</v>
      </c>
      <c r="D7259" s="51">
        <v>61</v>
      </c>
      <c r="E7259" s="51">
        <f t="shared" si="113"/>
        <v>1</v>
      </c>
    </row>
    <row r="7260" spans="1:5">
      <c r="A7260" s="59">
        <v>15</v>
      </c>
      <c r="B7260" s="59">
        <v>14</v>
      </c>
      <c r="C7260" s="59">
        <v>530</v>
      </c>
      <c r="D7260" s="51">
        <v>58</v>
      </c>
      <c r="E7260" s="51">
        <f t="shared" si="113"/>
        <v>1</v>
      </c>
    </row>
    <row r="7261" spans="1:5">
      <c r="A7261" s="59">
        <v>15</v>
      </c>
      <c r="B7261" s="59">
        <v>15</v>
      </c>
      <c r="C7261" s="59">
        <v>240</v>
      </c>
      <c r="D7261" s="51">
        <v>58</v>
      </c>
      <c r="E7261" s="51">
        <f t="shared" si="113"/>
        <v>1</v>
      </c>
    </row>
    <row r="7262" spans="1:5">
      <c r="A7262" s="59">
        <v>15</v>
      </c>
      <c r="B7262" s="59">
        <v>22</v>
      </c>
      <c r="C7262" s="59">
        <v>220</v>
      </c>
      <c r="D7262" s="51">
        <v>58</v>
      </c>
      <c r="E7262" s="51">
        <f t="shared" si="113"/>
        <v>1</v>
      </c>
    </row>
    <row r="7263" spans="1:5">
      <c r="A7263" s="59">
        <v>15</v>
      </c>
      <c r="B7263" s="59">
        <v>43</v>
      </c>
      <c r="C7263" s="59">
        <v>940</v>
      </c>
      <c r="D7263" s="51">
        <v>58</v>
      </c>
      <c r="E7263" s="51">
        <f t="shared" si="113"/>
        <v>1</v>
      </c>
    </row>
    <row r="7264" spans="1:5">
      <c r="A7264" s="59">
        <v>15</v>
      </c>
      <c r="B7264" s="59">
        <v>14</v>
      </c>
      <c r="C7264" s="59">
        <v>920</v>
      </c>
      <c r="D7264" s="51">
        <v>57</v>
      </c>
      <c r="E7264" s="51">
        <f t="shared" si="113"/>
        <v>1</v>
      </c>
    </row>
    <row r="7265" spans="1:5">
      <c r="A7265" s="59">
        <v>15</v>
      </c>
      <c r="B7265" s="59">
        <v>41</v>
      </c>
      <c r="C7265" s="59">
        <v>920</v>
      </c>
      <c r="D7265" s="51">
        <v>57</v>
      </c>
      <c r="E7265" s="51">
        <f t="shared" si="113"/>
        <v>1</v>
      </c>
    </row>
    <row r="7266" spans="1:5">
      <c r="A7266" s="59">
        <v>15</v>
      </c>
      <c r="B7266" s="59">
        <v>43</v>
      </c>
      <c r="C7266" s="59">
        <v>750</v>
      </c>
      <c r="D7266" s="51">
        <v>57</v>
      </c>
      <c r="E7266" s="51">
        <f t="shared" si="113"/>
        <v>1</v>
      </c>
    </row>
    <row r="7267" spans="1:5">
      <c r="A7267" s="59">
        <v>15</v>
      </c>
      <c r="B7267" s="59">
        <v>14</v>
      </c>
      <c r="C7267" s="59">
        <v>140</v>
      </c>
      <c r="D7267" s="51">
        <v>55</v>
      </c>
      <c r="E7267" s="51">
        <f t="shared" si="113"/>
        <v>1</v>
      </c>
    </row>
    <row r="7268" spans="1:5">
      <c r="A7268" s="59">
        <v>15</v>
      </c>
      <c r="B7268" s="59">
        <v>16</v>
      </c>
      <c r="C7268" s="59">
        <v>140</v>
      </c>
      <c r="D7268" s="51">
        <v>54</v>
      </c>
      <c r="E7268" s="51">
        <f t="shared" si="113"/>
        <v>1</v>
      </c>
    </row>
    <row r="7269" spans="1:5">
      <c r="A7269" s="59">
        <v>15</v>
      </c>
      <c r="B7269" s="59">
        <v>13</v>
      </c>
      <c r="C7269" s="59">
        <v>530</v>
      </c>
      <c r="D7269" s="51">
        <v>53</v>
      </c>
      <c r="E7269" s="51">
        <f t="shared" si="113"/>
        <v>1</v>
      </c>
    </row>
    <row r="7270" spans="1:5">
      <c r="A7270" s="59">
        <v>15</v>
      </c>
      <c r="B7270" s="59">
        <v>33</v>
      </c>
      <c r="C7270" s="59">
        <v>110</v>
      </c>
      <c r="D7270" s="51">
        <v>53</v>
      </c>
      <c r="E7270" s="51">
        <f t="shared" si="113"/>
        <v>1</v>
      </c>
    </row>
    <row r="7271" spans="1:5">
      <c r="A7271" s="59">
        <v>15</v>
      </c>
      <c r="B7271" s="59">
        <v>43</v>
      </c>
      <c r="C7271" s="59">
        <v>210</v>
      </c>
      <c r="D7271" s="51">
        <v>53</v>
      </c>
      <c r="E7271" s="51">
        <f t="shared" si="113"/>
        <v>1</v>
      </c>
    </row>
    <row r="7272" spans="1:5">
      <c r="A7272" s="59">
        <v>15</v>
      </c>
      <c r="B7272" s="59">
        <v>81</v>
      </c>
      <c r="C7272" s="59">
        <v>730</v>
      </c>
      <c r="D7272" s="51">
        <v>52</v>
      </c>
      <c r="E7272" s="51">
        <f t="shared" si="113"/>
        <v>1</v>
      </c>
    </row>
    <row r="7273" spans="1:5">
      <c r="A7273" s="59">
        <v>15</v>
      </c>
      <c r="B7273" s="59">
        <v>15</v>
      </c>
      <c r="C7273" s="59">
        <v>110</v>
      </c>
      <c r="D7273" s="51">
        <v>51</v>
      </c>
      <c r="E7273" s="51">
        <f t="shared" si="113"/>
        <v>1</v>
      </c>
    </row>
    <row r="7274" spans="1:5">
      <c r="A7274" s="59">
        <v>15</v>
      </c>
      <c r="B7274" s="59">
        <v>23</v>
      </c>
      <c r="C7274" s="59">
        <v>910</v>
      </c>
      <c r="D7274" s="51">
        <v>51</v>
      </c>
      <c r="E7274" s="51">
        <f t="shared" si="113"/>
        <v>1</v>
      </c>
    </row>
    <row r="7275" spans="1:5">
      <c r="A7275" s="59">
        <v>15</v>
      </c>
      <c r="B7275" s="59">
        <v>24</v>
      </c>
      <c r="C7275" s="59">
        <v>910</v>
      </c>
      <c r="D7275" s="51">
        <v>49</v>
      </c>
      <c r="E7275" s="51">
        <f t="shared" si="113"/>
        <v>1</v>
      </c>
    </row>
    <row r="7276" spans="1:5">
      <c r="A7276" s="59">
        <v>15</v>
      </c>
      <c r="B7276" s="59">
        <v>31</v>
      </c>
      <c r="C7276" s="59">
        <v>410</v>
      </c>
      <c r="D7276" s="51">
        <v>49</v>
      </c>
      <c r="E7276" s="51">
        <f t="shared" si="113"/>
        <v>1</v>
      </c>
    </row>
    <row r="7277" spans="1:5">
      <c r="A7277" s="59">
        <v>15</v>
      </c>
      <c r="B7277" s="59">
        <v>64</v>
      </c>
      <c r="C7277" s="59">
        <v>950</v>
      </c>
      <c r="D7277" s="51">
        <v>49</v>
      </c>
      <c r="E7277" s="51">
        <f t="shared" si="113"/>
        <v>1</v>
      </c>
    </row>
    <row r="7278" spans="1:5">
      <c r="A7278" s="59">
        <v>15</v>
      </c>
      <c r="B7278" s="59">
        <v>15</v>
      </c>
      <c r="C7278" s="59">
        <v>160</v>
      </c>
      <c r="D7278" s="51">
        <v>48</v>
      </c>
      <c r="E7278" s="51">
        <f t="shared" si="113"/>
        <v>1</v>
      </c>
    </row>
    <row r="7279" spans="1:5">
      <c r="A7279" s="59">
        <v>15</v>
      </c>
      <c r="B7279" s="59">
        <v>62</v>
      </c>
      <c r="C7279" s="59">
        <v>160</v>
      </c>
      <c r="D7279" s="51">
        <v>48</v>
      </c>
      <c r="E7279" s="51">
        <f t="shared" si="113"/>
        <v>1</v>
      </c>
    </row>
    <row r="7280" spans="1:5">
      <c r="A7280" s="59">
        <v>15</v>
      </c>
      <c r="B7280" s="59">
        <v>14</v>
      </c>
      <c r="C7280" s="59">
        <v>950</v>
      </c>
      <c r="D7280" s="51">
        <v>47</v>
      </c>
      <c r="E7280" s="51">
        <f t="shared" si="113"/>
        <v>1</v>
      </c>
    </row>
    <row r="7281" spans="1:5">
      <c r="A7281" s="59">
        <v>15</v>
      </c>
      <c r="B7281" s="59">
        <v>64</v>
      </c>
      <c r="C7281" s="59">
        <v>310</v>
      </c>
      <c r="D7281" s="51">
        <v>47</v>
      </c>
      <c r="E7281" s="51">
        <f t="shared" si="113"/>
        <v>1</v>
      </c>
    </row>
    <row r="7282" spans="1:5">
      <c r="A7282" s="59">
        <v>15</v>
      </c>
      <c r="B7282" s="59">
        <v>32</v>
      </c>
      <c r="C7282" s="59">
        <v>895</v>
      </c>
      <c r="D7282" s="51">
        <v>46</v>
      </c>
      <c r="E7282" s="51">
        <f t="shared" si="113"/>
        <v>1</v>
      </c>
    </row>
    <row r="7283" spans="1:5">
      <c r="A7283" s="59">
        <v>15</v>
      </c>
      <c r="B7283" s="59">
        <v>22</v>
      </c>
      <c r="C7283" s="59">
        <v>940</v>
      </c>
      <c r="D7283" s="51">
        <v>45</v>
      </c>
      <c r="E7283" s="51">
        <f t="shared" si="113"/>
        <v>1</v>
      </c>
    </row>
    <row r="7284" spans="1:5">
      <c r="A7284" s="59">
        <v>15</v>
      </c>
      <c r="B7284" s="59">
        <v>43</v>
      </c>
      <c r="C7284" s="59">
        <v>520</v>
      </c>
      <c r="D7284" s="51">
        <v>45</v>
      </c>
      <c r="E7284" s="51">
        <f t="shared" si="113"/>
        <v>1</v>
      </c>
    </row>
    <row r="7285" spans="1:5">
      <c r="A7285" s="59">
        <v>15</v>
      </c>
      <c r="B7285" s="59">
        <v>16</v>
      </c>
      <c r="C7285" s="59">
        <v>160</v>
      </c>
      <c r="D7285" s="51">
        <v>42</v>
      </c>
      <c r="E7285" s="51">
        <f t="shared" si="113"/>
        <v>1</v>
      </c>
    </row>
    <row r="7286" spans="1:5">
      <c r="A7286" s="59">
        <v>15</v>
      </c>
      <c r="B7286" s="59">
        <v>33</v>
      </c>
      <c r="C7286" s="59">
        <v>420</v>
      </c>
      <c r="D7286" s="51">
        <v>42</v>
      </c>
      <c r="E7286" s="51">
        <f t="shared" si="113"/>
        <v>1</v>
      </c>
    </row>
    <row r="7287" spans="1:5">
      <c r="A7287" s="59">
        <v>15</v>
      </c>
      <c r="B7287" s="59">
        <v>22</v>
      </c>
      <c r="C7287" s="59">
        <v>930</v>
      </c>
      <c r="D7287" s="51">
        <v>41</v>
      </c>
      <c r="E7287" s="51">
        <f t="shared" si="113"/>
        <v>1</v>
      </c>
    </row>
    <row r="7288" spans="1:5">
      <c r="A7288" s="59">
        <v>15</v>
      </c>
      <c r="B7288" s="59">
        <v>14</v>
      </c>
      <c r="C7288" s="59">
        <v>330</v>
      </c>
      <c r="D7288" s="51">
        <v>40</v>
      </c>
      <c r="E7288" s="51">
        <f t="shared" si="113"/>
        <v>1</v>
      </c>
    </row>
    <row r="7289" spans="1:5">
      <c r="A7289" s="59">
        <v>15</v>
      </c>
      <c r="B7289" s="59">
        <v>44</v>
      </c>
      <c r="C7289" s="59">
        <v>620</v>
      </c>
      <c r="D7289" s="51">
        <v>37</v>
      </c>
      <c r="E7289" s="51">
        <f t="shared" si="113"/>
        <v>1</v>
      </c>
    </row>
    <row r="7290" spans="1:5">
      <c r="A7290" s="59">
        <v>15</v>
      </c>
      <c r="B7290" s="59">
        <v>63</v>
      </c>
      <c r="C7290" s="59">
        <v>750</v>
      </c>
      <c r="D7290" s="51">
        <v>37</v>
      </c>
      <c r="E7290" s="51">
        <f t="shared" si="113"/>
        <v>1</v>
      </c>
    </row>
    <row r="7291" spans="1:5">
      <c r="A7291" s="59">
        <v>15</v>
      </c>
      <c r="B7291" s="59">
        <v>13</v>
      </c>
      <c r="C7291" s="59">
        <v>920</v>
      </c>
      <c r="D7291" s="51">
        <v>36</v>
      </c>
      <c r="E7291" s="51">
        <f t="shared" si="113"/>
        <v>1</v>
      </c>
    </row>
    <row r="7292" spans="1:5">
      <c r="A7292" s="59">
        <v>15</v>
      </c>
      <c r="B7292" s="59">
        <v>43</v>
      </c>
      <c r="C7292" s="59">
        <v>330</v>
      </c>
      <c r="D7292" s="51">
        <v>36</v>
      </c>
      <c r="E7292" s="51">
        <f t="shared" si="113"/>
        <v>1</v>
      </c>
    </row>
    <row r="7293" spans="1:5">
      <c r="A7293" s="59">
        <v>15</v>
      </c>
      <c r="B7293" s="59">
        <v>14</v>
      </c>
      <c r="C7293" s="59">
        <v>310</v>
      </c>
      <c r="D7293" s="51">
        <v>35</v>
      </c>
      <c r="E7293" s="51">
        <f t="shared" si="113"/>
        <v>1</v>
      </c>
    </row>
    <row r="7294" spans="1:5">
      <c r="A7294" s="59">
        <v>15</v>
      </c>
      <c r="B7294" s="59">
        <v>43</v>
      </c>
      <c r="C7294" s="59">
        <v>240</v>
      </c>
      <c r="D7294" s="51">
        <v>35</v>
      </c>
      <c r="E7294" s="51">
        <f t="shared" si="113"/>
        <v>1</v>
      </c>
    </row>
    <row r="7295" spans="1:5">
      <c r="A7295" s="59">
        <v>15</v>
      </c>
      <c r="B7295" s="59">
        <v>63</v>
      </c>
      <c r="C7295" s="59">
        <v>730</v>
      </c>
      <c r="D7295" s="51">
        <v>35</v>
      </c>
      <c r="E7295" s="51">
        <f t="shared" si="113"/>
        <v>1</v>
      </c>
    </row>
    <row r="7296" spans="1:5">
      <c r="A7296" s="59">
        <v>15</v>
      </c>
      <c r="B7296" s="59">
        <v>71</v>
      </c>
      <c r="C7296" s="59">
        <v>720</v>
      </c>
      <c r="D7296" s="51">
        <v>35</v>
      </c>
      <c r="E7296" s="51">
        <f t="shared" si="113"/>
        <v>1</v>
      </c>
    </row>
    <row r="7297" spans="1:5">
      <c r="A7297" s="59">
        <v>15</v>
      </c>
      <c r="B7297" s="59">
        <v>41</v>
      </c>
      <c r="C7297" s="59">
        <v>750</v>
      </c>
      <c r="D7297" s="51">
        <v>34</v>
      </c>
      <c r="E7297" s="51">
        <f t="shared" si="113"/>
        <v>1</v>
      </c>
    </row>
    <row r="7298" spans="1:5">
      <c r="A7298" s="59">
        <v>15</v>
      </c>
      <c r="B7298" s="59">
        <v>44</v>
      </c>
      <c r="C7298" s="59">
        <v>520</v>
      </c>
      <c r="D7298" s="51">
        <v>34</v>
      </c>
      <c r="E7298" s="51">
        <f t="shared" ref="E7298:E7361" si="114">IF(OR(A7298=6,A7298=7,A7298=14,A7298=15,A7298=16,A7298=17,A7298=18,A7298=19,A7298=20,A7298=21,A7298=22,A7298=23,A7298=25,A7298=26,A7298=27,A7298=28,B7298=41,B7298=44,B7298=62),1,0)</f>
        <v>1</v>
      </c>
    </row>
    <row r="7299" spans="1:5">
      <c r="A7299" s="59">
        <v>15</v>
      </c>
      <c r="B7299" s="59">
        <v>13</v>
      </c>
      <c r="C7299" s="59">
        <v>930</v>
      </c>
      <c r="D7299" s="51">
        <v>32</v>
      </c>
      <c r="E7299" s="51">
        <f t="shared" si="114"/>
        <v>1</v>
      </c>
    </row>
    <row r="7300" spans="1:5">
      <c r="A7300" s="59">
        <v>15</v>
      </c>
      <c r="B7300" s="59">
        <v>63</v>
      </c>
      <c r="C7300" s="59">
        <v>990</v>
      </c>
      <c r="D7300" s="51">
        <v>32</v>
      </c>
      <c r="E7300" s="51">
        <f t="shared" si="114"/>
        <v>1</v>
      </c>
    </row>
    <row r="7301" spans="1:5">
      <c r="A7301" s="59">
        <v>15</v>
      </c>
      <c r="B7301" s="59">
        <v>81</v>
      </c>
      <c r="C7301" s="59">
        <v>510</v>
      </c>
      <c r="D7301" s="51">
        <v>32</v>
      </c>
      <c r="E7301" s="51">
        <f t="shared" si="114"/>
        <v>1</v>
      </c>
    </row>
    <row r="7302" spans="1:5">
      <c r="A7302" s="59">
        <v>15</v>
      </c>
      <c r="B7302" s="59">
        <v>14</v>
      </c>
      <c r="C7302" s="59">
        <v>230</v>
      </c>
      <c r="D7302" s="51">
        <v>31</v>
      </c>
      <c r="E7302" s="51">
        <f t="shared" si="114"/>
        <v>1</v>
      </c>
    </row>
    <row r="7303" spans="1:5">
      <c r="A7303" s="59">
        <v>15</v>
      </c>
      <c r="B7303" s="59">
        <v>22</v>
      </c>
      <c r="C7303" s="59">
        <v>320</v>
      </c>
      <c r="D7303" s="51">
        <v>31</v>
      </c>
      <c r="E7303" s="51">
        <f t="shared" si="114"/>
        <v>1</v>
      </c>
    </row>
    <row r="7304" spans="1:5">
      <c r="A7304" s="59">
        <v>15</v>
      </c>
      <c r="B7304" s="59">
        <v>22</v>
      </c>
      <c r="C7304" s="59">
        <v>950</v>
      </c>
      <c r="D7304" s="51">
        <v>31</v>
      </c>
      <c r="E7304" s="51">
        <f t="shared" si="114"/>
        <v>1</v>
      </c>
    </row>
    <row r="7305" spans="1:5">
      <c r="A7305" s="59">
        <v>15</v>
      </c>
      <c r="B7305" s="59">
        <v>41</v>
      </c>
      <c r="C7305" s="59">
        <v>510</v>
      </c>
      <c r="D7305" s="51">
        <v>31</v>
      </c>
      <c r="E7305" s="51">
        <f t="shared" si="114"/>
        <v>1</v>
      </c>
    </row>
    <row r="7306" spans="1:5">
      <c r="A7306" s="59">
        <v>15</v>
      </c>
      <c r="B7306" s="59">
        <v>41</v>
      </c>
      <c r="C7306" s="59">
        <v>610</v>
      </c>
      <c r="D7306" s="51">
        <v>31</v>
      </c>
      <c r="E7306" s="51">
        <f t="shared" si="114"/>
        <v>1</v>
      </c>
    </row>
    <row r="7307" spans="1:5">
      <c r="A7307" s="59">
        <v>15</v>
      </c>
      <c r="B7307" s="59">
        <v>14</v>
      </c>
      <c r="C7307" s="59">
        <v>940</v>
      </c>
      <c r="D7307" s="51">
        <v>30</v>
      </c>
      <c r="E7307" s="51">
        <f t="shared" si="114"/>
        <v>1</v>
      </c>
    </row>
    <row r="7308" spans="1:5">
      <c r="A7308" s="59">
        <v>15</v>
      </c>
      <c r="B7308" s="59">
        <v>43</v>
      </c>
      <c r="C7308" s="59">
        <v>861</v>
      </c>
      <c r="D7308" s="51">
        <v>30</v>
      </c>
      <c r="E7308" s="51">
        <f t="shared" si="114"/>
        <v>1</v>
      </c>
    </row>
    <row r="7309" spans="1:5">
      <c r="A7309" s="59">
        <v>15</v>
      </c>
      <c r="B7309" s="59">
        <v>64</v>
      </c>
      <c r="C7309" s="59">
        <v>410</v>
      </c>
      <c r="D7309" s="51">
        <v>30</v>
      </c>
      <c r="E7309" s="51">
        <f t="shared" si="114"/>
        <v>1</v>
      </c>
    </row>
    <row r="7310" spans="1:5">
      <c r="A7310" s="59">
        <v>15</v>
      </c>
      <c r="B7310" s="59">
        <v>14</v>
      </c>
      <c r="C7310" s="59">
        <v>610</v>
      </c>
      <c r="D7310" s="51">
        <v>29</v>
      </c>
      <c r="E7310" s="51">
        <f t="shared" si="114"/>
        <v>1</v>
      </c>
    </row>
    <row r="7311" spans="1:5">
      <c r="A7311" s="59">
        <v>15</v>
      </c>
      <c r="B7311" s="59">
        <v>15</v>
      </c>
      <c r="C7311" s="59">
        <v>330</v>
      </c>
      <c r="D7311" s="51">
        <v>29</v>
      </c>
      <c r="E7311" s="51">
        <f t="shared" si="114"/>
        <v>1</v>
      </c>
    </row>
    <row r="7312" spans="1:5">
      <c r="A7312" s="59">
        <v>15</v>
      </c>
      <c r="B7312" s="59">
        <v>33</v>
      </c>
      <c r="C7312" s="59">
        <v>950</v>
      </c>
      <c r="D7312" s="51">
        <v>29</v>
      </c>
      <c r="E7312" s="51">
        <f t="shared" si="114"/>
        <v>1</v>
      </c>
    </row>
    <row r="7313" spans="1:5">
      <c r="A7313" s="59">
        <v>15</v>
      </c>
      <c r="B7313" s="59">
        <v>41</v>
      </c>
      <c r="C7313" s="59">
        <v>720</v>
      </c>
      <c r="D7313" s="51">
        <v>29</v>
      </c>
      <c r="E7313" s="51">
        <f t="shared" si="114"/>
        <v>1</v>
      </c>
    </row>
    <row r="7314" spans="1:5">
      <c r="A7314" s="59">
        <v>15</v>
      </c>
      <c r="B7314" s="59">
        <v>44</v>
      </c>
      <c r="C7314" s="59">
        <v>930</v>
      </c>
      <c r="D7314" s="51">
        <v>28</v>
      </c>
      <c r="E7314" s="51">
        <f t="shared" si="114"/>
        <v>1</v>
      </c>
    </row>
    <row r="7315" spans="1:5">
      <c r="A7315" s="59">
        <v>15</v>
      </c>
      <c r="B7315" s="59">
        <v>32</v>
      </c>
      <c r="C7315" s="59">
        <v>610</v>
      </c>
      <c r="D7315" s="51">
        <v>27</v>
      </c>
      <c r="E7315" s="51">
        <f t="shared" si="114"/>
        <v>1</v>
      </c>
    </row>
    <row r="7316" spans="1:5">
      <c r="A7316" s="59">
        <v>15</v>
      </c>
      <c r="B7316" s="59">
        <v>43</v>
      </c>
      <c r="C7316" s="59">
        <v>420</v>
      </c>
      <c r="D7316" s="51">
        <v>27</v>
      </c>
      <c r="E7316" s="51">
        <f t="shared" si="114"/>
        <v>1</v>
      </c>
    </row>
    <row r="7317" spans="1:5">
      <c r="A7317" s="59">
        <v>15</v>
      </c>
      <c r="B7317" s="59">
        <v>64</v>
      </c>
      <c r="C7317" s="59">
        <v>210</v>
      </c>
      <c r="D7317" s="51">
        <v>27</v>
      </c>
      <c r="E7317" s="51">
        <f t="shared" si="114"/>
        <v>1</v>
      </c>
    </row>
    <row r="7318" spans="1:5">
      <c r="A7318" s="59">
        <v>15</v>
      </c>
      <c r="B7318" s="59">
        <v>14</v>
      </c>
      <c r="C7318" s="59">
        <v>240</v>
      </c>
      <c r="D7318" s="51">
        <v>26</v>
      </c>
      <c r="E7318" s="51">
        <f t="shared" si="114"/>
        <v>1</v>
      </c>
    </row>
    <row r="7319" spans="1:5">
      <c r="A7319" s="59">
        <v>15</v>
      </c>
      <c r="B7319" s="59">
        <v>41</v>
      </c>
      <c r="C7319" s="59">
        <v>530</v>
      </c>
      <c r="D7319" s="51">
        <v>26</v>
      </c>
      <c r="E7319" s="51">
        <f t="shared" si="114"/>
        <v>1</v>
      </c>
    </row>
    <row r="7320" spans="1:5">
      <c r="A7320" s="59">
        <v>15</v>
      </c>
      <c r="B7320" s="59">
        <v>43</v>
      </c>
      <c r="C7320" s="59">
        <v>310</v>
      </c>
      <c r="D7320" s="51">
        <v>26</v>
      </c>
      <c r="E7320" s="51">
        <f t="shared" si="114"/>
        <v>1</v>
      </c>
    </row>
    <row r="7321" spans="1:5">
      <c r="A7321" s="59">
        <v>15</v>
      </c>
      <c r="B7321" s="59">
        <v>43</v>
      </c>
      <c r="C7321" s="59">
        <v>410</v>
      </c>
      <c r="D7321" s="51">
        <v>26</v>
      </c>
      <c r="E7321" s="51">
        <f t="shared" si="114"/>
        <v>1</v>
      </c>
    </row>
    <row r="7322" spans="1:5">
      <c r="A7322" s="59">
        <v>15</v>
      </c>
      <c r="B7322" s="59">
        <v>62</v>
      </c>
      <c r="C7322" s="59">
        <v>930</v>
      </c>
      <c r="D7322" s="51">
        <v>26</v>
      </c>
      <c r="E7322" s="51">
        <f t="shared" si="114"/>
        <v>1</v>
      </c>
    </row>
    <row r="7323" spans="1:5">
      <c r="A7323" s="59">
        <v>15</v>
      </c>
      <c r="B7323" s="59">
        <v>15</v>
      </c>
      <c r="C7323" s="59">
        <v>930</v>
      </c>
      <c r="D7323" s="51">
        <v>25</v>
      </c>
      <c r="E7323" s="51">
        <f t="shared" si="114"/>
        <v>1</v>
      </c>
    </row>
    <row r="7324" spans="1:5">
      <c r="A7324" s="59">
        <v>15</v>
      </c>
      <c r="B7324" s="59">
        <v>16</v>
      </c>
      <c r="C7324" s="59">
        <v>210</v>
      </c>
      <c r="D7324" s="51">
        <v>25</v>
      </c>
      <c r="E7324" s="51">
        <f t="shared" si="114"/>
        <v>1</v>
      </c>
    </row>
    <row r="7325" spans="1:5">
      <c r="A7325" s="59">
        <v>15</v>
      </c>
      <c r="B7325" s="59">
        <v>43</v>
      </c>
      <c r="C7325" s="59">
        <v>960</v>
      </c>
      <c r="D7325" s="51">
        <v>25</v>
      </c>
      <c r="E7325" s="51">
        <f t="shared" si="114"/>
        <v>1</v>
      </c>
    </row>
    <row r="7326" spans="1:5">
      <c r="A7326" s="59">
        <v>15</v>
      </c>
      <c r="B7326" s="59">
        <v>81</v>
      </c>
      <c r="C7326" s="59">
        <v>720</v>
      </c>
      <c r="D7326" s="51">
        <v>25</v>
      </c>
      <c r="E7326" s="51">
        <f t="shared" si="114"/>
        <v>1</v>
      </c>
    </row>
    <row r="7327" spans="1:5">
      <c r="A7327" s="59">
        <v>15</v>
      </c>
      <c r="B7327" s="59">
        <v>33</v>
      </c>
      <c r="C7327" s="59">
        <v>430</v>
      </c>
      <c r="D7327" s="51">
        <v>24</v>
      </c>
      <c r="E7327" s="51">
        <f t="shared" si="114"/>
        <v>1</v>
      </c>
    </row>
    <row r="7328" spans="1:5">
      <c r="A7328" s="59">
        <v>15</v>
      </c>
      <c r="B7328" s="59">
        <v>33</v>
      </c>
      <c r="C7328" s="59">
        <v>510</v>
      </c>
      <c r="D7328" s="51">
        <v>24</v>
      </c>
      <c r="E7328" s="51">
        <f t="shared" si="114"/>
        <v>1</v>
      </c>
    </row>
    <row r="7329" spans="1:5">
      <c r="A7329" s="59">
        <v>15</v>
      </c>
      <c r="B7329" s="59">
        <v>33</v>
      </c>
      <c r="C7329" s="59">
        <v>150</v>
      </c>
      <c r="D7329" s="51">
        <v>23</v>
      </c>
      <c r="E7329" s="51">
        <f t="shared" si="114"/>
        <v>1</v>
      </c>
    </row>
    <row r="7330" spans="1:5">
      <c r="A7330" s="59">
        <v>15</v>
      </c>
      <c r="B7330" s="59">
        <v>64</v>
      </c>
      <c r="C7330" s="59">
        <v>420</v>
      </c>
      <c r="D7330" s="51">
        <v>23</v>
      </c>
      <c r="E7330" s="51">
        <f t="shared" si="114"/>
        <v>1</v>
      </c>
    </row>
    <row r="7331" spans="1:5">
      <c r="A7331" s="59">
        <v>15</v>
      </c>
      <c r="B7331" s="59">
        <v>13</v>
      </c>
      <c r="C7331" s="59">
        <v>210</v>
      </c>
      <c r="D7331" s="51">
        <v>21</v>
      </c>
      <c r="E7331" s="51">
        <f t="shared" si="114"/>
        <v>1</v>
      </c>
    </row>
    <row r="7332" spans="1:5">
      <c r="A7332" s="59">
        <v>15</v>
      </c>
      <c r="B7332" s="59">
        <v>33</v>
      </c>
      <c r="C7332" s="59">
        <v>220</v>
      </c>
      <c r="D7332" s="51">
        <v>21</v>
      </c>
      <c r="E7332" s="51">
        <f t="shared" si="114"/>
        <v>1</v>
      </c>
    </row>
    <row r="7333" spans="1:5">
      <c r="A7333" s="59">
        <v>15</v>
      </c>
      <c r="B7333" s="59">
        <v>33</v>
      </c>
      <c r="C7333" s="59">
        <v>410</v>
      </c>
      <c r="D7333" s="51">
        <v>21</v>
      </c>
      <c r="E7333" s="51">
        <f t="shared" si="114"/>
        <v>1</v>
      </c>
    </row>
    <row r="7334" spans="1:5">
      <c r="A7334" s="59">
        <v>15</v>
      </c>
      <c r="B7334" s="59">
        <v>13</v>
      </c>
      <c r="C7334" s="59">
        <v>610</v>
      </c>
      <c r="D7334" s="51">
        <v>20</v>
      </c>
      <c r="E7334" s="51">
        <f t="shared" si="114"/>
        <v>1</v>
      </c>
    </row>
    <row r="7335" spans="1:5">
      <c r="A7335" s="59">
        <v>15</v>
      </c>
      <c r="B7335" s="59">
        <v>64</v>
      </c>
      <c r="C7335" s="59">
        <v>960</v>
      </c>
      <c r="D7335" s="51">
        <v>20</v>
      </c>
      <c r="E7335" s="51">
        <f t="shared" si="114"/>
        <v>1</v>
      </c>
    </row>
    <row r="7336" spans="1:5">
      <c r="A7336" s="59">
        <v>15</v>
      </c>
      <c r="B7336" s="59">
        <v>14</v>
      </c>
      <c r="C7336" s="59">
        <v>320</v>
      </c>
      <c r="D7336" s="51">
        <v>19</v>
      </c>
      <c r="E7336" s="51">
        <f t="shared" si="114"/>
        <v>1</v>
      </c>
    </row>
    <row r="7337" spans="1:5">
      <c r="A7337" s="59">
        <v>15</v>
      </c>
      <c r="B7337" s="59">
        <v>16</v>
      </c>
      <c r="C7337" s="59">
        <v>510</v>
      </c>
      <c r="D7337" s="51">
        <v>19</v>
      </c>
      <c r="E7337" s="51">
        <f t="shared" si="114"/>
        <v>1</v>
      </c>
    </row>
    <row r="7338" spans="1:5">
      <c r="A7338" s="59">
        <v>15</v>
      </c>
      <c r="B7338" s="59">
        <v>71</v>
      </c>
      <c r="C7338" s="59">
        <v>960</v>
      </c>
      <c r="D7338" s="51">
        <v>19</v>
      </c>
      <c r="E7338" s="51">
        <f t="shared" si="114"/>
        <v>1</v>
      </c>
    </row>
    <row r="7339" spans="1:5">
      <c r="A7339" s="59">
        <v>15</v>
      </c>
      <c r="B7339" s="59">
        <v>62</v>
      </c>
      <c r="C7339" s="59">
        <v>950</v>
      </c>
      <c r="D7339" s="51">
        <v>18</v>
      </c>
      <c r="E7339" s="51">
        <f t="shared" si="114"/>
        <v>1</v>
      </c>
    </row>
    <row r="7340" spans="1:5">
      <c r="A7340" s="59">
        <v>15</v>
      </c>
      <c r="B7340" s="59">
        <v>71</v>
      </c>
      <c r="C7340" s="59">
        <v>160</v>
      </c>
      <c r="D7340" s="51">
        <v>18</v>
      </c>
      <c r="E7340" s="51">
        <f t="shared" si="114"/>
        <v>1</v>
      </c>
    </row>
    <row r="7341" spans="1:5">
      <c r="A7341" s="59">
        <v>15</v>
      </c>
      <c r="B7341" s="59">
        <v>13</v>
      </c>
      <c r="C7341" s="59">
        <v>240</v>
      </c>
      <c r="D7341" s="51">
        <v>17</v>
      </c>
      <c r="E7341" s="51">
        <f t="shared" si="114"/>
        <v>1</v>
      </c>
    </row>
    <row r="7342" spans="1:5">
      <c r="A7342" s="59">
        <v>15</v>
      </c>
      <c r="B7342" s="59">
        <v>13</v>
      </c>
      <c r="C7342" s="59">
        <v>330</v>
      </c>
      <c r="D7342" s="51">
        <v>17</v>
      </c>
      <c r="E7342" s="51">
        <f t="shared" si="114"/>
        <v>1</v>
      </c>
    </row>
    <row r="7343" spans="1:5">
      <c r="A7343" s="59">
        <v>15</v>
      </c>
      <c r="B7343" s="59">
        <v>15</v>
      </c>
      <c r="C7343" s="59">
        <v>210</v>
      </c>
      <c r="D7343" s="51">
        <v>17</v>
      </c>
      <c r="E7343" s="51">
        <f t="shared" si="114"/>
        <v>1</v>
      </c>
    </row>
    <row r="7344" spans="1:5">
      <c r="A7344" s="59">
        <v>15</v>
      </c>
      <c r="B7344" s="59">
        <v>63</v>
      </c>
      <c r="C7344" s="59">
        <v>160</v>
      </c>
      <c r="D7344" s="51">
        <v>17</v>
      </c>
      <c r="E7344" s="51">
        <f t="shared" si="114"/>
        <v>1</v>
      </c>
    </row>
    <row r="7345" spans="1:5">
      <c r="A7345" s="59">
        <v>15</v>
      </c>
      <c r="B7345" s="59">
        <v>13</v>
      </c>
      <c r="C7345" s="59">
        <v>310</v>
      </c>
      <c r="D7345" s="51">
        <v>16</v>
      </c>
      <c r="E7345" s="51">
        <f t="shared" si="114"/>
        <v>1</v>
      </c>
    </row>
    <row r="7346" spans="1:5">
      <c r="A7346" s="59">
        <v>15</v>
      </c>
      <c r="B7346" s="59">
        <v>14</v>
      </c>
      <c r="C7346" s="59">
        <v>220</v>
      </c>
      <c r="D7346" s="51">
        <v>16</v>
      </c>
      <c r="E7346" s="51">
        <f t="shared" si="114"/>
        <v>1</v>
      </c>
    </row>
    <row r="7347" spans="1:5">
      <c r="A7347" s="59">
        <v>15</v>
      </c>
      <c r="B7347" s="59">
        <v>14</v>
      </c>
      <c r="C7347" s="59">
        <v>990</v>
      </c>
      <c r="D7347" s="51">
        <v>16</v>
      </c>
      <c r="E7347" s="51">
        <f t="shared" si="114"/>
        <v>1</v>
      </c>
    </row>
    <row r="7348" spans="1:5">
      <c r="A7348" s="59">
        <v>15</v>
      </c>
      <c r="B7348" s="59">
        <v>21</v>
      </c>
      <c r="C7348" s="59">
        <v>150</v>
      </c>
      <c r="D7348" s="51">
        <v>15</v>
      </c>
      <c r="E7348" s="51">
        <f t="shared" si="114"/>
        <v>1</v>
      </c>
    </row>
    <row r="7349" spans="1:5">
      <c r="A7349" s="59">
        <v>15</v>
      </c>
      <c r="B7349" s="59">
        <v>41</v>
      </c>
      <c r="C7349" s="59">
        <v>730</v>
      </c>
      <c r="D7349" s="51">
        <v>15</v>
      </c>
      <c r="E7349" s="51">
        <f t="shared" si="114"/>
        <v>1</v>
      </c>
    </row>
    <row r="7350" spans="1:5">
      <c r="A7350" s="59">
        <v>15</v>
      </c>
      <c r="B7350" s="59">
        <v>42</v>
      </c>
      <c r="C7350" s="59">
        <v>530</v>
      </c>
      <c r="D7350" s="51">
        <v>15</v>
      </c>
      <c r="E7350" s="51">
        <f t="shared" si="114"/>
        <v>1</v>
      </c>
    </row>
    <row r="7351" spans="1:5">
      <c r="A7351" s="59">
        <v>15</v>
      </c>
      <c r="B7351" s="59">
        <v>42</v>
      </c>
      <c r="C7351" s="59">
        <v>950</v>
      </c>
      <c r="D7351" s="51">
        <v>15</v>
      </c>
      <c r="E7351" s="51">
        <f t="shared" si="114"/>
        <v>1</v>
      </c>
    </row>
    <row r="7352" spans="1:5">
      <c r="A7352" s="59">
        <v>15</v>
      </c>
      <c r="B7352" s="59">
        <v>21</v>
      </c>
      <c r="C7352" s="59">
        <v>160</v>
      </c>
      <c r="D7352" s="51">
        <v>14</v>
      </c>
      <c r="E7352" s="51">
        <f t="shared" si="114"/>
        <v>1</v>
      </c>
    </row>
    <row r="7353" spans="1:5">
      <c r="A7353" s="59">
        <v>15</v>
      </c>
      <c r="B7353" s="59">
        <v>33</v>
      </c>
      <c r="C7353" s="59">
        <v>930</v>
      </c>
      <c r="D7353" s="51">
        <v>14</v>
      </c>
      <c r="E7353" s="51">
        <f t="shared" si="114"/>
        <v>1</v>
      </c>
    </row>
    <row r="7354" spans="1:5">
      <c r="A7354" s="59">
        <v>15</v>
      </c>
      <c r="B7354" s="59">
        <v>62</v>
      </c>
      <c r="C7354" s="59">
        <v>990</v>
      </c>
      <c r="D7354" s="51">
        <v>14</v>
      </c>
      <c r="E7354" s="51">
        <f t="shared" si="114"/>
        <v>1</v>
      </c>
    </row>
    <row r="7355" spans="1:5">
      <c r="A7355" s="59">
        <v>15</v>
      </c>
      <c r="B7355" s="59">
        <v>63</v>
      </c>
      <c r="C7355" s="59">
        <v>440</v>
      </c>
      <c r="D7355" s="51">
        <v>14</v>
      </c>
      <c r="E7355" s="51">
        <f t="shared" si="114"/>
        <v>1</v>
      </c>
    </row>
    <row r="7356" spans="1:5">
      <c r="A7356" s="59">
        <v>15</v>
      </c>
      <c r="B7356" s="59">
        <v>63</v>
      </c>
      <c r="C7356" s="59">
        <v>520</v>
      </c>
      <c r="D7356" s="51">
        <v>14</v>
      </c>
      <c r="E7356" s="51">
        <f t="shared" si="114"/>
        <v>1</v>
      </c>
    </row>
    <row r="7357" spans="1:5">
      <c r="A7357" s="59">
        <v>15</v>
      </c>
      <c r="B7357" s="59">
        <v>71</v>
      </c>
      <c r="C7357" s="59">
        <v>730</v>
      </c>
      <c r="D7357" s="51">
        <v>14</v>
      </c>
      <c r="E7357" s="51">
        <f t="shared" si="114"/>
        <v>1</v>
      </c>
    </row>
    <row r="7358" spans="1:5">
      <c r="A7358" s="59">
        <v>15</v>
      </c>
      <c r="B7358" s="59">
        <v>16</v>
      </c>
      <c r="C7358" s="59">
        <v>310</v>
      </c>
      <c r="D7358" s="51">
        <v>13</v>
      </c>
      <c r="E7358" s="51">
        <f t="shared" si="114"/>
        <v>1</v>
      </c>
    </row>
    <row r="7359" spans="1:5">
      <c r="A7359" s="59">
        <v>15</v>
      </c>
      <c r="B7359" s="59">
        <v>43</v>
      </c>
      <c r="C7359" s="59">
        <v>230</v>
      </c>
      <c r="D7359" s="51">
        <v>13</v>
      </c>
      <c r="E7359" s="51">
        <f t="shared" si="114"/>
        <v>1</v>
      </c>
    </row>
    <row r="7360" spans="1:5">
      <c r="A7360" s="59">
        <v>15</v>
      </c>
      <c r="B7360" s="59">
        <v>44</v>
      </c>
      <c r="C7360" s="59">
        <v>410</v>
      </c>
      <c r="D7360" s="51">
        <v>13</v>
      </c>
      <c r="E7360" s="51">
        <f t="shared" si="114"/>
        <v>1</v>
      </c>
    </row>
    <row r="7361" spans="1:5">
      <c r="A7361" s="59">
        <v>15</v>
      </c>
      <c r="B7361" s="59">
        <v>71</v>
      </c>
      <c r="C7361" s="59">
        <v>150</v>
      </c>
      <c r="D7361" s="51">
        <v>13</v>
      </c>
      <c r="E7361" s="51">
        <f t="shared" si="114"/>
        <v>1</v>
      </c>
    </row>
    <row r="7362" spans="1:5">
      <c r="A7362" s="59">
        <v>15</v>
      </c>
      <c r="B7362" s="59">
        <v>13</v>
      </c>
      <c r="C7362" s="59">
        <v>950</v>
      </c>
      <c r="D7362" s="51">
        <v>12</v>
      </c>
      <c r="E7362" s="51">
        <f t="shared" ref="E7362:E7425" si="115">IF(OR(A7362=6,A7362=7,A7362=14,A7362=15,A7362=16,A7362=17,A7362=18,A7362=19,A7362=20,A7362=21,A7362=22,A7362=23,A7362=25,A7362=26,A7362=27,A7362=28,B7362=41,B7362=44,B7362=62),1,0)</f>
        <v>1</v>
      </c>
    </row>
    <row r="7363" spans="1:5">
      <c r="A7363" s="59">
        <v>15</v>
      </c>
      <c r="B7363" s="59">
        <v>14</v>
      </c>
      <c r="C7363" s="59">
        <v>130</v>
      </c>
      <c r="D7363" s="51">
        <v>12</v>
      </c>
      <c r="E7363" s="51">
        <f t="shared" si="115"/>
        <v>1</v>
      </c>
    </row>
    <row r="7364" spans="1:5">
      <c r="A7364" s="59">
        <v>15</v>
      </c>
      <c r="B7364" s="59">
        <v>16</v>
      </c>
      <c r="C7364" s="59">
        <v>320</v>
      </c>
      <c r="D7364" s="51">
        <v>12</v>
      </c>
      <c r="E7364" s="51">
        <f t="shared" si="115"/>
        <v>1</v>
      </c>
    </row>
    <row r="7365" spans="1:5">
      <c r="A7365" s="59">
        <v>15</v>
      </c>
      <c r="B7365" s="59">
        <v>33</v>
      </c>
      <c r="C7365" s="59">
        <v>160</v>
      </c>
      <c r="D7365" s="51">
        <v>12</v>
      </c>
      <c r="E7365" s="51">
        <f t="shared" si="115"/>
        <v>1</v>
      </c>
    </row>
    <row r="7366" spans="1:5">
      <c r="A7366" s="59">
        <v>15</v>
      </c>
      <c r="B7366" s="59">
        <v>33</v>
      </c>
      <c r="C7366" s="59">
        <v>210</v>
      </c>
      <c r="D7366" s="51">
        <v>12</v>
      </c>
      <c r="E7366" s="51">
        <f t="shared" si="115"/>
        <v>1</v>
      </c>
    </row>
    <row r="7367" spans="1:5">
      <c r="A7367" s="59">
        <v>15</v>
      </c>
      <c r="B7367" s="59">
        <v>62</v>
      </c>
      <c r="C7367" s="59">
        <v>110</v>
      </c>
      <c r="D7367" s="51">
        <v>12</v>
      </c>
      <c r="E7367" s="51">
        <f t="shared" si="115"/>
        <v>1</v>
      </c>
    </row>
    <row r="7368" spans="1:5">
      <c r="A7368" s="59">
        <v>15</v>
      </c>
      <c r="B7368" s="59">
        <v>62</v>
      </c>
      <c r="C7368" s="59">
        <v>520</v>
      </c>
      <c r="D7368" s="51">
        <v>12</v>
      </c>
      <c r="E7368" s="51">
        <f t="shared" si="115"/>
        <v>1</v>
      </c>
    </row>
    <row r="7369" spans="1:5">
      <c r="A7369" s="59">
        <v>15</v>
      </c>
      <c r="B7369" s="59">
        <v>32</v>
      </c>
      <c r="C7369" s="59">
        <v>510</v>
      </c>
      <c r="D7369" s="51">
        <v>11</v>
      </c>
      <c r="E7369" s="51">
        <f t="shared" si="115"/>
        <v>1</v>
      </c>
    </row>
    <row r="7370" spans="1:5">
      <c r="A7370" s="59">
        <v>15</v>
      </c>
      <c r="B7370" s="59">
        <v>44</v>
      </c>
      <c r="C7370" s="59">
        <v>150</v>
      </c>
      <c r="D7370" s="51">
        <v>11</v>
      </c>
      <c r="E7370" s="51">
        <f t="shared" si="115"/>
        <v>1</v>
      </c>
    </row>
    <row r="7371" spans="1:5">
      <c r="A7371" s="59">
        <v>15</v>
      </c>
      <c r="B7371" s="59">
        <v>63</v>
      </c>
      <c r="C7371" s="59">
        <v>950</v>
      </c>
      <c r="D7371" s="51">
        <v>11</v>
      </c>
      <c r="E7371" s="51">
        <f t="shared" si="115"/>
        <v>1</v>
      </c>
    </row>
    <row r="7372" spans="1:5">
      <c r="A7372" s="59">
        <v>15</v>
      </c>
      <c r="B7372" s="59">
        <v>81</v>
      </c>
      <c r="C7372" s="59">
        <v>920</v>
      </c>
      <c r="D7372" s="51">
        <v>11</v>
      </c>
      <c r="E7372" s="51">
        <f t="shared" si="115"/>
        <v>1</v>
      </c>
    </row>
    <row r="7373" spans="1:5">
      <c r="A7373" s="59">
        <v>15</v>
      </c>
      <c r="B7373" s="59">
        <v>13</v>
      </c>
      <c r="C7373" s="59">
        <v>320</v>
      </c>
      <c r="D7373" s="51">
        <v>10</v>
      </c>
      <c r="E7373" s="51">
        <f t="shared" si="115"/>
        <v>1</v>
      </c>
    </row>
    <row r="7374" spans="1:5">
      <c r="A7374" s="59">
        <v>15</v>
      </c>
      <c r="B7374" s="59">
        <v>13</v>
      </c>
      <c r="C7374" s="59">
        <v>720</v>
      </c>
      <c r="D7374" s="51">
        <v>10</v>
      </c>
      <c r="E7374" s="51">
        <f t="shared" si="115"/>
        <v>1</v>
      </c>
    </row>
    <row r="7375" spans="1:5">
      <c r="A7375" s="59">
        <v>15</v>
      </c>
      <c r="B7375" s="59">
        <v>14</v>
      </c>
      <c r="C7375" s="59">
        <v>720</v>
      </c>
      <c r="D7375" s="51">
        <v>10</v>
      </c>
      <c r="E7375" s="51">
        <f t="shared" si="115"/>
        <v>1</v>
      </c>
    </row>
    <row r="7376" spans="1:5">
      <c r="A7376" s="59">
        <v>15</v>
      </c>
      <c r="B7376" s="59">
        <v>16</v>
      </c>
      <c r="C7376" s="59">
        <v>990</v>
      </c>
      <c r="D7376" s="51">
        <v>10</v>
      </c>
      <c r="E7376" s="51">
        <f t="shared" si="115"/>
        <v>1</v>
      </c>
    </row>
    <row r="7377" spans="1:5">
      <c r="A7377" s="59">
        <v>15</v>
      </c>
      <c r="B7377" s="59">
        <v>62</v>
      </c>
      <c r="C7377" s="59">
        <v>440</v>
      </c>
      <c r="D7377" s="51">
        <v>10</v>
      </c>
      <c r="E7377" s="51">
        <f t="shared" si="115"/>
        <v>1</v>
      </c>
    </row>
    <row r="7378" spans="1:5">
      <c r="A7378" s="59">
        <v>15</v>
      </c>
      <c r="B7378" s="59">
        <v>64</v>
      </c>
      <c r="C7378" s="59">
        <v>440</v>
      </c>
      <c r="D7378" s="51">
        <v>10</v>
      </c>
      <c r="E7378" s="51">
        <f t="shared" si="115"/>
        <v>1</v>
      </c>
    </row>
    <row r="7379" spans="1:5">
      <c r="A7379" s="59">
        <v>15</v>
      </c>
      <c r="B7379" s="59">
        <v>13</v>
      </c>
      <c r="C7379" s="59">
        <v>220</v>
      </c>
      <c r="D7379" s="51">
        <v>9</v>
      </c>
      <c r="E7379" s="51">
        <f t="shared" si="115"/>
        <v>1</v>
      </c>
    </row>
    <row r="7380" spans="1:5">
      <c r="A7380" s="59">
        <v>15</v>
      </c>
      <c r="B7380" s="59">
        <v>13</v>
      </c>
      <c r="C7380" s="59">
        <v>230</v>
      </c>
      <c r="D7380" s="51">
        <v>9</v>
      </c>
      <c r="E7380" s="51">
        <f t="shared" si="115"/>
        <v>1</v>
      </c>
    </row>
    <row r="7381" spans="1:5">
      <c r="A7381" s="59">
        <v>15</v>
      </c>
      <c r="B7381" s="59">
        <v>15</v>
      </c>
      <c r="C7381" s="59">
        <v>220</v>
      </c>
      <c r="D7381" s="51">
        <v>9</v>
      </c>
      <c r="E7381" s="51">
        <f t="shared" si="115"/>
        <v>1</v>
      </c>
    </row>
    <row r="7382" spans="1:5">
      <c r="A7382" s="59">
        <v>15</v>
      </c>
      <c r="B7382" s="59">
        <v>16</v>
      </c>
      <c r="C7382" s="59">
        <v>220</v>
      </c>
      <c r="D7382" s="51">
        <v>9</v>
      </c>
      <c r="E7382" s="51">
        <f t="shared" si="115"/>
        <v>1</v>
      </c>
    </row>
    <row r="7383" spans="1:5">
      <c r="A7383" s="59">
        <v>15</v>
      </c>
      <c r="B7383" s="59">
        <v>16</v>
      </c>
      <c r="C7383" s="59">
        <v>330</v>
      </c>
      <c r="D7383" s="51">
        <v>9</v>
      </c>
      <c r="E7383" s="51">
        <f t="shared" si="115"/>
        <v>1</v>
      </c>
    </row>
    <row r="7384" spans="1:5">
      <c r="A7384" s="59">
        <v>15</v>
      </c>
      <c r="B7384" s="59">
        <v>21</v>
      </c>
      <c r="C7384" s="59">
        <v>240</v>
      </c>
      <c r="D7384" s="51">
        <v>9</v>
      </c>
      <c r="E7384" s="51">
        <f t="shared" si="115"/>
        <v>1</v>
      </c>
    </row>
    <row r="7385" spans="1:5">
      <c r="A7385" s="59">
        <v>15</v>
      </c>
      <c r="B7385" s="59">
        <v>22</v>
      </c>
      <c r="C7385" s="59">
        <v>510</v>
      </c>
      <c r="D7385" s="51">
        <v>9</v>
      </c>
      <c r="E7385" s="51">
        <f t="shared" si="115"/>
        <v>1</v>
      </c>
    </row>
    <row r="7386" spans="1:5">
      <c r="A7386" s="59">
        <v>15</v>
      </c>
      <c r="B7386" s="59">
        <v>44</v>
      </c>
      <c r="C7386" s="59">
        <v>890</v>
      </c>
      <c r="D7386" s="51">
        <v>9</v>
      </c>
      <c r="E7386" s="51">
        <f t="shared" si="115"/>
        <v>1</v>
      </c>
    </row>
    <row r="7387" spans="1:5">
      <c r="A7387" s="59">
        <v>15</v>
      </c>
      <c r="B7387" s="59">
        <v>71</v>
      </c>
      <c r="C7387" s="59">
        <v>750</v>
      </c>
      <c r="D7387" s="51">
        <v>9</v>
      </c>
      <c r="E7387" s="51">
        <f t="shared" si="115"/>
        <v>1</v>
      </c>
    </row>
    <row r="7388" spans="1:5">
      <c r="A7388" s="59">
        <v>15</v>
      </c>
      <c r="B7388" s="59">
        <v>14</v>
      </c>
      <c r="C7388" s="59">
        <v>960</v>
      </c>
      <c r="D7388" s="51">
        <v>8</v>
      </c>
      <c r="E7388" s="51">
        <f t="shared" si="115"/>
        <v>1</v>
      </c>
    </row>
    <row r="7389" spans="1:5">
      <c r="A7389" s="59">
        <v>15</v>
      </c>
      <c r="B7389" s="59">
        <v>22</v>
      </c>
      <c r="C7389" s="59">
        <v>120</v>
      </c>
      <c r="D7389" s="51">
        <v>8</v>
      </c>
      <c r="E7389" s="51">
        <f t="shared" si="115"/>
        <v>1</v>
      </c>
    </row>
    <row r="7390" spans="1:5">
      <c r="A7390" s="59">
        <v>15</v>
      </c>
      <c r="B7390" s="59">
        <v>41</v>
      </c>
      <c r="C7390" s="59">
        <v>950</v>
      </c>
      <c r="D7390" s="51">
        <v>8</v>
      </c>
      <c r="E7390" s="51">
        <f t="shared" si="115"/>
        <v>1</v>
      </c>
    </row>
    <row r="7391" spans="1:5">
      <c r="A7391" s="59">
        <v>15</v>
      </c>
      <c r="B7391" s="59">
        <v>42</v>
      </c>
      <c r="C7391" s="59">
        <v>430</v>
      </c>
      <c r="D7391" s="51">
        <v>8</v>
      </c>
      <c r="E7391" s="51">
        <f t="shared" si="115"/>
        <v>1</v>
      </c>
    </row>
    <row r="7392" spans="1:5">
      <c r="A7392" s="59">
        <v>15</v>
      </c>
      <c r="B7392" s="59">
        <v>43</v>
      </c>
      <c r="C7392" s="59">
        <v>320</v>
      </c>
      <c r="D7392" s="51">
        <v>8</v>
      </c>
      <c r="E7392" s="51">
        <f t="shared" si="115"/>
        <v>1</v>
      </c>
    </row>
    <row r="7393" spans="1:5">
      <c r="A7393" s="59">
        <v>15</v>
      </c>
      <c r="B7393" s="59">
        <v>44</v>
      </c>
      <c r="C7393" s="59">
        <v>730</v>
      </c>
      <c r="D7393" s="51">
        <v>8</v>
      </c>
      <c r="E7393" s="51">
        <f t="shared" si="115"/>
        <v>1</v>
      </c>
    </row>
    <row r="7394" spans="1:5">
      <c r="A7394" s="59">
        <v>15</v>
      </c>
      <c r="B7394" s="59">
        <v>13</v>
      </c>
      <c r="C7394" s="59">
        <v>730</v>
      </c>
      <c r="D7394" s="51">
        <v>7</v>
      </c>
      <c r="E7394" s="51">
        <f t="shared" si="115"/>
        <v>1</v>
      </c>
    </row>
    <row r="7395" spans="1:5">
      <c r="A7395" s="59">
        <v>15</v>
      </c>
      <c r="B7395" s="59">
        <v>14</v>
      </c>
      <c r="C7395" s="59">
        <v>730</v>
      </c>
      <c r="D7395" s="51">
        <v>7</v>
      </c>
      <c r="E7395" s="51">
        <f t="shared" si="115"/>
        <v>1</v>
      </c>
    </row>
    <row r="7396" spans="1:5">
      <c r="A7396" s="59">
        <v>15</v>
      </c>
      <c r="B7396" s="59">
        <v>16</v>
      </c>
      <c r="C7396" s="59">
        <v>940</v>
      </c>
      <c r="D7396" s="51">
        <v>7</v>
      </c>
      <c r="E7396" s="51">
        <f t="shared" si="115"/>
        <v>1</v>
      </c>
    </row>
    <row r="7397" spans="1:5">
      <c r="A7397" s="59">
        <v>15</v>
      </c>
      <c r="B7397" s="59">
        <v>21</v>
      </c>
      <c r="C7397" s="59">
        <v>990</v>
      </c>
      <c r="D7397" s="51">
        <v>7</v>
      </c>
      <c r="E7397" s="51">
        <f t="shared" si="115"/>
        <v>1</v>
      </c>
    </row>
    <row r="7398" spans="1:5">
      <c r="A7398" s="59">
        <v>15</v>
      </c>
      <c r="B7398" s="59">
        <v>22</v>
      </c>
      <c r="C7398" s="59">
        <v>530</v>
      </c>
      <c r="D7398" s="51">
        <v>7</v>
      </c>
      <c r="E7398" s="51">
        <f t="shared" si="115"/>
        <v>1</v>
      </c>
    </row>
    <row r="7399" spans="1:5">
      <c r="A7399" s="59">
        <v>15</v>
      </c>
      <c r="B7399" s="59">
        <v>41</v>
      </c>
      <c r="C7399" s="59">
        <v>930</v>
      </c>
      <c r="D7399" s="51">
        <v>7</v>
      </c>
      <c r="E7399" s="51">
        <f t="shared" si="115"/>
        <v>1</v>
      </c>
    </row>
    <row r="7400" spans="1:5">
      <c r="A7400" s="59">
        <v>15</v>
      </c>
      <c r="B7400" s="59">
        <v>42</v>
      </c>
      <c r="C7400" s="59">
        <v>990</v>
      </c>
      <c r="D7400" s="51">
        <v>7</v>
      </c>
      <c r="E7400" s="51">
        <f t="shared" si="115"/>
        <v>1</v>
      </c>
    </row>
    <row r="7401" spans="1:5">
      <c r="A7401" s="59">
        <v>15</v>
      </c>
      <c r="B7401" s="59">
        <v>43</v>
      </c>
      <c r="C7401" s="59">
        <v>970</v>
      </c>
      <c r="D7401" s="51">
        <v>7</v>
      </c>
      <c r="E7401" s="51">
        <f t="shared" si="115"/>
        <v>1</v>
      </c>
    </row>
    <row r="7402" spans="1:5">
      <c r="A7402" s="59">
        <v>15</v>
      </c>
      <c r="B7402" s="59">
        <v>44</v>
      </c>
      <c r="C7402" s="59">
        <v>750</v>
      </c>
      <c r="D7402" s="51">
        <v>7</v>
      </c>
      <c r="E7402" s="51">
        <f t="shared" si="115"/>
        <v>1</v>
      </c>
    </row>
    <row r="7403" spans="1:5">
      <c r="A7403" s="59">
        <v>15</v>
      </c>
      <c r="B7403" s="59">
        <v>64</v>
      </c>
      <c r="C7403" s="59">
        <v>120</v>
      </c>
      <c r="D7403" s="51">
        <v>7</v>
      </c>
      <c r="E7403" s="51">
        <f t="shared" si="115"/>
        <v>1</v>
      </c>
    </row>
    <row r="7404" spans="1:5">
      <c r="A7404" s="59">
        <v>15</v>
      </c>
      <c r="B7404" s="59">
        <v>64</v>
      </c>
      <c r="C7404" s="59">
        <v>710</v>
      </c>
      <c r="D7404" s="51">
        <v>7</v>
      </c>
      <c r="E7404" s="51">
        <f t="shared" si="115"/>
        <v>1</v>
      </c>
    </row>
    <row r="7405" spans="1:5">
      <c r="A7405" s="59">
        <v>15</v>
      </c>
      <c r="B7405" s="59">
        <v>81</v>
      </c>
      <c r="C7405" s="59">
        <v>990</v>
      </c>
      <c r="D7405" s="51">
        <v>7</v>
      </c>
      <c r="E7405" s="51">
        <f t="shared" si="115"/>
        <v>1</v>
      </c>
    </row>
    <row r="7406" spans="1:5">
      <c r="A7406" s="59">
        <v>15</v>
      </c>
      <c r="B7406" s="59">
        <v>13</v>
      </c>
      <c r="C7406" s="59">
        <v>410</v>
      </c>
      <c r="D7406" s="51">
        <v>6</v>
      </c>
      <c r="E7406" s="51">
        <f t="shared" si="115"/>
        <v>1</v>
      </c>
    </row>
    <row r="7407" spans="1:5">
      <c r="A7407" s="59">
        <v>15</v>
      </c>
      <c r="B7407" s="59">
        <v>13</v>
      </c>
      <c r="C7407" s="59">
        <v>420</v>
      </c>
      <c r="D7407" s="51">
        <v>6</v>
      </c>
      <c r="E7407" s="51">
        <f t="shared" si="115"/>
        <v>1</v>
      </c>
    </row>
    <row r="7408" spans="1:5">
      <c r="A7408" s="59">
        <v>15</v>
      </c>
      <c r="B7408" s="59">
        <v>16</v>
      </c>
      <c r="C7408" s="59">
        <v>230</v>
      </c>
      <c r="D7408" s="51">
        <v>6</v>
      </c>
      <c r="E7408" s="51">
        <f t="shared" si="115"/>
        <v>1</v>
      </c>
    </row>
    <row r="7409" spans="1:5">
      <c r="A7409" s="59">
        <v>15</v>
      </c>
      <c r="B7409" s="59">
        <v>16</v>
      </c>
      <c r="C7409" s="59">
        <v>930</v>
      </c>
      <c r="D7409" s="51">
        <v>6</v>
      </c>
      <c r="E7409" s="51">
        <f t="shared" si="115"/>
        <v>1</v>
      </c>
    </row>
    <row r="7410" spans="1:5">
      <c r="A7410" s="59">
        <v>15</v>
      </c>
      <c r="B7410" s="59">
        <v>16</v>
      </c>
      <c r="C7410" s="59">
        <v>950</v>
      </c>
      <c r="D7410" s="51">
        <v>6</v>
      </c>
      <c r="E7410" s="51">
        <f t="shared" si="115"/>
        <v>1</v>
      </c>
    </row>
    <row r="7411" spans="1:5">
      <c r="A7411" s="59">
        <v>15</v>
      </c>
      <c r="B7411" s="59">
        <v>32</v>
      </c>
      <c r="C7411" s="59">
        <v>920</v>
      </c>
      <c r="D7411" s="51">
        <v>6</v>
      </c>
      <c r="E7411" s="51">
        <f t="shared" si="115"/>
        <v>1</v>
      </c>
    </row>
    <row r="7412" spans="1:5">
      <c r="A7412" s="59">
        <v>15</v>
      </c>
      <c r="B7412" s="59">
        <v>33</v>
      </c>
      <c r="C7412" s="59">
        <v>920</v>
      </c>
      <c r="D7412" s="51">
        <v>6</v>
      </c>
      <c r="E7412" s="51">
        <f t="shared" si="115"/>
        <v>1</v>
      </c>
    </row>
    <row r="7413" spans="1:5">
      <c r="A7413" s="59">
        <v>15</v>
      </c>
      <c r="B7413" s="59">
        <v>42</v>
      </c>
      <c r="C7413" s="59">
        <v>220</v>
      </c>
      <c r="D7413" s="51">
        <v>6</v>
      </c>
      <c r="E7413" s="51">
        <f t="shared" si="115"/>
        <v>1</v>
      </c>
    </row>
    <row r="7414" spans="1:5">
      <c r="A7414" s="59">
        <v>15</v>
      </c>
      <c r="B7414" s="59">
        <v>44</v>
      </c>
      <c r="C7414" s="59">
        <v>110</v>
      </c>
      <c r="D7414" s="51">
        <v>6</v>
      </c>
      <c r="E7414" s="51">
        <f t="shared" si="115"/>
        <v>1</v>
      </c>
    </row>
    <row r="7415" spans="1:5">
      <c r="A7415" s="59">
        <v>15</v>
      </c>
      <c r="B7415" s="59">
        <v>63</v>
      </c>
      <c r="C7415" s="59">
        <v>110</v>
      </c>
      <c r="D7415" s="51">
        <v>6</v>
      </c>
      <c r="E7415" s="51">
        <f t="shared" si="115"/>
        <v>1</v>
      </c>
    </row>
    <row r="7416" spans="1:5">
      <c r="A7416" s="59">
        <v>15</v>
      </c>
      <c r="B7416" s="59">
        <v>63</v>
      </c>
      <c r="C7416" s="59">
        <v>320</v>
      </c>
      <c r="D7416" s="51">
        <v>6</v>
      </c>
      <c r="E7416" s="51">
        <f t="shared" si="115"/>
        <v>1</v>
      </c>
    </row>
    <row r="7417" spans="1:5">
      <c r="A7417" s="59">
        <v>15</v>
      </c>
      <c r="B7417" s="59">
        <v>64</v>
      </c>
      <c r="C7417" s="59">
        <v>230</v>
      </c>
      <c r="D7417" s="51">
        <v>6</v>
      </c>
      <c r="E7417" s="51">
        <f t="shared" si="115"/>
        <v>1</v>
      </c>
    </row>
    <row r="7418" spans="1:5">
      <c r="A7418" s="59">
        <v>15</v>
      </c>
      <c r="B7418" s="59">
        <v>64</v>
      </c>
      <c r="C7418" s="59">
        <v>940</v>
      </c>
      <c r="D7418" s="51">
        <v>6</v>
      </c>
      <c r="E7418" s="51">
        <f t="shared" si="115"/>
        <v>1</v>
      </c>
    </row>
    <row r="7419" spans="1:5">
      <c r="A7419" s="59">
        <v>15</v>
      </c>
      <c r="B7419" s="59">
        <v>13</v>
      </c>
      <c r="C7419" s="59">
        <v>520</v>
      </c>
      <c r="D7419" s="51">
        <v>5</v>
      </c>
      <c r="E7419" s="51">
        <f t="shared" si="115"/>
        <v>1</v>
      </c>
    </row>
    <row r="7420" spans="1:5">
      <c r="A7420" s="59">
        <v>15</v>
      </c>
      <c r="B7420" s="59">
        <v>14</v>
      </c>
      <c r="C7420" s="59">
        <v>430</v>
      </c>
      <c r="D7420" s="51">
        <v>5</v>
      </c>
      <c r="E7420" s="51">
        <f t="shared" si="115"/>
        <v>1</v>
      </c>
    </row>
    <row r="7421" spans="1:5">
      <c r="A7421" s="59">
        <v>15</v>
      </c>
      <c r="B7421" s="59">
        <v>14</v>
      </c>
      <c r="C7421" s="59">
        <v>620</v>
      </c>
      <c r="D7421" s="51">
        <v>5</v>
      </c>
      <c r="E7421" s="51">
        <f t="shared" si="115"/>
        <v>1</v>
      </c>
    </row>
    <row r="7422" spans="1:5">
      <c r="A7422" s="59">
        <v>15</v>
      </c>
      <c r="B7422" s="59">
        <v>15</v>
      </c>
      <c r="C7422" s="59">
        <v>230</v>
      </c>
      <c r="D7422" s="51">
        <v>5</v>
      </c>
      <c r="E7422" s="51">
        <f t="shared" si="115"/>
        <v>1</v>
      </c>
    </row>
    <row r="7423" spans="1:5">
      <c r="A7423" s="59">
        <v>15</v>
      </c>
      <c r="B7423" s="59">
        <v>16</v>
      </c>
      <c r="C7423" s="59">
        <v>420</v>
      </c>
      <c r="D7423" s="51">
        <v>5</v>
      </c>
      <c r="E7423" s="51">
        <f t="shared" si="115"/>
        <v>1</v>
      </c>
    </row>
    <row r="7424" spans="1:5">
      <c r="A7424" s="59">
        <v>15</v>
      </c>
      <c r="B7424" s="59">
        <v>21</v>
      </c>
      <c r="C7424" s="59">
        <v>210</v>
      </c>
      <c r="D7424" s="51">
        <v>5</v>
      </c>
      <c r="E7424" s="51">
        <f t="shared" si="115"/>
        <v>1</v>
      </c>
    </row>
    <row r="7425" spans="1:5">
      <c r="A7425" s="59">
        <v>15</v>
      </c>
      <c r="B7425" s="59">
        <v>22</v>
      </c>
      <c r="C7425" s="59">
        <v>520</v>
      </c>
      <c r="D7425" s="51">
        <v>5</v>
      </c>
      <c r="E7425" s="51">
        <f t="shared" si="115"/>
        <v>1</v>
      </c>
    </row>
    <row r="7426" spans="1:5">
      <c r="A7426" s="59">
        <v>15</v>
      </c>
      <c r="B7426" s="59">
        <v>22</v>
      </c>
      <c r="C7426" s="59">
        <v>990</v>
      </c>
      <c r="D7426" s="51">
        <v>5</v>
      </c>
      <c r="E7426" s="51">
        <f t="shared" ref="E7426:E7489" si="116">IF(OR(A7426=6,A7426=7,A7426=14,A7426=15,A7426=16,A7426=17,A7426=18,A7426=19,A7426=20,A7426=21,A7426=22,A7426=23,A7426=25,A7426=26,A7426=27,A7426=28,B7426=41,B7426=44,B7426=62),1,0)</f>
        <v>1</v>
      </c>
    </row>
    <row r="7427" spans="1:5">
      <c r="A7427" s="59">
        <v>15</v>
      </c>
      <c r="B7427" s="59">
        <v>32</v>
      </c>
      <c r="C7427" s="59">
        <v>220</v>
      </c>
      <c r="D7427" s="51">
        <v>5</v>
      </c>
      <c r="E7427" s="51">
        <f t="shared" si="116"/>
        <v>1</v>
      </c>
    </row>
    <row r="7428" spans="1:5">
      <c r="A7428" s="59">
        <v>15</v>
      </c>
      <c r="B7428" s="59">
        <v>32</v>
      </c>
      <c r="C7428" s="59">
        <v>750</v>
      </c>
      <c r="D7428" s="51">
        <v>5</v>
      </c>
      <c r="E7428" s="51">
        <f t="shared" si="116"/>
        <v>1</v>
      </c>
    </row>
    <row r="7429" spans="1:5">
      <c r="A7429" s="59">
        <v>15</v>
      </c>
      <c r="B7429" s="59">
        <v>33</v>
      </c>
      <c r="C7429" s="59">
        <v>120</v>
      </c>
      <c r="D7429" s="51">
        <v>5</v>
      </c>
      <c r="E7429" s="51">
        <f t="shared" si="116"/>
        <v>1</v>
      </c>
    </row>
    <row r="7430" spans="1:5">
      <c r="A7430" s="59">
        <v>15</v>
      </c>
      <c r="B7430" s="59">
        <v>33</v>
      </c>
      <c r="C7430" s="59">
        <v>240</v>
      </c>
      <c r="D7430" s="51">
        <v>5</v>
      </c>
      <c r="E7430" s="51">
        <f t="shared" si="116"/>
        <v>1</v>
      </c>
    </row>
    <row r="7431" spans="1:5">
      <c r="A7431" s="59">
        <v>15</v>
      </c>
      <c r="B7431" s="59">
        <v>33</v>
      </c>
      <c r="C7431" s="59">
        <v>310</v>
      </c>
      <c r="D7431" s="51">
        <v>5</v>
      </c>
      <c r="E7431" s="51">
        <f t="shared" si="116"/>
        <v>1</v>
      </c>
    </row>
    <row r="7432" spans="1:5">
      <c r="A7432" s="59">
        <v>15</v>
      </c>
      <c r="B7432" s="59">
        <v>43</v>
      </c>
      <c r="C7432" s="59">
        <v>440</v>
      </c>
      <c r="D7432" s="51">
        <v>5</v>
      </c>
      <c r="E7432" s="51">
        <f t="shared" si="116"/>
        <v>1</v>
      </c>
    </row>
    <row r="7433" spans="1:5">
      <c r="A7433" s="59">
        <v>15</v>
      </c>
      <c r="B7433" s="59">
        <v>43</v>
      </c>
      <c r="C7433" s="59">
        <v>550</v>
      </c>
      <c r="D7433" s="51">
        <v>5</v>
      </c>
      <c r="E7433" s="51">
        <f t="shared" si="116"/>
        <v>1</v>
      </c>
    </row>
    <row r="7434" spans="1:5">
      <c r="A7434" s="59">
        <v>15</v>
      </c>
      <c r="B7434" s="59">
        <v>61</v>
      </c>
      <c r="C7434" s="59">
        <v>910</v>
      </c>
      <c r="D7434" s="51">
        <v>5</v>
      </c>
      <c r="E7434" s="51">
        <f t="shared" si="116"/>
        <v>1</v>
      </c>
    </row>
    <row r="7435" spans="1:5">
      <c r="A7435" s="59">
        <v>15</v>
      </c>
      <c r="B7435" s="59">
        <v>62</v>
      </c>
      <c r="C7435" s="59">
        <v>240</v>
      </c>
      <c r="D7435" s="51">
        <v>5</v>
      </c>
      <c r="E7435" s="51">
        <f t="shared" si="116"/>
        <v>1</v>
      </c>
    </row>
    <row r="7436" spans="1:5">
      <c r="A7436" s="59">
        <v>15</v>
      </c>
      <c r="B7436" s="59">
        <v>62</v>
      </c>
      <c r="C7436" s="59">
        <v>710</v>
      </c>
      <c r="D7436" s="51">
        <v>5</v>
      </c>
      <c r="E7436" s="51">
        <f t="shared" si="116"/>
        <v>1</v>
      </c>
    </row>
    <row r="7437" spans="1:5">
      <c r="A7437" s="59">
        <v>15</v>
      </c>
      <c r="B7437" s="59">
        <v>64</v>
      </c>
      <c r="C7437" s="59">
        <v>840</v>
      </c>
      <c r="D7437" s="51">
        <v>5</v>
      </c>
      <c r="E7437" s="51">
        <f t="shared" si="116"/>
        <v>1</v>
      </c>
    </row>
    <row r="7438" spans="1:5">
      <c r="A7438" s="59">
        <v>15</v>
      </c>
      <c r="B7438" s="59">
        <v>71</v>
      </c>
      <c r="C7438" s="59">
        <v>840</v>
      </c>
      <c r="D7438" s="51">
        <v>5</v>
      </c>
      <c r="E7438" s="51">
        <f t="shared" si="116"/>
        <v>1</v>
      </c>
    </row>
    <row r="7439" spans="1:5">
      <c r="A7439" s="59">
        <v>15</v>
      </c>
      <c r="B7439" s="59">
        <v>13</v>
      </c>
      <c r="C7439" s="59">
        <v>430</v>
      </c>
      <c r="D7439" s="51">
        <v>4</v>
      </c>
      <c r="E7439" s="51">
        <f t="shared" si="116"/>
        <v>1</v>
      </c>
    </row>
    <row r="7440" spans="1:5">
      <c r="A7440" s="59">
        <v>15</v>
      </c>
      <c r="B7440" s="59">
        <v>13</v>
      </c>
      <c r="C7440" s="59">
        <v>620</v>
      </c>
      <c r="D7440" s="51">
        <v>4</v>
      </c>
      <c r="E7440" s="51">
        <f t="shared" si="116"/>
        <v>1</v>
      </c>
    </row>
    <row r="7441" spans="1:5">
      <c r="A7441" s="59">
        <v>15</v>
      </c>
      <c r="B7441" s="59">
        <v>13</v>
      </c>
      <c r="C7441" s="59">
        <v>990</v>
      </c>
      <c r="D7441" s="51">
        <v>4</v>
      </c>
      <c r="E7441" s="51">
        <f t="shared" si="116"/>
        <v>1</v>
      </c>
    </row>
    <row r="7442" spans="1:5">
      <c r="A7442" s="59">
        <v>15</v>
      </c>
      <c r="B7442" s="59">
        <v>15</v>
      </c>
      <c r="C7442" s="59">
        <v>610</v>
      </c>
      <c r="D7442" s="51">
        <v>4</v>
      </c>
      <c r="E7442" s="51">
        <f t="shared" si="116"/>
        <v>1</v>
      </c>
    </row>
    <row r="7443" spans="1:5">
      <c r="A7443" s="59">
        <v>15</v>
      </c>
      <c r="B7443" s="59">
        <v>15</v>
      </c>
      <c r="C7443" s="59">
        <v>950</v>
      </c>
      <c r="D7443" s="51">
        <v>4</v>
      </c>
      <c r="E7443" s="51">
        <f t="shared" si="116"/>
        <v>1</v>
      </c>
    </row>
    <row r="7444" spans="1:5">
      <c r="A7444" s="59">
        <v>15</v>
      </c>
      <c r="B7444" s="59">
        <v>16</v>
      </c>
      <c r="C7444" s="59">
        <v>430</v>
      </c>
      <c r="D7444" s="51">
        <v>4</v>
      </c>
      <c r="E7444" s="51">
        <f t="shared" si="116"/>
        <v>1</v>
      </c>
    </row>
    <row r="7445" spans="1:5">
      <c r="A7445" s="59">
        <v>15</v>
      </c>
      <c r="B7445" s="59">
        <v>22</v>
      </c>
      <c r="C7445" s="59">
        <v>960</v>
      </c>
      <c r="D7445" s="51">
        <v>4</v>
      </c>
      <c r="E7445" s="51">
        <f t="shared" si="116"/>
        <v>1</v>
      </c>
    </row>
    <row r="7446" spans="1:5">
      <c r="A7446" s="59">
        <v>15</v>
      </c>
      <c r="B7446" s="59">
        <v>22</v>
      </c>
      <c r="C7446" s="59">
        <v>970</v>
      </c>
      <c r="D7446" s="51">
        <v>4</v>
      </c>
      <c r="E7446" s="51">
        <f t="shared" si="116"/>
        <v>1</v>
      </c>
    </row>
    <row r="7447" spans="1:5">
      <c r="A7447" s="59">
        <v>15</v>
      </c>
      <c r="B7447" s="59">
        <v>23</v>
      </c>
      <c r="C7447" s="59">
        <v>150</v>
      </c>
      <c r="D7447" s="51">
        <v>4</v>
      </c>
      <c r="E7447" s="51">
        <f t="shared" si="116"/>
        <v>1</v>
      </c>
    </row>
    <row r="7448" spans="1:5">
      <c r="A7448" s="59">
        <v>15</v>
      </c>
      <c r="B7448" s="59">
        <v>32</v>
      </c>
      <c r="C7448" s="59">
        <v>530</v>
      </c>
      <c r="D7448" s="51">
        <v>4</v>
      </c>
      <c r="E7448" s="51">
        <f t="shared" si="116"/>
        <v>1</v>
      </c>
    </row>
    <row r="7449" spans="1:5">
      <c r="A7449" s="59">
        <v>15</v>
      </c>
      <c r="B7449" s="59">
        <v>33</v>
      </c>
      <c r="C7449" s="59">
        <v>610</v>
      </c>
      <c r="D7449" s="51">
        <v>4</v>
      </c>
      <c r="E7449" s="51">
        <f t="shared" si="116"/>
        <v>1</v>
      </c>
    </row>
    <row r="7450" spans="1:5">
      <c r="A7450" s="59">
        <v>15</v>
      </c>
      <c r="B7450" s="59">
        <v>33</v>
      </c>
      <c r="C7450" s="59">
        <v>730</v>
      </c>
      <c r="D7450" s="51">
        <v>4</v>
      </c>
      <c r="E7450" s="51">
        <f t="shared" si="116"/>
        <v>1</v>
      </c>
    </row>
    <row r="7451" spans="1:5">
      <c r="A7451" s="59">
        <v>15</v>
      </c>
      <c r="B7451" s="59">
        <v>33</v>
      </c>
      <c r="C7451" s="59">
        <v>940</v>
      </c>
      <c r="D7451" s="51">
        <v>4</v>
      </c>
      <c r="E7451" s="51">
        <f t="shared" si="116"/>
        <v>1</v>
      </c>
    </row>
    <row r="7452" spans="1:5">
      <c r="A7452" s="59">
        <v>15</v>
      </c>
      <c r="B7452" s="59">
        <v>43</v>
      </c>
      <c r="C7452" s="59">
        <v>710</v>
      </c>
      <c r="D7452" s="51">
        <v>4</v>
      </c>
      <c r="E7452" s="51">
        <f t="shared" si="116"/>
        <v>1</v>
      </c>
    </row>
    <row r="7453" spans="1:5">
      <c r="A7453" s="59">
        <v>15</v>
      </c>
      <c r="B7453" s="59">
        <v>44</v>
      </c>
      <c r="C7453" s="59">
        <v>220</v>
      </c>
      <c r="D7453" s="51">
        <v>4</v>
      </c>
      <c r="E7453" s="51">
        <f t="shared" si="116"/>
        <v>1</v>
      </c>
    </row>
    <row r="7454" spans="1:5">
      <c r="A7454" s="59">
        <v>15</v>
      </c>
      <c r="B7454" s="59">
        <v>62</v>
      </c>
      <c r="C7454" s="59">
        <v>220</v>
      </c>
      <c r="D7454" s="51">
        <v>4</v>
      </c>
      <c r="E7454" s="51">
        <f t="shared" si="116"/>
        <v>1</v>
      </c>
    </row>
    <row r="7455" spans="1:5">
      <c r="A7455" s="59">
        <v>15</v>
      </c>
      <c r="B7455" s="59">
        <v>63</v>
      </c>
      <c r="C7455" s="59">
        <v>150</v>
      </c>
      <c r="D7455" s="51">
        <v>4</v>
      </c>
      <c r="E7455" s="51">
        <f t="shared" si="116"/>
        <v>1</v>
      </c>
    </row>
    <row r="7456" spans="1:5">
      <c r="A7456" s="59">
        <v>15</v>
      </c>
      <c r="B7456" s="59">
        <v>63</v>
      </c>
      <c r="C7456" s="59">
        <v>970</v>
      </c>
      <c r="D7456" s="51">
        <v>4</v>
      </c>
      <c r="E7456" s="51">
        <f t="shared" si="116"/>
        <v>1</v>
      </c>
    </row>
    <row r="7457" spans="1:5">
      <c r="A7457" s="59">
        <v>15</v>
      </c>
      <c r="B7457" s="59">
        <v>71</v>
      </c>
      <c r="C7457" s="59">
        <v>110</v>
      </c>
      <c r="D7457" s="51">
        <v>4</v>
      </c>
      <c r="E7457" s="51">
        <f t="shared" si="116"/>
        <v>1</v>
      </c>
    </row>
    <row r="7458" spans="1:5">
      <c r="A7458" s="59">
        <v>15</v>
      </c>
      <c r="B7458" s="59">
        <v>81</v>
      </c>
      <c r="C7458" s="59">
        <v>610</v>
      </c>
      <c r="D7458" s="51">
        <v>4</v>
      </c>
      <c r="E7458" s="51">
        <f t="shared" si="116"/>
        <v>1</v>
      </c>
    </row>
    <row r="7459" spans="1:5">
      <c r="A7459" s="59">
        <v>15</v>
      </c>
      <c r="B7459" s="59">
        <v>13</v>
      </c>
      <c r="C7459" s="59">
        <v>940</v>
      </c>
      <c r="D7459" s="51">
        <v>3</v>
      </c>
      <c r="E7459" s="51">
        <f t="shared" si="116"/>
        <v>1</v>
      </c>
    </row>
    <row r="7460" spans="1:5">
      <c r="A7460" s="59">
        <v>15</v>
      </c>
      <c r="B7460" s="59">
        <v>15</v>
      </c>
      <c r="C7460" s="59">
        <v>320</v>
      </c>
      <c r="D7460" s="51">
        <v>3</v>
      </c>
      <c r="E7460" s="51">
        <f t="shared" si="116"/>
        <v>1</v>
      </c>
    </row>
    <row r="7461" spans="1:5">
      <c r="A7461" s="59">
        <v>15</v>
      </c>
      <c r="B7461" s="59">
        <v>15</v>
      </c>
      <c r="C7461" s="59">
        <v>510</v>
      </c>
      <c r="D7461" s="51">
        <v>3</v>
      </c>
      <c r="E7461" s="51">
        <f t="shared" si="116"/>
        <v>1</v>
      </c>
    </row>
    <row r="7462" spans="1:5">
      <c r="A7462" s="59">
        <v>15</v>
      </c>
      <c r="B7462" s="59">
        <v>16</v>
      </c>
      <c r="C7462" s="59">
        <v>530</v>
      </c>
      <c r="D7462" s="51">
        <v>3</v>
      </c>
      <c r="E7462" s="51">
        <f t="shared" si="116"/>
        <v>1</v>
      </c>
    </row>
    <row r="7463" spans="1:5">
      <c r="A7463" s="59">
        <v>15</v>
      </c>
      <c r="B7463" s="59">
        <v>22</v>
      </c>
      <c r="C7463" s="59">
        <v>430</v>
      </c>
      <c r="D7463" s="51">
        <v>3</v>
      </c>
      <c r="E7463" s="51">
        <f t="shared" si="116"/>
        <v>1</v>
      </c>
    </row>
    <row r="7464" spans="1:5">
      <c r="A7464" s="59">
        <v>15</v>
      </c>
      <c r="B7464" s="59">
        <v>22</v>
      </c>
      <c r="C7464" s="59">
        <v>920</v>
      </c>
      <c r="D7464" s="51">
        <v>3</v>
      </c>
      <c r="E7464" s="51">
        <f t="shared" si="116"/>
        <v>1</v>
      </c>
    </row>
    <row r="7465" spans="1:5">
      <c r="A7465" s="59">
        <v>15</v>
      </c>
      <c r="B7465" s="59">
        <v>23</v>
      </c>
      <c r="C7465" s="59">
        <v>110</v>
      </c>
      <c r="D7465" s="51">
        <v>3</v>
      </c>
      <c r="E7465" s="51">
        <f t="shared" si="116"/>
        <v>1</v>
      </c>
    </row>
    <row r="7466" spans="1:5">
      <c r="A7466" s="59">
        <v>15</v>
      </c>
      <c r="B7466" s="59">
        <v>23</v>
      </c>
      <c r="C7466" s="59">
        <v>310</v>
      </c>
      <c r="D7466" s="51">
        <v>3</v>
      </c>
      <c r="E7466" s="51">
        <f t="shared" si="116"/>
        <v>1</v>
      </c>
    </row>
    <row r="7467" spans="1:5">
      <c r="A7467" s="59">
        <v>15</v>
      </c>
      <c r="B7467" s="59">
        <v>31</v>
      </c>
      <c r="C7467" s="59">
        <v>420</v>
      </c>
      <c r="D7467" s="51">
        <v>3</v>
      </c>
      <c r="E7467" s="51">
        <f t="shared" si="116"/>
        <v>1</v>
      </c>
    </row>
    <row r="7468" spans="1:5">
      <c r="A7468" s="59">
        <v>15</v>
      </c>
      <c r="B7468" s="59">
        <v>32</v>
      </c>
      <c r="C7468" s="59">
        <v>720</v>
      </c>
      <c r="D7468" s="51">
        <v>3</v>
      </c>
      <c r="E7468" s="51">
        <f t="shared" si="116"/>
        <v>1</v>
      </c>
    </row>
    <row r="7469" spans="1:5">
      <c r="A7469" s="59">
        <v>15</v>
      </c>
      <c r="B7469" s="59">
        <v>33</v>
      </c>
      <c r="C7469" s="59">
        <v>720</v>
      </c>
      <c r="D7469" s="51">
        <v>3</v>
      </c>
      <c r="E7469" s="51">
        <f t="shared" si="116"/>
        <v>1</v>
      </c>
    </row>
    <row r="7470" spans="1:5">
      <c r="A7470" s="59">
        <v>15</v>
      </c>
      <c r="B7470" s="59">
        <v>33</v>
      </c>
      <c r="C7470" s="59">
        <v>990</v>
      </c>
      <c r="D7470" s="51">
        <v>3</v>
      </c>
      <c r="E7470" s="51">
        <f t="shared" si="116"/>
        <v>1</v>
      </c>
    </row>
    <row r="7471" spans="1:5">
      <c r="A7471" s="59">
        <v>15</v>
      </c>
      <c r="B7471" s="59">
        <v>41</v>
      </c>
      <c r="C7471" s="59">
        <v>110</v>
      </c>
      <c r="D7471" s="51">
        <v>3</v>
      </c>
      <c r="E7471" s="51">
        <f t="shared" si="116"/>
        <v>1</v>
      </c>
    </row>
    <row r="7472" spans="1:5">
      <c r="A7472" s="59">
        <v>15</v>
      </c>
      <c r="B7472" s="59">
        <v>41</v>
      </c>
      <c r="C7472" s="59">
        <v>520</v>
      </c>
      <c r="D7472" s="51">
        <v>3</v>
      </c>
      <c r="E7472" s="51">
        <f t="shared" si="116"/>
        <v>1</v>
      </c>
    </row>
    <row r="7473" spans="1:5">
      <c r="A7473" s="59">
        <v>15</v>
      </c>
      <c r="B7473" s="59">
        <v>42</v>
      </c>
      <c r="C7473" s="59">
        <v>160</v>
      </c>
      <c r="D7473" s="51">
        <v>3</v>
      </c>
      <c r="E7473" s="51">
        <f t="shared" si="116"/>
        <v>1</v>
      </c>
    </row>
    <row r="7474" spans="1:5">
      <c r="A7474" s="59">
        <v>15</v>
      </c>
      <c r="B7474" s="59">
        <v>42</v>
      </c>
      <c r="C7474" s="59">
        <v>320</v>
      </c>
      <c r="D7474" s="51">
        <v>3</v>
      </c>
      <c r="E7474" s="51">
        <f t="shared" si="116"/>
        <v>1</v>
      </c>
    </row>
    <row r="7475" spans="1:5">
      <c r="A7475" s="59">
        <v>15</v>
      </c>
      <c r="B7475" s="59">
        <v>42</v>
      </c>
      <c r="C7475" s="59">
        <v>330</v>
      </c>
      <c r="D7475" s="51">
        <v>3</v>
      </c>
      <c r="E7475" s="51">
        <f t="shared" si="116"/>
        <v>1</v>
      </c>
    </row>
    <row r="7476" spans="1:5">
      <c r="A7476" s="59">
        <v>15</v>
      </c>
      <c r="B7476" s="59">
        <v>43</v>
      </c>
      <c r="C7476" s="59">
        <v>130</v>
      </c>
      <c r="D7476" s="51">
        <v>3</v>
      </c>
      <c r="E7476" s="51">
        <f t="shared" si="116"/>
        <v>1</v>
      </c>
    </row>
    <row r="7477" spans="1:5">
      <c r="A7477" s="59">
        <v>15</v>
      </c>
      <c r="B7477" s="59">
        <v>43</v>
      </c>
      <c r="C7477" s="59">
        <v>840</v>
      </c>
      <c r="D7477" s="51">
        <v>3</v>
      </c>
      <c r="E7477" s="51">
        <f t="shared" si="116"/>
        <v>1</v>
      </c>
    </row>
    <row r="7478" spans="1:5">
      <c r="A7478" s="59">
        <v>15</v>
      </c>
      <c r="B7478" s="59">
        <v>44</v>
      </c>
      <c r="C7478" s="59">
        <v>240</v>
      </c>
      <c r="D7478" s="51">
        <v>3</v>
      </c>
      <c r="E7478" s="51">
        <f t="shared" si="116"/>
        <v>1</v>
      </c>
    </row>
    <row r="7479" spans="1:5">
      <c r="A7479" s="59">
        <v>15</v>
      </c>
      <c r="B7479" s="59">
        <v>62</v>
      </c>
      <c r="C7479" s="59">
        <v>150</v>
      </c>
      <c r="D7479" s="51">
        <v>3</v>
      </c>
      <c r="E7479" s="51">
        <f t="shared" si="116"/>
        <v>1</v>
      </c>
    </row>
    <row r="7480" spans="1:5">
      <c r="A7480" s="59">
        <v>15</v>
      </c>
      <c r="B7480" s="59">
        <v>62</v>
      </c>
      <c r="C7480" s="59">
        <v>960</v>
      </c>
      <c r="D7480" s="51">
        <v>3</v>
      </c>
      <c r="E7480" s="51">
        <f t="shared" si="116"/>
        <v>1</v>
      </c>
    </row>
    <row r="7481" spans="1:5">
      <c r="A7481" s="59">
        <v>15</v>
      </c>
      <c r="B7481" s="59">
        <v>64</v>
      </c>
      <c r="C7481" s="59">
        <v>320</v>
      </c>
      <c r="D7481" s="51">
        <v>3</v>
      </c>
      <c r="E7481" s="51">
        <f t="shared" si="116"/>
        <v>1</v>
      </c>
    </row>
    <row r="7482" spans="1:5">
      <c r="A7482" s="59">
        <v>15</v>
      </c>
      <c r="B7482" s="59">
        <v>64</v>
      </c>
      <c r="C7482" s="59">
        <v>540</v>
      </c>
      <c r="D7482" s="51">
        <v>3</v>
      </c>
      <c r="E7482" s="51">
        <f t="shared" si="116"/>
        <v>1</v>
      </c>
    </row>
    <row r="7483" spans="1:5">
      <c r="A7483" s="59">
        <v>15</v>
      </c>
      <c r="B7483" s="59">
        <v>64</v>
      </c>
      <c r="C7483" s="59">
        <v>740</v>
      </c>
      <c r="D7483" s="51">
        <v>3</v>
      </c>
      <c r="E7483" s="51">
        <f t="shared" si="116"/>
        <v>1</v>
      </c>
    </row>
    <row r="7484" spans="1:5">
      <c r="A7484" s="59">
        <v>15</v>
      </c>
      <c r="B7484" s="59">
        <v>64</v>
      </c>
      <c r="C7484" s="59">
        <v>970</v>
      </c>
      <c r="D7484" s="51">
        <v>3</v>
      </c>
      <c r="E7484" s="51">
        <f t="shared" si="116"/>
        <v>1</v>
      </c>
    </row>
    <row r="7485" spans="1:5">
      <c r="A7485" s="59">
        <v>15</v>
      </c>
      <c r="B7485" s="59">
        <v>71</v>
      </c>
      <c r="C7485" s="59">
        <v>410</v>
      </c>
      <c r="D7485" s="51">
        <v>3</v>
      </c>
      <c r="E7485" s="51">
        <f t="shared" si="116"/>
        <v>1</v>
      </c>
    </row>
    <row r="7486" spans="1:5">
      <c r="A7486" s="59">
        <v>15</v>
      </c>
      <c r="B7486" s="59">
        <v>71</v>
      </c>
      <c r="C7486" s="59">
        <v>520</v>
      </c>
      <c r="D7486" s="51">
        <v>3</v>
      </c>
      <c r="E7486" s="51">
        <f t="shared" si="116"/>
        <v>1</v>
      </c>
    </row>
    <row r="7487" spans="1:5">
      <c r="A7487" s="59">
        <v>15</v>
      </c>
      <c r="B7487" s="59">
        <v>14</v>
      </c>
      <c r="C7487" s="59">
        <v>410</v>
      </c>
      <c r="D7487" s="51">
        <v>2</v>
      </c>
      <c r="E7487" s="51">
        <f t="shared" si="116"/>
        <v>1</v>
      </c>
    </row>
    <row r="7488" spans="1:5">
      <c r="A7488" s="59">
        <v>15</v>
      </c>
      <c r="B7488" s="59">
        <v>14</v>
      </c>
      <c r="C7488" s="59">
        <v>520</v>
      </c>
      <c r="D7488" s="51">
        <v>2</v>
      </c>
      <c r="E7488" s="51">
        <f t="shared" si="116"/>
        <v>1</v>
      </c>
    </row>
    <row r="7489" spans="1:5">
      <c r="A7489" s="59">
        <v>15</v>
      </c>
      <c r="B7489" s="59">
        <v>15</v>
      </c>
      <c r="C7489" s="59">
        <v>310</v>
      </c>
      <c r="D7489" s="51">
        <v>2</v>
      </c>
      <c r="E7489" s="51">
        <f t="shared" si="116"/>
        <v>1</v>
      </c>
    </row>
    <row r="7490" spans="1:5">
      <c r="A7490" s="59">
        <v>15</v>
      </c>
      <c r="B7490" s="59">
        <v>15</v>
      </c>
      <c r="C7490" s="59">
        <v>410</v>
      </c>
      <c r="D7490" s="51">
        <v>2</v>
      </c>
      <c r="E7490" s="51">
        <f t="shared" ref="E7490:E7553" si="117">IF(OR(A7490=6,A7490=7,A7490=14,A7490=15,A7490=16,A7490=17,A7490=18,A7490=19,A7490=20,A7490=21,A7490=22,A7490=23,A7490=25,A7490=26,A7490=27,A7490=28,B7490=41,B7490=44,B7490=62),1,0)</f>
        <v>1</v>
      </c>
    </row>
    <row r="7491" spans="1:5">
      <c r="A7491" s="59">
        <v>15</v>
      </c>
      <c r="B7491" s="59">
        <v>16</v>
      </c>
      <c r="C7491" s="59">
        <v>410</v>
      </c>
      <c r="D7491" s="51">
        <v>2</v>
      </c>
      <c r="E7491" s="51">
        <f t="shared" si="117"/>
        <v>1</v>
      </c>
    </row>
    <row r="7492" spans="1:5">
      <c r="A7492" s="59">
        <v>15</v>
      </c>
      <c r="B7492" s="59">
        <v>16</v>
      </c>
      <c r="C7492" s="59">
        <v>920</v>
      </c>
      <c r="D7492" s="51">
        <v>2</v>
      </c>
      <c r="E7492" s="51">
        <f t="shared" si="117"/>
        <v>1</v>
      </c>
    </row>
    <row r="7493" spans="1:5">
      <c r="A7493" s="59">
        <v>15</v>
      </c>
      <c r="B7493" s="59">
        <v>21</v>
      </c>
      <c r="C7493" s="59">
        <v>110</v>
      </c>
      <c r="D7493" s="51">
        <v>2</v>
      </c>
      <c r="E7493" s="51">
        <f t="shared" si="117"/>
        <v>1</v>
      </c>
    </row>
    <row r="7494" spans="1:5">
      <c r="A7494" s="59">
        <v>15</v>
      </c>
      <c r="B7494" s="59">
        <v>21</v>
      </c>
      <c r="C7494" s="59">
        <v>220</v>
      </c>
      <c r="D7494" s="51">
        <v>2</v>
      </c>
      <c r="E7494" s="51">
        <f t="shared" si="117"/>
        <v>1</v>
      </c>
    </row>
    <row r="7495" spans="1:5">
      <c r="A7495" s="59">
        <v>15</v>
      </c>
      <c r="B7495" s="59">
        <v>22</v>
      </c>
      <c r="C7495" s="59">
        <v>140</v>
      </c>
      <c r="D7495" s="51">
        <v>2</v>
      </c>
      <c r="E7495" s="51">
        <f t="shared" si="117"/>
        <v>1</v>
      </c>
    </row>
    <row r="7496" spans="1:5">
      <c r="A7496" s="59">
        <v>15</v>
      </c>
      <c r="B7496" s="59">
        <v>22</v>
      </c>
      <c r="C7496" s="59">
        <v>410</v>
      </c>
      <c r="D7496" s="51">
        <v>2</v>
      </c>
      <c r="E7496" s="51">
        <f t="shared" si="117"/>
        <v>1</v>
      </c>
    </row>
    <row r="7497" spans="1:5">
      <c r="A7497" s="59">
        <v>15</v>
      </c>
      <c r="B7497" s="59">
        <v>22</v>
      </c>
      <c r="C7497" s="59">
        <v>420</v>
      </c>
      <c r="D7497" s="51">
        <v>2</v>
      </c>
      <c r="E7497" s="51">
        <f t="shared" si="117"/>
        <v>1</v>
      </c>
    </row>
    <row r="7498" spans="1:5">
      <c r="A7498" s="59">
        <v>15</v>
      </c>
      <c r="B7498" s="59">
        <v>23</v>
      </c>
      <c r="C7498" s="59">
        <v>140</v>
      </c>
      <c r="D7498" s="51">
        <v>2</v>
      </c>
      <c r="E7498" s="51">
        <f t="shared" si="117"/>
        <v>1</v>
      </c>
    </row>
    <row r="7499" spans="1:5">
      <c r="A7499" s="59">
        <v>15</v>
      </c>
      <c r="B7499" s="59">
        <v>23</v>
      </c>
      <c r="C7499" s="59">
        <v>210</v>
      </c>
      <c r="D7499" s="51">
        <v>2</v>
      </c>
      <c r="E7499" s="51">
        <f t="shared" si="117"/>
        <v>1</v>
      </c>
    </row>
    <row r="7500" spans="1:5">
      <c r="A7500" s="59">
        <v>15</v>
      </c>
      <c r="B7500" s="59">
        <v>23</v>
      </c>
      <c r="C7500" s="59">
        <v>230</v>
      </c>
      <c r="D7500" s="51">
        <v>2</v>
      </c>
      <c r="E7500" s="51">
        <f t="shared" si="117"/>
        <v>1</v>
      </c>
    </row>
    <row r="7501" spans="1:5">
      <c r="A7501" s="59">
        <v>15</v>
      </c>
      <c r="B7501" s="59">
        <v>23</v>
      </c>
      <c r="C7501" s="59">
        <v>240</v>
      </c>
      <c r="D7501" s="51">
        <v>2</v>
      </c>
      <c r="E7501" s="51">
        <f t="shared" si="117"/>
        <v>1</v>
      </c>
    </row>
    <row r="7502" spans="1:5">
      <c r="A7502" s="59">
        <v>15</v>
      </c>
      <c r="B7502" s="59">
        <v>23</v>
      </c>
      <c r="C7502" s="59">
        <v>510</v>
      </c>
      <c r="D7502" s="51">
        <v>2</v>
      </c>
      <c r="E7502" s="51">
        <f t="shared" si="117"/>
        <v>1</v>
      </c>
    </row>
    <row r="7503" spans="1:5">
      <c r="A7503" s="59">
        <v>15</v>
      </c>
      <c r="B7503" s="59">
        <v>23</v>
      </c>
      <c r="C7503" s="59">
        <v>990</v>
      </c>
      <c r="D7503" s="51">
        <v>2</v>
      </c>
      <c r="E7503" s="51">
        <f t="shared" si="117"/>
        <v>1</v>
      </c>
    </row>
    <row r="7504" spans="1:5">
      <c r="A7504" s="59">
        <v>15</v>
      </c>
      <c r="B7504" s="59">
        <v>24</v>
      </c>
      <c r="C7504" s="59">
        <v>210</v>
      </c>
      <c r="D7504" s="51">
        <v>2</v>
      </c>
      <c r="E7504" s="51">
        <f t="shared" si="117"/>
        <v>1</v>
      </c>
    </row>
    <row r="7505" spans="1:5">
      <c r="A7505" s="59">
        <v>15</v>
      </c>
      <c r="B7505" s="59">
        <v>31</v>
      </c>
      <c r="C7505" s="59">
        <v>960</v>
      </c>
      <c r="D7505" s="51">
        <v>2</v>
      </c>
      <c r="E7505" s="51">
        <f t="shared" si="117"/>
        <v>1</v>
      </c>
    </row>
    <row r="7506" spans="1:5">
      <c r="A7506" s="59">
        <v>15</v>
      </c>
      <c r="B7506" s="59">
        <v>32</v>
      </c>
      <c r="C7506" s="59">
        <v>240</v>
      </c>
      <c r="D7506" s="51">
        <v>2</v>
      </c>
      <c r="E7506" s="51">
        <f t="shared" si="117"/>
        <v>1</v>
      </c>
    </row>
    <row r="7507" spans="1:5">
      <c r="A7507" s="59">
        <v>15</v>
      </c>
      <c r="B7507" s="59">
        <v>32</v>
      </c>
      <c r="C7507" s="59">
        <v>730</v>
      </c>
      <c r="D7507" s="51">
        <v>2</v>
      </c>
      <c r="E7507" s="51">
        <f t="shared" si="117"/>
        <v>1</v>
      </c>
    </row>
    <row r="7508" spans="1:5">
      <c r="A7508" s="59">
        <v>15</v>
      </c>
      <c r="B7508" s="59">
        <v>32</v>
      </c>
      <c r="C7508" s="59">
        <v>930</v>
      </c>
      <c r="D7508" s="51">
        <v>2</v>
      </c>
      <c r="E7508" s="51">
        <f t="shared" si="117"/>
        <v>1</v>
      </c>
    </row>
    <row r="7509" spans="1:5">
      <c r="A7509" s="59">
        <v>15</v>
      </c>
      <c r="B7509" s="59">
        <v>32</v>
      </c>
      <c r="C7509" s="59">
        <v>940</v>
      </c>
      <c r="D7509" s="51">
        <v>2</v>
      </c>
      <c r="E7509" s="51">
        <f t="shared" si="117"/>
        <v>1</v>
      </c>
    </row>
    <row r="7510" spans="1:5">
      <c r="A7510" s="59">
        <v>15</v>
      </c>
      <c r="B7510" s="59">
        <v>33</v>
      </c>
      <c r="C7510" s="59">
        <v>230</v>
      </c>
      <c r="D7510" s="51">
        <v>2</v>
      </c>
      <c r="E7510" s="51">
        <f t="shared" si="117"/>
        <v>1</v>
      </c>
    </row>
    <row r="7511" spans="1:5">
      <c r="A7511" s="59">
        <v>15</v>
      </c>
      <c r="B7511" s="59">
        <v>33</v>
      </c>
      <c r="C7511" s="59">
        <v>330</v>
      </c>
      <c r="D7511" s="51">
        <v>2</v>
      </c>
      <c r="E7511" s="51">
        <f t="shared" si="117"/>
        <v>1</v>
      </c>
    </row>
    <row r="7512" spans="1:5">
      <c r="A7512" s="59">
        <v>15</v>
      </c>
      <c r="B7512" s="59">
        <v>33</v>
      </c>
      <c r="C7512" s="59">
        <v>530</v>
      </c>
      <c r="D7512" s="51">
        <v>2</v>
      </c>
      <c r="E7512" s="51">
        <f t="shared" si="117"/>
        <v>1</v>
      </c>
    </row>
    <row r="7513" spans="1:5">
      <c r="A7513" s="59">
        <v>15</v>
      </c>
      <c r="B7513" s="59">
        <v>41</v>
      </c>
      <c r="C7513" s="59">
        <v>620</v>
      </c>
      <c r="D7513" s="51">
        <v>2</v>
      </c>
      <c r="E7513" s="51">
        <f t="shared" si="117"/>
        <v>1</v>
      </c>
    </row>
    <row r="7514" spans="1:5">
      <c r="A7514" s="59">
        <v>15</v>
      </c>
      <c r="B7514" s="59">
        <v>41</v>
      </c>
      <c r="C7514" s="59">
        <v>710</v>
      </c>
      <c r="D7514" s="51">
        <v>2</v>
      </c>
      <c r="E7514" s="51">
        <f t="shared" si="117"/>
        <v>1</v>
      </c>
    </row>
    <row r="7515" spans="1:5">
      <c r="A7515" s="59">
        <v>15</v>
      </c>
      <c r="B7515" s="59">
        <v>42</v>
      </c>
      <c r="C7515" s="59">
        <v>150</v>
      </c>
      <c r="D7515" s="51">
        <v>2</v>
      </c>
      <c r="E7515" s="51">
        <f t="shared" si="117"/>
        <v>1</v>
      </c>
    </row>
    <row r="7516" spans="1:5">
      <c r="A7516" s="59">
        <v>15</v>
      </c>
      <c r="B7516" s="59">
        <v>43</v>
      </c>
      <c r="C7516" s="59">
        <v>140</v>
      </c>
      <c r="D7516" s="51">
        <v>2</v>
      </c>
      <c r="E7516" s="51">
        <f t="shared" si="117"/>
        <v>1</v>
      </c>
    </row>
    <row r="7517" spans="1:5">
      <c r="A7517" s="59">
        <v>15</v>
      </c>
      <c r="B7517" s="59">
        <v>43</v>
      </c>
      <c r="C7517" s="59">
        <v>892</v>
      </c>
      <c r="D7517" s="51">
        <v>2</v>
      </c>
      <c r="E7517" s="51">
        <f t="shared" si="117"/>
        <v>1</v>
      </c>
    </row>
    <row r="7518" spans="1:5">
      <c r="A7518" s="59">
        <v>15</v>
      </c>
      <c r="B7518" s="59">
        <v>43</v>
      </c>
      <c r="C7518" s="59">
        <v>895</v>
      </c>
      <c r="D7518" s="51">
        <v>2</v>
      </c>
      <c r="E7518" s="51">
        <f t="shared" si="117"/>
        <v>1</v>
      </c>
    </row>
    <row r="7519" spans="1:5">
      <c r="A7519" s="59">
        <v>15</v>
      </c>
      <c r="B7519" s="59">
        <v>44</v>
      </c>
      <c r="C7519" s="59">
        <v>310</v>
      </c>
      <c r="D7519" s="51">
        <v>2</v>
      </c>
      <c r="E7519" s="51">
        <f t="shared" si="117"/>
        <v>1</v>
      </c>
    </row>
    <row r="7520" spans="1:5">
      <c r="A7520" s="59">
        <v>15</v>
      </c>
      <c r="B7520" s="59">
        <v>44</v>
      </c>
      <c r="C7520" s="59">
        <v>420</v>
      </c>
      <c r="D7520" s="51">
        <v>2</v>
      </c>
      <c r="E7520" s="51">
        <f t="shared" si="117"/>
        <v>1</v>
      </c>
    </row>
    <row r="7521" spans="1:5">
      <c r="A7521" s="59">
        <v>15</v>
      </c>
      <c r="B7521" s="59">
        <v>44</v>
      </c>
      <c r="C7521" s="59">
        <v>892</v>
      </c>
      <c r="D7521" s="51">
        <v>2</v>
      </c>
      <c r="E7521" s="51">
        <f t="shared" si="117"/>
        <v>1</v>
      </c>
    </row>
    <row r="7522" spans="1:5">
      <c r="A7522" s="59">
        <v>15</v>
      </c>
      <c r="B7522" s="59">
        <v>44</v>
      </c>
      <c r="C7522" s="59">
        <v>940</v>
      </c>
      <c r="D7522" s="51">
        <v>2</v>
      </c>
      <c r="E7522" s="51">
        <f t="shared" si="117"/>
        <v>1</v>
      </c>
    </row>
    <row r="7523" spans="1:5">
      <c r="A7523" s="59">
        <v>15</v>
      </c>
      <c r="B7523" s="59">
        <v>44</v>
      </c>
      <c r="C7523" s="59">
        <v>970</v>
      </c>
      <c r="D7523" s="51">
        <v>2</v>
      </c>
      <c r="E7523" s="51">
        <f t="shared" si="117"/>
        <v>1</v>
      </c>
    </row>
    <row r="7524" spans="1:5">
      <c r="A7524" s="59">
        <v>15</v>
      </c>
      <c r="B7524" s="59">
        <v>51</v>
      </c>
      <c r="C7524" s="59">
        <v>910</v>
      </c>
      <c r="D7524" s="51">
        <v>2</v>
      </c>
      <c r="E7524" s="51">
        <f t="shared" si="117"/>
        <v>1</v>
      </c>
    </row>
    <row r="7525" spans="1:5">
      <c r="A7525" s="59">
        <v>15</v>
      </c>
      <c r="B7525" s="59">
        <v>62</v>
      </c>
      <c r="C7525" s="59">
        <v>410</v>
      </c>
      <c r="D7525" s="51">
        <v>2</v>
      </c>
      <c r="E7525" s="51">
        <f t="shared" si="117"/>
        <v>1</v>
      </c>
    </row>
    <row r="7526" spans="1:5">
      <c r="A7526" s="59">
        <v>15</v>
      </c>
      <c r="B7526" s="59">
        <v>62</v>
      </c>
      <c r="C7526" s="59">
        <v>420</v>
      </c>
      <c r="D7526" s="51">
        <v>2</v>
      </c>
      <c r="E7526" s="51">
        <f t="shared" si="117"/>
        <v>1</v>
      </c>
    </row>
    <row r="7527" spans="1:5">
      <c r="A7527" s="59">
        <v>15</v>
      </c>
      <c r="B7527" s="59">
        <v>62</v>
      </c>
      <c r="C7527" s="59">
        <v>630</v>
      </c>
      <c r="D7527" s="51">
        <v>2</v>
      </c>
      <c r="E7527" s="51">
        <f t="shared" si="117"/>
        <v>1</v>
      </c>
    </row>
    <row r="7528" spans="1:5">
      <c r="A7528" s="59">
        <v>15</v>
      </c>
      <c r="B7528" s="59">
        <v>63</v>
      </c>
      <c r="C7528" s="59">
        <v>220</v>
      </c>
      <c r="D7528" s="51">
        <v>2</v>
      </c>
      <c r="E7528" s="51">
        <f t="shared" si="117"/>
        <v>1</v>
      </c>
    </row>
    <row r="7529" spans="1:5">
      <c r="A7529" s="59">
        <v>15</v>
      </c>
      <c r="B7529" s="59">
        <v>63</v>
      </c>
      <c r="C7529" s="59">
        <v>410</v>
      </c>
      <c r="D7529" s="51">
        <v>2</v>
      </c>
      <c r="E7529" s="51">
        <f t="shared" si="117"/>
        <v>1</v>
      </c>
    </row>
    <row r="7530" spans="1:5">
      <c r="A7530" s="59">
        <v>15</v>
      </c>
      <c r="B7530" s="59">
        <v>63</v>
      </c>
      <c r="C7530" s="59">
        <v>550</v>
      </c>
      <c r="D7530" s="51">
        <v>2</v>
      </c>
      <c r="E7530" s="51">
        <f t="shared" si="117"/>
        <v>1</v>
      </c>
    </row>
    <row r="7531" spans="1:5">
      <c r="A7531" s="59">
        <v>15</v>
      </c>
      <c r="B7531" s="59">
        <v>64</v>
      </c>
      <c r="C7531" s="59">
        <v>330</v>
      </c>
      <c r="D7531" s="51">
        <v>2</v>
      </c>
      <c r="E7531" s="51">
        <f t="shared" si="117"/>
        <v>1</v>
      </c>
    </row>
    <row r="7532" spans="1:5">
      <c r="A7532" s="59">
        <v>15</v>
      </c>
      <c r="B7532" s="59">
        <v>64</v>
      </c>
      <c r="C7532" s="59">
        <v>550</v>
      </c>
      <c r="D7532" s="51">
        <v>2</v>
      </c>
      <c r="E7532" s="51">
        <f t="shared" si="117"/>
        <v>1</v>
      </c>
    </row>
    <row r="7533" spans="1:5">
      <c r="A7533" s="59">
        <v>15</v>
      </c>
      <c r="B7533" s="59">
        <v>71</v>
      </c>
      <c r="C7533" s="59">
        <v>990</v>
      </c>
      <c r="D7533" s="51">
        <v>2</v>
      </c>
      <c r="E7533" s="51">
        <f t="shared" si="117"/>
        <v>1</v>
      </c>
    </row>
    <row r="7534" spans="1:5">
      <c r="A7534" s="59">
        <v>15</v>
      </c>
      <c r="B7534" s="59">
        <v>81</v>
      </c>
      <c r="C7534" s="59">
        <v>110</v>
      </c>
      <c r="D7534" s="51">
        <v>2</v>
      </c>
      <c r="E7534" s="51">
        <f t="shared" si="117"/>
        <v>1</v>
      </c>
    </row>
    <row r="7535" spans="1:5">
      <c r="A7535" s="59">
        <v>15</v>
      </c>
      <c r="B7535" s="59">
        <v>81</v>
      </c>
      <c r="C7535" s="59">
        <v>160</v>
      </c>
      <c r="D7535" s="51">
        <v>2</v>
      </c>
      <c r="E7535" s="51">
        <f t="shared" si="117"/>
        <v>1</v>
      </c>
    </row>
    <row r="7536" spans="1:5">
      <c r="A7536" s="59">
        <v>15</v>
      </c>
      <c r="B7536" s="59">
        <v>81</v>
      </c>
      <c r="C7536" s="59">
        <v>620</v>
      </c>
      <c r="D7536" s="51">
        <v>2</v>
      </c>
      <c r="E7536" s="51">
        <f t="shared" si="117"/>
        <v>1</v>
      </c>
    </row>
    <row r="7537" spans="1:5">
      <c r="A7537" s="59">
        <v>15</v>
      </c>
      <c r="B7537" s="59">
        <v>11</v>
      </c>
      <c r="C7537" s="59">
        <v>910</v>
      </c>
      <c r="D7537" s="51">
        <v>1</v>
      </c>
      <c r="E7537" s="51">
        <f t="shared" si="117"/>
        <v>1</v>
      </c>
    </row>
    <row r="7538" spans="1:5">
      <c r="A7538" s="59">
        <v>15</v>
      </c>
      <c r="B7538" s="59">
        <v>13</v>
      </c>
      <c r="C7538" s="59">
        <v>710</v>
      </c>
      <c r="D7538" s="51">
        <v>1</v>
      </c>
      <c r="E7538" s="51">
        <f t="shared" si="117"/>
        <v>1</v>
      </c>
    </row>
    <row r="7539" spans="1:5">
      <c r="A7539" s="59">
        <v>15</v>
      </c>
      <c r="B7539" s="59">
        <v>13</v>
      </c>
      <c r="C7539" s="59">
        <v>750</v>
      </c>
      <c r="D7539" s="51">
        <v>1</v>
      </c>
      <c r="E7539" s="51">
        <f t="shared" si="117"/>
        <v>1</v>
      </c>
    </row>
    <row r="7540" spans="1:5">
      <c r="A7540" s="59">
        <v>15</v>
      </c>
      <c r="B7540" s="59">
        <v>13</v>
      </c>
      <c r="C7540" s="59">
        <v>960</v>
      </c>
      <c r="D7540" s="51">
        <v>1</v>
      </c>
      <c r="E7540" s="51">
        <f t="shared" si="117"/>
        <v>1</v>
      </c>
    </row>
    <row r="7541" spans="1:5">
      <c r="A7541" s="59">
        <v>15</v>
      </c>
      <c r="B7541" s="59">
        <v>14</v>
      </c>
      <c r="C7541" s="59">
        <v>120</v>
      </c>
      <c r="D7541" s="51">
        <v>1</v>
      </c>
      <c r="E7541" s="51">
        <f t="shared" si="117"/>
        <v>1</v>
      </c>
    </row>
    <row r="7542" spans="1:5">
      <c r="A7542" s="59">
        <v>15</v>
      </c>
      <c r="B7542" s="59">
        <v>14</v>
      </c>
      <c r="C7542" s="59">
        <v>420</v>
      </c>
      <c r="D7542" s="51">
        <v>1</v>
      </c>
      <c r="E7542" s="51">
        <f t="shared" si="117"/>
        <v>1</v>
      </c>
    </row>
    <row r="7543" spans="1:5">
      <c r="A7543" s="59">
        <v>15</v>
      </c>
      <c r="B7543" s="59">
        <v>15</v>
      </c>
      <c r="C7543" s="59">
        <v>130</v>
      </c>
      <c r="D7543" s="51">
        <v>1</v>
      </c>
      <c r="E7543" s="51">
        <f t="shared" si="117"/>
        <v>1</v>
      </c>
    </row>
    <row r="7544" spans="1:5">
      <c r="A7544" s="59">
        <v>15</v>
      </c>
      <c r="B7544" s="59">
        <v>15</v>
      </c>
      <c r="C7544" s="59">
        <v>420</v>
      </c>
      <c r="D7544" s="51">
        <v>1</v>
      </c>
      <c r="E7544" s="51">
        <f t="shared" si="117"/>
        <v>1</v>
      </c>
    </row>
    <row r="7545" spans="1:5">
      <c r="A7545" s="59">
        <v>15</v>
      </c>
      <c r="B7545" s="59">
        <v>15</v>
      </c>
      <c r="C7545" s="59">
        <v>430</v>
      </c>
      <c r="D7545" s="51">
        <v>1</v>
      </c>
      <c r="E7545" s="51">
        <f t="shared" si="117"/>
        <v>1</v>
      </c>
    </row>
    <row r="7546" spans="1:5">
      <c r="A7546" s="59">
        <v>15</v>
      </c>
      <c r="B7546" s="59">
        <v>15</v>
      </c>
      <c r="C7546" s="59">
        <v>920</v>
      </c>
      <c r="D7546" s="51">
        <v>1</v>
      </c>
      <c r="E7546" s="51">
        <f t="shared" si="117"/>
        <v>1</v>
      </c>
    </row>
    <row r="7547" spans="1:5">
      <c r="A7547" s="59">
        <v>15</v>
      </c>
      <c r="B7547" s="59">
        <v>15</v>
      </c>
      <c r="C7547" s="59">
        <v>940</v>
      </c>
      <c r="D7547" s="51">
        <v>1</v>
      </c>
      <c r="E7547" s="51">
        <f t="shared" si="117"/>
        <v>1</v>
      </c>
    </row>
    <row r="7548" spans="1:5">
      <c r="A7548" s="59">
        <v>15</v>
      </c>
      <c r="B7548" s="59">
        <v>16</v>
      </c>
      <c r="C7548" s="59">
        <v>120</v>
      </c>
      <c r="D7548" s="51">
        <v>1</v>
      </c>
      <c r="E7548" s="51">
        <f t="shared" si="117"/>
        <v>1</v>
      </c>
    </row>
    <row r="7549" spans="1:5">
      <c r="A7549" s="59">
        <v>15</v>
      </c>
      <c r="B7549" s="59">
        <v>16</v>
      </c>
      <c r="C7549" s="59">
        <v>720</v>
      </c>
      <c r="D7549" s="51">
        <v>1</v>
      </c>
      <c r="E7549" s="51">
        <f t="shared" si="117"/>
        <v>1</v>
      </c>
    </row>
    <row r="7550" spans="1:5">
      <c r="A7550" s="59">
        <v>15</v>
      </c>
      <c r="B7550" s="59">
        <v>16</v>
      </c>
      <c r="C7550" s="59">
        <v>730</v>
      </c>
      <c r="D7550" s="51">
        <v>1</v>
      </c>
      <c r="E7550" s="51">
        <f t="shared" si="117"/>
        <v>1</v>
      </c>
    </row>
    <row r="7551" spans="1:5">
      <c r="A7551" s="59">
        <v>15</v>
      </c>
      <c r="B7551" s="59">
        <v>21</v>
      </c>
      <c r="C7551" s="59">
        <v>310</v>
      </c>
      <c r="D7551" s="51">
        <v>1</v>
      </c>
      <c r="E7551" s="51">
        <f t="shared" si="117"/>
        <v>1</v>
      </c>
    </row>
    <row r="7552" spans="1:5">
      <c r="A7552" s="59">
        <v>15</v>
      </c>
      <c r="B7552" s="59">
        <v>21</v>
      </c>
      <c r="C7552" s="59">
        <v>320</v>
      </c>
      <c r="D7552" s="51">
        <v>1</v>
      </c>
      <c r="E7552" s="51">
        <f t="shared" si="117"/>
        <v>1</v>
      </c>
    </row>
    <row r="7553" spans="1:5">
      <c r="A7553" s="59">
        <v>15</v>
      </c>
      <c r="B7553" s="59">
        <v>21</v>
      </c>
      <c r="C7553" s="59">
        <v>530</v>
      </c>
      <c r="D7553" s="51">
        <v>1</v>
      </c>
      <c r="E7553" s="51">
        <f t="shared" si="117"/>
        <v>1</v>
      </c>
    </row>
    <row r="7554" spans="1:5">
      <c r="A7554" s="59">
        <v>15</v>
      </c>
      <c r="B7554" s="59">
        <v>22</v>
      </c>
      <c r="C7554" s="59">
        <v>130</v>
      </c>
      <c r="D7554" s="51">
        <v>1</v>
      </c>
      <c r="E7554" s="51">
        <f t="shared" ref="E7554:E7617" si="118">IF(OR(A7554=6,A7554=7,A7554=14,A7554=15,A7554=16,A7554=17,A7554=18,A7554=19,A7554=20,A7554=21,A7554=22,A7554=23,A7554=25,A7554=26,A7554=27,A7554=28,B7554=41,B7554=44,B7554=62),1,0)</f>
        <v>1</v>
      </c>
    </row>
    <row r="7555" spans="1:5">
      <c r="A7555" s="59">
        <v>15</v>
      </c>
      <c r="B7555" s="59">
        <v>22</v>
      </c>
      <c r="C7555" s="59">
        <v>890</v>
      </c>
      <c r="D7555" s="51">
        <v>1</v>
      </c>
      <c r="E7555" s="51">
        <f t="shared" si="118"/>
        <v>1</v>
      </c>
    </row>
    <row r="7556" spans="1:5">
      <c r="A7556" s="59">
        <v>15</v>
      </c>
      <c r="B7556" s="59">
        <v>23</v>
      </c>
      <c r="C7556" s="59">
        <v>160</v>
      </c>
      <c r="D7556" s="51">
        <v>1</v>
      </c>
      <c r="E7556" s="51">
        <f t="shared" si="118"/>
        <v>1</v>
      </c>
    </row>
    <row r="7557" spans="1:5">
      <c r="A7557" s="59">
        <v>15</v>
      </c>
      <c r="B7557" s="59">
        <v>24</v>
      </c>
      <c r="C7557" s="59">
        <v>510</v>
      </c>
      <c r="D7557" s="51">
        <v>1</v>
      </c>
      <c r="E7557" s="51">
        <f t="shared" si="118"/>
        <v>1</v>
      </c>
    </row>
    <row r="7558" spans="1:5">
      <c r="A7558" s="59">
        <v>15</v>
      </c>
      <c r="B7558" s="59">
        <v>24</v>
      </c>
      <c r="C7558" s="59">
        <v>920</v>
      </c>
      <c r="D7558" s="51">
        <v>1</v>
      </c>
      <c r="E7558" s="51">
        <f t="shared" si="118"/>
        <v>1</v>
      </c>
    </row>
    <row r="7559" spans="1:5">
      <c r="A7559" s="59">
        <v>15</v>
      </c>
      <c r="B7559" s="59">
        <v>31</v>
      </c>
      <c r="C7559" s="59">
        <v>510</v>
      </c>
      <c r="D7559" s="51">
        <v>1</v>
      </c>
      <c r="E7559" s="51">
        <f t="shared" si="118"/>
        <v>1</v>
      </c>
    </row>
    <row r="7560" spans="1:5">
      <c r="A7560" s="59">
        <v>15</v>
      </c>
      <c r="B7560" s="59">
        <v>32</v>
      </c>
      <c r="C7560" s="59">
        <v>110</v>
      </c>
      <c r="D7560" s="51">
        <v>1</v>
      </c>
      <c r="E7560" s="51">
        <f t="shared" si="118"/>
        <v>1</v>
      </c>
    </row>
    <row r="7561" spans="1:5">
      <c r="A7561" s="59">
        <v>15</v>
      </c>
      <c r="B7561" s="59">
        <v>32</v>
      </c>
      <c r="C7561" s="59">
        <v>140</v>
      </c>
      <c r="D7561" s="51">
        <v>1</v>
      </c>
      <c r="E7561" s="51">
        <f t="shared" si="118"/>
        <v>1</v>
      </c>
    </row>
    <row r="7562" spans="1:5">
      <c r="A7562" s="59">
        <v>15</v>
      </c>
      <c r="B7562" s="59">
        <v>32</v>
      </c>
      <c r="C7562" s="59">
        <v>150</v>
      </c>
      <c r="D7562" s="51">
        <v>1</v>
      </c>
      <c r="E7562" s="51">
        <f t="shared" si="118"/>
        <v>1</v>
      </c>
    </row>
    <row r="7563" spans="1:5">
      <c r="A7563" s="59">
        <v>15</v>
      </c>
      <c r="B7563" s="59">
        <v>32</v>
      </c>
      <c r="C7563" s="59">
        <v>160</v>
      </c>
      <c r="D7563" s="51">
        <v>1</v>
      </c>
      <c r="E7563" s="51">
        <f t="shared" si="118"/>
        <v>1</v>
      </c>
    </row>
    <row r="7564" spans="1:5">
      <c r="A7564" s="59">
        <v>15</v>
      </c>
      <c r="B7564" s="59">
        <v>32</v>
      </c>
      <c r="C7564" s="59">
        <v>520</v>
      </c>
      <c r="D7564" s="51">
        <v>1</v>
      </c>
      <c r="E7564" s="51">
        <f t="shared" si="118"/>
        <v>1</v>
      </c>
    </row>
    <row r="7565" spans="1:5">
      <c r="A7565" s="59">
        <v>15</v>
      </c>
      <c r="B7565" s="59">
        <v>33</v>
      </c>
      <c r="C7565" s="59">
        <v>620</v>
      </c>
      <c r="D7565" s="51">
        <v>1</v>
      </c>
      <c r="E7565" s="51">
        <f t="shared" si="118"/>
        <v>1</v>
      </c>
    </row>
    <row r="7566" spans="1:5">
      <c r="A7566" s="59">
        <v>15</v>
      </c>
      <c r="B7566" s="59">
        <v>41</v>
      </c>
      <c r="C7566" s="59">
        <v>160</v>
      </c>
      <c r="D7566" s="51">
        <v>1</v>
      </c>
      <c r="E7566" s="51">
        <f t="shared" si="118"/>
        <v>1</v>
      </c>
    </row>
    <row r="7567" spans="1:5">
      <c r="A7567" s="59">
        <v>15</v>
      </c>
      <c r="B7567" s="59">
        <v>42</v>
      </c>
      <c r="C7567" s="59">
        <v>110</v>
      </c>
      <c r="D7567" s="51">
        <v>1</v>
      </c>
      <c r="E7567" s="51">
        <f t="shared" si="118"/>
        <v>1</v>
      </c>
    </row>
    <row r="7568" spans="1:5">
      <c r="A7568" s="59">
        <v>15</v>
      </c>
      <c r="B7568" s="59">
        <v>42</v>
      </c>
      <c r="C7568" s="59">
        <v>410</v>
      </c>
      <c r="D7568" s="51">
        <v>1</v>
      </c>
      <c r="E7568" s="51">
        <f t="shared" si="118"/>
        <v>1</v>
      </c>
    </row>
    <row r="7569" spans="1:5">
      <c r="A7569" s="59">
        <v>15</v>
      </c>
      <c r="B7569" s="59">
        <v>42</v>
      </c>
      <c r="C7569" s="59">
        <v>520</v>
      </c>
      <c r="D7569" s="51">
        <v>1</v>
      </c>
      <c r="E7569" s="51">
        <f t="shared" si="118"/>
        <v>1</v>
      </c>
    </row>
    <row r="7570" spans="1:5">
      <c r="A7570" s="59">
        <v>15</v>
      </c>
      <c r="B7570" s="59">
        <v>42</v>
      </c>
      <c r="C7570" s="59">
        <v>720</v>
      </c>
      <c r="D7570" s="51">
        <v>1</v>
      </c>
      <c r="E7570" s="51">
        <f t="shared" si="118"/>
        <v>1</v>
      </c>
    </row>
    <row r="7571" spans="1:5">
      <c r="A7571" s="59">
        <v>15</v>
      </c>
      <c r="B7571" s="59">
        <v>42</v>
      </c>
      <c r="C7571" s="59">
        <v>750</v>
      </c>
      <c r="D7571" s="51">
        <v>1</v>
      </c>
      <c r="E7571" s="51">
        <f t="shared" si="118"/>
        <v>1</v>
      </c>
    </row>
    <row r="7572" spans="1:5">
      <c r="A7572" s="59">
        <v>15</v>
      </c>
      <c r="B7572" s="59">
        <v>43</v>
      </c>
      <c r="C7572" s="59">
        <v>120</v>
      </c>
      <c r="D7572" s="51">
        <v>1</v>
      </c>
      <c r="E7572" s="51">
        <f t="shared" si="118"/>
        <v>1</v>
      </c>
    </row>
    <row r="7573" spans="1:5">
      <c r="A7573" s="59">
        <v>15</v>
      </c>
      <c r="B7573" s="59">
        <v>43</v>
      </c>
      <c r="C7573" s="59">
        <v>630</v>
      </c>
      <c r="D7573" s="51">
        <v>1</v>
      </c>
      <c r="E7573" s="51">
        <f t="shared" si="118"/>
        <v>1</v>
      </c>
    </row>
    <row r="7574" spans="1:5">
      <c r="A7574" s="59">
        <v>15</v>
      </c>
      <c r="B7574" s="59">
        <v>43</v>
      </c>
      <c r="C7574" s="59">
        <v>860</v>
      </c>
      <c r="D7574" s="51">
        <v>1</v>
      </c>
      <c r="E7574" s="51">
        <f t="shared" si="118"/>
        <v>1</v>
      </c>
    </row>
    <row r="7575" spans="1:5">
      <c r="A7575" s="59">
        <v>15</v>
      </c>
      <c r="B7575" s="59">
        <v>44</v>
      </c>
      <c r="C7575" s="59">
        <v>210</v>
      </c>
      <c r="D7575" s="51">
        <v>1</v>
      </c>
      <c r="E7575" s="51">
        <f t="shared" si="118"/>
        <v>1</v>
      </c>
    </row>
    <row r="7576" spans="1:5">
      <c r="A7576" s="59">
        <v>15</v>
      </c>
      <c r="B7576" s="59">
        <v>44</v>
      </c>
      <c r="C7576" s="59">
        <v>550</v>
      </c>
      <c r="D7576" s="51">
        <v>1</v>
      </c>
      <c r="E7576" s="51">
        <f t="shared" si="118"/>
        <v>1</v>
      </c>
    </row>
    <row r="7577" spans="1:5">
      <c r="A7577" s="59">
        <v>15</v>
      </c>
      <c r="B7577" s="59">
        <v>44</v>
      </c>
      <c r="C7577" s="59">
        <v>861</v>
      </c>
      <c r="D7577" s="51">
        <v>1</v>
      </c>
      <c r="E7577" s="51">
        <f t="shared" si="118"/>
        <v>1</v>
      </c>
    </row>
    <row r="7578" spans="1:5">
      <c r="A7578" s="59">
        <v>15</v>
      </c>
      <c r="B7578" s="59">
        <v>44</v>
      </c>
      <c r="C7578" s="59">
        <v>960</v>
      </c>
      <c r="D7578" s="51">
        <v>1</v>
      </c>
      <c r="E7578" s="51">
        <f t="shared" si="118"/>
        <v>1</v>
      </c>
    </row>
    <row r="7579" spans="1:5">
      <c r="A7579" s="59">
        <v>15</v>
      </c>
      <c r="B7579" s="59">
        <v>62</v>
      </c>
      <c r="C7579" s="59">
        <v>210</v>
      </c>
      <c r="D7579" s="51">
        <v>1</v>
      </c>
      <c r="E7579" s="51">
        <f t="shared" si="118"/>
        <v>1</v>
      </c>
    </row>
    <row r="7580" spans="1:5">
      <c r="A7580" s="59">
        <v>15</v>
      </c>
      <c r="B7580" s="59">
        <v>62</v>
      </c>
      <c r="C7580" s="59">
        <v>230</v>
      </c>
      <c r="D7580" s="51">
        <v>1</v>
      </c>
      <c r="E7580" s="51">
        <f t="shared" si="118"/>
        <v>1</v>
      </c>
    </row>
    <row r="7581" spans="1:5">
      <c r="A7581" s="59">
        <v>15</v>
      </c>
      <c r="B7581" s="59">
        <v>62</v>
      </c>
      <c r="C7581" s="59">
        <v>330</v>
      </c>
      <c r="D7581" s="51">
        <v>1</v>
      </c>
      <c r="E7581" s="51">
        <f t="shared" si="118"/>
        <v>1</v>
      </c>
    </row>
    <row r="7582" spans="1:5">
      <c r="A7582" s="59">
        <v>15</v>
      </c>
      <c r="B7582" s="59">
        <v>62</v>
      </c>
      <c r="C7582" s="59">
        <v>430</v>
      </c>
      <c r="D7582" s="51">
        <v>1</v>
      </c>
      <c r="E7582" s="51">
        <f t="shared" si="118"/>
        <v>1</v>
      </c>
    </row>
    <row r="7583" spans="1:5">
      <c r="A7583" s="59">
        <v>15</v>
      </c>
      <c r="B7583" s="59">
        <v>62</v>
      </c>
      <c r="C7583" s="59">
        <v>940</v>
      </c>
      <c r="D7583" s="51">
        <v>1</v>
      </c>
      <c r="E7583" s="51">
        <f t="shared" si="118"/>
        <v>1</v>
      </c>
    </row>
    <row r="7584" spans="1:5">
      <c r="A7584" s="59">
        <v>15</v>
      </c>
      <c r="B7584" s="59">
        <v>63</v>
      </c>
      <c r="C7584" s="59">
        <v>210</v>
      </c>
      <c r="D7584" s="51">
        <v>1</v>
      </c>
      <c r="E7584" s="51">
        <f t="shared" si="118"/>
        <v>1</v>
      </c>
    </row>
    <row r="7585" spans="1:5">
      <c r="A7585" s="59">
        <v>15</v>
      </c>
      <c r="B7585" s="59">
        <v>63</v>
      </c>
      <c r="C7585" s="59">
        <v>240</v>
      </c>
      <c r="D7585" s="51">
        <v>1</v>
      </c>
      <c r="E7585" s="51">
        <f t="shared" si="118"/>
        <v>1</v>
      </c>
    </row>
    <row r="7586" spans="1:5">
      <c r="A7586" s="59">
        <v>15</v>
      </c>
      <c r="B7586" s="59">
        <v>63</v>
      </c>
      <c r="C7586" s="59">
        <v>330</v>
      </c>
      <c r="D7586" s="51">
        <v>1</v>
      </c>
      <c r="E7586" s="51">
        <f t="shared" si="118"/>
        <v>1</v>
      </c>
    </row>
    <row r="7587" spans="1:5">
      <c r="A7587" s="59">
        <v>15</v>
      </c>
      <c r="B7587" s="59">
        <v>63</v>
      </c>
      <c r="C7587" s="59">
        <v>630</v>
      </c>
      <c r="D7587" s="51">
        <v>1</v>
      </c>
      <c r="E7587" s="51">
        <f t="shared" si="118"/>
        <v>1</v>
      </c>
    </row>
    <row r="7588" spans="1:5">
      <c r="A7588" s="59">
        <v>15</v>
      </c>
      <c r="B7588" s="59">
        <v>63</v>
      </c>
      <c r="C7588" s="59">
        <v>930</v>
      </c>
      <c r="D7588" s="51">
        <v>1</v>
      </c>
      <c r="E7588" s="51">
        <f t="shared" si="118"/>
        <v>1</v>
      </c>
    </row>
    <row r="7589" spans="1:5">
      <c r="A7589" s="59">
        <v>15</v>
      </c>
      <c r="B7589" s="59">
        <v>63</v>
      </c>
      <c r="C7589" s="59">
        <v>940</v>
      </c>
      <c r="D7589" s="51">
        <v>1</v>
      </c>
      <c r="E7589" s="51">
        <f t="shared" si="118"/>
        <v>1</v>
      </c>
    </row>
    <row r="7590" spans="1:5">
      <c r="A7590" s="59">
        <v>15</v>
      </c>
      <c r="B7590" s="59">
        <v>64</v>
      </c>
      <c r="C7590" s="59">
        <v>430</v>
      </c>
      <c r="D7590" s="51">
        <v>1</v>
      </c>
      <c r="E7590" s="51">
        <f t="shared" si="118"/>
        <v>1</v>
      </c>
    </row>
    <row r="7591" spans="1:5">
      <c r="A7591" s="59">
        <v>15</v>
      </c>
      <c r="B7591" s="59">
        <v>64</v>
      </c>
      <c r="C7591" s="59">
        <v>930</v>
      </c>
      <c r="D7591" s="51">
        <v>1</v>
      </c>
      <c r="E7591" s="51">
        <f t="shared" si="118"/>
        <v>1</v>
      </c>
    </row>
    <row r="7592" spans="1:5">
      <c r="A7592" s="59">
        <v>15</v>
      </c>
      <c r="B7592" s="59">
        <v>71</v>
      </c>
      <c r="C7592" s="59">
        <v>220</v>
      </c>
      <c r="D7592" s="51">
        <v>1</v>
      </c>
      <c r="E7592" s="51">
        <f t="shared" si="118"/>
        <v>1</v>
      </c>
    </row>
    <row r="7593" spans="1:5">
      <c r="A7593" s="59">
        <v>15</v>
      </c>
      <c r="B7593" s="59">
        <v>71</v>
      </c>
      <c r="C7593" s="59">
        <v>240</v>
      </c>
      <c r="D7593" s="51">
        <v>1</v>
      </c>
      <c r="E7593" s="51">
        <f t="shared" si="118"/>
        <v>1</v>
      </c>
    </row>
    <row r="7594" spans="1:5">
      <c r="A7594" s="59">
        <v>15</v>
      </c>
      <c r="B7594" s="59">
        <v>71</v>
      </c>
      <c r="C7594" s="59">
        <v>310</v>
      </c>
      <c r="D7594" s="51">
        <v>1</v>
      </c>
      <c r="E7594" s="51">
        <f t="shared" si="118"/>
        <v>1</v>
      </c>
    </row>
    <row r="7595" spans="1:5">
      <c r="A7595" s="59">
        <v>15</v>
      </c>
      <c r="B7595" s="59">
        <v>71</v>
      </c>
      <c r="C7595" s="59">
        <v>550</v>
      </c>
      <c r="D7595" s="51">
        <v>1</v>
      </c>
      <c r="E7595" s="51">
        <f t="shared" si="118"/>
        <v>1</v>
      </c>
    </row>
    <row r="7596" spans="1:5">
      <c r="A7596" s="59">
        <v>15</v>
      </c>
      <c r="B7596" s="59">
        <v>71</v>
      </c>
      <c r="C7596" s="59">
        <v>950</v>
      </c>
      <c r="D7596" s="51">
        <v>1</v>
      </c>
      <c r="E7596" s="51">
        <f t="shared" si="118"/>
        <v>1</v>
      </c>
    </row>
    <row r="7597" spans="1:5">
      <c r="A7597" s="59">
        <v>15</v>
      </c>
      <c r="B7597" s="59">
        <v>71</v>
      </c>
      <c r="C7597" s="59">
        <v>970</v>
      </c>
      <c r="D7597" s="51">
        <v>1</v>
      </c>
      <c r="E7597" s="51">
        <f t="shared" si="118"/>
        <v>1</v>
      </c>
    </row>
    <row r="7598" spans="1:5">
      <c r="A7598" s="59">
        <v>15</v>
      </c>
      <c r="B7598" s="59">
        <v>81</v>
      </c>
      <c r="C7598" s="59">
        <v>530</v>
      </c>
      <c r="D7598" s="51">
        <v>1</v>
      </c>
      <c r="E7598" s="51">
        <f t="shared" si="118"/>
        <v>1</v>
      </c>
    </row>
    <row r="7599" spans="1:5">
      <c r="A7599" s="59">
        <v>15</v>
      </c>
      <c r="B7599" s="59">
        <v>81</v>
      </c>
      <c r="C7599" s="59">
        <v>750</v>
      </c>
      <c r="D7599" s="51">
        <v>1</v>
      </c>
      <c r="E7599" s="51">
        <f t="shared" si="118"/>
        <v>1</v>
      </c>
    </row>
    <row r="7600" spans="1:5">
      <c r="A7600" s="59">
        <v>15</v>
      </c>
      <c r="B7600" s="59">
        <v>81</v>
      </c>
      <c r="C7600" s="59">
        <v>950</v>
      </c>
      <c r="D7600" s="51">
        <v>1</v>
      </c>
      <c r="E7600" s="51">
        <f t="shared" si="118"/>
        <v>1</v>
      </c>
    </row>
    <row r="7601" spans="1:5">
      <c r="A7601" s="59">
        <v>15</v>
      </c>
      <c r="B7601" s="59">
        <v>81</v>
      </c>
      <c r="C7601" s="59">
        <v>960</v>
      </c>
      <c r="D7601" s="51">
        <v>1</v>
      </c>
      <c r="E7601" s="51">
        <f t="shared" si="118"/>
        <v>1</v>
      </c>
    </row>
    <row r="7602" spans="1:5">
      <c r="A7602" s="59">
        <v>16</v>
      </c>
      <c r="B7602" s="59">
        <v>71</v>
      </c>
      <c r="C7602" s="59">
        <v>920</v>
      </c>
      <c r="D7602" s="51">
        <v>47035</v>
      </c>
      <c r="E7602" s="51">
        <f t="shared" si="118"/>
        <v>1</v>
      </c>
    </row>
    <row r="7603" spans="1:5">
      <c r="A7603" s="59">
        <v>16</v>
      </c>
      <c r="B7603" s="59">
        <v>62</v>
      </c>
      <c r="C7603" s="59">
        <v>920</v>
      </c>
      <c r="D7603" s="51">
        <v>37011</v>
      </c>
      <c r="E7603" s="51">
        <f t="shared" si="118"/>
        <v>1</v>
      </c>
    </row>
    <row r="7604" spans="1:5">
      <c r="A7604" s="59">
        <v>16</v>
      </c>
      <c r="B7604" s="59">
        <v>43</v>
      </c>
      <c r="C7604" s="59">
        <v>920</v>
      </c>
      <c r="D7604" s="51">
        <v>16150</v>
      </c>
      <c r="E7604" s="51">
        <f t="shared" si="118"/>
        <v>1</v>
      </c>
    </row>
    <row r="7605" spans="1:5">
      <c r="A7605" s="59">
        <v>16</v>
      </c>
      <c r="B7605" s="59">
        <v>64</v>
      </c>
      <c r="C7605" s="59">
        <v>920</v>
      </c>
      <c r="D7605" s="51">
        <v>15527</v>
      </c>
      <c r="E7605" s="51">
        <f t="shared" si="118"/>
        <v>1</v>
      </c>
    </row>
    <row r="7606" spans="1:5">
      <c r="A7606" s="59">
        <v>16</v>
      </c>
      <c r="B7606" s="59">
        <v>63</v>
      </c>
      <c r="C7606" s="59">
        <v>920</v>
      </c>
      <c r="D7606" s="51">
        <v>10142</v>
      </c>
      <c r="E7606" s="51">
        <f t="shared" si="118"/>
        <v>1</v>
      </c>
    </row>
    <row r="7607" spans="1:5">
      <c r="A7607" s="59">
        <v>16</v>
      </c>
      <c r="B7607" s="59">
        <v>44</v>
      </c>
      <c r="C7607" s="59">
        <v>920</v>
      </c>
      <c r="D7607" s="51">
        <v>6443</v>
      </c>
      <c r="E7607" s="51">
        <f t="shared" si="118"/>
        <v>1</v>
      </c>
    </row>
    <row r="7608" spans="1:5">
      <c r="A7608" s="59">
        <v>16</v>
      </c>
      <c r="B7608" s="59">
        <v>71</v>
      </c>
      <c r="C7608" s="59">
        <v>910</v>
      </c>
      <c r="D7608" s="51">
        <v>5817</v>
      </c>
      <c r="E7608" s="51">
        <f t="shared" si="118"/>
        <v>1</v>
      </c>
    </row>
    <row r="7609" spans="1:5">
      <c r="A7609" s="59">
        <v>16</v>
      </c>
      <c r="B7609" s="59">
        <v>42</v>
      </c>
      <c r="C7609" s="59">
        <v>920</v>
      </c>
      <c r="D7609" s="51">
        <v>5362</v>
      </c>
      <c r="E7609" s="51">
        <f t="shared" si="118"/>
        <v>1</v>
      </c>
    </row>
    <row r="7610" spans="1:5">
      <c r="A7610" s="59">
        <v>16</v>
      </c>
      <c r="B7610" s="59">
        <v>62</v>
      </c>
      <c r="C7610" s="59">
        <v>910</v>
      </c>
      <c r="D7610" s="51">
        <v>4554</v>
      </c>
      <c r="E7610" s="51">
        <f t="shared" si="118"/>
        <v>1</v>
      </c>
    </row>
    <row r="7611" spans="1:5">
      <c r="A7611" s="59">
        <v>16</v>
      </c>
      <c r="B7611" s="59">
        <v>81</v>
      </c>
      <c r="C7611" s="59">
        <v>920</v>
      </c>
      <c r="D7611" s="51">
        <v>4241</v>
      </c>
      <c r="E7611" s="51">
        <f t="shared" si="118"/>
        <v>1</v>
      </c>
    </row>
    <row r="7612" spans="1:5">
      <c r="A7612" s="59">
        <v>16</v>
      </c>
      <c r="B7612" s="59">
        <v>43</v>
      </c>
      <c r="C7612" s="59">
        <v>910</v>
      </c>
      <c r="D7612" s="51">
        <v>4173</v>
      </c>
      <c r="E7612" s="51">
        <f t="shared" si="118"/>
        <v>1</v>
      </c>
    </row>
    <row r="7613" spans="1:5">
      <c r="A7613" s="59">
        <v>16</v>
      </c>
      <c r="B7613" s="59">
        <v>41</v>
      </c>
      <c r="C7613" s="59">
        <v>920</v>
      </c>
      <c r="D7613" s="51">
        <v>2997</v>
      </c>
      <c r="E7613" s="51">
        <f t="shared" si="118"/>
        <v>1</v>
      </c>
    </row>
    <row r="7614" spans="1:5">
      <c r="A7614" s="59">
        <v>16</v>
      </c>
      <c r="B7614" s="59">
        <v>64</v>
      </c>
      <c r="C7614" s="59">
        <v>910</v>
      </c>
      <c r="D7614" s="51">
        <v>2440</v>
      </c>
      <c r="E7614" s="51">
        <f t="shared" si="118"/>
        <v>1</v>
      </c>
    </row>
    <row r="7615" spans="1:5">
      <c r="A7615" s="59">
        <v>16</v>
      </c>
      <c r="B7615" s="59">
        <v>44</v>
      </c>
      <c r="C7615" s="59">
        <v>910</v>
      </c>
      <c r="D7615" s="51">
        <v>1665</v>
      </c>
      <c r="E7615" s="51">
        <f t="shared" si="118"/>
        <v>1</v>
      </c>
    </row>
    <row r="7616" spans="1:5">
      <c r="A7616" s="59">
        <v>16</v>
      </c>
      <c r="B7616" s="59">
        <v>14</v>
      </c>
      <c r="C7616" s="59">
        <v>910</v>
      </c>
      <c r="D7616" s="51">
        <v>1477</v>
      </c>
      <c r="E7616" s="51">
        <f t="shared" si="118"/>
        <v>1</v>
      </c>
    </row>
    <row r="7617" spans="1:5">
      <c r="A7617" s="59">
        <v>16</v>
      </c>
      <c r="B7617" s="59">
        <v>14</v>
      </c>
      <c r="C7617" s="59">
        <v>920</v>
      </c>
      <c r="D7617" s="51">
        <v>1468</v>
      </c>
      <c r="E7617" s="51">
        <f t="shared" si="118"/>
        <v>1</v>
      </c>
    </row>
    <row r="7618" spans="1:5">
      <c r="A7618" s="59">
        <v>16</v>
      </c>
      <c r="B7618" s="59">
        <v>13</v>
      </c>
      <c r="C7618" s="59">
        <v>920</v>
      </c>
      <c r="D7618" s="51">
        <v>1418</v>
      </c>
      <c r="E7618" s="51">
        <f t="shared" ref="E7618:E7681" si="119">IF(OR(A7618=6,A7618=7,A7618=14,A7618=15,A7618=16,A7618=17,A7618=18,A7618=19,A7618=20,A7618=21,A7618=22,A7618=23,A7618=25,A7618=26,A7618=27,A7618=28,B7618=41,B7618=44,B7618=62),1,0)</f>
        <v>1</v>
      </c>
    </row>
    <row r="7619" spans="1:5">
      <c r="A7619" s="59">
        <v>16</v>
      </c>
      <c r="B7619" s="59">
        <v>71</v>
      </c>
      <c r="C7619" s="59">
        <v>610</v>
      </c>
      <c r="D7619" s="51">
        <v>1296</v>
      </c>
      <c r="E7619" s="51">
        <f t="shared" si="119"/>
        <v>1</v>
      </c>
    </row>
    <row r="7620" spans="1:5">
      <c r="A7620" s="59">
        <v>16</v>
      </c>
      <c r="B7620" s="59">
        <v>63</v>
      </c>
      <c r="C7620" s="59">
        <v>910</v>
      </c>
      <c r="D7620" s="51">
        <v>1286</v>
      </c>
      <c r="E7620" s="51">
        <f t="shared" si="119"/>
        <v>1</v>
      </c>
    </row>
    <row r="7621" spans="1:5">
      <c r="A7621" s="59">
        <v>16</v>
      </c>
      <c r="B7621" s="59">
        <v>42</v>
      </c>
      <c r="C7621" s="59">
        <v>910</v>
      </c>
      <c r="D7621" s="51">
        <v>778</v>
      </c>
      <c r="E7621" s="51">
        <f t="shared" si="119"/>
        <v>1</v>
      </c>
    </row>
    <row r="7622" spans="1:5">
      <c r="A7622" s="59">
        <v>16</v>
      </c>
      <c r="B7622" s="59">
        <v>13</v>
      </c>
      <c r="C7622" s="59">
        <v>910</v>
      </c>
      <c r="D7622" s="51">
        <v>738</v>
      </c>
      <c r="E7622" s="51">
        <f t="shared" si="119"/>
        <v>1</v>
      </c>
    </row>
    <row r="7623" spans="1:5">
      <c r="A7623" s="59">
        <v>16</v>
      </c>
      <c r="B7623" s="59">
        <v>41</v>
      </c>
      <c r="C7623" s="59">
        <v>910</v>
      </c>
      <c r="D7623" s="51">
        <v>659</v>
      </c>
      <c r="E7623" s="51">
        <f t="shared" si="119"/>
        <v>1</v>
      </c>
    </row>
    <row r="7624" spans="1:5">
      <c r="A7624" s="59">
        <v>16</v>
      </c>
      <c r="B7624" s="59">
        <v>32</v>
      </c>
      <c r="C7624" s="59">
        <v>920</v>
      </c>
      <c r="D7624" s="51">
        <v>631</v>
      </c>
      <c r="E7624" s="51">
        <f t="shared" si="119"/>
        <v>1</v>
      </c>
    </row>
    <row r="7625" spans="1:5">
      <c r="A7625" s="59">
        <v>16</v>
      </c>
      <c r="B7625" s="59">
        <v>62</v>
      </c>
      <c r="C7625" s="59">
        <v>510</v>
      </c>
      <c r="D7625" s="51">
        <v>430</v>
      </c>
      <c r="E7625" s="51">
        <f t="shared" si="119"/>
        <v>1</v>
      </c>
    </row>
    <row r="7626" spans="1:5">
      <c r="A7626" s="59">
        <v>16</v>
      </c>
      <c r="B7626" s="59">
        <v>22</v>
      </c>
      <c r="C7626" s="59">
        <v>910</v>
      </c>
      <c r="D7626" s="51">
        <v>426</v>
      </c>
      <c r="E7626" s="51">
        <f t="shared" si="119"/>
        <v>1</v>
      </c>
    </row>
    <row r="7627" spans="1:5">
      <c r="A7627" s="59">
        <v>16</v>
      </c>
      <c r="B7627" s="59">
        <v>22</v>
      </c>
      <c r="C7627" s="59">
        <v>920</v>
      </c>
      <c r="D7627" s="51">
        <v>423</v>
      </c>
      <c r="E7627" s="51">
        <f t="shared" si="119"/>
        <v>1</v>
      </c>
    </row>
    <row r="7628" spans="1:5">
      <c r="A7628" s="59">
        <v>16</v>
      </c>
      <c r="B7628" s="59">
        <v>64</v>
      </c>
      <c r="C7628" s="59">
        <v>610</v>
      </c>
      <c r="D7628" s="51">
        <v>411</v>
      </c>
      <c r="E7628" s="51">
        <f t="shared" si="119"/>
        <v>1</v>
      </c>
    </row>
    <row r="7629" spans="1:5">
      <c r="A7629" s="59">
        <v>16</v>
      </c>
      <c r="B7629" s="59">
        <v>33</v>
      </c>
      <c r="C7629" s="59">
        <v>920</v>
      </c>
      <c r="D7629" s="51">
        <v>372</v>
      </c>
      <c r="E7629" s="51">
        <f t="shared" si="119"/>
        <v>1</v>
      </c>
    </row>
    <row r="7630" spans="1:5">
      <c r="A7630" s="59">
        <v>16</v>
      </c>
      <c r="B7630" s="59">
        <v>62</v>
      </c>
      <c r="C7630" s="59">
        <v>610</v>
      </c>
      <c r="D7630" s="51">
        <v>352</v>
      </c>
      <c r="E7630" s="51">
        <f t="shared" si="119"/>
        <v>1</v>
      </c>
    </row>
    <row r="7631" spans="1:5">
      <c r="A7631" s="59">
        <v>16</v>
      </c>
      <c r="B7631" s="59">
        <v>81</v>
      </c>
      <c r="C7631" s="59">
        <v>910</v>
      </c>
      <c r="D7631" s="51">
        <v>350</v>
      </c>
      <c r="E7631" s="51">
        <f t="shared" si="119"/>
        <v>1</v>
      </c>
    </row>
    <row r="7632" spans="1:5">
      <c r="A7632" s="59">
        <v>16</v>
      </c>
      <c r="B7632" s="59">
        <v>43</v>
      </c>
      <c r="C7632" s="59">
        <v>610</v>
      </c>
      <c r="D7632" s="51">
        <v>346</v>
      </c>
      <c r="E7632" s="51">
        <f t="shared" si="119"/>
        <v>1</v>
      </c>
    </row>
    <row r="7633" spans="1:5">
      <c r="A7633" s="59">
        <v>16</v>
      </c>
      <c r="B7633" s="59">
        <v>71</v>
      </c>
      <c r="C7633" s="59">
        <v>510</v>
      </c>
      <c r="D7633" s="51">
        <v>340</v>
      </c>
      <c r="E7633" s="51">
        <f t="shared" si="119"/>
        <v>1</v>
      </c>
    </row>
    <row r="7634" spans="1:5">
      <c r="A7634" s="59">
        <v>16</v>
      </c>
      <c r="B7634" s="59">
        <v>43</v>
      </c>
      <c r="C7634" s="59">
        <v>930</v>
      </c>
      <c r="D7634" s="51">
        <v>324</v>
      </c>
      <c r="E7634" s="51">
        <f t="shared" si="119"/>
        <v>1</v>
      </c>
    </row>
    <row r="7635" spans="1:5">
      <c r="A7635" s="59">
        <v>16</v>
      </c>
      <c r="B7635" s="59">
        <v>64</v>
      </c>
      <c r="C7635" s="59">
        <v>510</v>
      </c>
      <c r="D7635" s="51">
        <v>308</v>
      </c>
      <c r="E7635" s="51">
        <f t="shared" si="119"/>
        <v>1</v>
      </c>
    </row>
    <row r="7636" spans="1:5">
      <c r="A7636" s="59">
        <v>16</v>
      </c>
      <c r="B7636" s="59">
        <v>63</v>
      </c>
      <c r="C7636" s="59">
        <v>610</v>
      </c>
      <c r="D7636" s="51">
        <v>298</v>
      </c>
      <c r="E7636" s="51">
        <f t="shared" si="119"/>
        <v>1</v>
      </c>
    </row>
    <row r="7637" spans="1:5">
      <c r="A7637" s="59">
        <v>16</v>
      </c>
      <c r="B7637" s="59">
        <v>43</v>
      </c>
      <c r="C7637" s="59">
        <v>510</v>
      </c>
      <c r="D7637" s="51">
        <v>251</v>
      </c>
      <c r="E7637" s="51">
        <f t="shared" si="119"/>
        <v>1</v>
      </c>
    </row>
    <row r="7638" spans="1:5">
      <c r="A7638" s="59">
        <v>16</v>
      </c>
      <c r="B7638" s="59">
        <v>32</v>
      </c>
      <c r="C7638" s="59">
        <v>910</v>
      </c>
      <c r="D7638" s="51">
        <v>232</v>
      </c>
      <c r="E7638" s="51">
        <f t="shared" si="119"/>
        <v>1</v>
      </c>
    </row>
    <row r="7639" spans="1:5">
      <c r="A7639" s="59">
        <v>16</v>
      </c>
      <c r="B7639" s="59">
        <v>44</v>
      </c>
      <c r="C7639" s="59">
        <v>510</v>
      </c>
      <c r="D7639" s="51">
        <v>185</v>
      </c>
      <c r="E7639" s="51">
        <f t="shared" si="119"/>
        <v>1</v>
      </c>
    </row>
    <row r="7640" spans="1:5">
      <c r="A7640" s="59">
        <v>16</v>
      </c>
      <c r="B7640" s="59">
        <v>63</v>
      </c>
      <c r="C7640" s="59">
        <v>510</v>
      </c>
      <c r="D7640" s="51">
        <v>178</v>
      </c>
      <c r="E7640" s="51">
        <f t="shared" si="119"/>
        <v>1</v>
      </c>
    </row>
    <row r="7641" spans="1:5">
      <c r="A7641" s="59">
        <v>16</v>
      </c>
      <c r="B7641" s="59">
        <v>15</v>
      </c>
      <c r="C7641" s="59">
        <v>910</v>
      </c>
      <c r="D7641" s="51">
        <v>173</v>
      </c>
      <c r="E7641" s="51">
        <f t="shared" si="119"/>
        <v>1</v>
      </c>
    </row>
    <row r="7642" spans="1:5">
      <c r="A7642" s="59">
        <v>16</v>
      </c>
      <c r="B7642" s="59">
        <v>42</v>
      </c>
      <c r="C7642" s="59">
        <v>610</v>
      </c>
      <c r="D7642" s="51">
        <v>153</v>
      </c>
      <c r="E7642" s="51">
        <f t="shared" si="119"/>
        <v>1</v>
      </c>
    </row>
    <row r="7643" spans="1:5">
      <c r="A7643" s="59">
        <v>16</v>
      </c>
      <c r="B7643" s="59">
        <v>33</v>
      </c>
      <c r="C7643" s="59">
        <v>910</v>
      </c>
      <c r="D7643" s="51">
        <v>140</v>
      </c>
      <c r="E7643" s="51">
        <f t="shared" si="119"/>
        <v>1</v>
      </c>
    </row>
    <row r="7644" spans="1:5">
      <c r="A7644" s="59">
        <v>16</v>
      </c>
      <c r="B7644" s="59">
        <v>51</v>
      </c>
      <c r="C7644" s="59">
        <v>920</v>
      </c>
      <c r="D7644" s="51">
        <v>140</v>
      </c>
      <c r="E7644" s="51">
        <f t="shared" si="119"/>
        <v>1</v>
      </c>
    </row>
    <row r="7645" spans="1:5">
      <c r="A7645" s="59">
        <v>16</v>
      </c>
      <c r="B7645" s="59">
        <v>44</v>
      </c>
      <c r="C7645" s="59">
        <v>610</v>
      </c>
      <c r="D7645" s="51">
        <v>133</v>
      </c>
      <c r="E7645" s="51">
        <f t="shared" si="119"/>
        <v>1</v>
      </c>
    </row>
    <row r="7646" spans="1:5">
      <c r="A7646" s="59">
        <v>16</v>
      </c>
      <c r="B7646" s="59">
        <v>43</v>
      </c>
      <c r="C7646" s="59">
        <v>530</v>
      </c>
      <c r="D7646" s="51">
        <v>131</v>
      </c>
      <c r="E7646" s="51">
        <f t="shared" si="119"/>
        <v>1</v>
      </c>
    </row>
    <row r="7647" spans="1:5">
      <c r="A7647" s="59">
        <v>16</v>
      </c>
      <c r="B7647" s="59">
        <v>71</v>
      </c>
      <c r="C7647" s="59">
        <v>620</v>
      </c>
      <c r="D7647" s="51">
        <v>120</v>
      </c>
      <c r="E7647" s="51">
        <f t="shared" si="119"/>
        <v>1</v>
      </c>
    </row>
    <row r="7648" spans="1:5">
      <c r="A7648" s="59">
        <v>16</v>
      </c>
      <c r="B7648" s="59">
        <v>64</v>
      </c>
      <c r="C7648" s="59">
        <v>530</v>
      </c>
      <c r="D7648" s="51">
        <v>119</v>
      </c>
      <c r="E7648" s="51">
        <f t="shared" si="119"/>
        <v>1</v>
      </c>
    </row>
    <row r="7649" spans="1:5">
      <c r="A7649" s="59">
        <v>16</v>
      </c>
      <c r="B7649" s="59">
        <v>15</v>
      </c>
      <c r="C7649" s="59">
        <v>920</v>
      </c>
      <c r="D7649" s="51">
        <v>118</v>
      </c>
      <c r="E7649" s="51">
        <f t="shared" si="119"/>
        <v>1</v>
      </c>
    </row>
    <row r="7650" spans="1:5">
      <c r="A7650" s="59">
        <v>16</v>
      </c>
      <c r="B7650" s="59">
        <v>16</v>
      </c>
      <c r="C7650" s="59">
        <v>910</v>
      </c>
      <c r="D7650" s="51">
        <v>118</v>
      </c>
      <c r="E7650" s="51">
        <f t="shared" si="119"/>
        <v>1</v>
      </c>
    </row>
    <row r="7651" spans="1:5">
      <c r="A7651" s="59">
        <v>16</v>
      </c>
      <c r="B7651" s="59">
        <v>71</v>
      </c>
      <c r="C7651" s="59">
        <v>530</v>
      </c>
      <c r="D7651" s="51">
        <v>118</v>
      </c>
      <c r="E7651" s="51">
        <f t="shared" si="119"/>
        <v>1</v>
      </c>
    </row>
    <row r="7652" spans="1:5">
      <c r="A7652" s="59">
        <v>16</v>
      </c>
      <c r="B7652" s="59">
        <v>16</v>
      </c>
      <c r="C7652" s="59">
        <v>920</v>
      </c>
      <c r="D7652" s="51">
        <v>101</v>
      </c>
      <c r="E7652" s="51">
        <f t="shared" si="119"/>
        <v>1</v>
      </c>
    </row>
    <row r="7653" spans="1:5">
      <c r="A7653" s="59">
        <v>16</v>
      </c>
      <c r="B7653" s="59">
        <v>13</v>
      </c>
      <c r="C7653" s="59">
        <v>110</v>
      </c>
      <c r="D7653" s="51">
        <v>92</v>
      </c>
      <c r="E7653" s="51">
        <f t="shared" si="119"/>
        <v>1</v>
      </c>
    </row>
    <row r="7654" spans="1:5">
      <c r="A7654" s="59">
        <v>16</v>
      </c>
      <c r="B7654" s="59">
        <v>44</v>
      </c>
      <c r="C7654" s="59">
        <v>930</v>
      </c>
      <c r="D7654" s="51">
        <v>92</v>
      </c>
      <c r="E7654" s="51">
        <f t="shared" si="119"/>
        <v>1</v>
      </c>
    </row>
    <row r="7655" spans="1:5">
      <c r="A7655" s="59">
        <v>16</v>
      </c>
      <c r="B7655" s="59">
        <v>13</v>
      </c>
      <c r="C7655" s="59">
        <v>150</v>
      </c>
      <c r="D7655" s="51">
        <v>90</v>
      </c>
      <c r="E7655" s="51">
        <f t="shared" si="119"/>
        <v>1</v>
      </c>
    </row>
    <row r="7656" spans="1:5">
      <c r="A7656" s="59">
        <v>16</v>
      </c>
      <c r="B7656" s="59">
        <v>64</v>
      </c>
      <c r="C7656" s="59">
        <v>110</v>
      </c>
      <c r="D7656" s="51">
        <v>81</v>
      </c>
      <c r="E7656" s="51">
        <f t="shared" si="119"/>
        <v>1</v>
      </c>
    </row>
    <row r="7657" spans="1:5">
      <c r="A7657" s="59">
        <v>16</v>
      </c>
      <c r="B7657" s="59">
        <v>14</v>
      </c>
      <c r="C7657" s="59">
        <v>110</v>
      </c>
      <c r="D7657" s="51">
        <v>79</v>
      </c>
      <c r="E7657" s="51">
        <f t="shared" si="119"/>
        <v>1</v>
      </c>
    </row>
    <row r="7658" spans="1:5">
      <c r="A7658" s="59">
        <v>16</v>
      </c>
      <c r="B7658" s="59">
        <v>64</v>
      </c>
      <c r="C7658" s="59">
        <v>990</v>
      </c>
      <c r="D7658" s="51">
        <v>77</v>
      </c>
      <c r="E7658" s="51">
        <f t="shared" si="119"/>
        <v>1</v>
      </c>
    </row>
    <row r="7659" spans="1:5">
      <c r="A7659" s="59">
        <v>16</v>
      </c>
      <c r="B7659" s="59">
        <v>62</v>
      </c>
      <c r="C7659" s="59">
        <v>990</v>
      </c>
      <c r="D7659" s="51">
        <v>76</v>
      </c>
      <c r="E7659" s="51">
        <f t="shared" si="119"/>
        <v>1</v>
      </c>
    </row>
    <row r="7660" spans="1:5">
      <c r="A7660" s="59">
        <v>16</v>
      </c>
      <c r="B7660" s="59">
        <v>14</v>
      </c>
      <c r="C7660" s="59">
        <v>150</v>
      </c>
      <c r="D7660" s="51">
        <v>75</v>
      </c>
      <c r="E7660" s="51">
        <f t="shared" si="119"/>
        <v>1</v>
      </c>
    </row>
    <row r="7661" spans="1:5">
      <c r="A7661" s="59">
        <v>16</v>
      </c>
      <c r="B7661" s="59">
        <v>63</v>
      </c>
      <c r="C7661" s="59">
        <v>990</v>
      </c>
      <c r="D7661" s="51">
        <v>69</v>
      </c>
      <c r="E7661" s="51">
        <f t="shared" si="119"/>
        <v>1</v>
      </c>
    </row>
    <row r="7662" spans="1:5">
      <c r="A7662" s="59">
        <v>16</v>
      </c>
      <c r="B7662" s="59">
        <v>43</v>
      </c>
      <c r="C7662" s="59">
        <v>990</v>
      </c>
      <c r="D7662" s="51">
        <v>67</v>
      </c>
      <c r="E7662" s="51">
        <f t="shared" si="119"/>
        <v>1</v>
      </c>
    </row>
    <row r="7663" spans="1:5">
      <c r="A7663" s="59">
        <v>16</v>
      </c>
      <c r="B7663" s="59">
        <v>62</v>
      </c>
      <c r="C7663" s="59">
        <v>720</v>
      </c>
      <c r="D7663" s="51">
        <v>65</v>
      </c>
      <c r="E7663" s="51">
        <f t="shared" si="119"/>
        <v>1</v>
      </c>
    </row>
    <row r="7664" spans="1:5">
      <c r="A7664" s="59">
        <v>16</v>
      </c>
      <c r="B7664" s="59">
        <v>43</v>
      </c>
      <c r="C7664" s="59">
        <v>160</v>
      </c>
      <c r="D7664" s="51">
        <v>64</v>
      </c>
      <c r="E7664" s="51">
        <f t="shared" si="119"/>
        <v>1</v>
      </c>
    </row>
    <row r="7665" spans="1:5">
      <c r="A7665" s="59">
        <v>16</v>
      </c>
      <c r="B7665" s="59">
        <v>43</v>
      </c>
      <c r="C7665" s="59">
        <v>620</v>
      </c>
      <c r="D7665" s="51">
        <v>64</v>
      </c>
      <c r="E7665" s="51">
        <f t="shared" si="119"/>
        <v>1</v>
      </c>
    </row>
    <row r="7666" spans="1:5">
      <c r="A7666" s="59">
        <v>16</v>
      </c>
      <c r="B7666" s="59">
        <v>31</v>
      </c>
      <c r="C7666" s="59">
        <v>920</v>
      </c>
      <c r="D7666" s="51">
        <v>63</v>
      </c>
      <c r="E7666" s="51">
        <f t="shared" si="119"/>
        <v>1</v>
      </c>
    </row>
    <row r="7667" spans="1:5">
      <c r="A7667" s="59">
        <v>16</v>
      </c>
      <c r="B7667" s="59">
        <v>43</v>
      </c>
      <c r="C7667" s="59">
        <v>970</v>
      </c>
      <c r="D7667" s="51">
        <v>59</v>
      </c>
      <c r="E7667" s="51">
        <f t="shared" si="119"/>
        <v>1</v>
      </c>
    </row>
    <row r="7668" spans="1:5">
      <c r="A7668" s="59">
        <v>16</v>
      </c>
      <c r="B7668" s="59">
        <v>14</v>
      </c>
      <c r="C7668" s="59">
        <v>160</v>
      </c>
      <c r="D7668" s="51">
        <v>58</v>
      </c>
      <c r="E7668" s="51">
        <f t="shared" si="119"/>
        <v>1</v>
      </c>
    </row>
    <row r="7669" spans="1:5">
      <c r="A7669" s="59">
        <v>16</v>
      </c>
      <c r="B7669" s="59">
        <v>62</v>
      </c>
      <c r="C7669" s="59">
        <v>530</v>
      </c>
      <c r="D7669" s="51">
        <v>57</v>
      </c>
      <c r="E7669" s="51">
        <f t="shared" si="119"/>
        <v>1</v>
      </c>
    </row>
    <row r="7670" spans="1:5">
      <c r="A7670" s="59">
        <v>16</v>
      </c>
      <c r="B7670" s="59">
        <v>71</v>
      </c>
      <c r="C7670" s="59">
        <v>990</v>
      </c>
      <c r="D7670" s="51">
        <v>56</v>
      </c>
      <c r="E7670" s="51">
        <f t="shared" si="119"/>
        <v>1</v>
      </c>
    </row>
    <row r="7671" spans="1:5">
      <c r="A7671" s="59">
        <v>16</v>
      </c>
      <c r="B7671" s="59">
        <v>64</v>
      </c>
      <c r="C7671" s="59">
        <v>620</v>
      </c>
      <c r="D7671" s="51">
        <v>55</v>
      </c>
      <c r="E7671" s="51">
        <f t="shared" si="119"/>
        <v>1</v>
      </c>
    </row>
    <row r="7672" spans="1:5">
      <c r="A7672" s="59">
        <v>16</v>
      </c>
      <c r="B7672" s="59">
        <v>81</v>
      </c>
      <c r="C7672" s="59">
        <v>610</v>
      </c>
      <c r="D7672" s="51">
        <v>54</v>
      </c>
      <c r="E7672" s="51">
        <f t="shared" si="119"/>
        <v>1</v>
      </c>
    </row>
    <row r="7673" spans="1:5">
      <c r="A7673" s="59">
        <v>16</v>
      </c>
      <c r="B7673" s="59">
        <v>71</v>
      </c>
      <c r="C7673" s="59">
        <v>520</v>
      </c>
      <c r="D7673" s="51">
        <v>47</v>
      </c>
      <c r="E7673" s="51">
        <f t="shared" si="119"/>
        <v>1</v>
      </c>
    </row>
    <row r="7674" spans="1:5">
      <c r="A7674" s="59">
        <v>16</v>
      </c>
      <c r="B7674" s="59">
        <v>32</v>
      </c>
      <c r="C7674" s="59">
        <v>410</v>
      </c>
      <c r="D7674" s="51">
        <v>45</v>
      </c>
      <c r="E7674" s="51">
        <f t="shared" si="119"/>
        <v>1</v>
      </c>
    </row>
    <row r="7675" spans="1:5">
      <c r="A7675" s="59">
        <v>16</v>
      </c>
      <c r="B7675" s="59">
        <v>61</v>
      </c>
      <c r="C7675" s="59">
        <v>920</v>
      </c>
      <c r="D7675" s="51">
        <v>45</v>
      </c>
      <c r="E7675" s="51">
        <f t="shared" si="119"/>
        <v>1</v>
      </c>
    </row>
    <row r="7676" spans="1:5">
      <c r="A7676" s="59">
        <v>16</v>
      </c>
      <c r="B7676" s="59">
        <v>64</v>
      </c>
      <c r="C7676" s="59">
        <v>160</v>
      </c>
      <c r="D7676" s="51">
        <v>43</v>
      </c>
      <c r="E7676" s="51">
        <f t="shared" si="119"/>
        <v>1</v>
      </c>
    </row>
    <row r="7677" spans="1:5">
      <c r="A7677" s="59">
        <v>16</v>
      </c>
      <c r="B7677" s="59">
        <v>64</v>
      </c>
      <c r="C7677" s="59">
        <v>150</v>
      </c>
      <c r="D7677" s="51">
        <v>42</v>
      </c>
      <c r="E7677" s="51">
        <f t="shared" si="119"/>
        <v>1</v>
      </c>
    </row>
    <row r="7678" spans="1:5">
      <c r="A7678" s="59">
        <v>16</v>
      </c>
      <c r="B7678" s="59">
        <v>64</v>
      </c>
      <c r="C7678" s="59">
        <v>861</v>
      </c>
      <c r="D7678" s="51">
        <v>42</v>
      </c>
      <c r="E7678" s="51">
        <f t="shared" si="119"/>
        <v>1</v>
      </c>
    </row>
    <row r="7679" spans="1:5">
      <c r="A7679" s="59">
        <v>16</v>
      </c>
      <c r="B7679" s="59">
        <v>62</v>
      </c>
      <c r="C7679" s="59">
        <v>620</v>
      </c>
      <c r="D7679" s="51">
        <v>41</v>
      </c>
      <c r="E7679" s="51">
        <f t="shared" si="119"/>
        <v>1</v>
      </c>
    </row>
    <row r="7680" spans="1:5">
      <c r="A7680" s="59">
        <v>16</v>
      </c>
      <c r="B7680" s="59">
        <v>22</v>
      </c>
      <c r="C7680" s="59">
        <v>210</v>
      </c>
      <c r="D7680" s="51">
        <v>40</v>
      </c>
      <c r="E7680" s="51">
        <f t="shared" si="119"/>
        <v>1</v>
      </c>
    </row>
    <row r="7681" spans="1:5">
      <c r="A7681" s="59">
        <v>16</v>
      </c>
      <c r="B7681" s="59">
        <v>31</v>
      </c>
      <c r="C7681" s="59">
        <v>910</v>
      </c>
      <c r="D7681" s="51">
        <v>40</v>
      </c>
      <c r="E7681" s="51">
        <f t="shared" si="119"/>
        <v>1</v>
      </c>
    </row>
    <row r="7682" spans="1:5">
      <c r="A7682" s="59">
        <v>16</v>
      </c>
      <c r="B7682" s="59">
        <v>42</v>
      </c>
      <c r="C7682" s="59">
        <v>510</v>
      </c>
      <c r="D7682" s="51">
        <v>39</v>
      </c>
      <c r="E7682" s="51">
        <f t="shared" ref="E7682:E7745" si="120">IF(OR(A7682=6,A7682=7,A7682=14,A7682=15,A7682=16,A7682=17,A7682=18,A7682=19,A7682=20,A7682=21,A7682=22,A7682=23,A7682=25,A7682=26,A7682=27,A7682=28,B7682=41,B7682=44,B7682=62),1,0)</f>
        <v>1</v>
      </c>
    </row>
    <row r="7683" spans="1:5">
      <c r="A7683" s="59">
        <v>16</v>
      </c>
      <c r="B7683" s="59">
        <v>43</v>
      </c>
      <c r="C7683" s="59">
        <v>150</v>
      </c>
      <c r="D7683" s="51">
        <v>38</v>
      </c>
      <c r="E7683" s="51">
        <f t="shared" si="120"/>
        <v>1</v>
      </c>
    </row>
    <row r="7684" spans="1:5">
      <c r="A7684" s="59">
        <v>16</v>
      </c>
      <c r="B7684" s="59">
        <v>63</v>
      </c>
      <c r="C7684" s="59">
        <v>530</v>
      </c>
      <c r="D7684" s="51">
        <v>38</v>
      </c>
      <c r="E7684" s="51">
        <f t="shared" si="120"/>
        <v>1</v>
      </c>
    </row>
    <row r="7685" spans="1:5">
      <c r="A7685" s="59">
        <v>16</v>
      </c>
      <c r="B7685" s="59">
        <v>81</v>
      </c>
      <c r="C7685" s="59">
        <v>990</v>
      </c>
      <c r="D7685" s="51">
        <v>37</v>
      </c>
      <c r="E7685" s="51">
        <f t="shared" si="120"/>
        <v>1</v>
      </c>
    </row>
    <row r="7686" spans="1:5">
      <c r="A7686" s="59">
        <v>16</v>
      </c>
      <c r="B7686" s="59">
        <v>42</v>
      </c>
      <c r="C7686" s="59">
        <v>530</v>
      </c>
      <c r="D7686" s="51">
        <v>35</v>
      </c>
      <c r="E7686" s="51">
        <f t="shared" si="120"/>
        <v>1</v>
      </c>
    </row>
    <row r="7687" spans="1:5">
      <c r="A7687" s="59">
        <v>16</v>
      </c>
      <c r="B7687" s="59">
        <v>43</v>
      </c>
      <c r="C7687" s="59">
        <v>940</v>
      </c>
      <c r="D7687" s="51">
        <v>34</v>
      </c>
      <c r="E7687" s="51">
        <f t="shared" si="120"/>
        <v>1</v>
      </c>
    </row>
    <row r="7688" spans="1:5">
      <c r="A7688" s="59">
        <v>16</v>
      </c>
      <c r="B7688" s="59">
        <v>32</v>
      </c>
      <c r="C7688" s="59">
        <v>420</v>
      </c>
      <c r="D7688" s="51">
        <v>33</v>
      </c>
      <c r="E7688" s="51">
        <f t="shared" si="120"/>
        <v>1</v>
      </c>
    </row>
    <row r="7689" spans="1:5">
      <c r="A7689" s="59">
        <v>16</v>
      </c>
      <c r="B7689" s="59">
        <v>42</v>
      </c>
      <c r="C7689" s="59">
        <v>620</v>
      </c>
      <c r="D7689" s="51">
        <v>33</v>
      </c>
      <c r="E7689" s="51">
        <f t="shared" si="120"/>
        <v>1</v>
      </c>
    </row>
    <row r="7690" spans="1:5">
      <c r="A7690" s="59">
        <v>16</v>
      </c>
      <c r="B7690" s="59">
        <v>62</v>
      </c>
      <c r="C7690" s="59">
        <v>160</v>
      </c>
      <c r="D7690" s="51">
        <v>33</v>
      </c>
      <c r="E7690" s="51">
        <f t="shared" si="120"/>
        <v>1</v>
      </c>
    </row>
    <row r="7691" spans="1:5">
      <c r="A7691" s="59">
        <v>16</v>
      </c>
      <c r="B7691" s="59">
        <v>13</v>
      </c>
      <c r="C7691" s="59">
        <v>510</v>
      </c>
      <c r="D7691" s="51">
        <v>32</v>
      </c>
      <c r="E7691" s="51">
        <f t="shared" si="120"/>
        <v>1</v>
      </c>
    </row>
    <row r="7692" spans="1:5">
      <c r="A7692" s="59">
        <v>16</v>
      </c>
      <c r="B7692" s="59">
        <v>62</v>
      </c>
      <c r="C7692" s="59">
        <v>930</v>
      </c>
      <c r="D7692" s="51">
        <v>31</v>
      </c>
      <c r="E7692" s="51">
        <f t="shared" si="120"/>
        <v>1</v>
      </c>
    </row>
    <row r="7693" spans="1:5">
      <c r="A7693" s="59">
        <v>16</v>
      </c>
      <c r="B7693" s="59">
        <v>64</v>
      </c>
      <c r="C7693" s="59">
        <v>430</v>
      </c>
      <c r="D7693" s="51">
        <v>31</v>
      </c>
      <c r="E7693" s="51">
        <f t="shared" si="120"/>
        <v>1</v>
      </c>
    </row>
    <row r="7694" spans="1:5">
      <c r="A7694" s="59">
        <v>16</v>
      </c>
      <c r="B7694" s="59">
        <v>44</v>
      </c>
      <c r="C7694" s="59">
        <v>530</v>
      </c>
      <c r="D7694" s="51">
        <v>30</v>
      </c>
      <c r="E7694" s="51">
        <f t="shared" si="120"/>
        <v>1</v>
      </c>
    </row>
    <row r="7695" spans="1:5">
      <c r="A7695" s="59">
        <v>16</v>
      </c>
      <c r="B7695" s="59">
        <v>62</v>
      </c>
      <c r="C7695" s="59">
        <v>110</v>
      </c>
      <c r="D7695" s="51">
        <v>30</v>
      </c>
      <c r="E7695" s="51">
        <f t="shared" si="120"/>
        <v>1</v>
      </c>
    </row>
    <row r="7696" spans="1:5">
      <c r="A7696" s="59">
        <v>16</v>
      </c>
      <c r="B7696" s="59">
        <v>63</v>
      </c>
      <c r="C7696" s="59">
        <v>620</v>
      </c>
      <c r="D7696" s="51">
        <v>29</v>
      </c>
      <c r="E7696" s="51">
        <f t="shared" si="120"/>
        <v>1</v>
      </c>
    </row>
    <row r="7697" spans="1:5">
      <c r="A7697" s="59">
        <v>16</v>
      </c>
      <c r="B7697" s="59">
        <v>14</v>
      </c>
      <c r="C7697" s="59">
        <v>510</v>
      </c>
      <c r="D7697" s="51">
        <v>26</v>
      </c>
      <c r="E7697" s="51">
        <f t="shared" si="120"/>
        <v>1</v>
      </c>
    </row>
    <row r="7698" spans="1:5">
      <c r="A7698" s="59">
        <v>16</v>
      </c>
      <c r="B7698" s="59">
        <v>13</v>
      </c>
      <c r="C7698" s="59">
        <v>160</v>
      </c>
      <c r="D7698" s="51">
        <v>25</v>
      </c>
      <c r="E7698" s="51">
        <f t="shared" si="120"/>
        <v>1</v>
      </c>
    </row>
    <row r="7699" spans="1:5">
      <c r="A7699" s="59">
        <v>16</v>
      </c>
      <c r="B7699" s="59">
        <v>41</v>
      </c>
      <c r="C7699" s="59">
        <v>510</v>
      </c>
      <c r="D7699" s="51">
        <v>25</v>
      </c>
      <c r="E7699" s="51">
        <f t="shared" si="120"/>
        <v>1</v>
      </c>
    </row>
    <row r="7700" spans="1:5">
      <c r="A7700" s="59">
        <v>16</v>
      </c>
      <c r="B7700" s="59">
        <v>63</v>
      </c>
      <c r="C7700" s="59">
        <v>720</v>
      </c>
      <c r="D7700" s="51">
        <v>25</v>
      </c>
      <c r="E7700" s="51">
        <f t="shared" si="120"/>
        <v>1</v>
      </c>
    </row>
    <row r="7701" spans="1:5">
      <c r="A7701" s="59">
        <v>16</v>
      </c>
      <c r="B7701" s="59">
        <v>64</v>
      </c>
      <c r="C7701" s="59">
        <v>720</v>
      </c>
      <c r="D7701" s="51">
        <v>25</v>
      </c>
      <c r="E7701" s="51">
        <f t="shared" si="120"/>
        <v>1</v>
      </c>
    </row>
    <row r="7702" spans="1:5">
      <c r="A7702" s="59">
        <v>16</v>
      </c>
      <c r="B7702" s="59">
        <v>14</v>
      </c>
      <c r="C7702" s="59">
        <v>210</v>
      </c>
      <c r="D7702" s="51">
        <v>23</v>
      </c>
      <c r="E7702" s="51">
        <f t="shared" si="120"/>
        <v>1</v>
      </c>
    </row>
    <row r="7703" spans="1:5">
      <c r="A7703" s="59">
        <v>16</v>
      </c>
      <c r="B7703" s="59">
        <v>44</v>
      </c>
      <c r="C7703" s="59">
        <v>720</v>
      </c>
      <c r="D7703" s="51">
        <v>23</v>
      </c>
      <c r="E7703" s="51">
        <f t="shared" si="120"/>
        <v>1</v>
      </c>
    </row>
    <row r="7704" spans="1:5">
      <c r="A7704" s="59">
        <v>16</v>
      </c>
      <c r="B7704" s="59">
        <v>32</v>
      </c>
      <c r="C7704" s="59">
        <v>430</v>
      </c>
      <c r="D7704" s="51">
        <v>21</v>
      </c>
      <c r="E7704" s="51">
        <f t="shared" si="120"/>
        <v>1</v>
      </c>
    </row>
    <row r="7705" spans="1:5">
      <c r="A7705" s="59">
        <v>16</v>
      </c>
      <c r="B7705" s="59">
        <v>43</v>
      </c>
      <c r="C7705" s="59">
        <v>720</v>
      </c>
      <c r="D7705" s="51">
        <v>21</v>
      </c>
      <c r="E7705" s="51">
        <f t="shared" si="120"/>
        <v>1</v>
      </c>
    </row>
    <row r="7706" spans="1:5">
      <c r="A7706" s="59">
        <v>16</v>
      </c>
      <c r="B7706" s="59">
        <v>64</v>
      </c>
      <c r="C7706" s="59">
        <v>410</v>
      </c>
      <c r="D7706" s="51">
        <v>21</v>
      </c>
      <c r="E7706" s="51">
        <f t="shared" si="120"/>
        <v>1</v>
      </c>
    </row>
    <row r="7707" spans="1:5">
      <c r="A7707" s="59">
        <v>16</v>
      </c>
      <c r="B7707" s="59">
        <v>71</v>
      </c>
      <c r="C7707" s="59">
        <v>110</v>
      </c>
      <c r="D7707" s="51">
        <v>21</v>
      </c>
      <c r="E7707" s="51">
        <f t="shared" si="120"/>
        <v>1</v>
      </c>
    </row>
    <row r="7708" spans="1:5">
      <c r="A7708" s="59">
        <v>16</v>
      </c>
      <c r="B7708" s="59">
        <v>22</v>
      </c>
      <c r="C7708" s="59">
        <v>310</v>
      </c>
      <c r="D7708" s="51">
        <v>20</v>
      </c>
      <c r="E7708" s="51">
        <f t="shared" si="120"/>
        <v>1</v>
      </c>
    </row>
    <row r="7709" spans="1:5">
      <c r="A7709" s="59">
        <v>16</v>
      </c>
      <c r="B7709" s="59">
        <v>64</v>
      </c>
      <c r="C7709" s="59">
        <v>520</v>
      </c>
      <c r="D7709" s="51">
        <v>20</v>
      </c>
      <c r="E7709" s="51">
        <f t="shared" si="120"/>
        <v>1</v>
      </c>
    </row>
    <row r="7710" spans="1:5">
      <c r="A7710" s="59">
        <v>16</v>
      </c>
      <c r="B7710" s="59">
        <v>41</v>
      </c>
      <c r="C7710" s="59">
        <v>610</v>
      </c>
      <c r="D7710" s="51">
        <v>19</v>
      </c>
      <c r="E7710" s="51">
        <f t="shared" si="120"/>
        <v>1</v>
      </c>
    </row>
    <row r="7711" spans="1:5">
      <c r="A7711" s="59">
        <v>16</v>
      </c>
      <c r="B7711" s="59">
        <v>43</v>
      </c>
      <c r="C7711" s="59">
        <v>110</v>
      </c>
      <c r="D7711" s="51">
        <v>19</v>
      </c>
      <c r="E7711" s="51">
        <f t="shared" si="120"/>
        <v>1</v>
      </c>
    </row>
    <row r="7712" spans="1:5">
      <c r="A7712" s="59">
        <v>16</v>
      </c>
      <c r="B7712" s="59">
        <v>43</v>
      </c>
      <c r="C7712" s="59">
        <v>410</v>
      </c>
      <c r="D7712" s="51">
        <v>19</v>
      </c>
      <c r="E7712" s="51">
        <f t="shared" si="120"/>
        <v>1</v>
      </c>
    </row>
    <row r="7713" spans="1:5">
      <c r="A7713" s="59">
        <v>16</v>
      </c>
      <c r="B7713" s="59">
        <v>71</v>
      </c>
      <c r="C7713" s="59">
        <v>640</v>
      </c>
      <c r="D7713" s="51">
        <v>19</v>
      </c>
      <c r="E7713" s="51">
        <f t="shared" si="120"/>
        <v>1</v>
      </c>
    </row>
    <row r="7714" spans="1:5">
      <c r="A7714" s="59">
        <v>16</v>
      </c>
      <c r="B7714" s="59">
        <v>43</v>
      </c>
      <c r="C7714" s="59">
        <v>895</v>
      </c>
      <c r="D7714" s="51">
        <v>18</v>
      </c>
      <c r="E7714" s="51">
        <f t="shared" si="120"/>
        <v>1</v>
      </c>
    </row>
    <row r="7715" spans="1:5">
      <c r="A7715" s="59">
        <v>16</v>
      </c>
      <c r="B7715" s="59">
        <v>81</v>
      </c>
      <c r="C7715" s="59">
        <v>510</v>
      </c>
      <c r="D7715" s="51">
        <v>18</v>
      </c>
      <c r="E7715" s="51">
        <f t="shared" si="120"/>
        <v>1</v>
      </c>
    </row>
    <row r="7716" spans="1:5">
      <c r="A7716" s="59">
        <v>16</v>
      </c>
      <c r="B7716" s="59">
        <v>14</v>
      </c>
      <c r="C7716" s="59">
        <v>930</v>
      </c>
      <c r="D7716" s="51">
        <v>17</v>
      </c>
      <c r="E7716" s="51">
        <f t="shared" si="120"/>
        <v>1</v>
      </c>
    </row>
    <row r="7717" spans="1:5">
      <c r="A7717" s="59">
        <v>16</v>
      </c>
      <c r="B7717" s="59">
        <v>71</v>
      </c>
      <c r="C7717" s="59">
        <v>730</v>
      </c>
      <c r="D7717" s="51">
        <v>17</v>
      </c>
      <c r="E7717" s="51">
        <f t="shared" si="120"/>
        <v>1</v>
      </c>
    </row>
    <row r="7718" spans="1:5">
      <c r="A7718" s="59">
        <v>16</v>
      </c>
      <c r="B7718" s="59">
        <v>62</v>
      </c>
      <c r="C7718" s="59">
        <v>410</v>
      </c>
      <c r="D7718" s="51">
        <v>16</v>
      </c>
      <c r="E7718" s="51">
        <f t="shared" si="120"/>
        <v>1</v>
      </c>
    </row>
    <row r="7719" spans="1:5">
      <c r="A7719" s="59">
        <v>16</v>
      </c>
      <c r="B7719" s="59">
        <v>64</v>
      </c>
      <c r="C7719" s="59">
        <v>210</v>
      </c>
      <c r="D7719" s="51">
        <v>16</v>
      </c>
      <c r="E7719" s="51">
        <f t="shared" si="120"/>
        <v>1</v>
      </c>
    </row>
    <row r="7720" spans="1:5">
      <c r="A7720" s="59">
        <v>16</v>
      </c>
      <c r="B7720" s="59">
        <v>64</v>
      </c>
      <c r="C7720" s="59">
        <v>420</v>
      </c>
      <c r="D7720" s="51">
        <v>16</v>
      </c>
      <c r="E7720" s="51">
        <f t="shared" si="120"/>
        <v>1</v>
      </c>
    </row>
    <row r="7721" spans="1:5">
      <c r="A7721" s="59">
        <v>16</v>
      </c>
      <c r="B7721" s="59">
        <v>22</v>
      </c>
      <c r="C7721" s="59">
        <v>150</v>
      </c>
      <c r="D7721" s="51">
        <v>15</v>
      </c>
      <c r="E7721" s="51">
        <f t="shared" si="120"/>
        <v>1</v>
      </c>
    </row>
    <row r="7722" spans="1:5">
      <c r="A7722" s="59">
        <v>16</v>
      </c>
      <c r="B7722" s="59">
        <v>22</v>
      </c>
      <c r="C7722" s="59">
        <v>240</v>
      </c>
      <c r="D7722" s="51">
        <v>15</v>
      </c>
      <c r="E7722" s="51">
        <f t="shared" si="120"/>
        <v>1</v>
      </c>
    </row>
    <row r="7723" spans="1:5">
      <c r="A7723" s="59">
        <v>16</v>
      </c>
      <c r="B7723" s="59">
        <v>42</v>
      </c>
      <c r="C7723" s="59">
        <v>831</v>
      </c>
      <c r="D7723" s="51">
        <v>15</v>
      </c>
      <c r="E7723" s="51">
        <f t="shared" si="120"/>
        <v>1</v>
      </c>
    </row>
    <row r="7724" spans="1:5">
      <c r="A7724" s="59">
        <v>16</v>
      </c>
      <c r="B7724" s="59">
        <v>71</v>
      </c>
      <c r="C7724" s="59">
        <v>720</v>
      </c>
      <c r="D7724" s="51">
        <v>15</v>
      </c>
      <c r="E7724" s="51">
        <f t="shared" si="120"/>
        <v>1</v>
      </c>
    </row>
    <row r="7725" spans="1:5">
      <c r="A7725" s="59">
        <v>16</v>
      </c>
      <c r="B7725" s="59">
        <v>13</v>
      </c>
      <c r="C7725" s="59">
        <v>530</v>
      </c>
      <c r="D7725" s="51">
        <v>14</v>
      </c>
      <c r="E7725" s="51">
        <f t="shared" si="120"/>
        <v>1</v>
      </c>
    </row>
    <row r="7726" spans="1:5">
      <c r="A7726" s="59">
        <v>16</v>
      </c>
      <c r="B7726" s="59">
        <v>22</v>
      </c>
      <c r="C7726" s="59">
        <v>330</v>
      </c>
      <c r="D7726" s="51">
        <v>14</v>
      </c>
      <c r="E7726" s="51">
        <f t="shared" si="120"/>
        <v>1</v>
      </c>
    </row>
    <row r="7727" spans="1:5">
      <c r="A7727" s="59">
        <v>16</v>
      </c>
      <c r="B7727" s="59">
        <v>33</v>
      </c>
      <c r="C7727" s="59">
        <v>970</v>
      </c>
      <c r="D7727" s="51">
        <v>14</v>
      </c>
      <c r="E7727" s="51">
        <f t="shared" si="120"/>
        <v>1</v>
      </c>
    </row>
    <row r="7728" spans="1:5">
      <c r="A7728" s="59">
        <v>16</v>
      </c>
      <c r="B7728" s="59">
        <v>42</v>
      </c>
      <c r="C7728" s="59">
        <v>730</v>
      </c>
      <c r="D7728" s="51">
        <v>14</v>
      </c>
      <c r="E7728" s="51">
        <f t="shared" si="120"/>
        <v>1</v>
      </c>
    </row>
    <row r="7729" spans="1:5">
      <c r="A7729" s="59">
        <v>16</v>
      </c>
      <c r="B7729" s="59">
        <v>43</v>
      </c>
      <c r="C7729" s="59">
        <v>430</v>
      </c>
      <c r="D7729" s="51">
        <v>14</v>
      </c>
      <c r="E7729" s="51">
        <f t="shared" si="120"/>
        <v>1</v>
      </c>
    </row>
    <row r="7730" spans="1:5">
      <c r="A7730" s="59">
        <v>16</v>
      </c>
      <c r="B7730" s="59">
        <v>44</v>
      </c>
      <c r="C7730" s="59">
        <v>892</v>
      </c>
      <c r="D7730" s="51">
        <v>14</v>
      </c>
      <c r="E7730" s="51">
        <f t="shared" si="120"/>
        <v>1</v>
      </c>
    </row>
    <row r="7731" spans="1:5">
      <c r="A7731" s="59">
        <v>16</v>
      </c>
      <c r="B7731" s="59">
        <v>44</v>
      </c>
      <c r="C7731" s="59">
        <v>990</v>
      </c>
      <c r="D7731" s="51">
        <v>14</v>
      </c>
      <c r="E7731" s="51">
        <f t="shared" si="120"/>
        <v>1</v>
      </c>
    </row>
    <row r="7732" spans="1:5">
      <c r="A7732" s="59">
        <v>16</v>
      </c>
      <c r="B7732" s="59">
        <v>62</v>
      </c>
      <c r="C7732" s="59">
        <v>520</v>
      </c>
      <c r="D7732" s="51">
        <v>14</v>
      </c>
      <c r="E7732" s="51">
        <f t="shared" si="120"/>
        <v>1</v>
      </c>
    </row>
    <row r="7733" spans="1:5">
      <c r="A7733" s="59">
        <v>16</v>
      </c>
      <c r="B7733" s="59">
        <v>62</v>
      </c>
      <c r="C7733" s="59">
        <v>750</v>
      </c>
      <c r="D7733" s="51">
        <v>14</v>
      </c>
      <c r="E7733" s="51">
        <f t="shared" si="120"/>
        <v>1</v>
      </c>
    </row>
    <row r="7734" spans="1:5">
      <c r="A7734" s="59">
        <v>16</v>
      </c>
      <c r="B7734" s="59">
        <v>64</v>
      </c>
      <c r="C7734" s="59">
        <v>730</v>
      </c>
      <c r="D7734" s="51">
        <v>14</v>
      </c>
      <c r="E7734" s="51">
        <f t="shared" si="120"/>
        <v>1</v>
      </c>
    </row>
    <row r="7735" spans="1:5">
      <c r="A7735" s="59">
        <v>16</v>
      </c>
      <c r="B7735" s="59">
        <v>14</v>
      </c>
      <c r="C7735" s="59">
        <v>610</v>
      </c>
      <c r="D7735" s="51">
        <v>13</v>
      </c>
      <c r="E7735" s="51">
        <f t="shared" si="120"/>
        <v>1</v>
      </c>
    </row>
    <row r="7736" spans="1:5">
      <c r="A7736" s="59">
        <v>16</v>
      </c>
      <c r="B7736" s="59">
        <v>22</v>
      </c>
      <c r="C7736" s="59">
        <v>110</v>
      </c>
      <c r="D7736" s="51">
        <v>13</v>
      </c>
      <c r="E7736" s="51">
        <f t="shared" si="120"/>
        <v>1</v>
      </c>
    </row>
    <row r="7737" spans="1:5">
      <c r="A7737" s="59">
        <v>16</v>
      </c>
      <c r="B7737" s="59">
        <v>32</v>
      </c>
      <c r="C7737" s="59">
        <v>895</v>
      </c>
      <c r="D7737" s="51">
        <v>13</v>
      </c>
      <c r="E7737" s="51">
        <f t="shared" si="120"/>
        <v>1</v>
      </c>
    </row>
    <row r="7738" spans="1:5">
      <c r="A7738" s="59">
        <v>16</v>
      </c>
      <c r="B7738" s="59">
        <v>63</v>
      </c>
      <c r="C7738" s="59">
        <v>730</v>
      </c>
      <c r="D7738" s="51">
        <v>13</v>
      </c>
      <c r="E7738" s="51">
        <f t="shared" si="120"/>
        <v>1</v>
      </c>
    </row>
    <row r="7739" spans="1:5">
      <c r="A7739" s="59">
        <v>16</v>
      </c>
      <c r="B7739" s="59">
        <v>71</v>
      </c>
      <c r="C7739" s="59">
        <v>970</v>
      </c>
      <c r="D7739" s="51">
        <v>13</v>
      </c>
      <c r="E7739" s="51">
        <f t="shared" si="120"/>
        <v>1</v>
      </c>
    </row>
    <row r="7740" spans="1:5">
      <c r="A7740" s="59">
        <v>16</v>
      </c>
      <c r="B7740" s="59">
        <v>16</v>
      </c>
      <c r="C7740" s="59">
        <v>110</v>
      </c>
      <c r="D7740" s="51">
        <v>12</v>
      </c>
      <c r="E7740" s="51">
        <f t="shared" si="120"/>
        <v>1</v>
      </c>
    </row>
    <row r="7741" spans="1:5">
      <c r="A7741" s="59">
        <v>16</v>
      </c>
      <c r="B7741" s="59">
        <v>32</v>
      </c>
      <c r="C7741" s="59">
        <v>610</v>
      </c>
      <c r="D7741" s="51">
        <v>12</v>
      </c>
      <c r="E7741" s="51">
        <f t="shared" si="120"/>
        <v>1</v>
      </c>
    </row>
    <row r="7742" spans="1:5">
      <c r="A7742" s="59">
        <v>16</v>
      </c>
      <c r="B7742" s="59">
        <v>62</v>
      </c>
      <c r="C7742" s="59">
        <v>730</v>
      </c>
      <c r="D7742" s="51">
        <v>12</v>
      </c>
      <c r="E7742" s="51">
        <f t="shared" si="120"/>
        <v>1</v>
      </c>
    </row>
    <row r="7743" spans="1:5">
      <c r="A7743" s="59">
        <v>16</v>
      </c>
      <c r="B7743" s="59">
        <v>33</v>
      </c>
      <c r="C7743" s="59">
        <v>420</v>
      </c>
      <c r="D7743" s="51">
        <v>11</v>
      </c>
      <c r="E7743" s="51">
        <f t="shared" si="120"/>
        <v>1</v>
      </c>
    </row>
    <row r="7744" spans="1:5">
      <c r="A7744" s="59">
        <v>16</v>
      </c>
      <c r="B7744" s="59">
        <v>42</v>
      </c>
      <c r="C7744" s="59">
        <v>990</v>
      </c>
      <c r="D7744" s="51">
        <v>11</v>
      </c>
      <c r="E7744" s="51">
        <f t="shared" si="120"/>
        <v>1</v>
      </c>
    </row>
    <row r="7745" spans="1:5">
      <c r="A7745" s="59">
        <v>16</v>
      </c>
      <c r="B7745" s="59">
        <v>43</v>
      </c>
      <c r="C7745" s="59">
        <v>950</v>
      </c>
      <c r="D7745" s="51">
        <v>11</v>
      </c>
      <c r="E7745" s="51">
        <f t="shared" si="120"/>
        <v>1</v>
      </c>
    </row>
    <row r="7746" spans="1:5">
      <c r="A7746" s="59">
        <v>16</v>
      </c>
      <c r="B7746" s="59">
        <v>44</v>
      </c>
      <c r="C7746" s="59">
        <v>840</v>
      </c>
      <c r="D7746" s="51">
        <v>11</v>
      </c>
      <c r="E7746" s="51">
        <f t="shared" ref="E7746:E7809" si="121">IF(OR(A7746=6,A7746=7,A7746=14,A7746=15,A7746=16,A7746=17,A7746=18,A7746=19,A7746=20,A7746=21,A7746=22,A7746=23,A7746=25,A7746=26,A7746=27,A7746=28,B7746=41,B7746=44,B7746=62),1,0)</f>
        <v>1</v>
      </c>
    </row>
    <row r="7747" spans="1:5">
      <c r="A7747" s="59">
        <v>16</v>
      </c>
      <c r="B7747" s="59">
        <v>71</v>
      </c>
      <c r="C7747" s="59">
        <v>160</v>
      </c>
      <c r="D7747" s="51">
        <v>11</v>
      </c>
      <c r="E7747" s="51">
        <f t="shared" si="121"/>
        <v>1</v>
      </c>
    </row>
    <row r="7748" spans="1:5">
      <c r="A7748" s="59">
        <v>16</v>
      </c>
      <c r="B7748" s="59">
        <v>13</v>
      </c>
      <c r="C7748" s="59">
        <v>210</v>
      </c>
      <c r="D7748" s="51">
        <v>10</v>
      </c>
      <c r="E7748" s="51">
        <f t="shared" si="121"/>
        <v>1</v>
      </c>
    </row>
    <row r="7749" spans="1:5">
      <c r="A7749" s="59">
        <v>16</v>
      </c>
      <c r="B7749" s="59">
        <v>13</v>
      </c>
      <c r="C7749" s="59">
        <v>970</v>
      </c>
      <c r="D7749" s="51">
        <v>10</v>
      </c>
      <c r="E7749" s="51">
        <f t="shared" si="121"/>
        <v>1</v>
      </c>
    </row>
    <row r="7750" spans="1:5">
      <c r="A7750" s="59">
        <v>16</v>
      </c>
      <c r="B7750" s="59">
        <v>14</v>
      </c>
      <c r="C7750" s="59">
        <v>230</v>
      </c>
      <c r="D7750" s="51">
        <v>10</v>
      </c>
      <c r="E7750" s="51">
        <f t="shared" si="121"/>
        <v>1</v>
      </c>
    </row>
    <row r="7751" spans="1:5">
      <c r="A7751" s="59">
        <v>16</v>
      </c>
      <c r="B7751" s="59">
        <v>22</v>
      </c>
      <c r="C7751" s="59">
        <v>230</v>
      </c>
      <c r="D7751" s="51">
        <v>10</v>
      </c>
      <c r="E7751" s="51">
        <f t="shared" si="121"/>
        <v>1</v>
      </c>
    </row>
    <row r="7752" spans="1:5">
      <c r="A7752" s="59">
        <v>16</v>
      </c>
      <c r="B7752" s="59">
        <v>32</v>
      </c>
      <c r="C7752" s="59">
        <v>970</v>
      </c>
      <c r="D7752" s="51">
        <v>10</v>
      </c>
      <c r="E7752" s="51">
        <f t="shared" si="121"/>
        <v>1</v>
      </c>
    </row>
    <row r="7753" spans="1:5">
      <c r="A7753" s="59">
        <v>16</v>
      </c>
      <c r="B7753" s="59">
        <v>33</v>
      </c>
      <c r="C7753" s="59">
        <v>430</v>
      </c>
      <c r="D7753" s="51">
        <v>10</v>
      </c>
      <c r="E7753" s="51">
        <f t="shared" si="121"/>
        <v>1</v>
      </c>
    </row>
    <row r="7754" spans="1:5">
      <c r="A7754" s="59">
        <v>16</v>
      </c>
      <c r="B7754" s="59">
        <v>43</v>
      </c>
      <c r="C7754" s="59">
        <v>210</v>
      </c>
      <c r="D7754" s="51">
        <v>10</v>
      </c>
      <c r="E7754" s="51">
        <f t="shared" si="121"/>
        <v>1</v>
      </c>
    </row>
    <row r="7755" spans="1:5">
      <c r="A7755" s="59">
        <v>16</v>
      </c>
      <c r="B7755" s="59">
        <v>44</v>
      </c>
      <c r="C7755" s="59">
        <v>899</v>
      </c>
      <c r="D7755" s="51">
        <v>10</v>
      </c>
      <c r="E7755" s="51">
        <f t="shared" si="121"/>
        <v>1</v>
      </c>
    </row>
    <row r="7756" spans="1:5">
      <c r="A7756" s="59">
        <v>16</v>
      </c>
      <c r="B7756" s="59">
        <v>62</v>
      </c>
      <c r="C7756" s="59">
        <v>970</v>
      </c>
      <c r="D7756" s="51">
        <v>10</v>
      </c>
      <c r="E7756" s="51">
        <f t="shared" si="121"/>
        <v>1</v>
      </c>
    </row>
    <row r="7757" spans="1:5">
      <c r="A7757" s="59">
        <v>16</v>
      </c>
      <c r="B7757" s="59">
        <v>63</v>
      </c>
      <c r="C7757" s="59">
        <v>110</v>
      </c>
      <c r="D7757" s="51">
        <v>10</v>
      </c>
      <c r="E7757" s="51">
        <f t="shared" si="121"/>
        <v>1</v>
      </c>
    </row>
    <row r="7758" spans="1:5">
      <c r="A7758" s="59">
        <v>16</v>
      </c>
      <c r="B7758" s="59">
        <v>64</v>
      </c>
      <c r="C7758" s="59">
        <v>930</v>
      </c>
      <c r="D7758" s="51">
        <v>10</v>
      </c>
      <c r="E7758" s="51">
        <f t="shared" si="121"/>
        <v>1</v>
      </c>
    </row>
    <row r="7759" spans="1:5">
      <c r="A7759" s="59">
        <v>16</v>
      </c>
      <c r="B7759" s="59">
        <v>64</v>
      </c>
      <c r="C7759" s="59">
        <v>940</v>
      </c>
      <c r="D7759" s="51">
        <v>10</v>
      </c>
      <c r="E7759" s="51">
        <f t="shared" si="121"/>
        <v>1</v>
      </c>
    </row>
    <row r="7760" spans="1:5">
      <c r="A7760" s="59">
        <v>16</v>
      </c>
      <c r="B7760" s="59">
        <v>13</v>
      </c>
      <c r="C7760" s="59">
        <v>950</v>
      </c>
      <c r="D7760" s="51">
        <v>9</v>
      </c>
      <c r="E7760" s="51">
        <f t="shared" si="121"/>
        <v>1</v>
      </c>
    </row>
    <row r="7761" spans="1:5">
      <c r="A7761" s="59">
        <v>16</v>
      </c>
      <c r="B7761" s="59">
        <v>14</v>
      </c>
      <c r="C7761" s="59">
        <v>240</v>
      </c>
      <c r="D7761" s="51">
        <v>9</v>
      </c>
      <c r="E7761" s="51">
        <f t="shared" si="121"/>
        <v>1</v>
      </c>
    </row>
    <row r="7762" spans="1:5">
      <c r="A7762" s="59">
        <v>16</v>
      </c>
      <c r="B7762" s="59">
        <v>14</v>
      </c>
      <c r="C7762" s="59">
        <v>320</v>
      </c>
      <c r="D7762" s="51">
        <v>9</v>
      </c>
      <c r="E7762" s="51">
        <f t="shared" si="121"/>
        <v>1</v>
      </c>
    </row>
    <row r="7763" spans="1:5">
      <c r="A7763" s="59">
        <v>16</v>
      </c>
      <c r="B7763" s="59">
        <v>14</v>
      </c>
      <c r="C7763" s="59">
        <v>330</v>
      </c>
      <c r="D7763" s="51">
        <v>9</v>
      </c>
      <c r="E7763" s="51">
        <f t="shared" si="121"/>
        <v>1</v>
      </c>
    </row>
    <row r="7764" spans="1:5">
      <c r="A7764" s="59">
        <v>16</v>
      </c>
      <c r="B7764" s="59">
        <v>14</v>
      </c>
      <c r="C7764" s="59">
        <v>530</v>
      </c>
      <c r="D7764" s="51">
        <v>9</v>
      </c>
      <c r="E7764" s="51">
        <f t="shared" si="121"/>
        <v>1</v>
      </c>
    </row>
    <row r="7765" spans="1:5">
      <c r="A7765" s="59">
        <v>16</v>
      </c>
      <c r="B7765" s="59">
        <v>16</v>
      </c>
      <c r="C7765" s="59">
        <v>160</v>
      </c>
      <c r="D7765" s="51">
        <v>9</v>
      </c>
      <c r="E7765" s="51">
        <f t="shared" si="121"/>
        <v>1</v>
      </c>
    </row>
    <row r="7766" spans="1:5">
      <c r="A7766" s="59">
        <v>16</v>
      </c>
      <c r="B7766" s="59">
        <v>42</v>
      </c>
      <c r="C7766" s="59">
        <v>110</v>
      </c>
      <c r="D7766" s="51">
        <v>9</v>
      </c>
      <c r="E7766" s="51">
        <f t="shared" si="121"/>
        <v>1</v>
      </c>
    </row>
    <row r="7767" spans="1:5">
      <c r="A7767" s="59">
        <v>16</v>
      </c>
      <c r="B7767" s="59">
        <v>43</v>
      </c>
      <c r="C7767" s="59">
        <v>420</v>
      </c>
      <c r="D7767" s="51">
        <v>9</v>
      </c>
      <c r="E7767" s="51">
        <f t="shared" si="121"/>
        <v>1</v>
      </c>
    </row>
    <row r="7768" spans="1:5">
      <c r="A7768" s="59">
        <v>16</v>
      </c>
      <c r="B7768" s="59">
        <v>43</v>
      </c>
      <c r="C7768" s="59">
        <v>730</v>
      </c>
      <c r="D7768" s="51">
        <v>9</v>
      </c>
      <c r="E7768" s="51">
        <f t="shared" si="121"/>
        <v>1</v>
      </c>
    </row>
    <row r="7769" spans="1:5">
      <c r="A7769" s="59">
        <v>16</v>
      </c>
      <c r="B7769" s="59">
        <v>43</v>
      </c>
      <c r="C7769" s="59">
        <v>840</v>
      </c>
      <c r="D7769" s="51">
        <v>9</v>
      </c>
      <c r="E7769" s="51">
        <f t="shared" si="121"/>
        <v>1</v>
      </c>
    </row>
    <row r="7770" spans="1:5">
      <c r="A7770" s="59">
        <v>16</v>
      </c>
      <c r="B7770" s="59">
        <v>51</v>
      </c>
      <c r="C7770" s="59">
        <v>910</v>
      </c>
      <c r="D7770" s="51">
        <v>9</v>
      </c>
      <c r="E7770" s="51">
        <f t="shared" si="121"/>
        <v>1</v>
      </c>
    </row>
    <row r="7771" spans="1:5">
      <c r="A7771" s="59">
        <v>16</v>
      </c>
      <c r="B7771" s="59">
        <v>62</v>
      </c>
      <c r="C7771" s="59">
        <v>150</v>
      </c>
      <c r="D7771" s="51">
        <v>9</v>
      </c>
      <c r="E7771" s="51">
        <f t="shared" si="121"/>
        <v>1</v>
      </c>
    </row>
    <row r="7772" spans="1:5">
      <c r="A7772" s="59">
        <v>16</v>
      </c>
      <c r="B7772" s="59">
        <v>63</v>
      </c>
      <c r="C7772" s="59">
        <v>160</v>
      </c>
      <c r="D7772" s="51">
        <v>9</v>
      </c>
      <c r="E7772" s="51">
        <f t="shared" si="121"/>
        <v>1</v>
      </c>
    </row>
    <row r="7773" spans="1:5">
      <c r="A7773" s="59">
        <v>16</v>
      </c>
      <c r="B7773" s="59">
        <v>63</v>
      </c>
      <c r="C7773" s="59">
        <v>520</v>
      </c>
      <c r="D7773" s="51">
        <v>9</v>
      </c>
      <c r="E7773" s="51">
        <f t="shared" si="121"/>
        <v>1</v>
      </c>
    </row>
    <row r="7774" spans="1:5">
      <c r="A7774" s="59">
        <v>16</v>
      </c>
      <c r="B7774" s="59">
        <v>13</v>
      </c>
      <c r="C7774" s="59">
        <v>610</v>
      </c>
      <c r="D7774" s="51">
        <v>8</v>
      </c>
      <c r="E7774" s="51">
        <f t="shared" si="121"/>
        <v>1</v>
      </c>
    </row>
    <row r="7775" spans="1:5">
      <c r="A7775" s="59">
        <v>16</v>
      </c>
      <c r="B7775" s="59">
        <v>14</v>
      </c>
      <c r="C7775" s="59">
        <v>310</v>
      </c>
      <c r="D7775" s="51">
        <v>8</v>
      </c>
      <c r="E7775" s="51">
        <f t="shared" si="121"/>
        <v>1</v>
      </c>
    </row>
    <row r="7776" spans="1:5">
      <c r="A7776" s="59">
        <v>16</v>
      </c>
      <c r="B7776" s="59">
        <v>15</v>
      </c>
      <c r="C7776" s="59">
        <v>410</v>
      </c>
      <c r="D7776" s="51">
        <v>8</v>
      </c>
      <c r="E7776" s="51">
        <f t="shared" si="121"/>
        <v>1</v>
      </c>
    </row>
    <row r="7777" spans="1:5">
      <c r="A7777" s="59">
        <v>16</v>
      </c>
      <c r="B7777" s="59">
        <v>64</v>
      </c>
      <c r="C7777" s="59">
        <v>830</v>
      </c>
      <c r="D7777" s="51">
        <v>8</v>
      </c>
      <c r="E7777" s="51">
        <f t="shared" si="121"/>
        <v>1</v>
      </c>
    </row>
    <row r="7778" spans="1:5">
      <c r="A7778" s="59">
        <v>16</v>
      </c>
      <c r="B7778" s="59">
        <v>81</v>
      </c>
      <c r="C7778" s="59">
        <v>930</v>
      </c>
      <c r="D7778" s="51">
        <v>8</v>
      </c>
      <c r="E7778" s="51">
        <f t="shared" si="121"/>
        <v>1</v>
      </c>
    </row>
    <row r="7779" spans="1:5">
      <c r="A7779" s="59">
        <v>16</v>
      </c>
      <c r="B7779" s="59">
        <v>13</v>
      </c>
      <c r="C7779" s="59">
        <v>930</v>
      </c>
      <c r="D7779" s="51">
        <v>7</v>
      </c>
      <c r="E7779" s="51">
        <f t="shared" si="121"/>
        <v>1</v>
      </c>
    </row>
    <row r="7780" spans="1:5">
      <c r="A7780" s="59">
        <v>16</v>
      </c>
      <c r="B7780" s="59">
        <v>23</v>
      </c>
      <c r="C7780" s="59">
        <v>910</v>
      </c>
      <c r="D7780" s="51">
        <v>7</v>
      </c>
      <c r="E7780" s="51">
        <f t="shared" si="121"/>
        <v>1</v>
      </c>
    </row>
    <row r="7781" spans="1:5">
      <c r="A7781" s="59">
        <v>16</v>
      </c>
      <c r="B7781" s="59">
        <v>32</v>
      </c>
      <c r="C7781" s="59">
        <v>150</v>
      </c>
      <c r="D7781" s="51">
        <v>7</v>
      </c>
      <c r="E7781" s="51">
        <f t="shared" si="121"/>
        <v>1</v>
      </c>
    </row>
    <row r="7782" spans="1:5">
      <c r="A7782" s="59">
        <v>16</v>
      </c>
      <c r="B7782" s="59">
        <v>41</v>
      </c>
      <c r="C7782" s="59">
        <v>150</v>
      </c>
      <c r="D7782" s="51">
        <v>7</v>
      </c>
      <c r="E7782" s="51">
        <f t="shared" si="121"/>
        <v>1</v>
      </c>
    </row>
    <row r="7783" spans="1:5">
      <c r="A7783" s="59">
        <v>16</v>
      </c>
      <c r="B7783" s="59">
        <v>42</v>
      </c>
      <c r="C7783" s="59">
        <v>160</v>
      </c>
      <c r="D7783" s="51">
        <v>7</v>
      </c>
      <c r="E7783" s="51">
        <f t="shared" si="121"/>
        <v>1</v>
      </c>
    </row>
    <row r="7784" spans="1:5">
      <c r="A7784" s="59">
        <v>16</v>
      </c>
      <c r="B7784" s="59">
        <v>43</v>
      </c>
      <c r="C7784" s="59">
        <v>540</v>
      </c>
      <c r="D7784" s="51">
        <v>7</v>
      </c>
      <c r="E7784" s="51">
        <f t="shared" si="121"/>
        <v>1</v>
      </c>
    </row>
    <row r="7785" spans="1:5">
      <c r="A7785" s="59">
        <v>16</v>
      </c>
      <c r="B7785" s="59">
        <v>44</v>
      </c>
      <c r="C7785" s="59">
        <v>970</v>
      </c>
      <c r="D7785" s="51">
        <v>7</v>
      </c>
      <c r="E7785" s="51">
        <f t="shared" si="121"/>
        <v>1</v>
      </c>
    </row>
    <row r="7786" spans="1:5">
      <c r="A7786" s="59">
        <v>16</v>
      </c>
      <c r="B7786" s="59">
        <v>63</v>
      </c>
      <c r="C7786" s="59">
        <v>750</v>
      </c>
      <c r="D7786" s="51">
        <v>7</v>
      </c>
      <c r="E7786" s="51">
        <f t="shared" si="121"/>
        <v>1</v>
      </c>
    </row>
    <row r="7787" spans="1:5">
      <c r="A7787" s="59">
        <v>16</v>
      </c>
      <c r="B7787" s="59">
        <v>64</v>
      </c>
      <c r="C7787" s="59">
        <v>310</v>
      </c>
      <c r="D7787" s="51">
        <v>7</v>
      </c>
      <c r="E7787" s="51">
        <f t="shared" si="121"/>
        <v>1</v>
      </c>
    </row>
    <row r="7788" spans="1:5">
      <c r="A7788" s="59">
        <v>16</v>
      </c>
      <c r="B7788" s="59">
        <v>64</v>
      </c>
      <c r="C7788" s="59">
        <v>330</v>
      </c>
      <c r="D7788" s="51">
        <v>7</v>
      </c>
      <c r="E7788" s="51">
        <f t="shared" si="121"/>
        <v>1</v>
      </c>
    </row>
    <row r="7789" spans="1:5">
      <c r="A7789" s="59">
        <v>16</v>
      </c>
      <c r="B7789" s="59">
        <v>64</v>
      </c>
      <c r="C7789" s="59">
        <v>970</v>
      </c>
      <c r="D7789" s="51">
        <v>7</v>
      </c>
      <c r="E7789" s="51">
        <f t="shared" si="121"/>
        <v>1</v>
      </c>
    </row>
    <row r="7790" spans="1:5">
      <c r="A7790" s="59">
        <v>16</v>
      </c>
      <c r="B7790" s="59">
        <v>71</v>
      </c>
      <c r="C7790" s="59">
        <v>150</v>
      </c>
      <c r="D7790" s="51">
        <v>7</v>
      </c>
      <c r="E7790" s="51">
        <f t="shared" si="121"/>
        <v>1</v>
      </c>
    </row>
    <row r="7791" spans="1:5">
      <c r="A7791" s="59">
        <v>16</v>
      </c>
      <c r="B7791" s="59">
        <v>15</v>
      </c>
      <c r="C7791" s="59">
        <v>530</v>
      </c>
      <c r="D7791" s="51">
        <v>6</v>
      </c>
      <c r="E7791" s="51">
        <f t="shared" si="121"/>
        <v>1</v>
      </c>
    </row>
    <row r="7792" spans="1:5">
      <c r="A7792" s="59">
        <v>16</v>
      </c>
      <c r="B7792" s="59">
        <v>15</v>
      </c>
      <c r="C7792" s="59">
        <v>930</v>
      </c>
      <c r="D7792" s="51">
        <v>6</v>
      </c>
      <c r="E7792" s="51">
        <f t="shared" si="121"/>
        <v>1</v>
      </c>
    </row>
    <row r="7793" spans="1:5">
      <c r="A7793" s="59">
        <v>16</v>
      </c>
      <c r="B7793" s="59">
        <v>32</v>
      </c>
      <c r="C7793" s="59">
        <v>510</v>
      </c>
      <c r="D7793" s="51">
        <v>6</v>
      </c>
      <c r="E7793" s="51">
        <f t="shared" si="121"/>
        <v>1</v>
      </c>
    </row>
    <row r="7794" spans="1:5">
      <c r="A7794" s="59">
        <v>16</v>
      </c>
      <c r="B7794" s="59">
        <v>33</v>
      </c>
      <c r="C7794" s="59">
        <v>930</v>
      </c>
      <c r="D7794" s="51">
        <v>6</v>
      </c>
      <c r="E7794" s="51">
        <f t="shared" si="121"/>
        <v>1</v>
      </c>
    </row>
    <row r="7795" spans="1:5">
      <c r="A7795" s="59">
        <v>16</v>
      </c>
      <c r="B7795" s="59">
        <v>41</v>
      </c>
      <c r="C7795" s="59">
        <v>620</v>
      </c>
      <c r="D7795" s="51">
        <v>6</v>
      </c>
      <c r="E7795" s="51">
        <f t="shared" si="121"/>
        <v>1</v>
      </c>
    </row>
    <row r="7796" spans="1:5">
      <c r="A7796" s="59">
        <v>16</v>
      </c>
      <c r="B7796" s="59">
        <v>41</v>
      </c>
      <c r="C7796" s="59">
        <v>730</v>
      </c>
      <c r="D7796" s="51">
        <v>6</v>
      </c>
      <c r="E7796" s="51">
        <f t="shared" si="121"/>
        <v>1</v>
      </c>
    </row>
    <row r="7797" spans="1:5">
      <c r="A7797" s="59">
        <v>16</v>
      </c>
      <c r="B7797" s="59">
        <v>41</v>
      </c>
      <c r="C7797" s="59">
        <v>930</v>
      </c>
      <c r="D7797" s="51">
        <v>6</v>
      </c>
      <c r="E7797" s="51">
        <f t="shared" si="121"/>
        <v>1</v>
      </c>
    </row>
    <row r="7798" spans="1:5">
      <c r="A7798" s="59">
        <v>16</v>
      </c>
      <c r="B7798" s="59">
        <v>43</v>
      </c>
      <c r="C7798" s="59">
        <v>220</v>
      </c>
      <c r="D7798" s="51">
        <v>6</v>
      </c>
      <c r="E7798" s="51">
        <f t="shared" si="121"/>
        <v>1</v>
      </c>
    </row>
    <row r="7799" spans="1:5">
      <c r="A7799" s="59">
        <v>16</v>
      </c>
      <c r="B7799" s="59">
        <v>43</v>
      </c>
      <c r="C7799" s="59">
        <v>240</v>
      </c>
      <c r="D7799" s="51">
        <v>6</v>
      </c>
      <c r="E7799" s="51">
        <f t="shared" si="121"/>
        <v>1</v>
      </c>
    </row>
    <row r="7800" spans="1:5">
      <c r="A7800" s="59">
        <v>16</v>
      </c>
      <c r="B7800" s="59">
        <v>43</v>
      </c>
      <c r="C7800" s="59">
        <v>899</v>
      </c>
      <c r="D7800" s="51">
        <v>6</v>
      </c>
      <c r="E7800" s="51">
        <f t="shared" si="121"/>
        <v>1</v>
      </c>
    </row>
    <row r="7801" spans="1:5">
      <c r="A7801" s="59">
        <v>16</v>
      </c>
      <c r="B7801" s="59">
        <v>43</v>
      </c>
      <c r="C7801" s="59">
        <v>960</v>
      </c>
      <c r="D7801" s="51">
        <v>6</v>
      </c>
      <c r="E7801" s="51">
        <f t="shared" si="121"/>
        <v>1</v>
      </c>
    </row>
    <row r="7802" spans="1:5">
      <c r="A7802" s="59">
        <v>16</v>
      </c>
      <c r="B7802" s="59">
        <v>51</v>
      </c>
      <c r="C7802" s="59">
        <v>899</v>
      </c>
      <c r="D7802" s="51">
        <v>6</v>
      </c>
      <c r="E7802" s="51">
        <f t="shared" si="121"/>
        <v>1</v>
      </c>
    </row>
    <row r="7803" spans="1:5">
      <c r="A7803" s="59">
        <v>16</v>
      </c>
      <c r="B7803" s="59">
        <v>64</v>
      </c>
      <c r="C7803" s="59">
        <v>540</v>
      </c>
      <c r="D7803" s="51">
        <v>6</v>
      </c>
      <c r="E7803" s="51">
        <f t="shared" si="121"/>
        <v>1</v>
      </c>
    </row>
    <row r="7804" spans="1:5">
      <c r="A7804" s="59">
        <v>16</v>
      </c>
      <c r="B7804" s="59">
        <v>64</v>
      </c>
      <c r="C7804" s="59">
        <v>950</v>
      </c>
      <c r="D7804" s="51">
        <v>6</v>
      </c>
      <c r="E7804" s="51">
        <f t="shared" si="121"/>
        <v>1</v>
      </c>
    </row>
    <row r="7805" spans="1:5">
      <c r="A7805" s="59">
        <v>16</v>
      </c>
      <c r="B7805" s="59">
        <v>13</v>
      </c>
      <c r="C7805" s="59">
        <v>990</v>
      </c>
      <c r="D7805" s="51">
        <v>5</v>
      </c>
      <c r="E7805" s="51">
        <f t="shared" si="121"/>
        <v>1</v>
      </c>
    </row>
    <row r="7806" spans="1:5">
      <c r="A7806" s="59">
        <v>16</v>
      </c>
      <c r="B7806" s="59">
        <v>14</v>
      </c>
      <c r="C7806" s="59">
        <v>620</v>
      </c>
      <c r="D7806" s="51">
        <v>5</v>
      </c>
      <c r="E7806" s="51">
        <f t="shared" si="121"/>
        <v>1</v>
      </c>
    </row>
    <row r="7807" spans="1:5">
      <c r="A7807" s="59">
        <v>16</v>
      </c>
      <c r="B7807" s="59">
        <v>15</v>
      </c>
      <c r="C7807" s="59">
        <v>430</v>
      </c>
      <c r="D7807" s="51">
        <v>5</v>
      </c>
      <c r="E7807" s="51">
        <f t="shared" si="121"/>
        <v>1</v>
      </c>
    </row>
    <row r="7808" spans="1:5">
      <c r="A7808" s="59">
        <v>16</v>
      </c>
      <c r="B7808" s="59">
        <v>16</v>
      </c>
      <c r="C7808" s="59">
        <v>150</v>
      </c>
      <c r="D7808" s="51">
        <v>5</v>
      </c>
      <c r="E7808" s="51">
        <f t="shared" si="121"/>
        <v>1</v>
      </c>
    </row>
    <row r="7809" spans="1:5">
      <c r="A7809" s="59">
        <v>16</v>
      </c>
      <c r="B7809" s="59">
        <v>16</v>
      </c>
      <c r="C7809" s="59">
        <v>310</v>
      </c>
      <c r="D7809" s="51">
        <v>5</v>
      </c>
      <c r="E7809" s="51">
        <f t="shared" si="121"/>
        <v>1</v>
      </c>
    </row>
    <row r="7810" spans="1:5">
      <c r="A7810" s="59">
        <v>16</v>
      </c>
      <c r="B7810" s="59">
        <v>22</v>
      </c>
      <c r="C7810" s="59">
        <v>160</v>
      </c>
      <c r="D7810" s="51">
        <v>5</v>
      </c>
      <c r="E7810" s="51">
        <f t="shared" ref="E7810:E7873" si="122">IF(OR(A7810=6,A7810=7,A7810=14,A7810=15,A7810=16,A7810=17,A7810=18,A7810=19,A7810=20,A7810=21,A7810=22,A7810=23,A7810=25,A7810=26,A7810=27,A7810=28,B7810=41,B7810=44,B7810=62),1,0)</f>
        <v>1</v>
      </c>
    </row>
    <row r="7811" spans="1:5">
      <c r="A7811" s="59">
        <v>16</v>
      </c>
      <c r="B7811" s="59">
        <v>22</v>
      </c>
      <c r="C7811" s="59">
        <v>320</v>
      </c>
      <c r="D7811" s="51">
        <v>5</v>
      </c>
      <c r="E7811" s="51">
        <f t="shared" si="122"/>
        <v>1</v>
      </c>
    </row>
    <row r="7812" spans="1:5">
      <c r="A7812" s="59">
        <v>16</v>
      </c>
      <c r="B7812" s="59">
        <v>32</v>
      </c>
      <c r="C7812" s="59">
        <v>620</v>
      </c>
      <c r="D7812" s="51">
        <v>5</v>
      </c>
      <c r="E7812" s="51">
        <f t="shared" si="122"/>
        <v>1</v>
      </c>
    </row>
    <row r="7813" spans="1:5">
      <c r="A7813" s="59">
        <v>16</v>
      </c>
      <c r="B7813" s="59">
        <v>42</v>
      </c>
      <c r="C7813" s="59">
        <v>150</v>
      </c>
      <c r="D7813" s="51">
        <v>5</v>
      </c>
      <c r="E7813" s="51">
        <f t="shared" si="122"/>
        <v>1</v>
      </c>
    </row>
    <row r="7814" spans="1:5">
      <c r="A7814" s="59">
        <v>16</v>
      </c>
      <c r="B7814" s="59">
        <v>43</v>
      </c>
      <c r="C7814" s="59">
        <v>520</v>
      </c>
      <c r="D7814" s="51">
        <v>5</v>
      </c>
      <c r="E7814" s="51">
        <f t="shared" si="122"/>
        <v>1</v>
      </c>
    </row>
    <row r="7815" spans="1:5">
      <c r="A7815" s="59">
        <v>16</v>
      </c>
      <c r="B7815" s="59">
        <v>44</v>
      </c>
      <c r="C7815" s="59">
        <v>520</v>
      </c>
      <c r="D7815" s="51">
        <v>5</v>
      </c>
      <c r="E7815" s="51">
        <f t="shared" si="122"/>
        <v>1</v>
      </c>
    </row>
    <row r="7816" spans="1:5">
      <c r="A7816" s="59">
        <v>16</v>
      </c>
      <c r="B7816" s="59">
        <v>62</v>
      </c>
      <c r="C7816" s="59">
        <v>240</v>
      </c>
      <c r="D7816" s="51">
        <v>5</v>
      </c>
      <c r="E7816" s="51">
        <f t="shared" si="122"/>
        <v>1</v>
      </c>
    </row>
    <row r="7817" spans="1:5">
      <c r="A7817" s="59">
        <v>16</v>
      </c>
      <c r="B7817" s="59">
        <v>62</v>
      </c>
      <c r="C7817" s="59">
        <v>430</v>
      </c>
      <c r="D7817" s="51">
        <v>5</v>
      </c>
      <c r="E7817" s="51">
        <f t="shared" si="122"/>
        <v>1</v>
      </c>
    </row>
    <row r="7818" spans="1:5">
      <c r="A7818" s="59">
        <v>16</v>
      </c>
      <c r="B7818" s="59">
        <v>63</v>
      </c>
      <c r="C7818" s="59">
        <v>970</v>
      </c>
      <c r="D7818" s="51">
        <v>5</v>
      </c>
      <c r="E7818" s="51">
        <f t="shared" si="122"/>
        <v>1</v>
      </c>
    </row>
    <row r="7819" spans="1:5">
      <c r="A7819" s="59">
        <v>16</v>
      </c>
      <c r="B7819" s="59">
        <v>71</v>
      </c>
      <c r="C7819" s="59">
        <v>750</v>
      </c>
      <c r="D7819" s="51">
        <v>5</v>
      </c>
      <c r="E7819" s="51">
        <f t="shared" si="122"/>
        <v>1</v>
      </c>
    </row>
    <row r="7820" spans="1:5">
      <c r="A7820" s="59">
        <v>16</v>
      </c>
      <c r="B7820" s="59">
        <v>81</v>
      </c>
      <c r="C7820" s="59">
        <v>530</v>
      </c>
      <c r="D7820" s="51">
        <v>5</v>
      </c>
      <c r="E7820" s="51">
        <f t="shared" si="122"/>
        <v>1</v>
      </c>
    </row>
    <row r="7821" spans="1:5">
      <c r="A7821" s="59">
        <v>16</v>
      </c>
      <c r="B7821" s="59">
        <v>81</v>
      </c>
      <c r="C7821" s="59">
        <v>620</v>
      </c>
      <c r="D7821" s="51">
        <v>5</v>
      </c>
      <c r="E7821" s="51">
        <f t="shared" si="122"/>
        <v>1</v>
      </c>
    </row>
    <row r="7822" spans="1:5">
      <c r="A7822" s="59">
        <v>16</v>
      </c>
      <c r="B7822" s="59">
        <v>13</v>
      </c>
      <c r="C7822" s="59">
        <v>230</v>
      </c>
      <c r="D7822" s="51">
        <v>4</v>
      </c>
      <c r="E7822" s="51">
        <f t="shared" si="122"/>
        <v>1</v>
      </c>
    </row>
    <row r="7823" spans="1:5">
      <c r="A7823" s="59">
        <v>16</v>
      </c>
      <c r="B7823" s="59">
        <v>14</v>
      </c>
      <c r="C7823" s="59">
        <v>420</v>
      </c>
      <c r="D7823" s="51">
        <v>4</v>
      </c>
      <c r="E7823" s="51">
        <f t="shared" si="122"/>
        <v>1</v>
      </c>
    </row>
    <row r="7824" spans="1:5">
      <c r="A7824" s="59">
        <v>16</v>
      </c>
      <c r="B7824" s="59">
        <v>15</v>
      </c>
      <c r="C7824" s="59">
        <v>160</v>
      </c>
      <c r="D7824" s="51">
        <v>4</v>
      </c>
      <c r="E7824" s="51">
        <f t="shared" si="122"/>
        <v>1</v>
      </c>
    </row>
    <row r="7825" spans="1:5">
      <c r="A7825" s="59">
        <v>16</v>
      </c>
      <c r="B7825" s="59">
        <v>16</v>
      </c>
      <c r="C7825" s="59">
        <v>230</v>
      </c>
      <c r="D7825" s="51">
        <v>4</v>
      </c>
      <c r="E7825" s="51">
        <f t="shared" si="122"/>
        <v>1</v>
      </c>
    </row>
    <row r="7826" spans="1:5">
      <c r="A7826" s="59">
        <v>16</v>
      </c>
      <c r="B7826" s="59">
        <v>22</v>
      </c>
      <c r="C7826" s="59">
        <v>220</v>
      </c>
      <c r="D7826" s="51">
        <v>4</v>
      </c>
      <c r="E7826" s="51">
        <f t="shared" si="122"/>
        <v>1</v>
      </c>
    </row>
    <row r="7827" spans="1:5">
      <c r="A7827" s="59">
        <v>16</v>
      </c>
      <c r="B7827" s="59">
        <v>22</v>
      </c>
      <c r="C7827" s="59">
        <v>950</v>
      </c>
      <c r="D7827" s="51">
        <v>4</v>
      </c>
      <c r="E7827" s="51">
        <f t="shared" si="122"/>
        <v>1</v>
      </c>
    </row>
    <row r="7828" spans="1:5">
      <c r="A7828" s="59">
        <v>16</v>
      </c>
      <c r="B7828" s="59">
        <v>23</v>
      </c>
      <c r="C7828" s="59">
        <v>920</v>
      </c>
      <c r="D7828" s="51">
        <v>4</v>
      </c>
      <c r="E7828" s="51">
        <f t="shared" si="122"/>
        <v>1</v>
      </c>
    </row>
    <row r="7829" spans="1:5">
      <c r="A7829" s="59">
        <v>16</v>
      </c>
      <c r="B7829" s="59">
        <v>31</v>
      </c>
      <c r="C7829" s="59">
        <v>420</v>
      </c>
      <c r="D7829" s="51">
        <v>4</v>
      </c>
      <c r="E7829" s="51">
        <f t="shared" si="122"/>
        <v>1</v>
      </c>
    </row>
    <row r="7830" spans="1:5">
      <c r="A7830" s="59">
        <v>16</v>
      </c>
      <c r="B7830" s="59">
        <v>31</v>
      </c>
      <c r="C7830" s="59">
        <v>430</v>
      </c>
      <c r="D7830" s="51">
        <v>4</v>
      </c>
      <c r="E7830" s="51">
        <f t="shared" si="122"/>
        <v>1</v>
      </c>
    </row>
    <row r="7831" spans="1:5">
      <c r="A7831" s="59">
        <v>16</v>
      </c>
      <c r="B7831" s="59">
        <v>31</v>
      </c>
      <c r="C7831" s="59">
        <v>895</v>
      </c>
      <c r="D7831" s="51">
        <v>4</v>
      </c>
      <c r="E7831" s="51">
        <f t="shared" si="122"/>
        <v>1</v>
      </c>
    </row>
    <row r="7832" spans="1:5">
      <c r="A7832" s="59">
        <v>16</v>
      </c>
      <c r="B7832" s="59">
        <v>32</v>
      </c>
      <c r="C7832" s="59">
        <v>990</v>
      </c>
      <c r="D7832" s="51">
        <v>4</v>
      </c>
      <c r="E7832" s="51">
        <f t="shared" si="122"/>
        <v>1</v>
      </c>
    </row>
    <row r="7833" spans="1:5">
      <c r="A7833" s="59">
        <v>16</v>
      </c>
      <c r="B7833" s="59">
        <v>33</v>
      </c>
      <c r="C7833" s="59">
        <v>330</v>
      </c>
      <c r="D7833" s="51">
        <v>4</v>
      </c>
      <c r="E7833" s="51">
        <f t="shared" si="122"/>
        <v>1</v>
      </c>
    </row>
    <row r="7834" spans="1:5">
      <c r="A7834" s="59">
        <v>16</v>
      </c>
      <c r="B7834" s="59">
        <v>33</v>
      </c>
      <c r="C7834" s="59">
        <v>410</v>
      </c>
      <c r="D7834" s="51">
        <v>4</v>
      </c>
      <c r="E7834" s="51">
        <f t="shared" si="122"/>
        <v>1</v>
      </c>
    </row>
    <row r="7835" spans="1:5">
      <c r="A7835" s="59">
        <v>16</v>
      </c>
      <c r="B7835" s="59">
        <v>33</v>
      </c>
      <c r="C7835" s="59">
        <v>620</v>
      </c>
      <c r="D7835" s="51">
        <v>4</v>
      </c>
      <c r="E7835" s="51">
        <f t="shared" si="122"/>
        <v>1</v>
      </c>
    </row>
    <row r="7836" spans="1:5">
      <c r="A7836" s="59">
        <v>16</v>
      </c>
      <c r="B7836" s="59">
        <v>42</v>
      </c>
      <c r="C7836" s="59">
        <v>830</v>
      </c>
      <c r="D7836" s="51">
        <v>4</v>
      </c>
      <c r="E7836" s="51">
        <f t="shared" si="122"/>
        <v>1</v>
      </c>
    </row>
    <row r="7837" spans="1:5">
      <c r="A7837" s="59">
        <v>16</v>
      </c>
      <c r="B7837" s="59">
        <v>43</v>
      </c>
      <c r="C7837" s="59">
        <v>330</v>
      </c>
      <c r="D7837" s="51">
        <v>4</v>
      </c>
      <c r="E7837" s="51">
        <f t="shared" si="122"/>
        <v>1</v>
      </c>
    </row>
    <row r="7838" spans="1:5">
      <c r="A7838" s="59">
        <v>16</v>
      </c>
      <c r="B7838" s="59">
        <v>43</v>
      </c>
      <c r="C7838" s="59">
        <v>750</v>
      </c>
      <c r="D7838" s="51">
        <v>4</v>
      </c>
      <c r="E7838" s="51">
        <f t="shared" si="122"/>
        <v>1</v>
      </c>
    </row>
    <row r="7839" spans="1:5">
      <c r="A7839" s="59">
        <v>16</v>
      </c>
      <c r="B7839" s="59">
        <v>43</v>
      </c>
      <c r="C7839" s="59">
        <v>831</v>
      </c>
      <c r="D7839" s="51">
        <v>4</v>
      </c>
      <c r="E7839" s="51">
        <f t="shared" si="122"/>
        <v>1</v>
      </c>
    </row>
    <row r="7840" spans="1:5">
      <c r="A7840" s="59">
        <v>16</v>
      </c>
      <c r="B7840" s="59">
        <v>44</v>
      </c>
      <c r="C7840" s="59">
        <v>620</v>
      </c>
      <c r="D7840" s="51">
        <v>4</v>
      </c>
      <c r="E7840" s="51">
        <f t="shared" si="122"/>
        <v>1</v>
      </c>
    </row>
    <row r="7841" spans="1:5">
      <c r="A7841" s="59">
        <v>16</v>
      </c>
      <c r="B7841" s="59">
        <v>61</v>
      </c>
      <c r="C7841" s="59">
        <v>910</v>
      </c>
      <c r="D7841" s="51">
        <v>4</v>
      </c>
      <c r="E7841" s="51">
        <f t="shared" si="122"/>
        <v>1</v>
      </c>
    </row>
    <row r="7842" spans="1:5">
      <c r="A7842" s="59">
        <v>16</v>
      </c>
      <c r="B7842" s="59">
        <v>62</v>
      </c>
      <c r="C7842" s="59">
        <v>210</v>
      </c>
      <c r="D7842" s="51">
        <v>4</v>
      </c>
      <c r="E7842" s="51">
        <f t="shared" si="122"/>
        <v>1</v>
      </c>
    </row>
    <row r="7843" spans="1:5">
      <c r="A7843" s="59">
        <v>16</v>
      </c>
      <c r="B7843" s="59">
        <v>62</v>
      </c>
      <c r="C7843" s="59">
        <v>640</v>
      </c>
      <c r="D7843" s="51">
        <v>4</v>
      </c>
      <c r="E7843" s="51">
        <f t="shared" si="122"/>
        <v>1</v>
      </c>
    </row>
    <row r="7844" spans="1:5">
      <c r="A7844" s="59">
        <v>16</v>
      </c>
      <c r="B7844" s="59">
        <v>62</v>
      </c>
      <c r="C7844" s="59">
        <v>710</v>
      </c>
      <c r="D7844" s="51">
        <v>4</v>
      </c>
      <c r="E7844" s="51">
        <f t="shared" si="122"/>
        <v>1</v>
      </c>
    </row>
    <row r="7845" spans="1:5">
      <c r="A7845" s="59">
        <v>16</v>
      </c>
      <c r="B7845" s="59">
        <v>62</v>
      </c>
      <c r="C7845" s="59">
        <v>950</v>
      </c>
      <c r="D7845" s="51">
        <v>4</v>
      </c>
      <c r="E7845" s="51">
        <f t="shared" si="122"/>
        <v>1</v>
      </c>
    </row>
    <row r="7846" spans="1:5">
      <c r="A7846" s="59">
        <v>16</v>
      </c>
      <c r="B7846" s="59">
        <v>63</v>
      </c>
      <c r="C7846" s="59">
        <v>430</v>
      </c>
      <c r="D7846" s="51">
        <v>4</v>
      </c>
      <c r="E7846" s="51">
        <f t="shared" si="122"/>
        <v>1</v>
      </c>
    </row>
    <row r="7847" spans="1:5">
      <c r="A7847" s="59">
        <v>16</v>
      </c>
      <c r="B7847" s="59">
        <v>63</v>
      </c>
      <c r="C7847" s="59">
        <v>440</v>
      </c>
      <c r="D7847" s="51">
        <v>4</v>
      </c>
      <c r="E7847" s="51">
        <f t="shared" si="122"/>
        <v>1</v>
      </c>
    </row>
    <row r="7848" spans="1:5">
      <c r="A7848" s="59">
        <v>16</v>
      </c>
      <c r="B7848" s="59">
        <v>64</v>
      </c>
      <c r="C7848" s="59">
        <v>240</v>
      </c>
      <c r="D7848" s="51">
        <v>4</v>
      </c>
      <c r="E7848" s="51">
        <f t="shared" si="122"/>
        <v>1</v>
      </c>
    </row>
    <row r="7849" spans="1:5">
      <c r="A7849" s="59">
        <v>16</v>
      </c>
      <c r="B7849" s="59">
        <v>64</v>
      </c>
      <c r="C7849" s="59">
        <v>550</v>
      </c>
      <c r="D7849" s="51">
        <v>4</v>
      </c>
      <c r="E7849" s="51">
        <f t="shared" si="122"/>
        <v>1</v>
      </c>
    </row>
    <row r="7850" spans="1:5">
      <c r="A7850" s="59">
        <v>16</v>
      </c>
      <c r="B7850" s="59">
        <v>71</v>
      </c>
      <c r="C7850" s="59">
        <v>630</v>
      </c>
      <c r="D7850" s="51">
        <v>4</v>
      </c>
      <c r="E7850" s="51">
        <f t="shared" si="122"/>
        <v>1</v>
      </c>
    </row>
    <row r="7851" spans="1:5">
      <c r="A7851" s="59">
        <v>16</v>
      </c>
      <c r="B7851" s="59">
        <v>81</v>
      </c>
      <c r="C7851" s="59">
        <v>110</v>
      </c>
      <c r="D7851" s="51">
        <v>4</v>
      </c>
      <c r="E7851" s="51">
        <f t="shared" si="122"/>
        <v>1</v>
      </c>
    </row>
    <row r="7852" spans="1:5">
      <c r="A7852" s="59">
        <v>16</v>
      </c>
      <c r="B7852" s="59">
        <v>81</v>
      </c>
      <c r="C7852" s="59">
        <v>520</v>
      </c>
      <c r="D7852" s="51">
        <v>4</v>
      </c>
      <c r="E7852" s="51">
        <f t="shared" si="122"/>
        <v>1</v>
      </c>
    </row>
    <row r="7853" spans="1:5">
      <c r="A7853" s="59">
        <v>16</v>
      </c>
      <c r="B7853" s="59">
        <v>81</v>
      </c>
      <c r="C7853" s="59">
        <v>720</v>
      </c>
      <c r="D7853" s="51">
        <v>4</v>
      </c>
      <c r="E7853" s="51">
        <f t="shared" si="122"/>
        <v>1</v>
      </c>
    </row>
    <row r="7854" spans="1:5">
      <c r="A7854" s="59">
        <v>16</v>
      </c>
      <c r="B7854" s="59">
        <v>13</v>
      </c>
      <c r="C7854" s="59">
        <v>310</v>
      </c>
      <c r="D7854" s="51">
        <v>3</v>
      </c>
      <c r="E7854" s="51">
        <f t="shared" si="122"/>
        <v>1</v>
      </c>
    </row>
    <row r="7855" spans="1:5">
      <c r="A7855" s="59">
        <v>16</v>
      </c>
      <c r="B7855" s="59">
        <v>14</v>
      </c>
      <c r="C7855" s="59">
        <v>130</v>
      </c>
      <c r="D7855" s="51">
        <v>3</v>
      </c>
      <c r="E7855" s="51">
        <f t="shared" si="122"/>
        <v>1</v>
      </c>
    </row>
    <row r="7856" spans="1:5">
      <c r="A7856" s="59">
        <v>16</v>
      </c>
      <c r="B7856" s="59">
        <v>14</v>
      </c>
      <c r="C7856" s="59">
        <v>140</v>
      </c>
      <c r="D7856" s="51">
        <v>3</v>
      </c>
      <c r="E7856" s="51">
        <f t="shared" si="122"/>
        <v>1</v>
      </c>
    </row>
    <row r="7857" spans="1:5">
      <c r="A7857" s="59">
        <v>16</v>
      </c>
      <c r="B7857" s="59">
        <v>15</v>
      </c>
      <c r="C7857" s="59">
        <v>150</v>
      </c>
      <c r="D7857" s="51">
        <v>3</v>
      </c>
      <c r="E7857" s="51">
        <f t="shared" si="122"/>
        <v>1</v>
      </c>
    </row>
    <row r="7858" spans="1:5">
      <c r="A7858" s="59">
        <v>16</v>
      </c>
      <c r="B7858" s="59">
        <v>15</v>
      </c>
      <c r="C7858" s="59">
        <v>210</v>
      </c>
      <c r="D7858" s="51">
        <v>3</v>
      </c>
      <c r="E7858" s="51">
        <f t="shared" si="122"/>
        <v>1</v>
      </c>
    </row>
    <row r="7859" spans="1:5">
      <c r="A7859" s="59">
        <v>16</v>
      </c>
      <c r="B7859" s="59">
        <v>15</v>
      </c>
      <c r="C7859" s="59">
        <v>610</v>
      </c>
      <c r="D7859" s="51">
        <v>3</v>
      </c>
      <c r="E7859" s="51">
        <f t="shared" si="122"/>
        <v>1</v>
      </c>
    </row>
    <row r="7860" spans="1:5">
      <c r="A7860" s="59">
        <v>16</v>
      </c>
      <c r="B7860" s="59">
        <v>16</v>
      </c>
      <c r="C7860" s="59">
        <v>510</v>
      </c>
      <c r="D7860" s="51">
        <v>3</v>
      </c>
      <c r="E7860" s="51">
        <f t="shared" si="122"/>
        <v>1</v>
      </c>
    </row>
    <row r="7861" spans="1:5">
      <c r="A7861" s="59">
        <v>16</v>
      </c>
      <c r="B7861" s="59">
        <v>31</v>
      </c>
      <c r="C7861" s="59">
        <v>410</v>
      </c>
      <c r="D7861" s="51">
        <v>3</v>
      </c>
      <c r="E7861" s="51">
        <f t="shared" si="122"/>
        <v>1</v>
      </c>
    </row>
    <row r="7862" spans="1:5">
      <c r="A7862" s="59">
        <v>16</v>
      </c>
      <c r="B7862" s="59">
        <v>32</v>
      </c>
      <c r="C7862" s="59">
        <v>530</v>
      </c>
      <c r="D7862" s="51">
        <v>3</v>
      </c>
      <c r="E7862" s="51">
        <f t="shared" si="122"/>
        <v>1</v>
      </c>
    </row>
    <row r="7863" spans="1:5">
      <c r="A7863" s="59">
        <v>16</v>
      </c>
      <c r="B7863" s="59">
        <v>32</v>
      </c>
      <c r="C7863" s="59">
        <v>930</v>
      </c>
      <c r="D7863" s="51">
        <v>3</v>
      </c>
      <c r="E7863" s="51">
        <f t="shared" si="122"/>
        <v>1</v>
      </c>
    </row>
    <row r="7864" spans="1:5">
      <c r="A7864" s="59">
        <v>16</v>
      </c>
      <c r="B7864" s="59">
        <v>33</v>
      </c>
      <c r="C7864" s="59">
        <v>210</v>
      </c>
      <c r="D7864" s="51">
        <v>3</v>
      </c>
      <c r="E7864" s="51">
        <f t="shared" si="122"/>
        <v>1</v>
      </c>
    </row>
    <row r="7865" spans="1:5">
      <c r="A7865" s="59">
        <v>16</v>
      </c>
      <c r="B7865" s="59">
        <v>41</v>
      </c>
      <c r="C7865" s="59">
        <v>720</v>
      </c>
      <c r="D7865" s="51">
        <v>3</v>
      </c>
      <c r="E7865" s="51">
        <f t="shared" si="122"/>
        <v>1</v>
      </c>
    </row>
    <row r="7866" spans="1:5">
      <c r="A7866" s="59">
        <v>16</v>
      </c>
      <c r="B7866" s="59">
        <v>42</v>
      </c>
      <c r="C7866" s="59">
        <v>930</v>
      </c>
      <c r="D7866" s="51">
        <v>3</v>
      </c>
      <c r="E7866" s="51">
        <f t="shared" si="122"/>
        <v>1</v>
      </c>
    </row>
    <row r="7867" spans="1:5">
      <c r="A7867" s="59">
        <v>16</v>
      </c>
      <c r="B7867" s="59">
        <v>42</v>
      </c>
      <c r="C7867" s="59">
        <v>970</v>
      </c>
      <c r="D7867" s="51">
        <v>3</v>
      </c>
      <c r="E7867" s="51">
        <f t="shared" si="122"/>
        <v>1</v>
      </c>
    </row>
    <row r="7868" spans="1:5">
      <c r="A7868" s="59">
        <v>16</v>
      </c>
      <c r="B7868" s="59">
        <v>43</v>
      </c>
      <c r="C7868" s="59">
        <v>230</v>
      </c>
      <c r="D7868" s="51">
        <v>3</v>
      </c>
      <c r="E7868" s="51">
        <f t="shared" si="122"/>
        <v>1</v>
      </c>
    </row>
    <row r="7869" spans="1:5">
      <c r="A7869" s="59">
        <v>16</v>
      </c>
      <c r="B7869" s="59">
        <v>43</v>
      </c>
      <c r="C7869" s="59">
        <v>310</v>
      </c>
      <c r="D7869" s="51">
        <v>3</v>
      </c>
      <c r="E7869" s="51">
        <f t="shared" si="122"/>
        <v>1</v>
      </c>
    </row>
    <row r="7870" spans="1:5">
      <c r="A7870" s="59">
        <v>16</v>
      </c>
      <c r="B7870" s="59">
        <v>43</v>
      </c>
      <c r="C7870" s="59">
        <v>550</v>
      </c>
      <c r="D7870" s="51">
        <v>3</v>
      </c>
      <c r="E7870" s="51">
        <f t="shared" si="122"/>
        <v>1</v>
      </c>
    </row>
    <row r="7871" spans="1:5">
      <c r="A7871" s="59">
        <v>16</v>
      </c>
      <c r="B7871" s="59">
        <v>43</v>
      </c>
      <c r="C7871" s="59">
        <v>861</v>
      </c>
      <c r="D7871" s="51">
        <v>3</v>
      </c>
      <c r="E7871" s="51">
        <f t="shared" si="122"/>
        <v>1</v>
      </c>
    </row>
    <row r="7872" spans="1:5">
      <c r="A7872" s="59">
        <v>16</v>
      </c>
      <c r="B7872" s="59">
        <v>43</v>
      </c>
      <c r="C7872" s="59">
        <v>892</v>
      </c>
      <c r="D7872" s="51">
        <v>3</v>
      </c>
      <c r="E7872" s="51">
        <f t="shared" si="122"/>
        <v>1</v>
      </c>
    </row>
    <row r="7873" spans="1:5">
      <c r="A7873" s="59">
        <v>16</v>
      </c>
      <c r="B7873" s="59">
        <v>44</v>
      </c>
      <c r="C7873" s="59">
        <v>110</v>
      </c>
      <c r="D7873" s="51">
        <v>3</v>
      </c>
      <c r="E7873" s="51">
        <f t="shared" si="122"/>
        <v>1</v>
      </c>
    </row>
    <row r="7874" spans="1:5">
      <c r="A7874" s="59">
        <v>16</v>
      </c>
      <c r="B7874" s="59">
        <v>44</v>
      </c>
      <c r="C7874" s="59">
        <v>160</v>
      </c>
      <c r="D7874" s="51">
        <v>3</v>
      </c>
      <c r="E7874" s="51">
        <f t="shared" ref="E7874:E7937" si="123">IF(OR(A7874=6,A7874=7,A7874=14,A7874=15,A7874=16,A7874=17,A7874=18,A7874=19,A7874=20,A7874=21,A7874=22,A7874=23,A7874=25,A7874=26,A7874=27,A7874=28,B7874=41,B7874=44,B7874=62),1,0)</f>
        <v>1</v>
      </c>
    </row>
    <row r="7875" spans="1:5">
      <c r="A7875" s="59">
        <v>16</v>
      </c>
      <c r="B7875" s="59">
        <v>44</v>
      </c>
      <c r="C7875" s="59">
        <v>730</v>
      </c>
      <c r="D7875" s="51">
        <v>3</v>
      </c>
      <c r="E7875" s="51">
        <f t="shared" si="123"/>
        <v>1</v>
      </c>
    </row>
    <row r="7876" spans="1:5">
      <c r="A7876" s="59">
        <v>16</v>
      </c>
      <c r="B7876" s="59">
        <v>44</v>
      </c>
      <c r="C7876" s="59">
        <v>940</v>
      </c>
      <c r="D7876" s="51">
        <v>3</v>
      </c>
      <c r="E7876" s="51">
        <f t="shared" si="123"/>
        <v>1</v>
      </c>
    </row>
    <row r="7877" spans="1:5">
      <c r="A7877" s="59">
        <v>16</v>
      </c>
      <c r="B7877" s="59">
        <v>51</v>
      </c>
      <c r="C7877" s="59">
        <v>150</v>
      </c>
      <c r="D7877" s="51">
        <v>3</v>
      </c>
      <c r="E7877" s="51">
        <f t="shared" si="123"/>
        <v>1</v>
      </c>
    </row>
    <row r="7878" spans="1:5">
      <c r="A7878" s="59">
        <v>16</v>
      </c>
      <c r="B7878" s="59">
        <v>51</v>
      </c>
      <c r="C7878" s="59">
        <v>510</v>
      </c>
      <c r="D7878" s="51">
        <v>3</v>
      </c>
      <c r="E7878" s="51">
        <f t="shared" si="123"/>
        <v>1</v>
      </c>
    </row>
    <row r="7879" spans="1:5">
      <c r="A7879" s="59">
        <v>16</v>
      </c>
      <c r="B7879" s="59">
        <v>51</v>
      </c>
      <c r="C7879" s="59">
        <v>530</v>
      </c>
      <c r="D7879" s="51">
        <v>3</v>
      </c>
      <c r="E7879" s="51">
        <f t="shared" si="123"/>
        <v>1</v>
      </c>
    </row>
    <row r="7880" spans="1:5">
      <c r="A7880" s="59">
        <v>16</v>
      </c>
      <c r="B7880" s="59">
        <v>51</v>
      </c>
      <c r="C7880" s="59">
        <v>620</v>
      </c>
      <c r="D7880" s="51">
        <v>3</v>
      </c>
      <c r="E7880" s="51">
        <f t="shared" si="123"/>
        <v>1</v>
      </c>
    </row>
    <row r="7881" spans="1:5">
      <c r="A7881" s="59">
        <v>16</v>
      </c>
      <c r="B7881" s="59">
        <v>63</v>
      </c>
      <c r="C7881" s="59">
        <v>940</v>
      </c>
      <c r="D7881" s="51">
        <v>3</v>
      </c>
      <c r="E7881" s="51">
        <f t="shared" si="123"/>
        <v>1</v>
      </c>
    </row>
    <row r="7882" spans="1:5">
      <c r="A7882" s="59">
        <v>16</v>
      </c>
      <c r="B7882" s="59">
        <v>64</v>
      </c>
      <c r="C7882" s="59">
        <v>750</v>
      </c>
      <c r="D7882" s="51">
        <v>3</v>
      </c>
      <c r="E7882" s="51">
        <f t="shared" si="123"/>
        <v>1</v>
      </c>
    </row>
    <row r="7883" spans="1:5">
      <c r="A7883" s="59">
        <v>16</v>
      </c>
      <c r="B7883" s="59">
        <v>71</v>
      </c>
      <c r="C7883" s="59">
        <v>550</v>
      </c>
      <c r="D7883" s="51">
        <v>3</v>
      </c>
      <c r="E7883" s="51">
        <f t="shared" si="123"/>
        <v>1</v>
      </c>
    </row>
    <row r="7884" spans="1:5">
      <c r="A7884" s="59">
        <v>16</v>
      </c>
      <c r="B7884" s="59">
        <v>81</v>
      </c>
      <c r="C7884" s="59">
        <v>430</v>
      </c>
      <c r="D7884" s="51">
        <v>3</v>
      </c>
      <c r="E7884" s="51">
        <f t="shared" si="123"/>
        <v>1</v>
      </c>
    </row>
    <row r="7885" spans="1:5">
      <c r="A7885" s="59">
        <v>16</v>
      </c>
      <c r="B7885" s="59">
        <v>81</v>
      </c>
      <c r="C7885" s="59">
        <v>550</v>
      </c>
      <c r="D7885" s="51">
        <v>3</v>
      </c>
      <c r="E7885" s="51">
        <f t="shared" si="123"/>
        <v>1</v>
      </c>
    </row>
    <row r="7886" spans="1:5">
      <c r="A7886" s="59">
        <v>16</v>
      </c>
      <c r="B7886" s="59">
        <v>13</v>
      </c>
      <c r="C7886" s="59">
        <v>330</v>
      </c>
      <c r="D7886" s="51">
        <v>2</v>
      </c>
      <c r="E7886" s="51">
        <f t="shared" si="123"/>
        <v>1</v>
      </c>
    </row>
    <row r="7887" spans="1:5">
      <c r="A7887" s="59">
        <v>16</v>
      </c>
      <c r="B7887" s="59">
        <v>14</v>
      </c>
      <c r="C7887" s="59">
        <v>950</v>
      </c>
      <c r="D7887" s="51">
        <v>2</v>
      </c>
      <c r="E7887" s="51">
        <f t="shared" si="123"/>
        <v>1</v>
      </c>
    </row>
    <row r="7888" spans="1:5">
      <c r="A7888" s="59">
        <v>16</v>
      </c>
      <c r="B7888" s="59">
        <v>14</v>
      </c>
      <c r="C7888" s="59">
        <v>990</v>
      </c>
      <c r="D7888" s="51">
        <v>2</v>
      </c>
      <c r="E7888" s="51">
        <f t="shared" si="123"/>
        <v>1</v>
      </c>
    </row>
    <row r="7889" spans="1:5">
      <c r="A7889" s="59">
        <v>16</v>
      </c>
      <c r="B7889" s="59">
        <v>15</v>
      </c>
      <c r="C7889" s="59">
        <v>110</v>
      </c>
      <c r="D7889" s="51">
        <v>2</v>
      </c>
      <c r="E7889" s="51">
        <f t="shared" si="123"/>
        <v>1</v>
      </c>
    </row>
    <row r="7890" spans="1:5">
      <c r="A7890" s="59">
        <v>16</v>
      </c>
      <c r="B7890" s="59">
        <v>15</v>
      </c>
      <c r="C7890" s="59">
        <v>940</v>
      </c>
      <c r="D7890" s="51">
        <v>2</v>
      </c>
      <c r="E7890" s="51">
        <f t="shared" si="123"/>
        <v>1</v>
      </c>
    </row>
    <row r="7891" spans="1:5">
      <c r="A7891" s="59">
        <v>16</v>
      </c>
      <c r="B7891" s="59">
        <v>16</v>
      </c>
      <c r="C7891" s="59">
        <v>130</v>
      </c>
      <c r="D7891" s="51">
        <v>2</v>
      </c>
      <c r="E7891" s="51">
        <f t="shared" si="123"/>
        <v>1</v>
      </c>
    </row>
    <row r="7892" spans="1:5">
      <c r="A7892" s="59">
        <v>16</v>
      </c>
      <c r="B7892" s="59">
        <v>16</v>
      </c>
      <c r="C7892" s="59">
        <v>210</v>
      </c>
      <c r="D7892" s="51">
        <v>2</v>
      </c>
      <c r="E7892" s="51">
        <f t="shared" si="123"/>
        <v>1</v>
      </c>
    </row>
    <row r="7893" spans="1:5">
      <c r="A7893" s="59">
        <v>16</v>
      </c>
      <c r="B7893" s="59">
        <v>16</v>
      </c>
      <c r="C7893" s="59">
        <v>610</v>
      </c>
      <c r="D7893" s="51">
        <v>2</v>
      </c>
      <c r="E7893" s="51">
        <f t="shared" si="123"/>
        <v>1</v>
      </c>
    </row>
    <row r="7894" spans="1:5">
      <c r="A7894" s="59">
        <v>16</v>
      </c>
      <c r="B7894" s="59">
        <v>16</v>
      </c>
      <c r="C7894" s="59">
        <v>899</v>
      </c>
      <c r="D7894" s="51">
        <v>2</v>
      </c>
      <c r="E7894" s="51">
        <f t="shared" si="123"/>
        <v>1</v>
      </c>
    </row>
    <row r="7895" spans="1:5">
      <c r="A7895" s="59">
        <v>16</v>
      </c>
      <c r="B7895" s="59">
        <v>21</v>
      </c>
      <c r="C7895" s="59">
        <v>920</v>
      </c>
      <c r="D7895" s="51">
        <v>2</v>
      </c>
      <c r="E7895" s="51">
        <f t="shared" si="123"/>
        <v>1</v>
      </c>
    </row>
    <row r="7896" spans="1:5">
      <c r="A7896" s="59">
        <v>16</v>
      </c>
      <c r="B7896" s="59">
        <v>22</v>
      </c>
      <c r="C7896" s="59">
        <v>930</v>
      </c>
      <c r="D7896" s="51">
        <v>2</v>
      </c>
      <c r="E7896" s="51">
        <f t="shared" si="123"/>
        <v>1</v>
      </c>
    </row>
    <row r="7897" spans="1:5">
      <c r="A7897" s="59">
        <v>16</v>
      </c>
      <c r="B7897" s="59">
        <v>24</v>
      </c>
      <c r="C7897" s="59">
        <v>910</v>
      </c>
      <c r="D7897" s="51">
        <v>2</v>
      </c>
      <c r="E7897" s="51">
        <f t="shared" si="123"/>
        <v>1</v>
      </c>
    </row>
    <row r="7898" spans="1:5">
      <c r="A7898" s="59">
        <v>16</v>
      </c>
      <c r="B7898" s="59">
        <v>31</v>
      </c>
      <c r="C7898" s="59">
        <v>990</v>
      </c>
      <c r="D7898" s="51">
        <v>2</v>
      </c>
      <c r="E7898" s="51">
        <f t="shared" si="123"/>
        <v>1</v>
      </c>
    </row>
    <row r="7899" spans="1:5">
      <c r="A7899" s="59">
        <v>16</v>
      </c>
      <c r="B7899" s="59">
        <v>32</v>
      </c>
      <c r="C7899" s="59">
        <v>950</v>
      </c>
      <c r="D7899" s="51">
        <v>2</v>
      </c>
      <c r="E7899" s="51">
        <f t="shared" si="123"/>
        <v>1</v>
      </c>
    </row>
    <row r="7900" spans="1:5">
      <c r="A7900" s="59">
        <v>16</v>
      </c>
      <c r="B7900" s="59">
        <v>33</v>
      </c>
      <c r="C7900" s="59">
        <v>610</v>
      </c>
      <c r="D7900" s="51">
        <v>2</v>
      </c>
      <c r="E7900" s="51">
        <f t="shared" si="123"/>
        <v>1</v>
      </c>
    </row>
    <row r="7901" spans="1:5">
      <c r="A7901" s="59">
        <v>16</v>
      </c>
      <c r="B7901" s="59">
        <v>33</v>
      </c>
      <c r="C7901" s="59">
        <v>950</v>
      </c>
      <c r="D7901" s="51">
        <v>2</v>
      </c>
      <c r="E7901" s="51">
        <f t="shared" si="123"/>
        <v>1</v>
      </c>
    </row>
    <row r="7902" spans="1:5">
      <c r="A7902" s="59">
        <v>16</v>
      </c>
      <c r="B7902" s="59">
        <v>33</v>
      </c>
      <c r="C7902" s="59">
        <v>990</v>
      </c>
      <c r="D7902" s="51">
        <v>2</v>
      </c>
      <c r="E7902" s="51">
        <f t="shared" si="123"/>
        <v>1</v>
      </c>
    </row>
    <row r="7903" spans="1:5">
      <c r="A7903" s="59">
        <v>16</v>
      </c>
      <c r="B7903" s="59">
        <v>41</v>
      </c>
      <c r="C7903" s="59">
        <v>530</v>
      </c>
      <c r="D7903" s="51">
        <v>2</v>
      </c>
      <c r="E7903" s="51">
        <f t="shared" si="123"/>
        <v>1</v>
      </c>
    </row>
    <row r="7904" spans="1:5">
      <c r="A7904" s="59">
        <v>16</v>
      </c>
      <c r="B7904" s="59">
        <v>41</v>
      </c>
      <c r="C7904" s="59">
        <v>970</v>
      </c>
      <c r="D7904" s="51">
        <v>2</v>
      </c>
      <c r="E7904" s="51">
        <f t="shared" si="123"/>
        <v>1</v>
      </c>
    </row>
    <row r="7905" spans="1:5">
      <c r="A7905" s="59">
        <v>16</v>
      </c>
      <c r="B7905" s="59">
        <v>41</v>
      </c>
      <c r="C7905" s="59">
        <v>990</v>
      </c>
      <c r="D7905" s="51">
        <v>2</v>
      </c>
      <c r="E7905" s="51">
        <f t="shared" si="123"/>
        <v>1</v>
      </c>
    </row>
    <row r="7906" spans="1:5">
      <c r="A7906" s="59">
        <v>16</v>
      </c>
      <c r="B7906" s="59">
        <v>42</v>
      </c>
      <c r="C7906" s="59">
        <v>640</v>
      </c>
      <c r="D7906" s="51">
        <v>2</v>
      </c>
      <c r="E7906" s="51">
        <f t="shared" si="123"/>
        <v>1</v>
      </c>
    </row>
    <row r="7907" spans="1:5">
      <c r="A7907" s="59">
        <v>16</v>
      </c>
      <c r="B7907" s="59">
        <v>42</v>
      </c>
      <c r="C7907" s="59">
        <v>720</v>
      </c>
      <c r="D7907" s="51">
        <v>2</v>
      </c>
      <c r="E7907" s="51">
        <f t="shared" si="123"/>
        <v>1</v>
      </c>
    </row>
    <row r="7908" spans="1:5">
      <c r="A7908" s="59">
        <v>16</v>
      </c>
      <c r="B7908" s="59">
        <v>43</v>
      </c>
      <c r="C7908" s="59">
        <v>320</v>
      </c>
      <c r="D7908" s="51">
        <v>2</v>
      </c>
      <c r="E7908" s="51">
        <f t="shared" si="123"/>
        <v>1</v>
      </c>
    </row>
    <row r="7909" spans="1:5">
      <c r="A7909" s="59">
        <v>16</v>
      </c>
      <c r="B7909" s="59">
        <v>44</v>
      </c>
      <c r="C7909" s="59">
        <v>950</v>
      </c>
      <c r="D7909" s="51">
        <v>2</v>
      </c>
      <c r="E7909" s="51">
        <f t="shared" si="123"/>
        <v>1</v>
      </c>
    </row>
    <row r="7910" spans="1:5">
      <c r="A7910" s="59">
        <v>16</v>
      </c>
      <c r="B7910" s="59">
        <v>51</v>
      </c>
      <c r="C7910" s="59">
        <v>430</v>
      </c>
      <c r="D7910" s="51">
        <v>2</v>
      </c>
      <c r="E7910" s="51">
        <f t="shared" si="123"/>
        <v>1</v>
      </c>
    </row>
    <row r="7911" spans="1:5">
      <c r="A7911" s="59">
        <v>16</v>
      </c>
      <c r="B7911" s="59">
        <v>62</v>
      </c>
      <c r="C7911" s="59">
        <v>230</v>
      </c>
      <c r="D7911" s="51">
        <v>2</v>
      </c>
      <c r="E7911" s="51">
        <f t="shared" si="123"/>
        <v>1</v>
      </c>
    </row>
    <row r="7912" spans="1:5">
      <c r="A7912" s="59">
        <v>16</v>
      </c>
      <c r="B7912" s="59">
        <v>62</v>
      </c>
      <c r="C7912" s="59">
        <v>940</v>
      </c>
      <c r="D7912" s="51">
        <v>2</v>
      </c>
      <c r="E7912" s="51">
        <f t="shared" si="123"/>
        <v>1</v>
      </c>
    </row>
    <row r="7913" spans="1:5">
      <c r="A7913" s="59">
        <v>16</v>
      </c>
      <c r="B7913" s="59">
        <v>63</v>
      </c>
      <c r="C7913" s="59">
        <v>150</v>
      </c>
      <c r="D7913" s="51">
        <v>2</v>
      </c>
      <c r="E7913" s="51">
        <f t="shared" si="123"/>
        <v>1</v>
      </c>
    </row>
    <row r="7914" spans="1:5">
      <c r="A7914" s="59">
        <v>16</v>
      </c>
      <c r="B7914" s="59">
        <v>63</v>
      </c>
      <c r="C7914" s="59">
        <v>210</v>
      </c>
      <c r="D7914" s="51">
        <v>2</v>
      </c>
      <c r="E7914" s="51">
        <f t="shared" si="123"/>
        <v>1</v>
      </c>
    </row>
    <row r="7915" spans="1:5">
      <c r="A7915" s="59">
        <v>16</v>
      </c>
      <c r="B7915" s="59">
        <v>63</v>
      </c>
      <c r="C7915" s="59">
        <v>230</v>
      </c>
      <c r="D7915" s="51">
        <v>2</v>
      </c>
      <c r="E7915" s="51">
        <f t="shared" si="123"/>
        <v>1</v>
      </c>
    </row>
    <row r="7916" spans="1:5">
      <c r="A7916" s="59">
        <v>16</v>
      </c>
      <c r="B7916" s="59">
        <v>63</v>
      </c>
      <c r="C7916" s="59">
        <v>420</v>
      </c>
      <c r="D7916" s="51">
        <v>2</v>
      </c>
      <c r="E7916" s="51">
        <f t="shared" si="123"/>
        <v>1</v>
      </c>
    </row>
    <row r="7917" spans="1:5">
      <c r="A7917" s="59">
        <v>16</v>
      </c>
      <c r="B7917" s="59">
        <v>64</v>
      </c>
      <c r="C7917" s="59">
        <v>230</v>
      </c>
      <c r="D7917" s="51">
        <v>2</v>
      </c>
      <c r="E7917" s="51">
        <f t="shared" si="123"/>
        <v>1</v>
      </c>
    </row>
    <row r="7918" spans="1:5">
      <c r="A7918" s="59">
        <v>16</v>
      </c>
      <c r="B7918" s="59">
        <v>64</v>
      </c>
      <c r="C7918" s="59">
        <v>440</v>
      </c>
      <c r="D7918" s="51">
        <v>2</v>
      </c>
      <c r="E7918" s="51">
        <f t="shared" si="123"/>
        <v>1</v>
      </c>
    </row>
    <row r="7919" spans="1:5">
      <c r="A7919" s="59">
        <v>16</v>
      </c>
      <c r="B7919" s="59">
        <v>64</v>
      </c>
      <c r="C7919" s="59">
        <v>640</v>
      </c>
      <c r="D7919" s="51">
        <v>2</v>
      </c>
      <c r="E7919" s="51">
        <f t="shared" si="123"/>
        <v>1</v>
      </c>
    </row>
    <row r="7920" spans="1:5">
      <c r="A7920" s="59">
        <v>16</v>
      </c>
      <c r="B7920" s="59">
        <v>64</v>
      </c>
      <c r="C7920" s="59">
        <v>710</v>
      </c>
      <c r="D7920" s="51">
        <v>2</v>
      </c>
      <c r="E7920" s="51">
        <f t="shared" si="123"/>
        <v>1</v>
      </c>
    </row>
    <row r="7921" spans="1:5">
      <c r="A7921" s="59">
        <v>16</v>
      </c>
      <c r="B7921" s="59">
        <v>64</v>
      </c>
      <c r="C7921" s="59">
        <v>895</v>
      </c>
      <c r="D7921" s="51">
        <v>2</v>
      </c>
      <c r="E7921" s="51">
        <f t="shared" si="123"/>
        <v>1</v>
      </c>
    </row>
    <row r="7922" spans="1:5">
      <c r="A7922" s="59">
        <v>16</v>
      </c>
      <c r="B7922" s="59">
        <v>71</v>
      </c>
      <c r="C7922" s="59">
        <v>410</v>
      </c>
      <c r="D7922" s="51">
        <v>2</v>
      </c>
      <c r="E7922" s="51">
        <f t="shared" si="123"/>
        <v>1</v>
      </c>
    </row>
    <row r="7923" spans="1:5">
      <c r="A7923" s="59">
        <v>16</v>
      </c>
      <c r="B7923" s="59">
        <v>71</v>
      </c>
      <c r="C7923" s="59">
        <v>740</v>
      </c>
      <c r="D7923" s="51">
        <v>2</v>
      </c>
      <c r="E7923" s="51">
        <f t="shared" si="123"/>
        <v>1</v>
      </c>
    </row>
    <row r="7924" spans="1:5">
      <c r="A7924" s="59">
        <v>16</v>
      </c>
      <c r="B7924" s="59">
        <v>71</v>
      </c>
      <c r="C7924" s="59">
        <v>930</v>
      </c>
      <c r="D7924" s="51">
        <v>2</v>
      </c>
      <c r="E7924" s="51">
        <f t="shared" si="123"/>
        <v>1</v>
      </c>
    </row>
    <row r="7925" spans="1:5">
      <c r="A7925" s="59">
        <v>16</v>
      </c>
      <c r="B7925" s="59">
        <v>81</v>
      </c>
      <c r="C7925" s="59">
        <v>160</v>
      </c>
      <c r="D7925" s="51">
        <v>2</v>
      </c>
      <c r="E7925" s="51">
        <f t="shared" si="123"/>
        <v>1</v>
      </c>
    </row>
    <row r="7926" spans="1:5">
      <c r="A7926" s="59">
        <v>16</v>
      </c>
      <c r="B7926" s="59">
        <v>81</v>
      </c>
      <c r="C7926" s="59">
        <v>230</v>
      </c>
      <c r="D7926" s="51">
        <v>2</v>
      </c>
      <c r="E7926" s="51">
        <f t="shared" si="123"/>
        <v>1</v>
      </c>
    </row>
    <row r="7927" spans="1:5">
      <c r="A7927" s="59">
        <v>16</v>
      </c>
      <c r="B7927" s="59">
        <v>81</v>
      </c>
      <c r="C7927" s="59">
        <v>730</v>
      </c>
      <c r="D7927" s="51">
        <v>2</v>
      </c>
      <c r="E7927" s="51">
        <f t="shared" si="123"/>
        <v>1</v>
      </c>
    </row>
    <row r="7928" spans="1:5">
      <c r="A7928" s="59">
        <v>16</v>
      </c>
      <c r="B7928" s="59">
        <v>81</v>
      </c>
      <c r="C7928" s="59">
        <v>750</v>
      </c>
      <c r="D7928" s="51">
        <v>2</v>
      </c>
      <c r="E7928" s="51">
        <f t="shared" si="123"/>
        <v>1</v>
      </c>
    </row>
    <row r="7929" spans="1:5">
      <c r="A7929" s="59">
        <v>16</v>
      </c>
      <c r="B7929" s="59">
        <v>11</v>
      </c>
      <c r="C7929" s="59">
        <v>510</v>
      </c>
      <c r="D7929" s="51">
        <v>1</v>
      </c>
      <c r="E7929" s="51">
        <f t="shared" si="123"/>
        <v>1</v>
      </c>
    </row>
    <row r="7930" spans="1:5">
      <c r="A7930" s="59">
        <v>16</v>
      </c>
      <c r="B7930" s="59">
        <v>11</v>
      </c>
      <c r="C7930" s="59">
        <v>720</v>
      </c>
      <c r="D7930" s="51">
        <v>1</v>
      </c>
      <c r="E7930" s="51">
        <f t="shared" si="123"/>
        <v>1</v>
      </c>
    </row>
    <row r="7931" spans="1:5">
      <c r="A7931" s="59">
        <v>16</v>
      </c>
      <c r="B7931" s="59">
        <v>11</v>
      </c>
      <c r="C7931" s="59">
        <v>920</v>
      </c>
      <c r="D7931" s="51">
        <v>1</v>
      </c>
      <c r="E7931" s="51">
        <f t="shared" si="123"/>
        <v>1</v>
      </c>
    </row>
    <row r="7932" spans="1:5">
      <c r="A7932" s="59">
        <v>16</v>
      </c>
      <c r="B7932" s="59">
        <v>12</v>
      </c>
      <c r="C7932" s="59">
        <v>210</v>
      </c>
      <c r="D7932" s="51">
        <v>1</v>
      </c>
      <c r="E7932" s="51">
        <f t="shared" si="123"/>
        <v>1</v>
      </c>
    </row>
    <row r="7933" spans="1:5">
      <c r="A7933" s="59">
        <v>16</v>
      </c>
      <c r="B7933" s="59">
        <v>13</v>
      </c>
      <c r="C7933" s="59">
        <v>120</v>
      </c>
      <c r="D7933" s="51">
        <v>1</v>
      </c>
      <c r="E7933" s="51">
        <f t="shared" si="123"/>
        <v>1</v>
      </c>
    </row>
    <row r="7934" spans="1:5">
      <c r="A7934" s="59">
        <v>16</v>
      </c>
      <c r="B7934" s="59">
        <v>13</v>
      </c>
      <c r="C7934" s="59">
        <v>240</v>
      </c>
      <c r="D7934" s="51">
        <v>1</v>
      </c>
      <c r="E7934" s="51">
        <f t="shared" si="123"/>
        <v>1</v>
      </c>
    </row>
    <row r="7935" spans="1:5">
      <c r="A7935" s="59">
        <v>16</v>
      </c>
      <c r="B7935" s="59">
        <v>13</v>
      </c>
      <c r="C7935" s="59">
        <v>520</v>
      </c>
      <c r="D7935" s="51">
        <v>1</v>
      </c>
      <c r="E7935" s="51">
        <f t="shared" si="123"/>
        <v>1</v>
      </c>
    </row>
    <row r="7936" spans="1:5">
      <c r="A7936" s="59">
        <v>16</v>
      </c>
      <c r="B7936" s="59">
        <v>13</v>
      </c>
      <c r="C7936" s="59">
        <v>620</v>
      </c>
      <c r="D7936" s="51">
        <v>1</v>
      </c>
      <c r="E7936" s="51">
        <f t="shared" si="123"/>
        <v>1</v>
      </c>
    </row>
    <row r="7937" spans="1:5">
      <c r="A7937" s="59">
        <v>16</v>
      </c>
      <c r="B7937" s="59">
        <v>13</v>
      </c>
      <c r="C7937" s="59">
        <v>720</v>
      </c>
      <c r="D7937" s="51">
        <v>1</v>
      </c>
      <c r="E7937" s="51">
        <f t="shared" si="123"/>
        <v>1</v>
      </c>
    </row>
    <row r="7938" spans="1:5">
      <c r="A7938" s="59">
        <v>16</v>
      </c>
      <c r="B7938" s="59">
        <v>13</v>
      </c>
      <c r="C7938" s="59">
        <v>960</v>
      </c>
      <c r="D7938" s="51">
        <v>1</v>
      </c>
      <c r="E7938" s="51">
        <f t="shared" ref="E7938:E8001" si="124">IF(OR(A7938=6,A7938=7,A7938=14,A7938=15,A7938=16,A7938=17,A7938=18,A7938=19,A7938=20,A7938=21,A7938=22,A7938=23,A7938=25,A7938=26,A7938=27,A7938=28,B7938=41,B7938=44,B7938=62),1,0)</f>
        <v>1</v>
      </c>
    </row>
    <row r="7939" spans="1:5">
      <c r="A7939" s="59">
        <v>16</v>
      </c>
      <c r="B7939" s="59">
        <v>14</v>
      </c>
      <c r="C7939" s="59">
        <v>430</v>
      </c>
      <c r="D7939" s="51">
        <v>1</v>
      </c>
      <c r="E7939" s="51">
        <f t="shared" si="124"/>
        <v>1</v>
      </c>
    </row>
    <row r="7940" spans="1:5">
      <c r="A7940" s="59">
        <v>16</v>
      </c>
      <c r="B7940" s="59">
        <v>14</v>
      </c>
      <c r="C7940" s="59">
        <v>630</v>
      </c>
      <c r="D7940" s="51">
        <v>1</v>
      </c>
      <c r="E7940" s="51">
        <f t="shared" si="124"/>
        <v>1</v>
      </c>
    </row>
    <row r="7941" spans="1:5">
      <c r="A7941" s="59">
        <v>16</v>
      </c>
      <c r="B7941" s="59">
        <v>14</v>
      </c>
      <c r="C7941" s="59">
        <v>730</v>
      </c>
      <c r="D7941" s="51">
        <v>1</v>
      </c>
      <c r="E7941" s="51">
        <f t="shared" si="124"/>
        <v>1</v>
      </c>
    </row>
    <row r="7942" spans="1:5">
      <c r="A7942" s="59">
        <v>16</v>
      </c>
      <c r="B7942" s="59">
        <v>15</v>
      </c>
      <c r="C7942" s="59">
        <v>130</v>
      </c>
      <c r="D7942" s="51">
        <v>1</v>
      </c>
      <c r="E7942" s="51">
        <f t="shared" si="124"/>
        <v>1</v>
      </c>
    </row>
    <row r="7943" spans="1:5">
      <c r="A7943" s="59">
        <v>16</v>
      </c>
      <c r="B7943" s="59">
        <v>15</v>
      </c>
      <c r="C7943" s="59">
        <v>140</v>
      </c>
      <c r="D7943" s="51">
        <v>1</v>
      </c>
      <c r="E7943" s="51">
        <f t="shared" si="124"/>
        <v>1</v>
      </c>
    </row>
    <row r="7944" spans="1:5">
      <c r="A7944" s="59">
        <v>16</v>
      </c>
      <c r="B7944" s="59">
        <v>15</v>
      </c>
      <c r="C7944" s="59">
        <v>420</v>
      </c>
      <c r="D7944" s="51">
        <v>1</v>
      </c>
      <c r="E7944" s="51">
        <f t="shared" si="124"/>
        <v>1</v>
      </c>
    </row>
    <row r="7945" spans="1:5">
      <c r="A7945" s="59">
        <v>16</v>
      </c>
      <c r="B7945" s="59">
        <v>16</v>
      </c>
      <c r="C7945" s="59">
        <v>330</v>
      </c>
      <c r="D7945" s="51">
        <v>1</v>
      </c>
      <c r="E7945" s="51">
        <f t="shared" si="124"/>
        <v>1</v>
      </c>
    </row>
    <row r="7946" spans="1:5">
      <c r="A7946" s="59">
        <v>16</v>
      </c>
      <c r="B7946" s="59">
        <v>16</v>
      </c>
      <c r="C7946" s="59">
        <v>530</v>
      </c>
      <c r="D7946" s="51">
        <v>1</v>
      </c>
      <c r="E7946" s="51">
        <f t="shared" si="124"/>
        <v>1</v>
      </c>
    </row>
    <row r="7947" spans="1:5">
      <c r="A7947" s="59">
        <v>16</v>
      </c>
      <c r="B7947" s="59">
        <v>16</v>
      </c>
      <c r="C7947" s="59">
        <v>950</v>
      </c>
      <c r="D7947" s="51">
        <v>1</v>
      </c>
      <c r="E7947" s="51">
        <f t="shared" si="124"/>
        <v>1</v>
      </c>
    </row>
    <row r="7948" spans="1:5">
      <c r="A7948" s="59">
        <v>16</v>
      </c>
      <c r="B7948" s="59">
        <v>21</v>
      </c>
      <c r="C7948" s="59">
        <v>910</v>
      </c>
      <c r="D7948" s="51">
        <v>1</v>
      </c>
      <c r="E7948" s="51">
        <f t="shared" si="124"/>
        <v>1</v>
      </c>
    </row>
    <row r="7949" spans="1:5">
      <c r="A7949" s="59">
        <v>16</v>
      </c>
      <c r="B7949" s="59">
        <v>22</v>
      </c>
      <c r="C7949" s="59">
        <v>530</v>
      </c>
      <c r="D7949" s="51">
        <v>1</v>
      </c>
      <c r="E7949" s="51">
        <f t="shared" si="124"/>
        <v>1</v>
      </c>
    </row>
    <row r="7950" spans="1:5">
      <c r="A7950" s="59">
        <v>16</v>
      </c>
      <c r="B7950" s="59">
        <v>22</v>
      </c>
      <c r="C7950" s="59">
        <v>620</v>
      </c>
      <c r="D7950" s="51">
        <v>1</v>
      </c>
      <c r="E7950" s="51">
        <f t="shared" si="124"/>
        <v>1</v>
      </c>
    </row>
    <row r="7951" spans="1:5">
      <c r="A7951" s="59">
        <v>16</v>
      </c>
      <c r="B7951" s="59">
        <v>22</v>
      </c>
      <c r="C7951" s="59">
        <v>840</v>
      </c>
      <c r="D7951" s="51">
        <v>1</v>
      </c>
      <c r="E7951" s="51">
        <f t="shared" si="124"/>
        <v>1</v>
      </c>
    </row>
    <row r="7952" spans="1:5">
      <c r="A7952" s="59">
        <v>16</v>
      </c>
      <c r="B7952" s="59">
        <v>22</v>
      </c>
      <c r="C7952" s="59">
        <v>890</v>
      </c>
      <c r="D7952" s="51">
        <v>1</v>
      </c>
      <c r="E7952" s="51">
        <f t="shared" si="124"/>
        <v>1</v>
      </c>
    </row>
    <row r="7953" spans="1:5">
      <c r="A7953" s="59">
        <v>16</v>
      </c>
      <c r="B7953" s="59">
        <v>22</v>
      </c>
      <c r="C7953" s="59">
        <v>990</v>
      </c>
      <c r="D7953" s="51">
        <v>1</v>
      </c>
      <c r="E7953" s="51">
        <f t="shared" si="124"/>
        <v>1</v>
      </c>
    </row>
    <row r="7954" spans="1:5">
      <c r="A7954" s="59">
        <v>16</v>
      </c>
      <c r="B7954" s="59">
        <v>23</v>
      </c>
      <c r="C7954" s="59">
        <v>230</v>
      </c>
      <c r="D7954" s="51">
        <v>1</v>
      </c>
      <c r="E7954" s="51">
        <f t="shared" si="124"/>
        <v>1</v>
      </c>
    </row>
    <row r="7955" spans="1:5">
      <c r="A7955" s="59">
        <v>16</v>
      </c>
      <c r="B7955" s="59">
        <v>23</v>
      </c>
      <c r="C7955" s="59">
        <v>240</v>
      </c>
      <c r="D7955" s="51">
        <v>1</v>
      </c>
      <c r="E7955" s="51">
        <f t="shared" si="124"/>
        <v>1</v>
      </c>
    </row>
    <row r="7956" spans="1:5">
      <c r="A7956" s="59">
        <v>16</v>
      </c>
      <c r="B7956" s="59">
        <v>23</v>
      </c>
      <c r="C7956" s="59">
        <v>310</v>
      </c>
      <c r="D7956" s="51">
        <v>1</v>
      </c>
      <c r="E7956" s="51">
        <f t="shared" si="124"/>
        <v>1</v>
      </c>
    </row>
    <row r="7957" spans="1:5">
      <c r="A7957" s="59">
        <v>16</v>
      </c>
      <c r="B7957" s="59">
        <v>31</v>
      </c>
      <c r="C7957" s="59">
        <v>620</v>
      </c>
      <c r="D7957" s="51">
        <v>1</v>
      </c>
      <c r="E7957" s="51">
        <f t="shared" si="124"/>
        <v>1</v>
      </c>
    </row>
    <row r="7958" spans="1:5">
      <c r="A7958" s="59">
        <v>16</v>
      </c>
      <c r="B7958" s="59">
        <v>31</v>
      </c>
      <c r="C7958" s="59">
        <v>960</v>
      </c>
      <c r="D7958" s="51">
        <v>1</v>
      </c>
      <c r="E7958" s="51">
        <f t="shared" si="124"/>
        <v>1</v>
      </c>
    </row>
    <row r="7959" spans="1:5">
      <c r="A7959" s="59">
        <v>16</v>
      </c>
      <c r="B7959" s="59">
        <v>32</v>
      </c>
      <c r="C7959" s="59">
        <v>110</v>
      </c>
      <c r="D7959" s="51">
        <v>1</v>
      </c>
      <c r="E7959" s="51">
        <f t="shared" si="124"/>
        <v>1</v>
      </c>
    </row>
    <row r="7960" spans="1:5">
      <c r="A7960" s="59">
        <v>16</v>
      </c>
      <c r="B7960" s="59">
        <v>32</v>
      </c>
      <c r="C7960" s="59">
        <v>160</v>
      </c>
      <c r="D7960" s="51">
        <v>1</v>
      </c>
      <c r="E7960" s="51">
        <f t="shared" si="124"/>
        <v>1</v>
      </c>
    </row>
    <row r="7961" spans="1:5">
      <c r="A7961" s="59">
        <v>16</v>
      </c>
      <c r="B7961" s="59">
        <v>32</v>
      </c>
      <c r="C7961" s="59">
        <v>220</v>
      </c>
      <c r="D7961" s="51">
        <v>1</v>
      </c>
      <c r="E7961" s="51">
        <f t="shared" si="124"/>
        <v>1</v>
      </c>
    </row>
    <row r="7962" spans="1:5">
      <c r="A7962" s="59">
        <v>16</v>
      </c>
      <c r="B7962" s="59">
        <v>32</v>
      </c>
      <c r="C7962" s="59">
        <v>230</v>
      </c>
      <c r="D7962" s="51">
        <v>1</v>
      </c>
      <c r="E7962" s="51">
        <f t="shared" si="124"/>
        <v>1</v>
      </c>
    </row>
    <row r="7963" spans="1:5">
      <c r="A7963" s="59">
        <v>16</v>
      </c>
      <c r="B7963" s="59">
        <v>32</v>
      </c>
      <c r="C7963" s="59">
        <v>960</v>
      </c>
      <c r="D7963" s="51">
        <v>1</v>
      </c>
      <c r="E7963" s="51">
        <f t="shared" si="124"/>
        <v>1</v>
      </c>
    </row>
    <row r="7964" spans="1:5">
      <c r="A7964" s="59">
        <v>16</v>
      </c>
      <c r="B7964" s="59">
        <v>33</v>
      </c>
      <c r="C7964" s="59">
        <v>150</v>
      </c>
      <c r="D7964" s="51">
        <v>1</v>
      </c>
      <c r="E7964" s="51">
        <f t="shared" si="124"/>
        <v>1</v>
      </c>
    </row>
    <row r="7965" spans="1:5">
      <c r="A7965" s="59">
        <v>16</v>
      </c>
      <c r="B7965" s="59">
        <v>33</v>
      </c>
      <c r="C7965" s="59">
        <v>230</v>
      </c>
      <c r="D7965" s="51">
        <v>1</v>
      </c>
      <c r="E7965" s="51">
        <f t="shared" si="124"/>
        <v>1</v>
      </c>
    </row>
    <row r="7966" spans="1:5">
      <c r="A7966" s="59">
        <v>16</v>
      </c>
      <c r="B7966" s="59">
        <v>33</v>
      </c>
      <c r="C7966" s="59">
        <v>510</v>
      </c>
      <c r="D7966" s="51">
        <v>1</v>
      </c>
      <c r="E7966" s="51">
        <f t="shared" si="124"/>
        <v>1</v>
      </c>
    </row>
    <row r="7967" spans="1:5">
      <c r="A7967" s="59">
        <v>16</v>
      </c>
      <c r="B7967" s="59">
        <v>33</v>
      </c>
      <c r="C7967" s="59">
        <v>530</v>
      </c>
      <c r="D7967" s="51">
        <v>1</v>
      </c>
      <c r="E7967" s="51">
        <f t="shared" si="124"/>
        <v>1</v>
      </c>
    </row>
    <row r="7968" spans="1:5">
      <c r="A7968" s="59">
        <v>16</v>
      </c>
      <c r="B7968" s="59">
        <v>33</v>
      </c>
      <c r="C7968" s="59">
        <v>940</v>
      </c>
      <c r="D7968" s="51">
        <v>1</v>
      </c>
      <c r="E7968" s="51">
        <f t="shared" si="124"/>
        <v>1</v>
      </c>
    </row>
    <row r="7969" spans="1:5">
      <c r="A7969" s="59">
        <v>16</v>
      </c>
      <c r="B7969" s="59">
        <v>41</v>
      </c>
      <c r="C7969" s="59">
        <v>110</v>
      </c>
      <c r="D7969" s="51">
        <v>1</v>
      </c>
      <c r="E7969" s="51">
        <f t="shared" si="124"/>
        <v>1</v>
      </c>
    </row>
    <row r="7970" spans="1:5">
      <c r="A7970" s="59">
        <v>16</v>
      </c>
      <c r="B7970" s="59">
        <v>41</v>
      </c>
      <c r="C7970" s="59">
        <v>160</v>
      </c>
      <c r="D7970" s="51">
        <v>1</v>
      </c>
      <c r="E7970" s="51">
        <f t="shared" si="124"/>
        <v>1</v>
      </c>
    </row>
    <row r="7971" spans="1:5">
      <c r="A7971" s="59">
        <v>16</v>
      </c>
      <c r="B7971" s="59">
        <v>41</v>
      </c>
      <c r="C7971" s="59">
        <v>220</v>
      </c>
      <c r="D7971" s="51">
        <v>1</v>
      </c>
      <c r="E7971" s="51">
        <f t="shared" si="124"/>
        <v>1</v>
      </c>
    </row>
    <row r="7972" spans="1:5">
      <c r="A7972" s="59">
        <v>16</v>
      </c>
      <c r="B7972" s="59">
        <v>41</v>
      </c>
      <c r="C7972" s="59">
        <v>420</v>
      </c>
      <c r="D7972" s="51">
        <v>1</v>
      </c>
      <c r="E7972" s="51">
        <f t="shared" si="124"/>
        <v>1</v>
      </c>
    </row>
    <row r="7973" spans="1:5">
      <c r="A7973" s="59">
        <v>16</v>
      </c>
      <c r="B7973" s="59">
        <v>41</v>
      </c>
      <c r="C7973" s="59">
        <v>750</v>
      </c>
      <c r="D7973" s="51">
        <v>1</v>
      </c>
      <c r="E7973" s="51">
        <f t="shared" si="124"/>
        <v>1</v>
      </c>
    </row>
    <row r="7974" spans="1:5">
      <c r="A7974" s="59">
        <v>16</v>
      </c>
      <c r="B7974" s="59">
        <v>42</v>
      </c>
      <c r="C7974" s="59">
        <v>420</v>
      </c>
      <c r="D7974" s="51">
        <v>1</v>
      </c>
      <c r="E7974" s="51">
        <f t="shared" si="124"/>
        <v>1</v>
      </c>
    </row>
    <row r="7975" spans="1:5">
      <c r="A7975" s="59">
        <v>16</v>
      </c>
      <c r="B7975" s="59">
        <v>42</v>
      </c>
      <c r="C7975" s="59">
        <v>520</v>
      </c>
      <c r="D7975" s="51">
        <v>1</v>
      </c>
      <c r="E7975" s="51">
        <f t="shared" si="124"/>
        <v>1</v>
      </c>
    </row>
    <row r="7976" spans="1:5">
      <c r="A7976" s="59">
        <v>16</v>
      </c>
      <c r="B7976" s="59">
        <v>43</v>
      </c>
      <c r="C7976" s="59">
        <v>640</v>
      </c>
      <c r="D7976" s="51">
        <v>1</v>
      </c>
      <c r="E7976" s="51">
        <f t="shared" si="124"/>
        <v>1</v>
      </c>
    </row>
    <row r="7977" spans="1:5">
      <c r="A7977" s="59">
        <v>16</v>
      </c>
      <c r="B7977" s="59">
        <v>44</v>
      </c>
      <c r="C7977" s="59">
        <v>550</v>
      </c>
      <c r="D7977" s="51">
        <v>1</v>
      </c>
      <c r="E7977" s="51">
        <f t="shared" si="124"/>
        <v>1</v>
      </c>
    </row>
    <row r="7978" spans="1:5">
      <c r="A7978" s="59">
        <v>16</v>
      </c>
      <c r="B7978" s="59">
        <v>44</v>
      </c>
      <c r="C7978" s="59">
        <v>750</v>
      </c>
      <c r="D7978" s="51">
        <v>1</v>
      </c>
      <c r="E7978" s="51">
        <f t="shared" si="124"/>
        <v>1</v>
      </c>
    </row>
    <row r="7979" spans="1:5">
      <c r="A7979" s="59">
        <v>16</v>
      </c>
      <c r="B7979" s="59">
        <v>61</v>
      </c>
      <c r="C7979" s="59">
        <v>240</v>
      </c>
      <c r="D7979" s="51">
        <v>1</v>
      </c>
      <c r="E7979" s="51">
        <f t="shared" si="124"/>
        <v>1</v>
      </c>
    </row>
    <row r="7980" spans="1:5">
      <c r="A7980" s="59">
        <v>16</v>
      </c>
      <c r="B7980" s="59">
        <v>61</v>
      </c>
      <c r="C7980" s="59">
        <v>510</v>
      </c>
      <c r="D7980" s="51">
        <v>1</v>
      </c>
      <c r="E7980" s="51">
        <f t="shared" si="124"/>
        <v>1</v>
      </c>
    </row>
    <row r="7981" spans="1:5">
      <c r="A7981" s="59">
        <v>16</v>
      </c>
      <c r="B7981" s="59">
        <v>61</v>
      </c>
      <c r="C7981" s="59">
        <v>610</v>
      </c>
      <c r="D7981" s="51">
        <v>1</v>
      </c>
      <c r="E7981" s="51">
        <f t="shared" si="124"/>
        <v>1</v>
      </c>
    </row>
    <row r="7982" spans="1:5">
      <c r="A7982" s="59">
        <v>16</v>
      </c>
      <c r="B7982" s="59">
        <v>61</v>
      </c>
      <c r="C7982" s="59">
        <v>620</v>
      </c>
      <c r="D7982" s="51">
        <v>1</v>
      </c>
      <c r="E7982" s="51">
        <f t="shared" si="124"/>
        <v>1</v>
      </c>
    </row>
    <row r="7983" spans="1:5">
      <c r="A7983" s="59">
        <v>16</v>
      </c>
      <c r="B7983" s="59">
        <v>61</v>
      </c>
      <c r="C7983" s="59">
        <v>720</v>
      </c>
      <c r="D7983" s="51">
        <v>1</v>
      </c>
      <c r="E7983" s="51">
        <f t="shared" si="124"/>
        <v>1</v>
      </c>
    </row>
    <row r="7984" spans="1:5">
      <c r="A7984" s="59">
        <v>16</v>
      </c>
      <c r="B7984" s="59">
        <v>62</v>
      </c>
      <c r="C7984" s="59">
        <v>420</v>
      </c>
      <c r="D7984" s="51">
        <v>1</v>
      </c>
      <c r="E7984" s="51">
        <f t="shared" si="124"/>
        <v>1</v>
      </c>
    </row>
    <row r="7985" spans="1:5">
      <c r="A7985" s="59">
        <v>16</v>
      </c>
      <c r="B7985" s="59">
        <v>62</v>
      </c>
      <c r="C7985" s="59">
        <v>630</v>
      </c>
      <c r="D7985" s="51">
        <v>1</v>
      </c>
      <c r="E7985" s="51">
        <f t="shared" si="124"/>
        <v>1</v>
      </c>
    </row>
    <row r="7986" spans="1:5">
      <c r="A7986" s="59">
        <v>16</v>
      </c>
      <c r="B7986" s="59">
        <v>62</v>
      </c>
      <c r="C7986" s="59">
        <v>960</v>
      </c>
      <c r="D7986" s="51">
        <v>1</v>
      </c>
      <c r="E7986" s="51">
        <f t="shared" si="124"/>
        <v>1</v>
      </c>
    </row>
    <row r="7987" spans="1:5">
      <c r="A7987" s="59">
        <v>16</v>
      </c>
      <c r="B7987" s="59">
        <v>63</v>
      </c>
      <c r="C7987" s="59">
        <v>540</v>
      </c>
      <c r="D7987" s="51">
        <v>1</v>
      </c>
      <c r="E7987" s="51">
        <f t="shared" si="124"/>
        <v>1</v>
      </c>
    </row>
    <row r="7988" spans="1:5">
      <c r="A7988" s="59">
        <v>16</v>
      </c>
      <c r="B7988" s="59">
        <v>63</v>
      </c>
      <c r="C7988" s="59">
        <v>630</v>
      </c>
      <c r="D7988" s="51">
        <v>1</v>
      </c>
      <c r="E7988" s="51">
        <f t="shared" si="124"/>
        <v>1</v>
      </c>
    </row>
    <row r="7989" spans="1:5">
      <c r="A7989" s="59">
        <v>16</v>
      </c>
      <c r="B7989" s="59">
        <v>63</v>
      </c>
      <c r="C7989" s="59">
        <v>640</v>
      </c>
      <c r="D7989" s="51">
        <v>1</v>
      </c>
      <c r="E7989" s="51">
        <f t="shared" si="124"/>
        <v>1</v>
      </c>
    </row>
    <row r="7990" spans="1:5">
      <c r="A7990" s="59">
        <v>16</v>
      </c>
      <c r="B7990" s="59">
        <v>64</v>
      </c>
      <c r="C7990" s="59">
        <v>220</v>
      </c>
      <c r="D7990" s="51">
        <v>1</v>
      </c>
      <c r="E7990" s="51">
        <f t="shared" si="124"/>
        <v>1</v>
      </c>
    </row>
    <row r="7991" spans="1:5">
      <c r="A7991" s="59">
        <v>16</v>
      </c>
      <c r="B7991" s="59">
        <v>64</v>
      </c>
      <c r="C7991" s="59">
        <v>630</v>
      </c>
      <c r="D7991" s="51">
        <v>1</v>
      </c>
      <c r="E7991" s="51">
        <f t="shared" si="124"/>
        <v>1</v>
      </c>
    </row>
    <row r="7992" spans="1:5">
      <c r="A7992" s="59">
        <v>16</v>
      </c>
      <c r="B7992" s="59">
        <v>64</v>
      </c>
      <c r="C7992" s="59">
        <v>840</v>
      </c>
      <c r="D7992" s="51">
        <v>1</v>
      </c>
      <c r="E7992" s="51">
        <f t="shared" si="124"/>
        <v>1</v>
      </c>
    </row>
    <row r="7993" spans="1:5">
      <c r="A7993" s="59">
        <v>16</v>
      </c>
      <c r="B7993" s="59">
        <v>64</v>
      </c>
      <c r="C7993" s="59">
        <v>860</v>
      </c>
      <c r="D7993" s="51">
        <v>1</v>
      </c>
      <c r="E7993" s="51">
        <f t="shared" si="124"/>
        <v>1</v>
      </c>
    </row>
    <row r="7994" spans="1:5">
      <c r="A7994" s="59">
        <v>16</v>
      </c>
      <c r="B7994" s="59">
        <v>64</v>
      </c>
      <c r="C7994" s="59">
        <v>893</v>
      </c>
      <c r="D7994" s="51">
        <v>1</v>
      </c>
      <c r="E7994" s="51">
        <f t="shared" si="124"/>
        <v>1</v>
      </c>
    </row>
    <row r="7995" spans="1:5">
      <c r="A7995" s="59">
        <v>16</v>
      </c>
      <c r="B7995" s="59">
        <v>64</v>
      </c>
      <c r="C7995" s="59">
        <v>960</v>
      </c>
      <c r="D7995" s="51">
        <v>1</v>
      </c>
      <c r="E7995" s="51">
        <f t="shared" si="124"/>
        <v>1</v>
      </c>
    </row>
    <row r="7996" spans="1:5">
      <c r="A7996" s="59">
        <v>16</v>
      </c>
      <c r="B7996" s="59">
        <v>71</v>
      </c>
      <c r="C7996" s="59">
        <v>430</v>
      </c>
      <c r="D7996" s="51">
        <v>1</v>
      </c>
      <c r="E7996" s="51">
        <f t="shared" si="124"/>
        <v>1</v>
      </c>
    </row>
    <row r="7997" spans="1:5">
      <c r="A7997" s="59">
        <v>16</v>
      </c>
      <c r="B7997" s="59">
        <v>71</v>
      </c>
      <c r="C7997" s="59">
        <v>540</v>
      </c>
      <c r="D7997" s="51">
        <v>1</v>
      </c>
      <c r="E7997" s="51">
        <f t="shared" si="124"/>
        <v>1</v>
      </c>
    </row>
    <row r="7998" spans="1:5">
      <c r="A7998" s="59">
        <v>16</v>
      </c>
      <c r="B7998" s="59">
        <v>71</v>
      </c>
      <c r="C7998" s="59">
        <v>940</v>
      </c>
      <c r="D7998" s="51">
        <v>1</v>
      </c>
      <c r="E7998" s="51">
        <f t="shared" si="124"/>
        <v>1</v>
      </c>
    </row>
    <row r="7999" spans="1:5">
      <c r="A7999" s="59">
        <v>16</v>
      </c>
      <c r="B7999" s="59">
        <v>71</v>
      </c>
      <c r="C7999" s="59">
        <v>950</v>
      </c>
      <c r="D7999" s="51">
        <v>1</v>
      </c>
      <c r="E7999" s="51">
        <f t="shared" si="124"/>
        <v>1</v>
      </c>
    </row>
    <row r="8000" spans="1:5">
      <c r="A8000" s="59">
        <v>16</v>
      </c>
      <c r="B8000" s="59">
        <v>71</v>
      </c>
      <c r="C8000" s="59">
        <v>960</v>
      </c>
      <c r="D8000" s="51">
        <v>1</v>
      </c>
      <c r="E8000" s="51">
        <f t="shared" si="124"/>
        <v>1</v>
      </c>
    </row>
    <row r="8001" spans="1:5">
      <c r="A8001" s="59">
        <v>16</v>
      </c>
      <c r="B8001" s="59">
        <v>81</v>
      </c>
      <c r="C8001" s="59">
        <v>150</v>
      </c>
      <c r="D8001" s="51">
        <v>1</v>
      </c>
      <c r="E8001" s="51">
        <f t="shared" si="124"/>
        <v>1</v>
      </c>
    </row>
    <row r="8002" spans="1:5">
      <c r="A8002" s="59">
        <v>16</v>
      </c>
      <c r="B8002" s="59">
        <v>81</v>
      </c>
      <c r="C8002" s="59">
        <v>210</v>
      </c>
      <c r="D8002" s="51">
        <v>1</v>
      </c>
      <c r="E8002" s="51">
        <f t="shared" ref="E8002:E8065" si="125">IF(OR(A8002=6,A8002=7,A8002=14,A8002=15,A8002=16,A8002=17,A8002=18,A8002=19,A8002=20,A8002=21,A8002=22,A8002=23,A8002=25,A8002=26,A8002=27,A8002=28,B8002=41,B8002=44,B8002=62),1,0)</f>
        <v>1</v>
      </c>
    </row>
    <row r="8003" spans="1:5">
      <c r="A8003" s="59">
        <v>16</v>
      </c>
      <c r="B8003" s="59">
        <v>81</v>
      </c>
      <c r="C8003" s="59">
        <v>410</v>
      </c>
      <c r="D8003" s="51">
        <v>1</v>
      </c>
      <c r="E8003" s="51">
        <f t="shared" si="125"/>
        <v>1</v>
      </c>
    </row>
    <row r="8004" spans="1:5">
      <c r="A8004" s="59">
        <v>16</v>
      </c>
      <c r="B8004" s="59">
        <v>81</v>
      </c>
      <c r="C8004" s="59">
        <v>440</v>
      </c>
      <c r="D8004" s="51">
        <v>1</v>
      </c>
      <c r="E8004" s="51">
        <f t="shared" si="125"/>
        <v>1</v>
      </c>
    </row>
    <row r="8005" spans="1:5">
      <c r="A8005" s="59">
        <v>16</v>
      </c>
      <c r="B8005" s="59">
        <v>81</v>
      </c>
      <c r="C8005" s="59">
        <v>640</v>
      </c>
      <c r="D8005" s="51">
        <v>1</v>
      </c>
      <c r="E8005" s="51">
        <f t="shared" si="125"/>
        <v>1</v>
      </c>
    </row>
    <row r="8006" spans="1:5">
      <c r="A8006" s="59">
        <v>16</v>
      </c>
      <c r="B8006" s="59">
        <v>81</v>
      </c>
      <c r="C8006" s="59">
        <v>960</v>
      </c>
      <c r="D8006" s="51">
        <v>1</v>
      </c>
      <c r="E8006" s="51">
        <f t="shared" si="125"/>
        <v>1</v>
      </c>
    </row>
    <row r="8007" spans="1:5">
      <c r="A8007" s="59">
        <v>17</v>
      </c>
      <c r="B8007" s="59">
        <v>62</v>
      </c>
      <c r="C8007" s="59">
        <v>920</v>
      </c>
      <c r="D8007" s="51">
        <v>117441</v>
      </c>
      <c r="E8007" s="51">
        <f t="shared" si="125"/>
        <v>1</v>
      </c>
    </row>
    <row r="8008" spans="1:5">
      <c r="A8008" s="59">
        <v>17</v>
      </c>
      <c r="B8008" s="59">
        <v>71</v>
      </c>
      <c r="C8008" s="59">
        <v>920</v>
      </c>
      <c r="D8008" s="51">
        <v>73847</v>
      </c>
      <c r="E8008" s="51">
        <f t="shared" si="125"/>
        <v>1</v>
      </c>
    </row>
    <row r="8009" spans="1:5">
      <c r="A8009" s="59">
        <v>17</v>
      </c>
      <c r="B8009" s="59">
        <v>64</v>
      </c>
      <c r="C8009" s="59">
        <v>920</v>
      </c>
      <c r="D8009" s="51">
        <v>58636</v>
      </c>
      <c r="E8009" s="51">
        <f t="shared" si="125"/>
        <v>1</v>
      </c>
    </row>
    <row r="8010" spans="1:5">
      <c r="A8010" s="59">
        <v>17</v>
      </c>
      <c r="B8010" s="59">
        <v>43</v>
      </c>
      <c r="C8010" s="59">
        <v>920</v>
      </c>
      <c r="D8010" s="51">
        <v>50604</v>
      </c>
      <c r="E8010" s="51">
        <f t="shared" si="125"/>
        <v>1</v>
      </c>
    </row>
    <row r="8011" spans="1:5">
      <c r="A8011" s="59">
        <v>17</v>
      </c>
      <c r="B8011" s="59">
        <v>63</v>
      </c>
      <c r="C8011" s="59">
        <v>920</v>
      </c>
      <c r="D8011" s="51">
        <v>34932</v>
      </c>
      <c r="E8011" s="51">
        <f t="shared" si="125"/>
        <v>1</v>
      </c>
    </row>
    <row r="8012" spans="1:5">
      <c r="A8012" s="59">
        <v>17</v>
      </c>
      <c r="B8012" s="59">
        <v>44</v>
      </c>
      <c r="C8012" s="59">
        <v>920</v>
      </c>
      <c r="D8012" s="51">
        <v>23644</v>
      </c>
      <c r="E8012" s="51">
        <f t="shared" si="125"/>
        <v>1</v>
      </c>
    </row>
    <row r="8013" spans="1:5">
      <c r="A8013" s="59">
        <v>17</v>
      </c>
      <c r="B8013" s="59">
        <v>81</v>
      </c>
      <c r="C8013" s="59">
        <v>920</v>
      </c>
      <c r="D8013" s="51">
        <v>11557</v>
      </c>
      <c r="E8013" s="51">
        <f t="shared" si="125"/>
        <v>1</v>
      </c>
    </row>
    <row r="8014" spans="1:5">
      <c r="A8014" s="59">
        <v>17</v>
      </c>
      <c r="B8014" s="59">
        <v>42</v>
      </c>
      <c r="C8014" s="59">
        <v>920</v>
      </c>
      <c r="D8014" s="51">
        <v>9185</v>
      </c>
      <c r="E8014" s="51">
        <f t="shared" si="125"/>
        <v>1</v>
      </c>
    </row>
    <row r="8015" spans="1:5">
      <c r="A8015" s="59">
        <v>17</v>
      </c>
      <c r="B8015" s="59">
        <v>64</v>
      </c>
      <c r="C8015" s="59">
        <v>910</v>
      </c>
      <c r="D8015" s="51">
        <v>9145</v>
      </c>
      <c r="E8015" s="51">
        <f t="shared" si="125"/>
        <v>1</v>
      </c>
    </row>
    <row r="8016" spans="1:5">
      <c r="A8016" s="59">
        <v>17</v>
      </c>
      <c r="B8016" s="59">
        <v>62</v>
      </c>
      <c r="C8016" s="59">
        <v>910</v>
      </c>
      <c r="D8016" s="51">
        <v>8495</v>
      </c>
      <c r="E8016" s="51">
        <f t="shared" si="125"/>
        <v>1</v>
      </c>
    </row>
    <row r="8017" spans="1:5">
      <c r="A8017" s="59">
        <v>17</v>
      </c>
      <c r="B8017" s="59">
        <v>64</v>
      </c>
      <c r="C8017" s="59">
        <v>510</v>
      </c>
      <c r="D8017" s="51">
        <v>8364</v>
      </c>
      <c r="E8017" s="51">
        <f t="shared" si="125"/>
        <v>1</v>
      </c>
    </row>
    <row r="8018" spans="1:5">
      <c r="A8018" s="59">
        <v>17</v>
      </c>
      <c r="B8018" s="59">
        <v>43</v>
      </c>
      <c r="C8018" s="59">
        <v>910</v>
      </c>
      <c r="D8018" s="51">
        <v>7949</v>
      </c>
      <c r="E8018" s="51">
        <f t="shared" si="125"/>
        <v>1</v>
      </c>
    </row>
    <row r="8019" spans="1:5">
      <c r="A8019" s="59">
        <v>17</v>
      </c>
      <c r="B8019" s="59">
        <v>41</v>
      </c>
      <c r="C8019" s="59">
        <v>920</v>
      </c>
      <c r="D8019" s="51">
        <v>7869</v>
      </c>
      <c r="E8019" s="51">
        <f t="shared" si="125"/>
        <v>1</v>
      </c>
    </row>
    <row r="8020" spans="1:5">
      <c r="A8020" s="59">
        <v>17</v>
      </c>
      <c r="B8020" s="59">
        <v>71</v>
      </c>
      <c r="C8020" s="59">
        <v>610</v>
      </c>
      <c r="D8020" s="51">
        <v>7805</v>
      </c>
      <c r="E8020" s="51">
        <f t="shared" si="125"/>
        <v>1</v>
      </c>
    </row>
    <row r="8021" spans="1:5">
      <c r="A8021" s="59">
        <v>17</v>
      </c>
      <c r="B8021" s="59">
        <v>71</v>
      </c>
      <c r="C8021" s="59">
        <v>910</v>
      </c>
      <c r="D8021" s="51">
        <v>6872</v>
      </c>
      <c r="E8021" s="51">
        <f t="shared" si="125"/>
        <v>1</v>
      </c>
    </row>
    <row r="8022" spans="1:5">
      <c r="A8022" s="59">
        <v>17</v>
      </c>
      <c r="B8022" s="59">
        <v>62</v>
      </c>
      <c r="C8022" s="59">
        <v>510</v>
      </c>
      <c r="D8022" s="51">
        <v>6333</v>
      </c>
      <c r="E8022" s="51">
        <f t="shared" si="125"/>
        <v>1</v>
      </c>
    </row>
    <row r="8023" spans="1:5">
      <c r="A8023" s="59">
        <v>17</v>
      </c>
      <c r="B8023" s="59">
        <v>64</v>
      </c>
      <c r="C8023" s="59">
        <v>610</v>
      </c>
      <c r="D8023" s="51">
        <v>4917</v>
      </c>
      <c r="E8023" s="51">
        <f t="shared" si="125"/>
        <v>1</v>
      </c>
    </row>
    <row r="8024" spans="1:5">
      <c r="A8024" s="59">
        <v>17</v>
      </c>
      <c r="B8024" s="59">
        <v>62</v>
      </c>
      <c r="C8024" s="59">
        <v>610</v>
      </c>
      <c r="D8024" s="51">
        <v>4833</v>
      </c>
      <c r="E8024" s="51">
        <f t="shared" si="125"/>
        <v>1</v>
      </c>
    </row>
    <row r="8025" spans="1:5">
      <c r="A8025" s="59">
        <v>17</v>
      </c>
      <c r="B8025" s="59">
        <v>71</v>
      </c>
      <c r="C8025" s="59">
        <v>510</v>
      </c>
      <c r="D8025" s="51">
        <v>4548</v>
      </c>
      <c r="E8025" s="51">
        <f t="shared" si="125"/>
        <v>1</v>
      </c>
    </row>
    <row r="8026" spans="1:5">
      <c r="A8026" s="59">
        <v>17</v>
      </c>
      <c r="B8026" s="59">
        <v>13</v>
      </c>
      <c r="C8026" s="59">
        <v>920</v>
      </c>
      <c r="D8026" s="51">
        <v>3964</v>
      </c>
      <c r="E8026" s="51">
        <f t="shared" si="125"/>
        <v>1</v>
      </c>
    </row>
    <row r="8027" spans="1:5">
      <c r="A8027" s="59">
        <v>17</v>
      </c>
      <c r="B8027" s="59">
        <v>63</v>
      </c>
      <c r="C8027" s="59">
        <v>510</v>
      </c>
      <c r="D8027" s="51">
        <v>3746</v>
      </c>
      <c r="E8027" s="51">
        <f t="shared" si="125"/>
        <v>1</v>
      </c>
    </row>
    <row r="8028" spans="1:5">
      <c r="A8028" s="59">
        <v>17</v>
      </c>
      <c r="B8028" s="59">
        <v>14</v>
      </c>
      <c r="C8028" s="59">
        <v>910</v>
      </c>
      <c r="D8028" s="51">
        <v>3735</v>
      </c>
      <c r="E8028" s="51">
        <f t="shared" si="125"/>
        <v>1</v>
      </c>
    </row>
    <row r="8029" spans="1:5">
      <c r="A8029" s="59">
        <v>17</v>
      </c>
      <c r="B8029" s="59">
        <v>63</v>
      </c>
      <c r="C8029" s="59">
        <v>610</v>
      </c>
      <c r="D8029" s="51">
        <v>3523</v>
      </c>
      <c r="E8029" s="51">
        <f t="shared" si="125"/>
        <v>1</v>
      </c>
    </row>
    <row r="8030" spans="1:5">
      <c r="A8030" s="59">
        <v>17</v>
      </c>
      <c r="B8030" s="59">
        <v>44</v>
      </c>
      <c r="C8030" s="59">
        <v>910</v>
      </c>
      <c r="D8030" s="51">
        <v>3482</v>
      </c>
      <c r="E8030" s="51">
        <f t="shared" si="125"/>
        <v>1</v>
      </c>
    </row>
    <row r="8031" spans="1:5">
      <c r="A8031" s="59">
        <v>17</v>
      </c>
      <c r="B8031" s="59">
        <v>14</v>
      </c>
      <c r="C8031" s="59">
        <v>920</v>
      </c>
      <c r="D8031" s="51">
        <v>3457</v>
      </c>
      <c r="E8031" s="51">
        <f t="shared" si="125"/>
        <v>1</v>
      </c>
    </row>
    <row r="8032" spans="1:5">
      <c r="A8032" s="59">
        <v>17</v>
      </c>
      <c r="B8032" s="59">
        <v>63</v>
      </c>
      <c r="C8032" s="59">
        <v>910</v>
      </c>
      <c r="D8032" s="51">
        <v>3440</v>
      </c>
      <c r="E8032" s="51">
        <f t="shared" si="125"/>
        <v>1</v>
      </c>
    </row>
    <row r="8033" spans="1:5">
      <c r="A8033" s="59">
        <v>17</v>
      </c>
      <c r="B8033" s="59">
        <v>43</v>
      </c>
      <c r="C8033" s="59">
        <v>510</v>
      </c>
      <c r="D8033" s="51">
        <v>3227</v>
      </c>
      <c r="E8033" s="51">
        <f t="shared" si="125"/>
        <v>1</v>
      </c>
    </row>
    <row r="8034" spans="1:5">
      <c r="A8034" s="59">
        <v>17</v>
      </c>
      <c r="B8034" s="59">
        <v>13</v>
      </c>
      <c r="C8034" s="59">
        <v>910</v>
      </c>
      <c r="D8034" s="51">
        <v>2606</v>
      </c>
      <c r="E8034" s="51">
        <f t="shared" si="125"/>
        <v>1</v>
      </c>
    </row>
    <row r="8035" spans="1:5">
      <c r="A8035" s="59">
        <v>17</v>
      </c>
      <c r="B8035" s="59">
        <v>43</v>
      </c>
      <c r="C8035" s="59">
        <v>610</v>
      </c>
      <c r="D8035" s="51">
        <v>2355</v>
      </c>
      <c r="E8035" s="51">
        <f t="shared" si="125"/>
        <v>1</v>
      </c>
    </row>
    <row r="8036" spans="1:5">
      <c r="A8036" s="59">
        <v>17</v>
      </c>
      <c r="B8036" s="59">
        <v>44</v>
      </c>
      <c r="C8036" s="59">
        <v>510</v>
      </c>
      <c r="D8036" s="51">
        <v>2195</v>
      </c>
      <c r="E8036" s="51">
        <f t="shared" si="125"/>
        <v>1</v>
      </c>
    </row>
    <row r="8037" spans="1:5">
      <c r="A8037" s="59">
        <v>17</v>
      </c>
      <c r="B8037" s="59">
        <v>64</v>
      </c>
      <c r="C8037" s="59">
        <v>530</v>
      </c>
      <c r="D8037" s="51">
        <v>1991</v>
      </c>
      <c r="E8037" s="51">
        <f t="shared" si="125"/>
        <v>1</v>
      </c>
    </row>
    <row r="8038" spans="1:5">
      <c r="A8038" s="59">
        <v>17</v>
      </c>
      <c r="B8038" s="59">
        <v>64</v>
      </c>
      <c r="C8038" s="59">
        <v>110</v>
      </c>
      <c r="D8038" s="51">
        <v>1644</v>
      </c>
      <c r="E8038" s="51">
        <f t="shared" si="125"/>
        <v>1</v>
      </c>
    </row>
    <row r="8039" spans="1:5">
      <c r="A8039" s="59">
        <v>17</v>
      </c>
      <c r="B8039" s="59">
        <v>43</v>
      </c>
      <c r="C8039" s="59">
        <v>530</v>
      </c>
      <c r="D8039" s="51">
        <v>1341</v>
      </c>
      <c r="E8039" s="51">
        <f t="shared" si="125"/>
        <v>1</v>
      </c>
    </row>
    <row r="8040" spans="1:5">
      <c r="A8040" s="59">
        <v>17</v>
      </c>
      <c r="B8040" s="59">
        <v>62</v>
      </c>
      <c r="C8040" s="59">
        <v>530</v>
      </c>
      <c r="D8040" s="51">
        <v>1282</v>
      </c>
      <c r="E8040" s="51">
        <f t="shared" si="125"/>
        <v>1</v>
      </c>
    </row>
    <row r="8041" spans="1:5">
      <c r="A8041" s="59">
        <v>17</v>
      </c>
      <c r="B8041" s="59">
        <v>71</v>
      </c>
      <c r="C8041" s="59">
        <v>520</v>
      </c>
      <c r="D8041" s="51">
        <v>1155</v>
      </c>
      <c r="E8041" s="51">
        <f t="shared" si="125"/>
        <v>1</v>
      </c>
    </row>
    <row r="8042" spans="1:5">
      <c r="A8042" s="59">
        <v>17</v>
      </c>
      <c r="B8042" s="59">
        <v>14</v>
      </c>
      <c r="C8042" s="59">
        <v>150</v>
      </c>
      <c r="D8042" s="51">
        <v>1116</v>
      </c>
      <c r="E8042" s="51">
        <f t="shared" si="125"/>
        <v>1</v>
      </c>
    </row>
    <row r="8043" spans="1:5">
      <c r="A8043" s="59">
        <v>17</v>
      </c>
      <c r="B8043" s="59">
        <v>44</v>
      </c>
      <c r="C8043" s="59">
        <v>610</v>
      </c>
      <c r="D8043" s="51">
        <v>1005</v>
      </c>
      <c r="E8043" s="51">
        <f t="shared" si="125"/>
        <v>1</v>
      </c>
    </row>
    <row r="8044" spans="1:5">
      <c r="A8044" s="59">
        <v>17</v>
      </c>
      <c r="B8044" s="59">
        <v>42</v>
      </c>
      <c r="C8044" s="59">
        <v>910</v>
      </c>
      <c r="D8044" s="51">
        <v>996</v>
      </c>
      <c r="E8044" s="51">
        <f t="shared" si="125"/>
        <v>1</v>
      </c>
    </row>
    <row r="8045" spans="1:5">
      <c r="A8045" s="59">
        <v>17</v>
      </c>
      <c r="B8045" s="59">
        <v>62</v>
      </c>
      <c r="C8045" s="59">
        <v>720</v>
      </c>
      <c r="D8045" s="51">
        <v>993</v>
      </c>
      <c r="E8045" s="51">
        <f t="shared" si="125"/>
        <v>1</v>
      </c>
    </row>
    <row r="8046" spans="1:5">
      <c r="A8046" s="59">
        <v>17</v>
      </c>
      <c r="B8046" s="59">
        <v>62</v>
      </c>
      <c r="C8046" s="59">
        <v>730</v>
      </c>
      <c r="D8046" s="51">
        <v>951</v>
      </c>
      <c r="E8046" s="51">
        <f t="shared" si="125"/>
        <v>1</v>
      </c>
    </row>
    <row r="8047" spans="1:5">
      <c r="A8047" s="59">
        <v>17</v>
      </c>
      <c r="B8047" s="59">
        <v>32</v>
      </c>
      <c r="C8047" s="59">
        <v>920</v>
      </c>
      <c r="D8047" s="51">
        <v>885</v>
      </c>
      <c r="E8047" s="51">
        <f t="shared" si="125"/>
        <v>1</v>
      </c>
    </row>
    <row r="8048" spans="1:5">
      <c r="A8048" s="59">
        <v>17</v>
      </c>
      <c r="B8048" s="59">
        <v>42</v>
      </c>
      <c r="C8048" s="59">
        <v>610</v>
      </c>
      <c r="D8048" s="51">
        <v>879</v>
      </c>
      <c r="E8048" s="51">
        <f t="shared" si="125"/>
        <v>1</v>
      </c>
    </row>
    <row r="8049" spans="1:5">
      <c r="A8049" s="59">
        <v>17</v>
      </c>
      <c r="B8049" s="59">
        <v>22</v>
      </c>
      <c r="C8049" s="59">
        <v>910</v>
      </c>
      <c r="D8049" s="51">
        <v>873</v>
      </c>
      <c r="E8049" s="51">
        <f t="shared" si="125"/>
        <v>1</v>
      </c>
    </row>
    <row r="8050" spans="1:5">
      <c r="A8050" s="59">
        <v>17</v>
      </c>
      <c r="B8050" s="59">
        <v>13</v>
      </c>
      <c r="C8050" s="59">
        <v>150</v>
      </c>
      <c r="D8050" s="51">
        <v>872</v>
      </c>
      <c r="E8050" s="51">
        <f t="shared" si="125"/>
        <v>1</v>
      </c>
    </row>
    <row r="8051" spans="1:5">
      <c r="A8051" s="59">
        <v>17</v>
      </c>
      <c r="B8051" s="59">
        <v>15</v>
      </c>
      <c r="C8051" s="59">
        <v>910</v>
      </c>
      <c r="D8051" s="51">
        <v>848</v>
      </c>
      <c r="E8051" s="51">
        <f t="shared" si="125"/>
        <v>1</v>
      </c>
    </row>
    <row r="8052" spans="1:5">
      <c r="A8052" s="59">
        <v>17</v>
      </c>
      <c r="B8052" s="59">
        <v>41</v>
      </c>
      <c r="C8052" s="59">
        <v>910</v>
      </c>
      <c r="D8052" s="51">
        <v>834</v>
      </c>
      <c r="E8052" s="51">
        <f t="shared" si="125"/>
        <v>1</v>
      </c>
    </row>
    <row r="8053" spans="1:5">
      <c r="A8053" s="59">
        <v>17</v>
      </c>
      <c r="B8053" s="59">
        <v>81</v>
      </c>
      <c r="C8053" s="59">
        <v>610</v>
      </c>
      <c r="D8053" s="51">
        <v>796</v>
      </c>
      <c r="E8053" s="51">
        <f t="shared" si="125"/>
        <v>1</v>
      </c>
    </row>
    <row r="8054" spans="1:5">
      <c r="A8054" s="59">
        <v>17</v>
      </c>
      <c r="B8054" s="59">
        <v>22</v>
      </c>
      <c r="C8054" s="59">
        <v>920</v>
      </c>
      <c r="D8054" s="51">
        <v>749</v>
      </c>
      <c r="E8054" s="51">
        <f t="shared" si="125"/>
        <v>1</v>
      </c>
    </row>
    <row r="8055" spans="1:5">
      <c r="A8055" s="59">
        <v>17</v>
      </c>
      <c r="B8055" s="59">
        <v>43</v>
      </c>
      <c r="C8055" s="59">
        <v>930</v>
      </c>
      <c r="D8055" s="51">
        <v>714</v>
      </c>
      <c r="E8055" s="51">
        <f t="shared" si="125"/>
        <v>1</v>
      </c>
    </row>
    <row r="8056" spans="1:5">
      <c r="A8056" s="59">
        <v>17</v>
      </c>
      <c r="B8056" s="59">
        <v>14</v>
      </c>
      <c r="C8056" s="59">
        <v>110</v>
      </c>
      <c r="D8056" s="51">
        <v>650</v>
      </c>
      <c r="E8056" s="51">
        <f t="shared" si="125"/>
        <v>1</v>
      </c>
    </row>
    <row r="8057" spans="1:5">
      <c r="A8057" s="59">
        <v>17</v>
      </c>
      <c r="B8057" s="59">
        <v>64</v>
      </c>
      <c r="C8057" s="59">
        <v>160</v>
      </c>
      <c r="D8057" s="51">
        <v>647</v>
      </c>
      <c r="E8057" s="51">
        <f t="shared" si="125"/>
        <v>1</v>
      </c>
    </row>
    <row r="8058" spans="1:5">
      <c r="A8058" s="59">
        <v>17</v>
      </c>
      <c r="B8058" s="59">
        <v>64</v>
      </c>
      <c r="C8058" s="59">
        <v>520</v>
      </c>
      <c r="D8058" s="51">
        <v>638</v>
      </c>
      <c r="E8058" s="51">
        <f t="shared" si="125"/>
        <v>1</v>
      </c>
    </row>
    <row r="8059" spans="1:5">
      <c r="A8059" s="59">
        <v>17</v>
      </c>
      <c r="B8059" s="59">
        <v>64</v>
      </c>
      <c r="C8059" s="59">
        <v>150</v>
      </c>
      <c r="D8059" s="51">
        <v>596</v>
      </c>
      <c r="E8059" s="51">
        <f t="shared" si="125"/>
        <v>1</v>
      </c>
    </row>
    <row r="8060" spans="1:5">
      <c r="A8060" s="59">
        <v>17</v>
      </c>
      <c r="B8060" s="59">
        <v>62</v>
      </c>
      <c r="C8060" s="59">
        <v>520</v>
      </c>
      <c r="D8060" s="51">
        <v>547</v>
      </c>
      <c r="E8060" s="51">
        <f t="shared" si="125"/>
        <v>1</v>
      </c>
    </row>
    <row r="8061" spans="1:5">
      <c r="A8061" s="59">
        <v>17</v>
      </c>
      <c r="B8061" s="59">
        <v>64</v>
      </c>
      <c r="C8061" s="59">
        <v>720</v>
      </c>
      <c r="D8061" s="51">
        <v>542</v>
      </c>
      <c r="E8061" s="51">
        <f t="shared" si="125"/>
        <v>1</v>
      </c>
    </row>
    <row r="8062" spans="1:5">
      <c r="A8062" s="59">
        <v>17</v>
      </c>
      <c r="B8062" s="59">
        <v>13</v>
      </c>
      <c r="C8062" s="59">
        <v>110</v>
      </c>
      <c r="D8062" s="51">
        <v>525</v>
      </c>
      <c r="E8062" s="51">
        <f t="shared" si="125"/>
        <v>1</v>
      </c>
    </row>
    <row r="8063" spans="1:5">
      <c r="A8063" s="59">
        <v>17</v>
      </c>
      <c r="B8063" s="59">
        <v>81</v>
      </c>
      <c r="C8063" s="59">
        <v>910</v>
      </c>
      <c r="D8063" s="51">
        <v>520</v>
      </c>
      <c r="E8063" s="51">
        <f t="shared" si="125"/>
        <v>1</v>
      </c>
    </row>
    <row r="8064" spans="1:5">
      <c r="A8064" s="59">
        <v>17</v>
      </c>
      <c r="B8064" s="59">
        <v>63</v>
      </c>
      <c r="C8064" s="59">
        <v>530</v>
      </c>
      <c r="D8064" s="51">
        <v>512</v>
      </c>
      <c r="E8064" s="51">
        <f t="shared" si="125"/>
        <v>1</v>
      </c>
    </row>
    <row r="8065" spans="1:5">
      <c r="A8065" s="59">
        <v>17</v>
      </c>
      <c r="B8065" s="59">
        <v>16</v>
      </c>
      <c r="C8065" s="59">
        <v>920</v>
      </c>
      <c r="D8065" s="51">
        <v>484</v>
      </c>
      <c r="E8065" s="51">
        <f t="shared" si="125"/>
        <v>1</v>
      </c>
    </row>
    <row r="8066" spans="1:5">
      <c r="A8066" s="59">
        <v>17</v>
      </c>
      <c r="B8066" s="59">
        <v>64</v>
      </c>
      <c r="C8066" s="59">
        <v>730</v>
      </c>
      <c r="D8066" s="51">
        <v>471</v>
      </c>
      <c r="E8066" s="51">
        <f t="shared" ref="E8066:E8129" si="126">IF(OR(A8066=6,A8066=7,A8066=14,A8066=15,A8066=16,A8066=17,A8066=18,A8066=19,A8066=20,A8066=21,A8066=22,A8066=23,A8066=25,A8066=26,A8066=27,A8066=28,B8066=41,B8066=44,B8066=62),1,0)</f>
        <v>1</v>
      </c>
    </row>
    <row r="8067" spans="1:5">
      <c r="A8067" s="59">
        <v>17</v>
      </c>
      <c r="B8067" s="59">
        <v>71</v>
      </c>
      <c r="C8067" s="59">
        <v>620</v>
      </c>
      <c r="D8067" s="51">
        <v>470</v>
      </c>
      <c r="E8067" s="51">
        <f t="shared" si="126"/>
        <v>1</v>
      </c>
    </row>
    <row r="8068" spans="1:5">
      <c r="A8068" s="59">
        <v>17</v>
      </c>
      <c r="B8068" s="59">
        <v>71</v>
      </c>
      <c r="C8068" s="59">
        <v>530</v>
      </c>
      <c r="D8068" s="51">
        <v>469</v>
      </c>
      <c r="E8068" s="51">
        <f t="shared" si="126"/>
        <v>1</v>
      </c>
    </row>
    <row r="8069" spans="1:5">
      <c r="A8069" s="59">
        <v>17</v>
      </c>
      <c r="B8069" s="59">
        <v>81</v>
      </c>
      <c r="C8069" s="59">
        <v>510</v>
      </c>
      <c r="D8069" s="51">
        <v>468</v>
      </c>
      <c r="E8069" s="51">
        <f t="shared" si="126"/>
        <v>1</v>
      </c>
    </row>
    <row r="8070" spans="1:5">
      <c r="A8070" s="59">
        <v>17</v>
      </c>
      <c r="B8070" s="59">
        <v>43</v>
      </c>
      <c r="C8070" s="59">
        <v>160</v>
      </c>
      <c r="D8070" s="51">
        <v>460</v>
      </c>
      <c r="E8070" s="51">
        <f t="shared" si="126"/>
        <v>1</v>
      </c>
    </row>
    <row r="8071" spans="1:5">
      <c r="A8071" s="59">
        <v>17</v>
      </c>
      <c r="B8071" s="59">
        <v>43</v>
      </c>
      <c r="C8071" s="59">
        <v>110</v>
      </c>
      <c r="D8071" s="51">
        <v>444</v>
      </c>
      <c r="E8071" s="51">
        <f t="shared" si="126"/>
        <v>1</v>
      </c>
    </row>
    <row r="8072" spans="1:5">
      <c r="A8072" s="59">
        <v>17</v>
      </c>
      <c r="B8072" s="59">
        <v>16</v>
      </c>
      <c r="C8072" s="59">
        <v>910</v>
      </c>
      <c r="D8072" s="51">
        <v>433</v>
      </c>
      <c r="E8072" s="51">
        <f t="shared" si="126"/>
        <v>1</v>
      </c>
    </row>
    <row r="8073" spans="1:5">
      <c r="A8073" s="59">
        <v>17</v>
      </c>
      <c r="B8073" s="59">
        <v>63</v>
      </c>
      <c r="C8073" s="59">
        <v>730</v>
      </c>
      <c r="D8073" s="51">
        <v>421</v>
      </c>
      <c r="E8073" s="51">
        <f t="shared" si="126"/>
        <v>1</v>
      </c>
    </row>
    <row r="8074" spans="1:5">
      <c r="A8074" s="59">
        <v>17</v>
      </c>
      <c r="B8074" s="59">
        <v>42</v>
      </c>
      <c r="C8074" s="59">
        <v>510</v>
      </c>
      <c r="D8074" s="51">
        <v>419</v>
      </c>
      <c r="E8074" s="51">
        <f t="shared" si="126"/>
        <v>1</v>
      </c>
    </row>
    <row r="8075" spans="1:5">
      <c r="A8075" s="59">
        <v>17</v>
      </c>
      <c r="B8075" s="59">
        <v>63</v>
      </c>
      <c r="C8075" s="59">
        <v>720</v>
      </c>
      <c r="D8075" s="51">
        <v>404</v>
      </c>
      <c r="E8075" s="51">
        <f t="shared" si="126"/>
        <v>1</v>
      </c>
    </row>
    <row r="8076" spans="1:5">
      <c r="A8076" s="59">
        <v>17</v>
      </c>
      <c r="B8076" s="59">
        <v>44</v>
      </c>
      <c r="C8076" s="59">
        <v>530</v>
      </c>
      <c r="D8076" s="51">
        <v>393</v>
      </c>
      <c r="E8076" s="51">
        <f t="shared" si="126"/>
        <v>1</v>
      </c>
    </row>
    <row r="8077" spans="1:5">
      <c r="A8077" s="59">
        <v>17</v>
      </c>
      <c r="B8077" s="59">
        <v>63</v>
      </c>
      <c r="C8077" s="59">
        <v>520</v>
      </c>
      <c r="D8077" s="51">
        <v>373</v>
      </c>
      <c r="E8077" s="51">
        <f t="shared" si="126"/>
        <v>1</v>
      </c>
    </row>
    <row r="8078" spans="1:5">
      <c r="A8078" s="59">
        <v>17</v>
      </c>
      <c r="B8078" s="59">
        <v>13</v>
      </c>
      <c r="C8078" s="59">
        <v>510</v>
      </c>
      <c r="D8078" s="51">
        <v>351</v>
      </c>
      <c r="E8078" s="51">
        <f t="shared" si="126"/>
        <v>1</v>
      </c>
    </row>
    <row r="8079" spans="1:5">
      <c r="A8079" s="59">
        <v>17</v>
      </c>
      <c r="B8079" s="59">
        <v>14</v>
      </c>
      <c r="C8079" s="59">
        <v>160</v>
      </c>
      <c r="D8079" s="51">
        <v>336</v>
      </c>
      <c r="E8079" s="51">
        <f t="shared" si="126"/>
        <v>1</v>
      </c>
    </row>
    <row r="8080" spans="1:5">
      <c r="A8080" s="59">
        <v>17</v>
      </c>
      <c r="B8080" s="59">
        <v>64</v>
      </c>
      <c r="C8080" s="59">
        <v>620</v>
      </c>
      <c r="D8080" s="51">
        <v>313</v>
      </c>
      <c r="E8080" s="51">
        <f t="shared" si="126"/>
        <v>1</v>
      </c>
    </row>
    <row r="8081" spans="1:5">
      <c r="A8081" s="59">
        <v>17</v>
      </c>
      <c r="B8081" s="59">
        <v>33</v>
      </c>
      <c r="C8081" s="59">
        <v>920</v>
      </c>
      <c r="D8081" s="51">
        <v>305</v>
      </c>
      <c r="E8081" s="51">
        <f t="shared" si="126"/>
        <v>1</v>
      </c>
    </row>
    <row r="8082" spans="1:5">
      <c r="A8082" s="59">
        <v>17</v>
      </c>
      <c r="B8082" s="59">
        <v>15</v>
      </c>
      <c r="C8082" s="59">
        <v>920</v>
      </c>
      <c r="D8082" s="51">
        <v>297</v>
      </c>
      <c r="E8082" s="51">
        <f t="shared" si="126"/>
        <v>1</v>
      </c>
    </row>
    <row r="8083" spans="1:5">
      <c r="A8083" s="59">
        <v>17</v>
      </c>
      <c r="B8083" s="59">
        <v>32</v>
      </c>
      <c r="C8083" s="59">
        <v>910</v>
      </c>
      <c r="D8083" s="51">
        <v>295</v>
      </c>
      <c r="E8083" s="51">
        <f t="shared" si="126"/>
        <v>1</v>
      </c>
    </row>
    <row r="8084" spans="1:5">
      <c r="A8084" s="59">
        <v>17</v>
      </c>
      <c r="B8084" s="59">
        <v>64</v>
      </c>
      <c r="C8084" s="59">
        <v>410</v>
      </c>
      <c r="D8084" s="51">
        <v>286</v>
      </c>
      <c r="E8084" s="51">
        <f t="shared" si="126"/>
        <v>1</v>
      </c>
    </row>
    <row r="8085" spans="1:5">
      <c r="A8085" s="59">
        <v>17</v>
      </c>
      <c r="B8085" s="59">
        <v>44</v>
      </c>
      <c r="C8085" s="59">
        <v>930</v>
      </c>
      <c r="D8085" s="51">
        <v>280</v>
      </c>
      <c r="E8085" s="51">
        <f t="shared" si="126"/>
        <v>1</v>
      </c>
    </row>
    <row r="8086" spans="1:5">
      <c r="A8086" s="59">
        <v>17</v>
      </c>
      <c r="B8086" s="59">
        <v>33</v>
      </c>
      <c r="C8086" s="59">
        <v>910</v>
      </c>
      <c r="D8086" s="51">
        <v>274</v>
      </c>
      <c r="E8086" s="51">
        <f t="shared" si="126"/>
        <v>1</v>
      </c>
    </row>
    <row r="8087" spans="1:5">
      <c r="A8087" s="59">
        <v>17</v>
      </c>
      <c r="B8087" s="59">
        <v>43</v>
      </c>
      <c r="C8087" s="59">
        <v>150</v>
      </c>
      <c r="D8087" s="51">
        <v>272</v>
      </c>
      <c r="E8087" s="51">
        <f t="shared" si="126"/>
        <v>1</v>
      </c>
    </row>
    <row r="8088" spans="1:5">
      <c r="A8088" s="59">
        <v>17</v>
      </c>
      <c r="B8088" s="59">
        <v>41</v>
      </c>
      <c r="C8088" s="59">
        <v>510</v>
      </c>
      <c r="D8088" s="51">
        <v>271</v>
      </c>
      <c r="E8088" s="51">
        <f t="shared" si="126"/>
        <v>1</v>
      </c>
    </row>
    <row r="8089" spans="1:5">
      <c r="A8089" s="59">
        <v>17</v>
      </c>
      <c r="B8089" s="59">
        <v>43</v>
      </c>
      <c r="C8089" s="59">
        <v>720</v>
      </c>
      <c r="D8089" s="51">
        <v>271</v>
      </c>
      <c r="E8089" s="51">
        <f t="shared" si="126"/>
        <v>1</v>
      </c>
    </row>
    <row r="8090" spans="1:5">
      <c r="A8090" s="59">
        <v>17</v>
      </c>
      <c r="B8090" s="59">
        <v>62</v>
      </c>
      <c r="C8090" s="59">
        <v>110</v>
      </c>
      <c r="D8090" s="51">
        <v>251</v>
      </c>
      <c r="E8090" s="51">
        <f t="shared" si="126"/>
        <v>1</v>
      </c>
    </row>
    <row r="8091" spans="1:5">
      <c r="A8091" s="59">
        <v>17</v>
      </c>
      <c r="B8091" s="59">
        <v>62</v>
      </c>
      <c r="C8091" s="59">
        <v>930</v>
      </c>
      <c r="D8091" s="51">
        <v>251</v>
      </c>
      <c r="E8091" s="51">
        <f t="shared" si="126"/>
        <v>1</v>
      </c>
    </row>
    <row r="8092" spans="1:5">
      <c r="A8092" s="59">
        <v>17</v>
      </c>
      <c r="B8092" s="59">
        <v>43</v>
      </c>
      <c r="C8092" s="59">
        <v>620</v>
      </c>
      <c r="D8092" s="51">
        <v>248</v>
      </c>
      <c r="E8092" s="51">
        <f t="shared" si="126"/>
        <v>1</v>
      </c>
    </row>
    <row r="8093" spans="1:5">
      <c r="A8093" s="59">
        <v>17</v>
      </c>
      <c r="B8093" s="59">
        <v>13</v>
      </c>
      <c r="C8093" s="59">
        <v>160</v>
      </c>
      <c r="D8093" s="51">
        <v>246</v>
      </c>
      <c r="E8093" s="51">
        <f t="shared" si="126"/>
        <v>1</v>
      </c>
    </row>
    <row r="8094" spans="1:5">
      <c r="A8094" s="59">
        <v>17</v>
      </c>
      <c r="B8094" s="59">
        <v>62</v>
      </c>
      <c r="C8094" s="59">
        <v>620</v>
      </c>
      <c r="D8094" s="51">
        <v>246</v>
      </c>
      <c r="E8094" s="51">
        <f t="shared" si="126"/>
        <v>1</v>
      </c>
    </row>
    <row r="8095" spans="1:5">
      <c r="A8095" s="59">
        <v>17</v>
      </c>
      <c r="B8095" s="59">
        <v>14</v>
      </c>
      <c r="C8095" s="59">
        <v>510</v>
      </c>
      <c r="D8095" s="51">
        <v>243</v>
      </c>
      <c r="E8095" s="51">
        <f t="shared" si="126"/>
        <v>1</v>
      </c>
    </row>
    <row r="8096" spans="1:5">
      <c r="A8096" s="59">
        <v>17</v>
      </c>
      <c r="B8096" s="59">
        <v>41</v>
      </c>
      <c r="C8096" s="59">
        <v>610</v>
      </c>
      <c r="D8096" s="51">
        <v>219</v>
      </c>
      <c r="E8096" s="51">
        <f t="shared" si="126"/>
        <v>1</v>
      </c>
    </row>
    <row r="8097" spans="1:5">
      <c r="A8097" s="59">
        <v>17</v>
      </c>
      <c r="B8097" s="59">
        <v>64</v>
      </c>
      <c r="C8097" s="59">
        <v>861</v>
      </c>
      <c r="D8097" s="51">
        <v>213</v>
      </c>
      <c r="E8097" s="51">
        <f t="shared" si="126"/>
        <v>1</v>
      </c>
    </row>
    <row r="8098" spans="1:5">
      <c r="A8098" s="59">
        <v>17</v>
      </c>
      <c r="B8098" s="59">
        <v>43</v>
      </c>
      <c r="C8098" s="59">
        <v>520</v>
      </c>
      <c r="D8098" s="51">
        <v>204</v>
      </c>
      <c r="E8098" s="51">
        <f t="shared" si="126"/>
        <v>1</v>
      </c>
    </row>
    <row r="8099" spans="1:5">
      <c r="A8099" s="59">
        <v>17</v>
      </c>
      <c r="B8099" s="59">
        <v>44</v>
      </c>
      <c r="C8099" s="59">
        <v>720</v>
      </c>
      <c r="D8099" s="51">
        <v>192</v>
      </c>
      <c r="E8099" s="51">
        <f t="shared" si="126"/>
        <v>1</v>
      </c>
    </row>
    <row r="8100" spans="1:5">
      <c r="A8100" s="59">
        <v>17</v>
      </c>
      <c r="B8100" s="59">
        <v>81</v>
      </c>
      <c r="C8100" s="59">
        <v>730</v>
      </c>
      <c r="D8100" s="51">
        <v>191</v>
      </c>
      <c r="E8100" s="51">
        <f t="shared" si="126"/>
        <v>1</v>
      </c>
    </row>
    <row r="8101" spans="1:5">
      <c r="A8101" s="59">
        <v>17</v>
      </c>
      <c r="B8101" s="59">
        <v>32</v>
      </c>
      <c r="C8101" s="59">
        <v>420</v>
      </c>
      <c r="D8101" s="51">
        <v>190</v>
      </c>
      <c r="E8101" s="51">
        <f t="shared" si="126"/>
        <v>1</v>
      </c>
    </row>
    <row r="8102" spans="1:5">
      <c r="A8102" s="59">
        <v>17</v>
      </c>
      <c r="B8102" s="59">
        <v>71</v>
      </c>
      <c r="C8102" s="59">
        <v>110</v>
      </c>
      <c r="D8102" s="51">
        <v>185</v>
      </c>
      <c r="E8102" s="51">
        <f t="shared" si="126"/>
        <v>1</v>
      </c>
    </row>
    <row r="8103" spans="1:5">
      <c r="A8103" s="59">
        <v>17</v>
      </c>
      <c r="B8103" s="59">
        <v>63</v>
      </c>
      <c r="C8103" s="59">
        <v>620</v>
      </c>
      <c r="D8103" s="51">
        <v>182</v>
      </c>
      <c r="E8103" s="51">
        <f t="shared" si="126"/>
        <v>1</v>
      </c>
    </row>
    <row r="8104" spans="1:5">
      <c r="A8104" s="59">
        <v>17</v>
      </c>
      <c r="B8104" s="59">
        <v>42</v>
      </c>
      <c r="C8104" s="59">
        <v>530</v>
      </c>
      <c r="D8104" s="51">
        <v>176</v>
      </c>
      <c r="E8104" s="51">
        <f t="shared" si="126"/>
        <v>1</v>
      </c>
    </row>
    <row r="8105" spans="1:5">
      <c r="A8105" s="59">
        <v>17</v>
      </c>
      <c r="B8105" s="59">
        <v>43</v>
      </c>
      <c r="C8105" s="59">
        <v>940</v>
      </c>
      <c r="D8105" s="51">
        <v>175</v>
      </c>
      <c r="E8105" s="51">
        <f t="shared" si="126"/>
        <v>1</v>
      </c>
    </row>
    <row r="8106" spans="1:5">
      <c r="A8106" s="59">
        <v>17</v>
      </c>
      <c r="B8106" s="59">
        <v>32</v>
      </c>
      <c r="C8106" s="59">
        <v>410</v>
      </c>
      <c r="D8106" s="51">
        <v>170</v>
      </c>
      <c r="E8106" s="51">
        <f t="shared" si="126"/>
        <v>1</v>
      </c>
    </row>
    <row r="8107" spans="1:5">
      <c r="A8107" s="59">
        <v>17</v>
      </c>
      <c r="B8107" s="59">
        <v>71</v>
      </c>
      <c r="C8107" s="59">
        <v>720</v>
      </c>
      <c r="D8107" s="51">
        <v>162</v>
      </c>
      <c r="E8107" s="51">
        <f t="shared" si="126"/>
        <v>1</v>
      </c>
    </row>
    <row r="8108" spans="1:5">
      <c r="A8108" s="59">
        <v>17</v>
      </c>
      <c r="B8108" s="59">
        <v>62</v>
      </c>
      <c r="C8108" s="59">
        <v>160</v>
      </c>
      <c r="D8108" s="51">
        <v>151</v>
      </c>
      <c r="E8108" s="51">
        <f t="shared" si="126"/>
        <v>1</v>
      </c>
    </row>
    <row r="8109" spans="1:5">
      <c r="A8109" s="59">
        <v>17</v>
      </c>
      <c r="B8109" s="59">
        <v>43</v>
      </c>
      <c r="C8109" s="59">
        <v>210</v>
      </c>
      <c r="D8109" s="51">
        <v>142</v>
      </c>
      <c r="E8109" s="51">
        <f t="shared" si="126"/>
        <v>1</v>
      </c>
    </row>
    <row r="8110" spans="1:5">
      <c r="A8110" s="59">
        <v>17</v>
      </c>
      <c r="B8110" s="59">
        <v>63</v>
      </c>
      <c r="C8110" s="59">
        <v>110</v>
      </c>
      <c r="D8110" s="51">
        <v>142</v>
      </c>
      <c r="E8110" s="51">
        <f t="shared" si="126"/>
        <v>1</v>
      </c>
    </row>
    <row r="8111" spans="1:5">
      <c r="A8111" s="59">
        <v>17</v>
      </c>
      <c r="B8111" s="59">
        <v>51</v>
      </c>
      <c r="C8111" s="59">
        <v>920</v>
      </c>
      <c r="D8111" s="51">
        <v>141</v>
      </c>
      <c r="E8111" s="51">
        <f t="shared" si="126"/>
        <v>1</v>
      </c>
    </row>
    <row r="8112" spans="1:5">
      <c r="A8112" s="59">
        <v>17</v>
      </c>
      <c r="B8112" s="59">
        <v>64</v>
      </c>
      <c r="C8112" s="59">
        <v>420</v>
      </c>
      <c r="D8112" s="51">
        <v>140</v>
      </c>
      <c r="E8112" s="51">
        <f t="shared" si="126"/>
        <v>1</v>
      </c>
    </row>
    <row r="8113" spans="1:5">
      <c r="A8113" s="59">
        <v>17</v>
      </c>
      <c r="B8113" s="59">
        <v>64</v>
      </c>
      <c r="C8113" s="59">
        <v>430</v>
      </c>
      <c r="D8113" s="51">
        <v>140</v>
      </c>
      <c r="E8113" s="51">
        <f t="shared" si="126"/>
        <v>1</v>
      </c>
    </row>
    <row r="8114" spans="1:5">
      <c r="A8114" s="59">
        <v>17</v>
      </c>
      <c r="B8114" s="59">
        <v>62</v>
      </c>
      <c r="C8114" s="59">
        <v>990</v>
      </c>
      <c r="D8114" s="51">
        <v>139</v>
      </c>
      <c r="E8114" s="51">
        <f t="shared" si="126"/>
        <v>1</v>
      </c>
    </row>
    <row r="8115" spans="1:5">
      <c r="A8115" s="59">
        <v>17</v>
      </c>
      <c r="B8115" s="59">
        <v>43</v>
      </c>
      <c r="C8115" s="59">
        <v>410</v>
      </c>
      <c r="D8115" s="51">
        <v>136</v>
      </c>
      <c r="E8115" s="51">
        <f t="shared" si="126"/>
        <v>1</v>
      </c>
    </row>
    <row r="8116" spans="1:5">
      <c r="A8116" s="59">
        <v>17</v>
      </c>
      <c r="B8116" s="59">
        <v>13</v>
      </c>
      <c r="C8116" s="59">
        <v>610</v>
      </c>
      <c r="D8116" s="51">
        <v>133</v>
      </c>
      <c r="E8116" s="51">
        <f t="shared" si="126"/>
        <v>1</v>
      </c>
    </row>
    <row r="8117" spans="1:5">
      <c r="A8117" s="59">
        <v>17</v>
      </c>
      <c r="B8117" s="59">
        <v>64</v>
      </c>
      <c r="C8117" s="59">
        <v>210</v>
      </c>
      <c r="D8117" s="51">
        <v>129</v>
      </c>
      <c r="E8117" s="51">
        <f t="shared" si="126"/>
        <v>1</v>
      </c>
    </row>
    <row r="8118" spans="1:5">
      <c r="A8118" s="59">
        <v>17</v>
      </c>
      <c r="B8118" s="59">
        <v>13</v>
      </c>
      <c r="C8118" s="59">
        <v>530</v>
      </c>
      <c r="D8118" s="51">
        <v>126</v>
      </c>
      <c r="E8118" s="51">
        <f t="shared" si="126"/>
        <v>1</v>
      </c>
    </row>
    <row r="8119" spans="1:5">
      <c r="A8119" s="59">
        <v>17</v>
      </c>
      <c r="B8119" s="59">
        <v>71</v>
      </c>
      <c r="C8119" s="59">
        <v>160</v>
      </c>
      <c r="D8119" s="51">
        <v>114</v>
      </c>
      <c r="E8119" s="51">
        <f t="shared" si="126"/>
        <v>1</v>
      </c>
    </row>
    <row r="8120" spans="1:5">
      <c r="A8120" s="59">
        <v>17</v>
      </c>
      <c r="B8120" s="59">
        <v>22</v>
      </c>
      <c r="C8120" s="59">
        <v>110</v>
      </c>
      <c r="D8120" s="51">
        <v>110</v>
      </c>
      <c r="E8120" s="51">
        <f t="shared" si="126"/>
        <v>1</v>
      </c>
    </row>
    <row r="8121" spans="1:5">
      <c r="A8121" s="59">
        <v>17</v>
      </c>
      <c r="B8121" s="59">
        <v>71</v>
      </c>
      <c r="C8121" s="59">
        <v>730</v>
      </c>
      <c r="D8121" s="51">
        <v>110</v>
      </c>
      <c r="E8121" s="51">
        <f t="shared" si="126"/>
        <v>1</v>
      </c>
    </row>
    <row r="8122" spans="1:5">
      <c r="A8122" s="59">
        <v>17</v>
      </c>
      <c r="B8122" s="59">
        <v>64</v>
      </c>
      <c r="C8122" s="59">
        <v>860</v>
      </c>
      <c r="D8122" s="51">
        <v>107</v>
      </c>
      <c r="E8122" s="51">
        <f t="shared" si="126"/>
        <v>1</v>
      </c>
    </row>
    <row r="8123" spans="1:5">
      <c r="A8123" s="59">
        <v>17</v>
      </c>
      <c r="B8123" s="59">
        <v>81</v>
      </c>
      <c r="C8123" s="59">
        <v>720</v>
      </c>
      <c r="D8123" s="51">
        <v>105</v>
      </c>
      <c r="E8123" s="51">
        <f t="shared" si="126"/>
        <v>1</v>
      </c>
    </row>
    <row r="8124" spans="1:5">
      <c r="A8124" s="59">
        <v>17</v>
      </c>
      <c r="B8124" s="59">
        <v>14</v>
      </c>
      <c r="C8124" s="59">
        <v>610</v>
      </c>
      <c r="D8124" s="51">
        <v>103</v>
      </c>
      <c r="E8124" s="51">
        <f t="shared" si="126"/>
        <v>1</v>
      </c>
    </row>
    <row r="8125" spans="1:5">
      <c r="A8125" s="59">
        <v>17</v>
      </c>
      <c r="B8125" s="59">
        <v>14</v>
      </c>
      <c r="C8125" s="59">
        <v>530</v>
      </c>
      <c r="D8125" s="51">
        <v>102</v>
      </c>
      <c r="E8125" s="51">
        <f t="shared" si="126"/>
        <v>1</v>
      </c>
    </row>
    <row r="8126" spans="1:5">
      <c r="A8126" s="59">
        <v>17</v>
      </c>
      <c r="B8126" s="59">
        <v>43</v>
      </c>
      <c r="C8126" s="59">
        <v>420</v>
      </c>
      <c r="D8126" s="51">
        <v>101</v>
      </c>
      <c r="E8126" s="51">
        <f t="shared" si="126"/>
        <v>1</v>
      </c>
    </row>
    <row r="8127" spans="1:5">
      <c r="A8127" s="59">
        <v>17</v>
      </c>
      <c r="B8127" s="59">
        <v>81</v>
      </c>
      <c r="C8127" s="59">
        <v>520</v>
      </c>
      <c r="D8127" s="51">
        <v>100</v>
      </c>
      <c r="E8127" s="51">
        <f t="shared" si="126"/>
        <v>1</v>
      </c>
    </row>
    <row r="8128" spans="1:5">
      <c r="A8128" s="59">
        <v>17</v>
      </c>
      <c r="B8128" s="59">
        <v>62</v>
      </c>
      <c r="C8128" s="59">
        <v>710</v>
      </c>
      <c r="D8128" s="51">
        <v>96</v>
      </c>
      <c r="E8128" s="51">
        <f t="shared" si="126"/>
        <v>1</v>
      </c>
    </row>
    <row r="8129" spans="1:5">
      <c r="A8129" s="59">
        <v>17</v>
      </c>
      <c r="B8129" s="59">
        <v>14</v>
      </c>
      <c r="C8129" s="59">
        <v>140</v>
      </c>
      <c r="D8129" s="51">
        <v>94</v>
      </c>
      <c r="E8129" s="51">
        <f t="shared" si="126"/>
        <v>1</v>
      </c>
    </row>
    <row r="8130" spans="1:5">
      <c r="A8130" s="59">
        <v>17</v>
      </c>
      <c r="B8130" s="59">
        <v>16</v>
      </c>
      <c r="C8130" s="59">
        <v>150</v>
      </c>
      <c r="D8130" s="51">
        <v>91</v>
      </c>
      <c r="E8130" s="51">
        <f t="shared" ref="E8130:E8193" si="127">IF(OR(A8130=6,A8130=7,A8130=14,A8130=15,A8130=16,A8130=17,A8130=18,A8130=19,A8130=20,A8130=21,A8130=22,A8130=23,A8130=25,A8130=26,A8130=27,A8130=28,B8130=41,B8130=44,B8130=62),1,0)</f>
        <v>1</v>
      </c>
    </row>
    <row r="8131" spans="1:5">
      <c r="A8131" s="59">
        <v>17</v>
      </c>
      <c r="B8131" s="59">
        <v>43</v>
      </c>
      <c r="C8131" s="59">
        <v>950</v>
      </c>
      <c r="D8131" s="51">
        <v>90</v>
      </c>
      <c r="E8131" s="51">
        <f t="shared" si="127"/>
        <v>1</v>
      </c>
    </row>
    <row r="8132" spans="1:5">
      <c r="A8132" s="59">
        <v>17</v>
      </c>
      <c r="B8132" s="59">
        <v>71</v>
      </c>
      <c r="C8132" s="59">
        <v>550</v>
      </c>
      <c r="D8132" s="51">
        <v>89</v>
      </c>
      <c r="E8132" s="51">
        <f t="shared" si="127"/>
        <v>1</v>
      </c>
    </row>
    <row r="8133" spans="1:5">
      <c r="A8133" s="59">
        <v>17</v>
      </c>
      <c r="B8133" s="59">
        <v>62</v>
      </c>
      <c r="C8133" s="59">
        <v>150</v>
      </c>
      <c r="D8133" s="51">
        <v>88</v>
      </c>
      <c r="E8133" s="51">
        <f t="shared" si="127"/>
        <v>1</v>
      </c>
    </row>
    <row r="8134" spans="1:5">
      <c r="A8134" s="59">
        <v>17</v>
      </c>
      <c r="B8134" s="59">
        <v>15</v>
      </c>
      <c r="C8134" s="59">
        <v>140</v>
      </c>
      <c r="D8134" s="51">
        <v>87</v>
      </c>
      <c r="E8134" s="51">
        <f t="shared" si="127"/>
        <v>1</v>
      </c>
    </row>
    <row r="8135" spans="1:5">
      <c r="A8135" s="59">
        <v>17</v>
      </c>
      <c r="B8135" s="59">
        <v>22</v>
      </c>
      <c r="C8135" s="59">
        <v>210</v>
      </c>
      <c r="D8135" s="51">
        <v>85</v>
      </c>
      <c r="E8135" s="51">
        <f t="shared" si="127"/>
        <v>1</v>
      </c>
    </row>
    <row r="8136" spans="1:5">
      <c r="A8136" s="59">
        <v>17</v>
      </c>
      <c r="B8136" s="59">
        <v>64</v>
      </c>
      <c r="C8136" s="59">
        <v>990</v>
      </c>
      <c r="D8136" s="51">
        <v>82</v>
      </c>
      <c r="E8136" s="51">
        <f t="shared" si="127"/>
        <v>1</v>
      </c>
    </row>
    <row r="8137" spans="1:5">
      <c r="A8137" s="59">
        <v>17</v>
      </c>
      <c r="B8137" s="59">
        <v>44</v>
      </c>
      <c r="C8137" s="59">
        <v>730</v>
      </c>
      <c r="D8137" s="51">
        <v>80</v>
      </c>
      <c r="E8137" s="51">
        <f t="shared" si="127"/>
        <v>1</v>
      </c>
    </row>
    <row r="8138" spans="1:5">
      <c r="A8138" s="59">
        <v>17</v>
      </c>
      <c r="B8138" s="59">
        <v>64</v>
      </c>
      <c r="C8138" s="59">
        <v>930</v>
      </c>
      <c r="D8138" s="51">
        <v>78</v>
      </c>
      <c r="E8138" s="51">
        <f t="shared" si="127"/>
        <v>1</v>
      </c>
    </row>
    <row r="8139" spans="1:5">
      <c r="A8139" s="59">
        <v>17</v>
      </c>
      <c r="B8139" s="59">
        <v>64</v>
      </c>
      <c r="C8139" s="59">
        <v>550</v>
      </c>
      <c r="D8139" s="51">
        <v>76</v>
      </c>
      <c r="E8139" s="51">
        <f t="shared" si="127"/>
        <v>1</v>
      </c>
    </row>
    <row r="8140" spans="1:5">
      <c r="A8140" s="59">
        <v>17</v>
      </c>
      <c r="B8140" s="59">
        <v>42</v>
      </c>
      <c r="C8140" s="59">
        <v>620</v>
      </c>
      <c r="D8140" s="51">
        <v>75</v>
      </c>
      <c r="E8140" s="51">
        <f t="shared" si="127"/>
        <v>1</v>
      </c>
    </row>
    <row r="8141" spans="1:5">
      <c r="A8141" s="59">
        <v>17</v>
      </c>
      <c r="B8141" s="59">
        <v>44</v>
      </c>
      <c r="C8141" s="59">
        <v>520</v>
      </c>
      <c r="D8141" s="51">
        <v>75</v>
      </c>
      <c r="E8141" s="51">
        <f t="shared" si="127"/>
        <v>1</v>
      </c>
    </row>
    <row r="8142" spans="1:5">
      <c r="A8142" s="59">
        <v>17</v>
      </c>
      <c r="B8142" s="59">
        <v>33</v>
      </c>
      <c r="C8142" s="59">
        <v>420</v>
      </c>
      <c r="D8142" s="51">
        <v>74</v>
      </c>
      <c r="E8142" s="51">
        <f t="shared" si="127"/>
        <v>1</v>
      </c>
    </row>
    <row r="8143" spans="1:5">
      <c r="A8143" s="59">
        <v>17</v>
      </c>
      <c r="B8143" s="59">
        <v>63</v>
      </c>
      <c r="C8143" s="59">
        <v>990</v>
      </c>
      <c r="D8143" s="51">
        <v>74</v>
      </c>
      <c r="E8143" s="51">
        <f t="shared" si="127"/>
        <v>1</v>
      </c>
    </row>
    <row r="8144" spans="1:5">
      <c r="A8144" s="59">
        <v>17</v>
      </c>
      <c r="B8144" s="59">
        <v>43</v>
      </c>
      <c r="C8144" s="59">
        <v>430</v>
      </c>
      <c r="D8144" s="51">
        <v>73</v>
      </c>
      <c r="E8144" s="51">
        <f t="shared" si="127"/>
        <v>1</v>
      </c>
    </row>
    <row r="8145" spans="1:5">
      <c r="A8145" s="59">
        <v>17</v>
      </c>
      <c r="B8145" s="59">
        <v>16</v>
      </c>
      <c r="C8145" s="59">
        <v>110</v>
      </c>
      <c r="D8145" s="51">
        <v>72</v>
      </c>
      <c r="E8145" s="51">
        <f t="shared" si="127"/>
        <v>1</v>
      </c>
    </row>
    <row r="8146" spans="1:5">
      <c r="A8146" s="59">
        <v>17</v>
      </c>
      <c r="B8146" s="59">
        <v>33</v>
      </c>
      <c r="C8146" s="59">
        <v>970</v>
      </c>
      <c r="D8146" s="51">
        <v>72</v>
      </c>
      <c r="E8146" s="51">
        <f t="shared" si="127"/>
        <v>1</v>
      </c>
    </row>
    <row r="8147" spans="1:5">
      <c r="A8147" s="59">
        <v>17</v>
      </c>
      <c r="B8147" s="59">
        <v>71</v>
      </c>
      <c r="C8147" s="59">
        <v>640</v>
      </c>
      <c r="D8147" s="51">
        <v>72</v>
      </c>
      <c r="E8147" s="51">
        <f t="shared" si="127"/>
        <v>1</v>
      </c>
    </row>
    <row r="8148" spans="1:5">
      <c r="A8148" s="59">
        <v>17</v>
      </c>
      <c r="B8148" s="59">
        <v>43</v>
      </c>
      <c r="C8148" s="59">
        <v>990</v>
      </c>
      <c r="D8148" s="51">
        <v>71</v>
      </c>
      <c r="E8148" s="51">
        <f t="shared" si="127"/>
        <v>1</v>
      </c>
    </row>
    <row r="8149" spans="1:5">
      <c r="A8149" s="59">
        <v>17</v>
      </c>
      <c r="B8149" s="59">
        <v>33</v>
      </c>
      <c r="C8149" s="59">
        <v>410</v>
      </c>
      <c r="D8149" s="51">
        <v>69</v>
      </c>
      <c r="E8149" s="51">
        <f t="shared" si="127"/>
        <v>1</v>
      </c>
    </row>
    <row r="8150" spans="1:5">
      <c r="A8150" s="59">
        <v>17</v>
      </c>
      <c r="B8150" s="59">
        <v>64</v>
      </c>
      <c r="C8150" s="59">
        <v>940</v>
      </c>
      <c r="D8150" s="51">
        <v>69</v>
      </c>
      <c r="E8150" s="51">
        <f t="shared" si="127"/>
        <v>1</v>
      </c>
    </row>
    <row r="8151" spans="1:5">
      <c r="A8151" s="59">
        <v>17</v>
      </c>
      <c r="B8151" s="59">
        <v>41</v>
      </c>
      <c r="C8151" s="59">
        <v>930</v>
      </c>
      <c r="D8151" s="51">
        <v>67</v>
      </c>
      <c r="E8151" s="51">
        <f t="shared" si="127"/>
        <v>1</v>
      </c>
    </row>
    <row r="8152" spans="1:5">
      <c r="A8152" s="59">
        <v>17</v>
      </c>
      <c r="B8152" s="59">
        <v>43</v>
      </c>
      <c r="C8152" s="59">
        <v>730</v>
      </c>
      <c r="D8152" s="51">
        <v>66</v>
      </c>
      <c r="E8152" s="51">
        <f t="shared" si="127"/>
        <v>1</v>
      </c>
    </row>
    <row r="8153" spans="1:5">
      <c r="A8153" s="59">
        <v>17</v>
      </c>
      <c r="B8153" s="59">
        <v>16</v>
      </c>
      <c r="C8153" s="59">
        <v>510</v>
      </c>
      <c r="D8153" s="51">
        <v>62</v>
      </c>
      <c r="E8153" s="51">
        <f t="shared" si="127"/>
        <v>1</v>
      </c>
    </row>
    <row r="8154" spans="1:5">
      <c r="A8154" s="59">
        <v>17</v>
      </c>
      <c r="B8154" s="59">
        <v>62</v>
      </c>
      <c r="C8154" s="59">
        <v>940</v>
      </c>
      <c r="D8154" s="51">
        <v>62</v>
      </c>
      <c r="E8154" s="51">
        <f t="shared" si="127"/>
        <v>1</v>
      </c>
    </row>
    <row r="8155" spans="1:5">
      <c r="A8155" s="59">
        <v>17</v>
      </c>
      <c r="B8155" s="59">
        <v>41</v>
      </c>
      <c r="C8155" s="59">
        <v>530</v>
      </c>
      <c r="D8155" s="51">
        <v>61</v>
      </c>
      <c r="E8155" s="51">
        <f t="shared" si="127"/>
        <v>1</v>
      </c>
    </row>
    <row r="8156" spans="1:5">
      <c r="A8156" s="59">
        <v>17</v>
      </c>
      <c r="B8156" s="59">
        <v>32</v>
      </c>
      <c r="C8156" s="59">
        <v>610</v>
      </c>
      <c r="D8156" s="51">
        <v>60</v>
      </c>
      <c r="E8156" s="51">
        <f t="shared" si="127"/>
        <v>1</v>
      </c>
    </row>
    <row r="8157" spans="1:5">
      <c r="A8157" s="59">
        <v>17</v>
      </c>
      <c r="B8157" s="59">
        <v>63</v>
      </c>
      <c r="C8157" s="59">
        <v>160</v>
      </c>
      <c r="D8157" s="51">
        <v>60</v>
      </c>
      <c r="E8157" s="51">
        <f t="shared" si="127"/>
        <v>1</v>
      </c>
    </row>
    <row r="8158" spans="1:5">
      <c r="A8158" s="59">
        <v>17</v>
      </c>
      <c r="B8158" s="59">
        <v>64</v>
      </c>
      <c r="C8158" s="59">
        <v>230</v>
      </c>
      <c r="D8158" s="51">
        <v>60</v>
      </c>
      <c r="E8158" s="51">
        <f t="shared" si="127"/>
        <v>1</v>
      </c>
    </row>
    <row r="8159" spans="1:5">
      <c r="A8159" s="59">
        <v>17</v>
      </c>
      <c r="B8159" s="59">
        <v>62</v>
      </c>
      <c r="C8159" s="59">
        <v>750</v>
      </c>
      <c r="D8159" s="51">
        <v>59</v>
      </c>
      <c r="E8159" s="51">
        <f t="shared" si="127"/>
        <v>1</v>
      </c>
    </row>
    <row r="8160" spans="1:5">
      <c r="A8160" s="59">
        <v>17</v>
      </c>
      <c r="B8160" s="59">
        <v>61</v>
      </c>
      <c r="C8160" s="59">
        <v>920</v>
      </c>
      <c r="D8160" s="51">
        <v>58</v>
      </c>
      <c r="E8160" s="51">
        <f t="shared" si="127"/>
        <v>1</v>
      </c>
    </row>
    <row r="8161" spans="1:5">
      <c r="A8161" s="59">
        <v>17</v>
      </c>
      <c r="B8161" s="59">
        <v>14</v>
      </c>
      <c r="C8161" s="59">
        <v>210</v>
      </c>
      <c r="D8161" s="51">
        <v>57</v>
      </c>
      <c r="E8161" s="51">
        <f t="shared" si="127"/>
        <v>1</v>
      </c>
    </row>
    <row r="8162" spans="1:5">
      <c r="A8162" s="59">
        <v>17</v>
      </c>
      <c r="B8162" s="59">
        <v>43</v>
      </c>
      <c r="C8162" s="59">
        <v>840</v>
      </c>
      <c r="D8162" s="51">
        <v>56</v>
      </c>
      <c r="E8162" s="51">
        <f t="shared" si="127"/>
        <v>1</v>
      </c>
    </row>
    <row r="8163" spans="1:5">
      <c r="A8163" s="59">
        <v>17</v>
      </c>
      <c r="B8163" s="59">
        <v>64</v>
      </c>
      <c r="C8163" s="59">
        <v>310</v>
      </c>
      <c r="D8163" s="51">
        <v>56</v>
      </c>
      <c r="E8163" s="51">
        <f t="shared" si="127"/>
        <v>1</v>
      </c>
    </row>
    <row r="8164" spans="1:5">
      <c r="A8164" s="59">
        <v>17</v>
      </c>
      <c r="B8164" s="59">
        <v>43</v>
      </c>
      <c r="C8164" s="59">
        <v>970</v>
      </c>
      <c r="D8164" s="51">
        <v>55</v>
      </c>
      <c r="E8164" s="51">
        <f t="shared" si="127"/>
        <v>1</v>
      </c>
    </row>
    <row r="8165" spans="1:5">
      <c r="A8165" s="59">
        <v>17</v>
      </c>
      <c r="B8165" s="59">
        <v>81</v>
      </c>
      <c r="C8165" s="59">
        <v>530</v>
      </c>
      <c r="D8165" s="51">
        <v>55</v>
      </c>
      <c r="E8165" s="51">
        <f t="shared" si="127"/>
        <v>1</v>
      </c>
    </row>
    <row r="8166" spans="1:5">
      <c r="A8166" s="59">
        <v>17</v>
      </c>
      <c r="B8166" s="59">
        <v>14</v>
      </c>
      <c r="C8166" s="59">
        <v>330</v>
      </c>
      <c r="D8166" s="51">
        <v>54</v>
      </c>
      <c r="E8166" s="51">
        <f t="shared" si="127"/>
        <v>1</v>
      </c>
    </row>
    <row r="8167" spans="1:5">
      <c r="A8167" s="59">
        <v>17</v>
      </c>
      <c r="B8167" s="59">
        <v>14</v>
      </c>
      <c r="C8167" s="59">
        <v>950</v>
      </c>
      <c r="D8167" s="51">
        <v>54</v>
      </c>
      <c r="E8167" s="51">
        <f t="shared" si="127"/>
        <v>1</v>
      </c>
    </row>
    <row r="8168" spans="1:5">
      <c r="A8168" s="59">
        <v>17</v>
      </c>
      <c r="B8168" s="59">
        <v>32</v>
      </c>
      <c r="C8168" s="59">
        <v>510</v>
      </c>
      <c r="D8168" s="51">
        <v>54</v>
      </c>
      <c r="E8168" s="51">
        <f t="shared" si="127"/>
        <v>1</v>
      </c>
    </row>
    <row r="8169" spans="1:5">
      <c r="A8169" s="59">
        <v>17</v>
      </c>
      <c r="B8169" s="59">
        <v>15</v>
      </c>
      <c r="C8169" s="59">
        <v>150</v>
      </c>
      <c r="D8169" s="51">
        <v>53</v>
      </c>
      <c r="E8169" s="51">
        <f t="shared" si="127"/>
        <v>1</v>
      </c>
    </row>
    <row r="8170" spans="1:5">
      <c r="A8170" s="59">
        <v>17</v>
      </c>
      <c r="B8170" s="59">
        <v>22</v>
      </c>
      <c r="C8170" s="59">
        <v>230</v>
      </c>
      <c r="D8170" s="51">
        <v>51</v>
      </c>
      <c r="E8170" s="51">
        <f t="shared" si="127"/>
        <v>1</v>
      </c>
    </row>
    <row r="8171" spans="1:5">
      <c r="A8171" s="59">
        <v>17</v>
      </c>
      <c r="B8171" s="59">
        <v>64</v>
      </c>
      <c r="C8171" s="59">
        <v>750</v>
      </c>
      <c r="D8171" s="51">
        <v>48</v>
      </c>
      <c r="E8171" s="51">
        <f t="shared" si="127"/>
        <v>1</v>
      </c>
    </row>
    <row r="8172" spans="1:5">
      <c r="A8172" s="59">
        <v>17</v>
      </c>
      <c r="B8172" s="59">
        <v>81</v>
      </c>
      <c r="C8172" s="59">
        <v>230</v>
      </c>
      <c r="D8172" s="51">
        <v>47</v>
      </c>
      <c r="E8172" s="51">
        <f t="shared" si="127"/>
        <v>1</v>
      </c>
    </row>
    <row r="8173" spans="1:5">
      <c r="A8173" s="59">
        <v>17</v>
      </c>
      <c r="B8173" s="59">
        <v>11</v>
      </c>
      <c r="C8173" s="59">
        <v>920</v>
      </c>
      <c r="D8173" s="51">
        <v>46</v>
      </c>
      <c r="E8173" s="51">
        <f t="shared" si="127"/>
        <v>1</v>
      </c>
    </row>
    <row r="8174" spans="1:5">
      <c r="A8174" s="59">
        <v>17</v>
      </c>
      <c r="B8174" s="59">
        <v>16</v>
      </c>
      <c r="C8174" s="59">
        <v>530</v>
      </c>
      <c r="D8174" s="51">
        <v>46</v>
      </c>
      <c r="E8174" s="51">
        <f t="shared" si="127"/>
        <v>1</v>
      </c>
    </row>
    <row r="8175" spans="1:5">
      <c r="A8175" s="59">
        <v>17</v>
      </c>
      <c r="B8175" s="59">
        <v>64</v>
      </c>
      <c r="C8175" s="59">
        <v>540</v>
      </c>
      <c r="D8175" s="51">
        <v>46</v>
      </c>
      <c r="E8175" s="51">
        <f t="shared" si="127"/>
        <v>1</v>
      </c>
    </row>
    <row r="8176" spans="1:5">
      <c r="A8176" s="59">
        <v>17</v>
      </c>
      <c r="B8176" s="59">
        <v>14</v>
      </c>
      <c r="C8176" s="59">
        <v>310</v>
      </c>
      <c r="D8176" s="51">
        <v>45</v>
      </c>
      <c r="E8176" s="51">
        <f t="shared" si="127"/>
        <v>1</v>
      </c>
    </row>
    <row r="8177" spans="1:5">
      <c r="A8177" s="59">
        <v>17</v>
      </c>
      <c r="B8177" s="59">
        <v>22</v>
      </c>
      <c r="C8177" s="59">
        <v>310</v>
      </c>
      <c r="D8177" s="51">
        <v>45</v>
      </c>
      <c r="E8177" s="51">
        <f t="shared" si="127"/>
        <v>1</v>
      </c>
    </row>
    <row r="8178" spans="1:5">
      <c r="A8178" s="59">
        <v>17</v>
      </c>
      <c r="B8178" s="59">
        <v>62</v>
      </c>
      <c r="C8178" s="59">
        <v>550</v>
      </c>
      <c r="D8178" s="51">
        <v>45</v>
      </c>
      <c r="E8178" s="51">
        <f t="shared" si="127"/>
        <v>1</v>
      </c>
    </row>
    <row r="8179" spans="1:5">
      <c r="A8179" s="59">
        <v>17</v>
      </c>
      <c r="B8179" s="59">
        <v>43</v>
      </c>
      <c r="C8179" s="59">
        <v>230</v>
      </c>
      <c r="D8179" s="51">
        <v>44</v>
      </c>
      <c r="E8179" s="51">
        <f t="shared" si="127"/>
        <v>1</v>
      </c>
    </row>
    <row r="8180" spans="1:5">
      <c r="A8180" s="59">
        <v>17</v>
      </c>
      <c r="B8180" s="59">
        <v>64</v>
      </c>
      <c r="C8180" s="59">
        <v>710</v>
      </c>
      <c r="D8180" s="51">
        <v>44</v>
      </c>
      <c r="E8180" s="51">
        <f t="shared" si="127"/>
        <v>1</v>
      </c>
    </row>
    <row r="8181" spans="1:5">
      <c r="A8181" s="59">
        <v>17</v>
      </c>
      <c r="B8181" s="59">
        <v>44</v>
      </c>
      <c r="C8181" s="59">
        <v>970</v>
      </c>
      <c r="D8181" s="51">
        <v>42</v>
      </c>
      <c r="E8181" s="51">
        <f t="shared" si="127"/>
        <v>1</v>
      </c>
    </row>
    <row r="8182" spans="1:5">
      <c r="A8182" s="59">
        <v>17</v>
      </c>
      <c r="B8182" s="59">
        <v>81</v>
      </c>
      <c r="C8182" s="59">
        <v>620</v>
      </c>
      <c r="D8182" s="51">
        <v>42</v>
      </c>
      <c r="E8182" s="51">
        <f t="shared" si="127"/>
        <v>1</v>
      </c>
    </row>
    <row r="8183" spans="1:5">
      <c r="A8183" s="59">
        <v>17</v>
      </c>
      <c r="B8183" s="59">
        <v>14</v>
      </c>
      <c r="C8183" s="59">
        <v>230</v>
      </c>
      <c r="D8183" s="51">
        <v>41</v>
      </c>
      <c r="E8183" s="51">
        <f t="shared" si="127"/>
        <v>1</v>
      </c>
    </row>
    <row r="8184" spans="1:5">
      <c r="A8184" s="59">
        <v>17</v>
      </c>
      <c r="B8184" s="59">
        <v>41</v>
      </c>
      <c r="C8184" s="59">
        <v>720</v>
      </c>
      <c r="D8184" s="51">
        <v>41</v>
      </c>
      <c r="E8184" s="51">
        <f t="shared" si="127"/>
        <v>1</v>
      </c>
    </row>
    <row r="8185" spans="1:5">
      <c r="A8185" s="59">
        <v>17</v>
      </c>
      <c r="B8185" s="59">
        <v>64</v>
      </c>
      <c r="C8185" s="59">
        <v>950</v>
      </c>
      <c r="D8185" s="51">
        <v>41</v>
      </c>
      <c r="E8185" s="51">
        <f t="shared" si="127"/>
        <v>1</v>
      </c>
    </row>
    <row r="8186" spans="1:5">
      <c r="A8186" s="59">
        <v>17</v>
      </c>
      <c r="B8186" s="59">
        <v>14</v>
      </c>
      <c r="C8186" s="59">
        <v>930</v>
      </c>
      <c r="D8186" s="51">
        <v>39</v>
      </c>
      <c r="E8186" s="51">
        <f t="shared" si="127"/>
        <v>1</v>
      </c>
    </row>
    <row r="8187" spans="1:5">
      <c r="A8187" s="59">
        <v>17</v>
      </c>
      <c r="B8187" s="59">
        <v>14</v>
      </c>
      <c r="C8187" s="59">
        <v>320</v>
      </c>
      <c r="D8187" s="51">
        <v>38</v>
      </c>
      <c r="E8187" s="51">
        <f t="shared" si="127"/>
        <v>1</v>
      </c>
    </row>
    <row r="8188" spans="1:5">
      <c r="A8188" s="59">
        <v>17</v>
      </c>
      <c r="B8188" s="59">
        <v>22</v>
      </c>
      <c r="C8188" s="59">
        <v>150</v>
      </c>
      <c r="D8188" s="51">
        <v>38</v>
      </c>
      <c r="E8188" s="51">
        <f t="shared" si="127"/>
        <v>1</v>
      </c>
    </row>
    <row r="8189" spans="1:5">
      <c r="A8189" s="59">
        <v>17</v>
      </c>
      <c r="B8189" s="59">
        <v>64</v>
      </c>
      <c r="C8189" s="59">
        <v>840</v>
      </c>
      <c r="D8189" s="51">
        <v>38</v>
      </c>
      <c r="E8189" s="51">
        <f t="shared" si="127"/>
        <v>1</v>
      </c>
    </row>
    <row r="8190" spans="1:5">
      <c r="A8190" s="59">
        <v>17</v>
      </c>
      <c r="B8190" s="59">
        <v>71</v>
      </c>
      <c r="C8190" s="59">
        <v>540</v>
      </c>
      <c r="D8190" s="51">
        <v>38</v>
      </c>
      <c r="E8190" s="51">
        <f t="shared" si="127"/>
        <v>1</v>
      </c>
    </row>
    <row r="8191" spans="1:5">
      <c r="A8191" s="59">
        <v>17</v>
      </c>
      <c r="B8191" s="59">
        <v>13</v>
      </c>
      <c r="C8191" s="59">
        <v>310</v>
      </c>
      <c r="D8191" s="51">
        <v>37</v>
      </c>
      <c r="E8191" s="51">
        <f t="shared" si="127"/>
        <v>1</v>
      </c>
    </row>
    <row r="8192" spans="1:5">
      <c r="A8192" s="59">
        <v>17</v>
      </c>
      <c r="B8192" s="59">
        <v>41</v>
      </c>
      <c r="C8192" s="59">
        <v>160</v>
      </c>
      <c r="D8192" s="51">
        <v>37</v>
      </c>
      <c r="E8192" s="51">
        <f t="shared" si="127"/>
        <v>1</v>
      </c>
    </row>
    <row r="8193" spans="1:5">
      <c r="A8193" s="59">
        <v>17</v>
      </c>
      <c r="B8193" s="59">
        <v>64</v>
      </c>
      <c r="C8193" s="59">
        <v>970</v>
      </c>
      <c r="D8193" s="51">
        <v>37</v>
      </c>
      <c r="E8193" s="51">
        <f t="shared" si="127"/>
        <v>1</v>
      </c>
    </row>
    <row r="8194" spans="1:5">
      <c r="A8194" s="59">
        <v>17</v>
      </c>
      <c r="B8194" s="59">
        <v>13</v>
      </c>
      <c r="C8194" s="59">
        <v>930</v>
      </c>
      <c r="D8194" s="51">
        <v>36</v>
      </c>
      <c r="E8194" s="51">
        <f t="shared" ref="E8194:E8257" si="128">IF(OR(A8194=6,A8194=7,A8194=14,A8194=15,A8194=16,A8194=17,A8194=18,A8194=19,A8194=20,A8194=21,A8194=22,A8194=23,A8194=25,A8194=26,A8194=27,A8194=28,B8194=41,B8194=44,B8194=62),1,0)</f>
        <v>1</v>
      </c>
    </row>
    <row r="8195" spans="1:5">
      <c r="A8195" s="59">
        <v>17</v>
      </c>
      <c r="B8195" s="59">
        <v>44</v>
      </c>
      <c r="C8195" s="59">
        <v>990</v>
      </c>
      <c r="D8195" s="51">
        <v>36</v>
      </c>
      <c r="E8195" s="51">
        <f t="shared" si="128"/>
        <v>1</v>
      </c>
    </row>
    <row r="8196" spans="1:5">
      <c r="A8196" s="59">
        <v>17</v>
      </c>
      <c r="B8196" s="59">
        <v>14</v>
      </c>
      <c r="C8196" s="59">
        <v>420</v>
      </c>
      <c r="D8196" s="51">
        <v>35</v>
      </c>
      <c r="E8196" s="51">
        <f t="shared" si="128"/>
        <v>1</v>
      </c>
    </row>
    <row r="8197" spans="1:5">
      <c r="A8197" s="59">
        <v>17</v>
      </c>
      <c r="B8197" s="59">
        <v>62</v>
      </c>
      <c r="C8197" s="59">
        <v>410</v>
      </c>
      <c r="D8197" s="51">
        <v>35</v>
      </c>
      <c r="E8197" s="51">
        <f t="shared" si="128"/>
        <v>1</v>
      </c>
    </row>
    <row r="8198" spans="1:5">
      <c r="A8198" s="59">
        <v>17</v>
      </c>
      <c r="B8198" s="59">
        <v>16</v>
      </c>
      <c r="C8198" s="59">
        <v>940</v>
      </c>
      <c r="D8198" s="51">
        <v>34</v>
      </c>
      <c r="E8198" s="51">
        <f t="shared" si="128"/>
        <v>1</v>
      </c>
    </row>
    <row r="8199" spans="1:5">
      <c r="A8199" s="59">
        <v>17</v>
      </c>
      <c r="B8199" s="59">
        <v>33</v>
      </c>
      <c r="C8199" s="59">
        <v>430</v>
      </c>
      <c r="D8199" s="51">
        <v>34</v>
      </c>
      <c r="E8199" s="51">
        <f t="shared" si="128"/>
        <v>1</v>
      </c>
    </row>
    <row r="8200" spans="1:5">
      <c r="A8200" s="59">
        <v>17</v>
      </c>
      <c r="B8200" s="59">
        <v>63</v>
      </c>
      <c r="C8200" s="59">
        <v>150</v>
      </c>
      <c r="D8200" s="51">
        <v>34</v>
      </c>
      <c r="E8200" s="51">
        <f t="shared" si="128"/>
        <v>1</v>
      </c>
    </row>
    <row r="8201" spans="1:5">
      <c r="A8201" s="59">
        <v>17</v>
      </c>
      <c r="B8201" s="59">
        <v>71</v>
      </c>
      <c r="C8201" s="59">
        <v>930</v>
      </c>
      <c r="D8201" s="51">
        <v>34</v>
      </c>
      <c r="E8201" s="51">
        <f t="shared" si="128"/>
        <v>1</v>
      </c>
    </row>
    <row r="8202" spans="1:5">
      <c r="A8202" s="59">
        <v>17</v>
      </c>
      <c r="B8202" s="59">
        <v>11</v>
      </c>
      <c r="C8202" s="59">
        <v>910</v>
      </c>
      <c r="D8202" s="51">
        <v>33</v>
      </c>
      <c r="E8202" s="51">
        <f t="shared" si="128"/>
        <v>1</v>
      </c>
    </row>
    <row r="8203" spans="1:5">
      <c r="A8203" s="59">
        <v>17</v>
      </c>
      <c r="B8203" s="59">
        <v>41</v>
      </c>
      <c r="C8203" s="59">
        <v>940</v>
      </c>
      <c r="D8203" s="51">
        <v>32</v>
      </c>
      <c r="E8203" s="51">
        <f t="shared" si="128"/>
        <v>1</v>
      </c>
    </row>
    <row r="8204" spans="1:5">
      <c r="A8204" s="59">
        <v>17</v>
      </c>
      <c r="B8204" s="59">
        <v>43</v>
      </c>
      <c r="C8204" s="59">
        <v>550</v>
      </c>
      <c r="D8204" s="51">
        <v>32</v>
      </c>
      <c r="E8204" s="51">
        <f t="shared" si="128"/>
        <v>1</v>
      </c>
    </row>
    <row r="8205" spans="1:5">
      <c r="A8205" s="59">
        <v>17</v>
      </c>
      <c r="B8205" s="59">
        <v>13</v>
      </c>
      <c r="C8205" s="59">
        <v>210</v>
      </c>
      <c r="D8205" s="51">
        <v>31</v>
      </c>
      <c r="E8205" s="51">
        <f t="shared" si="128"/>
        <v>1</v>
      </c>
    </row>
    <row r="8206" spans="1:5">
      <c r="A8206" s="59">
        <v>17</v>
      </c>
      <c r="B8206" s="59">
        <v>16</v>
      </c>
      <c r="C8206" s="59">
        <v>230</v>
      </c>
      <c r="D8206" s="51">
        <v>31</v>
      </c>
      <c r="E8206" s="51">
        <f t="shared" si="128"/>
        <v>1</v>
      </c>
    </row>
    <row r="8207" spans="1:5">
      <c r="A8207" s="59">
        <v>17</v>
      </c>
      <c r="B8207" s="59">
        <v>43</v>
      </c>
      <c r="C8207" s="59">
        <v>220</v>
      </c>
      <c r="D8207" s="51">
        <v>31</v>
      </c>
      <c r="E8207" s="51">
        <f t="shared" si="128"/>
        <v>1</v>
      </c>
    </row>
    <row r="8208" spans="1:5">
      <c r="A8208" s="59">
        <v>17</v>
      </c>
      <c r="B8208" s="59">
        <v>63</v>
      </c>
      <c r="C8208" s="59">
        <v>550</v>
      </c>
      <c r="D8208" s="51">
        <v>31</v>
      </c>
      <c r="E8208" s="51">
        <f t="shared" si="128"/>
        <v>1</v>
      </c>
    </row>
    <row r="8209" spans="1:5">
      <c r="A8209" s="59">
        <v>17</v>
      </c>
      <c r="B8209" s="59">
        <v>43</v>
      </c>
      <c r="C8209" s="59">
        <v>310</v>
      </c>
      <c r="D8209" s="51">
        <v>30</v>
      </c>
      <c r="E8209" s="51">
        <f t="shared" si="128"/>
        <v>1</v>
      </c>
    </row>
    <row r="8210" spans="1:5">
      <c r="A8210" s="59">
        <v>17</v>
      </c>
      <c r="B8210" s="59">
        <v>15</v>
      </c>
      <c r="C8210" s="59">
        <v>160</v>
      </c>
      <c r="D8210" s="51">
        <v>29</v>
      </c>
      <c r="E8210" s="51">
        <f t="shared" si="128"/>
        <v>1</v>
      </c>
    </row>
    <row r="8211" spans="1:5">
      <c r="A8211" s="59">
        <v>17</v>
      </c>
      <c r="B8211" s="59">
        <v>16</v>
      </c>
      <c r="C8211" s="59">
        <v>160</v>
      </c>
      <c r="D8211" s="51">
        <v>29</v>
      </c>
      <c r="E8211" s="51">
        <f t="shared" si="128"/>
        <v>1</v>
      </c>
    </row>
    <row r="8212" spans="1:5">
      <c r="A8212" s="59">
        <v>17</v>
      </c>
      <c r="B8212" s="59">
        <v>43</v>
      </c>
      <c r="C8212" s="59">
        <v>750</v>
      </c>
      <c r="D8212" s="51">
        <v>29</v>
      </c>
      <c r="E8212" s="51">
        <f t="shared" si="128"/>
        <v>1</v>
      </c>
    </row>
    <row r="8213" spans="1:5">
      <c r="A8213" s="59">
        <v>17</v>
      </c>
      <c r="B8213" s="59">
        <v>44</v>
      </c>
      <c r="C8213" s="59">
        <v>620</v>
      </c>
      <c r="D8213" s="51">
        <v>29</v>
      </c>
      <c r="E8213" s="51">
        <f t="shared" si="128"/>
        <v>1</v>
      </c>
    </row>
    <row r="8214" spans="1:5">
      <c r="A8214" s="59">
        <v>17</v>
      </c>
      <c r="B8214" s="59">
        <v>71</v>
      </c>
      <c r="C8214" s="59">
        <v>150</v>
      </c>
      <c r="D8214" s="51">
        <v>29</v>
      </c>
      <c r="E8214" s="51">
        <f t="shared" si="128"/>
        <v>1</v>
      </c>
    </row>
    <row r="8215" spans="1:5">
      <c r="A8215" s="59">
        <v>17</v>
      </c>
      <c r="B8215" s="59">
        <v>15</v>
      </c>
      <c r="C8215" s="59">
        <v>510</v>
      </c>
      <c r="D8215" s="51">
        <v>28</v>
      </c>
      <c r="E8215" s="51">
        <f t="shared" si="128"/>
        <v>1</v>
      </c>
    </row>
    <row r="8216" spans="1:5">
      <c r="A8216" s="59">
        <v>17</v>
      </c>
      <c r="B8216" s="59">
        <v>43</v>
      </c>
      <c r="C8216" s="59">
        <v>861</v>
      </c>
      <c r="D8216" s="51">
        <v>28</v>
      </c>
      <c r="E8216" s="51">
        <f t="shared" si="128"/>
        <v>1</v>
      </c>
    </row>
    <row r="8217" spans="1:5">
      <c r="A8217" s="59">
        <v>17</v>
      </c>
      <c r="B8217" s="59">
        <v>64</v>
      </c>
      <c r="C8217" s="59">
        <v>240</v>
      </c>
      <c r="D8217" s="51">
        <v>28</v>
      </c>
      <c r="E8217" s="51">
        <f t="shared" si="128"/>
        <v>1</v>
      </c>
    </row>
    <row r="8218" spans="1:5">
      <c r="A8218" s="59">
        <v>17</v>
      </c>
      <c r="B8218" s="59">
        <v>44</v>
      </c>
      <c r="C8218" s="59">
        <v>160</v>
      </c>
      <c r="D8218" s="51">
        <v>27</v>
      </c>
      <c r="E8218" s="51">
        <f t="shared" si="128"/>
        <v>1</v>
      </c>
    </row>
    <row r="8219" spans="1:5">
      <c r="A8219" s="59">
        <v>17</v>
      </c>
      <c r="B8219" s="59">
        <v>22</v>
      </c>
      <c r="C8219" s="59">
        <v>240</v>
      </c>
      <c r="D8219" s="51">
        <v>26</v>
      </c>
      <c r="E8219" s="51">
        <f t="shared" si="128"/>
        <v>1</v>
      </c>
    </row>
    <row r="8220" spans="1:5">
      <c r="A8220" s="59">
        <v>17</v>
      </c>
      <c r="B8220" s="59">
        <v>63</v>
      </c>
      <c r="C8220" s="59">
        <v>640</v>
      </c>
      <c r="D8220" s="51">
        <v>26</v>
      </c>
      <c r="E8220" s="51">
        <f t="shared" si="128"/>
        <v>1</v>
      </c>
    </row>
    <row r="8221" spans="1:5">
      <c r="A8221" s="59">
        <v>17</v>
      </c>
      <c r="B8221" s="59">
        <v>13</v>
      </c>
      <c r="C8221" s="59">
        <v>410</v>
      </c>
      <c r="D8221" s="51">
        <v>25</v>
      </c>
      <c r="E8221" s="51">
        <f t="shared" si="128"/>
        <v>1</v>
      </c>
    </row>
    <row r="8222" spans="1:5">
      <c r="A8222" s="59">
        <v>17</v>
      </c>
      <c r="B8222" s="59">
        <v>16</v>
      </c>
      <c r="C8222" s="59">
        <v>410</v>
      </c>
      <c r="D8222" s="51">
        <v>25</v>
      </c>
      <c r="E8222" s="51">
        <f t="shared" si="128"/>
        <v>1</v>
      </c>
    </row>
    <row r="8223" spans="1:5">
      <c r="A8223" s="59">
        <v>17</v>
      </c>
      <c r="B8223" s="59">
        <v>22</v>
      </c>
      <c r="C8223" s="59">
        <v>950</v>
      </c>
      <c r="D8223" s="51">
        <v>25</v>
      </c>
      <c r="E8223" s="51">
        <f t="shared" si="128"/>
        <v>1</v>
      </c>
    </row>
    <row r="8224" spans="1:5">
      <c r="A8224" s="59">
        <v>17</v>
      </c>
      <c r="B8224" s="59">
        <v>44</v>
      </c>
      <c r="C8224" s="59">
        <v>840</v>
      </c>
      <c r="D8224" s="51">
        <v>25</v>
      </c>
      <c r="E8224" s="51">
        <f t="shared" si="128"/>
        <v>1</v>
      </c>
    </row>
    <row r="8225" spans="1:5">
      <c r="A8225" s="59">
        <v>17</v>
      </c>
      <c r="B8225" s="59">
        <v>63</v>
      </c>
      <c r="C8225" s="59">
        <v>710</v>
      </c>
      <c r="D8225" s="51">
        <v>25</v>
      </c>
      <c r="E8225" s="51">
        <f t="shared" si="128"/>
        <v>1</v>
      </c>
    </row>
    <row r="8226" spans="1:5">
      <c r="A8226" s="59">
        <v>17</v>
      </c>
      <c r="B8226" s="59">
        <v>32</v>
      </c>
      <c r="C8226" s="59">
        <v>430</v>
      </c>
      <c r="D8226" s="51">
        <v>24</v>
      </c>
      <c r="E8226" s="51">
        <f t="shared" si="128"/>
        <v>1</v>
      </c>
    </row>
    <row r="8227" spans="1:5">
      <c r="A8227" s="59">
        <v>17</v>
      </c>
      <c r="B8227" s="59">
        <v>42</v>
      </c>
      <c r="C8227" s="59">
        <v>110</v>
      </c>
      <c r="D8227" s="51">
        <v>24</v>
      </c>
      <c r="E8227" s="51">
        <f t="shared" si="128"/>
        <v>1</v>
      </c>
    </row>
    <row r="8228" spans="1:5">
      <c r="A8228" s="59">
        <v>17</v>
      </c>
      <c r="B8228" s="59">
        <v>42</v>
      </c>
      <c r="C8228" s="59">
        <v>520</v>
      </c>
      <c r="D8228" s="51">
        <v>24</v>
      </c>
      <c r="E8228" s="51">
        <f t="shared" si="128"/>
        <v>1</v>
      </c>
    </row>
    <row r="8229" spans="1:5">
      <c r="A8229" s="59">
        <v>17</v>
      </c>
      <c r="B8229" s="59">
        <v>43</v>
      </c>
      <c r="C8229" s="59">
        <v>330</v>
      </c>
      <c r="D8229" s="51">
        <v>24</v>
      </c>
      <c r="E8229" s="51">
        <f t="shared" si="128"/>
        <v>1</v>
      </c>
    </row>
    <row r="8230" spans="1:5">
      <c r="A8230" s="59">
        <v>17</v>
      </c>
      <c r="B8230" s="59">
        <v>64</v>
      </c>
      <c r="C8230" s="59">
        <v>640</v>
      </c>
      <c r="D8230" s="51">
        <v>24</v>
      </c>
      <c r="E8230" s="51">
        <f t="shared" si="128"/>
        <v>1</v>
      </c>
    </row>
    <row r="8231" spans="1:5">
      <c r="A8231" s="59">
        <v>17</v>
      </c>
      <c r="B8231" s="59">
        <v>13</v>
      </c>
      <c r="C8231" s="59">
        <v>950</v>
      </c>
      <c r="D8231" s="51">
        <v>23</v>
      </c>
      <c r="E8231" s="51">
        <f t="shared" si="128"/>
        <v>1</v>
      </c>
    </row>
    <row r="8232" spans="1:5">
      <c r="A8232" s="59">
        <v>17</v>
      </c>
      <c r="B8232" s="59">
        <v>14</v>
      </c>
      <c r="C8232" s="59">
        <v>240</v>
      </c>
      <c r="D8232" s="51">
        <v>23</v>
      </c>
      <c r="E8232" s="51">
        <f t="shared" si="128"/>
        <v>1</v>
      </c>
    </row>
    <row r="8233" spans="1:5">
      <c r="A8233" s="59">
        <v>17</v>
      </c>
      <c r="B8233" s="59">
        <v>41</v>
      </c>
      <c r="C8233" s="59">
        <v>110</v>
      </c>
      <c r="D8233" s="51">
        <v>23</v>
      </c>
      <c r="E8233" s="51">
        <f t="shared" si="128"/>
        <v>1</v>
      </c>
    </row>
    <row r="8234" spans="1:5">
      <c r="A8234" s="59">
        <v>17</v>
      </c>
      <c r="B8234" s="59">
        <v>44</v>
      </c>
      <c r="C8234" s="59">
        <v>950</v>
      </c>
      <c r="D8234" s="51">
        <v>23</v>
      </c>
      <c r="E8234" s="51">
        <f t="shared" si="128"/>
        <v>1</v>
      </c>
    </row>
    <row r="8235" spans="1:5">
      <c r="A8235" s="59">
        <v>17</v>
      </c>
      <c r="B8235" s="59">
        <v>62</v>
      </c>
      <c r="C8235" s="59">
        <v>950</v>
      </c>
      <c r="D8235" s="51">
        <v>23</v>
      </c>
      <c r="E8235" s="51">
        <f t="shared" si="128"/>
        <v>1</v>
      </c>
    </row>
    <row r="8236" spans="1:5">
      <c r="A8236" s="59">
        <v>17</v>
      </c>
      <c r="B8236" s="59">
        <v>13</v>
      </c>
      <c r="C8236" s="59">
        <v>330</v>
      </c>
      <c r="D8236" s="51">
        <v>22</v>
      </c>
      <c r="E8236" s="51">
        <f t="shared" si="128"/>
        <v>1</v>
      </c>
    </row>
    <row r="8237" spans="1:5">
      <c r="A8237" s="59">
        <v>17</v>
      </c>
      <c r="B8237" s="59">
        <v>22</v>
      </c>
      <c r="C8237" s="59">
        <v>330</v>
      </c>
      <c r="D8237" s="51">
        <v>22</v>
      </c>
      <c r="E8237" s="51">
        <f t="shared" si="128"/>
        <v>1</v>
      </c>
    </row>
    <row r="8238" spans="1:5">
      <c r="A8238" s="59">
        <v>17</v>
      </c>
      <c r="B8238" s="59">
        <v>23</v>
      </c>
      <c r="C8238" s="59">
        <v>920</v>
      </c>
      <c r="D8238" s="51">
        <v>22</v>
      </c>
      <c r="E8238" s="51">
        <f t="shared" si="128"/>
        <v>1</v>
      </c>
    </row>
    <row r="8239" spans="1:5">
      <c r="A8239" s="59">
        <v>17</v>
      </c>
      <c r="B8239" s="59">
        <v>41</v>
      </c>
      <c r="C8239" s="59">
        <v>730</v>
      </c>
      <c r="D8239" s="51">
        <v>22</v>
      </c>
      <c r="E8239" s="51">
        <f t="shared" si="128"/>
        <v>1</v>
      </c>
    </row>
    <row r="8240" spans="1:5">
      <c r="A8240" s="59">
        <v>17</v>
      </c>
      <c r="B8240" s="59">
        <v>42</v>
      </c>
      <c r="C8240" s="59">
        <v>160</v>
      </c>
      <c r="D8240" s="51">
        <v>22</v>
      </c>
      <c r="E8240" s="51">
        <f t="shared" si="128"/>
        <v>1</v>
      </c>
    </row>
    <row r="8241" spans="1:5">
      <c r="A8241" s="59">
        <v>17</v>
      </c>
      <c r="B8241" s="59">
        <v>62</v>
      </c>
      <c r="C8241" s="59">
        <v>970</v>
      </c>
      <c r="D8241" s="51">
        <v>22</v>
      </c>
      <c r="E8241" s="51">
        <f t="shared" si="128"/>
        <v>1</v>
      </c>
    </row>
    <row r="8242" spans="1:5">
      <c r="A8242" s="59">
        <v>17</v>
      </c>
      <c r="B8242" s="59">
        <v>71</v>
      </c>
      <c r="C8242" s="59">
        <v>990</v>
      </c>
      <c r="D8242" s="51">
        <v>22</v>
      </c>
      <c r="E8242" s="51">
        <f t="shared" si="128"/>
        <v>1</v>
      </c>
    </row>
    <row r="8243" spans="1:5">
      <c r="A8243" s="59">
        <v>17</v>
      </c>
      <c r="B8243" s="59">
        <v>13</v>
      </c>
      <c r="C8243" s="59">
        <v>230</v>
      </c>
      <c r="D8243" s="51">
        <v>21</v>
      </c>
      <c r="E8243" s="51">
        <f t="shared" si="128"/>
        <v>1</v>
      </c>
    </row>
    <row r="8244" spans="1:5">
      <c r="A8244" s="59">
        <v>17</v>
      </c>
      <c r="B8244" s="59">
        <v>62</v>
      </c>
      <c r="C8244" s="59">
        <v>430</v>
      </c>
      <c r="D8244" s="51">
        <v>21</v>
      </c>
      <c r="E8244" s="51">
        <f t="shared" si="128"/>
        <v>1</v>
      </c>
    </row>
    <row r="8245" spans="1:5">
      <c r="A8245" s="59">
        <v>17</v>
      </c>
      <c r="B8245" s="59">
        <v>63</v>
      </c>
      <c r="C8245" s="59">
        <v>750</v>
      </c>
      <c r="D8245" s="51">
        <v>21</v>
      </c>
      <c r="E8245" s="51">
        <f t="shared" si="128"/>
        <v>1</v>
      </c>
    </row>
    <row r="8246" spans="1:5">
      <c r="A8246" s="59">
        <v>17</v>
      </c>
      <c r="B8246" s="59">
        <v>71</v>
      </c>
      <c r="C8246" s="59">
        <v>410</v>
      </c>
      <c r="D8246" s="51">
        <v>21</v>
      </c>
      <c r="E8246" s="51">
        <f t="shared" si="128"/>
        <v>1</v>
      </c>
    </row>
    <row r="8247" spans="1:5">
      <c r="A8247" s="59">
        <v>17</v>
      </c>
      <c r="B8247" s="59">
        <v>14</v>
      </c>
      <c r="C8247" s="59">
        <v>720</v>
      </c>
      <c r="D8247" s="51">
        <v>20</v>
      </c>
      <c r="E8247" s="51">
        <f t="shared" si="128"/>
        <v>1</v>
      </c>
    </row>
    <row r="8248" spans="1:5">
      <c r="A8248" s="59">
        <v>17</v>
      </c>
      <c r="B8248" s="59">
        <v>62</v>
      </c>
      <c r="C8248" s="59">
        <v>420</v>
      </c>
      <c r="D8248" s="51">
        <v>20</v>
      </c>
      <c r="E8248" s="51">
        <f t="shared" si="128"/>
        <v>1</v>
      </c>
    </row>
    <row r="8249" spans="1:5">
      <c r="A8249" s="59">
        <v>17</v>
      </c>
      <c r="B8249" s="59">
        <v>13</v>
      </c>
      <c r="C8249" s="59">
        <v>320</v>
      </c>
      <c r="D8249" s="51">
        <v>19</v>
      </c>
      <c r="E8249" s="51">
        <f t="shared" si="128"/>
        <v>1</v>
      </c>
    </row>
    <row r="8250" spans="1:5">
      <c r="A8250" s="59">
        <v>17</v>
      </c>
      <c r="B8250" s="59">
        <v>15</v>
      </c>
      <c r="C8250" s="59">
        <v>110</v>
      </c>
      <c r="D8250" s="51">
        <v>19</v>
      </c>
      <c r="E8250" s="51">
        <f t="shared" si="128"/>
        <v>1</v>
      </c>
    </row>
    <row r="8251" spans="1:5">
      <c r="A8251" s="59">
        <v>17</v>
      </c>
      <c r="B8251" s="59">
        <v>71</v>
      </c>
      <c r="C8251" s="59">
        <v>630</v>
      </c>
      <c r="D8251" s="51">
        <v>19</v>
      </c>
      <c r="E8251" s="51">
        <f t="shared" si="128"/>
        <v>1</v>
      </c>
    </row>
    <row r="8252" spans="1:5">
      <c r="A8252" s="59">
        <v>17</v>
      </c>
      <c r="B8252" s="59">
        <v>14</v>
      </c>
      <c r="C8252" s="59">
        <v>410</v>
      </c>
      <c r="D8252" s="51">
        <v>18</v>
      </c>
      <c r="E8252" s="51">
        <f t="shared" si="128"/>
        <v>1</v>
      </c>
    </row>
    <row r="8253" spans="1:5">
      <c r="A8253" s="59">
        <v>17</v>
      </c>
      <c r="B8253" s="59">
        <v>16</v>
      </c>
      <c r="C8253" s="59">
        <v>210</v>
      </c>
      <c r="D8253" s="51">
        <v>18</v>
      </c>
      <c r="E8253" s="51">
        <f t="shared" si="128"/>
        <v>1</v>
      </c>
    </row>
    <row r="8254" spans="1:5">
      <c r="A8254" s="59">
        <v>17</v>
      </c>
      <c r="B8254" s="59">
        <v>16</v>
      </c>
      <c r="C8254" s="59">
        <v>420</v>
      </c>
      <c r="D8254" s="51">
        <v>18</v>
      </c>
      <c r="E8254" s="51">
        <f t="shared" si="128"/>
        <v>1</v>
      </c>
    </row>
    <row r="8255" spans="1:5">
      <c r="A8255" s="59">
        <v>17</v>
      </c>
      <c r="B8255" s="59">
        <v>31</v>
      </c>
      <c r="C8255" s="59">
        <v>410</v>
      </c>
      <c r="D8255" s="51">
        <v>18</v>
      </c>
      <c r="E8255" s="51">
        <f t="shared" si="128"/>
        <v>1</v>
      </c>
    </row>
    <row r="8256" spans="1:5">
      <c r="A8256" s="59">
        <v>17</v>
      </c>
      <c r="B8256" s="59">
        <v>33</v>
      </c>
      <c r="C8256" s="59">
        <v>510</v>
      </c>
      <c r="D8256" s="51">
        <v>18</v>
      </c>
      <c r="E8256" s="51">
        <f t="shared" si="128"/>
        <v>1</v>
      </c>
    </row>
    <row r="8257" spans="1:5">
      <c r="A8257" s="59">
        <v>17</v>
      </c>
      <c r="B8257" s="59">
        <v>44</v>
      </c>
      <c r="C8257" s="59">
        <v>750</v>
      </c>
      <c r="D8257" s="51">
        <v>18</v>
      </c>
      <c r="E8257" s="51">
        <f t="shared" si="128"/>
        <v>1</v>
      </c>
    </row>
    <row r="8258" spans="1:5">
      <c r="A8258" s="59">
        <v>17</v>
      </c>
      <c r="B8258" s="59">
        <v>71</v>
      </c>
      <c r="C8258" s="59">
        <v>970</v>
      </c>
      <c r="D8258" s="51">
        <v>18</v>
      </c>
      <c r="E8258" s="51">
        <f t="shared" ref="E8258:E8321" si="129">IF(OR(A8258=6,A8258=7,A8258=14,A8258=15,A8258=16,A8258=17,A8258=18,A8258=19,A8258=20,A8258=21,A8258=22,A8258=23,A8258=25,A8258=26,A8258=27,A8258=28,B8258=41,B8258=44,B8258=62),1,0)</f>
        <v>1</v>
      </c>
    </row>
    <row r="8259" spans="1:5">
      <c r="A8259" s="59">
        <v>17</v>
      </c>
      <c r="B8259" s="59">
        <v>81</v>
      </c>
      <c r="C8259" s="59">
        <v>750</v>
      </c>
      <c r="D8259" s="51">
        <v>18</v>
      </c>
      <c r="E8259" s="51">
        <f t="shared" si="129"/>
        <v>1</v>
      </c>
    </row>
    <row r="8260" spans="1:5">
      <c r="A8260" s="59">
        <v>17</v>
      </c>
      <c r="B8260" s="59">
        <v>13</v>
      </c>
      <c r="C8260" s="59">
        <v>430</v>
      </c>
      <c r="D8260" s="51">
        <v>17</v>
      </c>
      <c r="E8260" s="51">
        <f t="shared" si="129"/>
        <v>1</v>
      </c>
    </row>
    <row r="8261" spans="1:5">
      <c r="A8261" s="59">
        <v>17</v>
      </c>
      <c r="B8261" s="59">
        <v>15</v>
      </c>
      <c r="C8261" s="59">
        <v>930</v>
      </c>
      <c r="D8261" s="51">
        <v>17</v>
      </c>
      <c r="E8261" s="51">
        <f t="shared" si="129"/>
        <v>1</v>
      </c>
    </row>
    <row r="8262" spans="1:5">
      <c r="A8262" s="59">
        <v>17</v>
      </c>
      <c r="B8262" s="59">
        <v>43</v>
      </c>
      <c r="C8262" s="59">
        <v>240</v>
      </c>
      <c r="D8262" s="51">
        <v>17</v>
      </c>
      <c r="E8262" s="51">
        <f t="shared" si="129"/>
        <v>1</v>
      </c>
    </row>
    <row r="8263" spans="1:5">
      <c r="A8263" s="59">
        <v>17</v>
      </c>
      <c r="B8263" s="59">
        <v>44</v>
      </c>
      <c r="C8263" s="59">
        <v>899</v>
      </c>
      <c r="D8263" s="51">
        <v>17</v>
      </c>
      <c r="E8263" s="51">
        <f t="shared" si="129"/>
        <v>1</v>
      </c>
    </row>
    <row r="8264" spans="1:5">
      <c r="A8264" s="59">
        <v>17</v>
      </c>
      <c r="B8264" s="59">
        <v>64</v>
      </c>
      <c r="C8264" s="59">
        <v>330</v>
      </c>
      <c r="D8264" s="51">
        <v>17</v>
      </c>
      <c r="E8264" s="51">
        <f t="shared" si="129"/>
        <v>1</v>
      </c>
    </row>
    <row r="8265" spans="1:5">
      <c r="A8265" s="59">
        <v>17</v>
      </c>
      <c r="B8265" s="59">
        <v>81</v>
      </c>
      <c r="C8265" s="59">
        <v>160</v>
      </c>
      <c r="D8265" s="51">
        <v>17</v>
      </c>
      <c r="E8265" s="51">
        <f t="shared" si="129"/>
        <v>1</v>
      </c>
    </row>
    <row r="8266" spans="1:5">
      <c r="A8266" s="59">
        <v>17</v>
      </c>
      <c r="B8266" s="59">
        <v>13</v>
      </c>
      <c r="C8266" s="59">
        <v>520</v>
      </c>
      <c r="D8266" s="51">
        <v>16</v>
      </c>
      <c r="E8266" s="51">
        <f t="shared" si="129"/>
        <v>1</v>
      </c>
    </row>
    <row r="8267" spans="1:5">
      <c r="A8267" s="59">
        <v>17</v>
      </c>
      <c r="B8267" s="59">
        <v>62</v>
      </c>
      <c r="C8267" s="59">
        <v>210</v>
      </c>
      <c r="D8267" s="51">
        <v>16</v>
      </c>
      <c r="E8267" s="51">
        <f t="shared" si="129"/>
        <v>1</v>
      </c>
    </row>
    <row r="8268" spans="1:5">
      <c r="A8268" s="59">
        <v>17</v>
      </c>
      <c r="B8268" s="59">
        <v>81</v>
      </c>
      <c r="C8268" s="59">
        <v>110</v>
      </c>
      <c r="D8268" s="51">
        <v>16</v>
      </c>
      <c r="E8268" s="51">
        <f t="shared" si="129"/>
        <v>1</v>
      </c>
    </row>
    <row r="8269" spans="1:5">
      <c r="A8269" s="59">
        <v>17</v>
      </c>
      <c r="B8269" s="59">
        <v>23</v>
      </c>
      <c r="C8269" s="59">
        <v>910</v>
      </c>
      <c r="D8269" s="51">
        <v>15</v>
      </c>
      <c r="E8269" s="51">
        <f t="shared" si="129"/>
        <v>1</v>
      </c>
    </row>
    <row r="8270" spans="1:5">
      <c r="A8270" s="59">
        <v>17</v>
      </c>
      <c r="B8270" s="59">
        <v>31</v>
      </c>
      <c r="C8270" s="59">
        <v>910</v>
      </c>
      <c r="D8270" s="51">
        <v>15</v>
      </c>
      <c r="E8270" s="51">
        <f t="shared" si="129"/>
        <v>1</v>
      </c>
    </row>
    <row r="8271" spans="1:5">
      <c r="A8271" s="59">
        <v>17</v>
      </c>
      <c r="B8271" s="59">
        <v>44</v>
      </c>
      <c r="C8271" s="59">
        <v>892</v>
      </c>
      <c r="D8271" s="51">
        <v>15</v>
      </c>
      <c r="E8271" s="51">
        <f t="shared" si="129"/>
        <v>1</v>
      </c>
    </row>
    <row r="8272" spans="1:5">
      <c r="A8272" s="59">
        <v>17</v>
      </c>
      <c r="B8272" s="59">
        <v>62</v>
      </c>
      <c r="C8272" s="59">
        <v>540</v>
      </c>
      <c r="D8272" s="51">
        <v>15</v>
      </c>
      <c r="E8272" s="51">
        <f t="shared" si="129"/>
        <v>1</v>
      </c>
    </row>
    <row r="8273" spans="1:5">
      <c r="A8273" s="59">
        <v>17</v>
      </c>
      <c r="B8273" s="59">
        <v>64</v>
      </c>
      <c r="C8273" s="59">
        <v>320</v>
      </c>
      <c r="D8273" s="51">
        <v>15</v>
      </c>
      <c r="E8273" s="51">
        <f t="shared" si="129"/>
        <v>1</v>
      </c>
    </row>
    <row r="8274" spans="1:5">
      <c r="A8274" s="59">
        <v>17</v>
      </c>
      <c r="B8274" s="59">
        <v>81</v>
      </c>
      <c r="C8274" s="59">
        <v>990</v>
      </c>
      <c r="D8274" s="51">
        <v>15</v>
      </c>
      <c r="E8274" s="51">
        <f t="shared" si="129"/>
        <v>1</v>
      </c>
    </row>
    <row r="8275" spans="1:5">
      <c r="A8275" s="59">
        <v>17</v>
      </c>
      <c r="B8275" s="59">
        <v>32</v>
      </c>
      <c r="C8275" s="59">
        <v>530</v>
      </c>
      <c r="D8275" s="51">
        <v>14</v>
      </c>
      <c r="E8275" s="51">
        <f t="shared" si="129"/>
        <v>1</v>
      </c>
    </row>
    <row r="8276" spans="1:5">
      <c r="A8276" s="59">
        <v>17</v>
      </c>
      <c r="B8276" s="59">
        <v>32</v>
      </c>
      <c r="C8276" s="59">
        <v>950</v>
      </c>
      <c r="D8276" s="51">
        <v>14</v>
      </c>
      <c r="E8276" s="51">
        <f t="shared" si="129"/>
        <v>1</v>
      </c>
    </row>
    <row r="8277" spans="1:5">
      <c r="A8277" s="59">
        <v>17</v>
      </c>
      <c r="B8277" s="59">
        <v>41</v>
      </c>
      <c r="C8277" s="59">
        <v>620</v>
      </c>
      <c r="D8277" s="51">
        <v>14</v>
      </c>
      <c r="E8277" s="51">
        <f t="shared" si="129"/>
        <v>1</v>
      </c>
    </row>
    <row r="8278" spans="1:5">
      <c r="A8278" s="59">
        <v>17</v>
      </c>
      <c r="B8278" s="59">
        <v>43</v>
      </c>
      <c r="C8278" s="59">
        <v>540</v>
      </c>
      <c r="D8278" s="51">
        <v>14</v>
      </c>
      <c r="E8278" s="51">
        <f t="shared" si="129"/>
        <v>1</v>
      </c>
    </row>
    <row r="8279" spans="1:5">
      <c r="A8279" s="59">
        <v>17</v>
      </c>
      <c r="B8279" s="59">
        <v>44</v>
      </c>
      <c r="C8279" s="59">
        <v>940</v>
      </c>
      <c r="D8279" s="51">
        <v>14</v>
      </c>
      <c r="E8279" s="51">
        <f t="shared" si="129"/>
        <v>1</v>
      </c>
    </row>
    <row r="8280" spans="1:5">
      <c r="A8280" s="59">
        <v>17</v>
      </c>
      <c r="B8280" s="59">
        <v>63</v>
      </c>
      <c r="C8280" s="59">
        <v>930</v>
      </c>
      <c r="D8280" s="51">
        <v>14</v>
      </c>
      <c r="E8280" s="51">
        <f t="shared" si="129"/>
        <v>1</v>
      </c>
    </row>
    <row r="8281" spans="1:5">
      <c r="A8281" s="59">
        <v>17</v>
      </c>
      <c r="B8281" s="59">
        <v>64</v>
      </c>
      <c r="C8281" s="59">
        <v>140</v>
      </c>
      <c r="D8281" s="51">
        <v>14</v>
      </c>
      <c r="E8281" s="51">
        <f t="shared" si="129"/>
        <v>1</v>
      </c>
    </row>
    <row r="8282" spans="1:5">
      <c r="A8282" s="59">
        <v>17</v>
      </c>
      <c r="B8282" s="59">
        <v>64</v>
      </c>
      <c r="C8282" s="59">
        <v>220</v>
      </c>
      <c r="D8282" s="51">
        <v>14</v>
      </c>
      <c r="E8282" s="51">
        <f t="shared" si="129"/>
        <v>1</v>
      </c>
    </row>
    <row r="8283" spans="1:5">
      <c r="A8283" s="59">
        <v>17</v>
      </c>
      <c r="B8283" s="59">
        <v>13</v>
      </c>
      <c r="C8283" s="59">
        <v>940</v>
      </c>
      <c r="D8283" s="51">
        <v>13</v>
      </c>
      <c r="E8283" s="51">
        <f t="shared" si="129"/>
        <v>1</v>
      </c>
    </row>
    <row r="8284" spans="1:5">
      <c r="A8284" s="59">
        <v>17</v>
      </c>
      <c r="B8284" s="59">
        <v>22</v>
      </c>
      <c r="C8284" s="59">
        <v>160</v>
      </c>
      <c r="D8284" s="51">
        <v>13</v>
      </c>
      <c r="E8284" s="51">
        <f t="shared" si="129"/>
        <v>1</v>
      </c>
    </row>
    <row r="8285" spans="1:5">
      <c r="A8285" s="59">
        <v>17</v>
      </c>
      <c r="B8285" s="59">
        <v>42</v>
      </c>
      <c r="C8285" s="59">
        <v>940</v>
      </c>
      <c r="D8285" s="51">
        <v>13</v>
      </c>
      <c r="E8285" s="51">
        <f t="shared" si="129"/>
        <v>1</v>
      </c>
    </row>
    <row r="8286" spans="1:5">
      <c r="A8286" s="59">
        <v>17</v>
      </c>
      <c r="B8286" s="59">
        <v>43</v>
      </c>
      <c r="C8286" s="59">
        <v>640</v>
      </c>
      <c r="D8286" s="51">
        <v>13</v>
      </c>
      <c r="E8286" s="51">
        <f t="shared" si="129"/>
        <v>1</v>
      </c>
    </row>
    <row r="8287" spans="1:5">
      <c r="A8287" s="59">
        <v>17</v>
      </c>
      <c r="B8287" s="59">
        <v>43</v>
      </c>
      <c r="C8287" s="59">
        <v>860</v>
      </c>
      <c r="D8287" s="51">
        <v>13</v>
      </c>
      <c r="E8287" s="51">
        <f t="shared" si="129"/>
        <v>1</v>
      </c>
    </row>
    <row r="8288" spans="1:5">
      <c r="A8288" s="59">
        <v>17</v>
      </c>
      <c r="B8288" s="59">
        <v>44</v>
      </c>
      <c r="C8288" s="59">
        <v>150</v>
      </c>
      <c r="D8288" s="51">
        <v>13</v>
      </c>
      <c r="E8288" s="51">
        <f t="shared" si="129"/>
        <v>1</v>
      </c>
    </row>
    <row r="8289" spans="1:5">
      <c r="A8289" s="59">
        <v>17</v>
      </c>
      <c r="B8289" s="59">
        <v>62</v>
      </c>
      <c r="C8289" s="59">
        <v>640</v>
      </c>
      <c r="D8289" s="51">
        <v>13</v>
      </c>
      <c r="E8289" s="51">
        <f t="shared" si="129"/>
        <v>1</v>
      </c>
    </row>
    <row r="8290" spans="1:5">
      <c r="A8290" s="59">
        <v>17</v>
      </c>
      <c r="B8290" s="59">
        <v>13</v>
      </c>
      <c r="C8290" s="59">
        <v>120</v>
      </c>
      <c r="D8290" s="51">
        <v>12</v>
      </c>
      <c r="E8290" s="51">
        <f t="shared" si="129"/>
        <v>1</v>
      </c>
    </row>
    <row r="8291" spans="1:5">
      <c r="A8291" s="59">
        <v>17</v>
      </c>
      <c r="B8291" s="59">
        <v>16</v>
      </c>
      <c r="C8291" s="59">
        <v>240</v>
      </c>
      <c r="D8291" s="51">
        <v>12</v>
      </c>
      <c r="E8291" s="51">
        <f t="shared" si="129"/>
        <v>1</v>
      </c>
    </row>
    <row r="8292" spans="1:5">
      <c r="A8292" s="59">
        <v>17</v>
      </c>
      <c r="B8292" s="59">
        <v>33</v>
      </c>
      <c r="C8292" s="59">
        <v>110</v>
      </c>
      <c r="D8292" s="51">
        <v>12</v>
      </c>
      <c r="E8292" s="51">
        <f t="shared" si="129"/>
        <v>1</v>
      </c>
    </row>
    <row r="8293" spans="1:5">
      <c r="A8293" s="59">
        <v>17</v>
      </c>
      <c r="B8293" s="59">
        <v>41</v>
      </c>
      <c r="C8293" s="59">
        <v>950</v>
      </c>
      <c r="D8293" s="51">
        <v>12</v>
      </c>
      <c r="E8293" s="51">
        <f t="shared" si="129"/>
        <v>1</v>
      </c>
    </row>
    <row r="8294" spans="1:5">
      <c r="A8294" s="59">
        <v>17</v>
      </c>
      <c r="B8294" s="59">
        <v>42</v>
      </c>
      <c r="C8294" s="59">
        <v>930</v>
      </c>
      <c r="D8294" s="51">
        <v>12</v>
      </c>
      <c r="E8294" s="51">
        <f t="shared" si="129"/>
        <v>1</v>
      </c>
    </row>
    <row r="8295" spans="1:5">
      <c r="A8295" s="59">
        <v>17</v>
      </c>
      <c r="B8295" s="59">
        <v>43</v>
      </c>
      <c r="C8295" s="59">
        <v>320</v>
      </c>
      <c r="D8295" s="51">
        <v>12</v>
      </c>
      <c r="E8295" s="51">
        <f t="shared" si="129"/>
        <v>1</v>
      </c>
    </row>
    <row r="8296" spans="1:5">
      <c r="A8296" s="59">
        <v>17</v>
      </c>
      <c r="B8296" s="59">
        <v>44</v>
      </c>
      <c r="C8296" s="59">
        <v>110</v>
      </c>
      <c r="D8296" s="51">
        <v>12</v>
      </c>
      <c r="E8296" s="51">
        <f t="shared" si="129"/>
        <v>1</v>
      </c>
    </row>
    <row r="8297" spans="1:5">
      <c r="A8297" s="59">
        <v>17</v>
      </c>
      <c r="B8297" s="59">
        <v>51</v>
      </c>
      <c r="C8297" s="59">
        <v>510</v>
      </c>
      <c r="D8297" s="51">
        <v>12</v>
      </c>
      <c r="E8297" s="51">
        <f t="shared" si="129"/>
        <v>1</v>
      </c>
    </row>
    <row r="8298" spans="1:5">
      <c r="A8298" s="59">
        <v>17</v>
      </c>
      <c r="B8298" s="59">
        <v>81</v>
      </c>
      <c r="C8298" s="59">
        <v>950</v>
      </c>
      <c r="D8298" s="51">
        <v>12</v>
      </c>
      <c r="E8298" s="51">
        <f t="shared" si="129"/>
        <v>1</v>
      </c>
    </row>
    <row r="8299" spans="1:5">
      <c r="A8299" s="59">
        <v>17</v>
      </c>
      <c r="B8299" s="59">
        <v>14</v>
      </c>
      <c r="C8299" s="59">
        <v>620</v>
      </c>
      <c r="D8299" s="51">
        <v>11</v>
      </c>
      <c r="E8299" s="51">
        <f t="shared" si="129"/>
        <v>1</v>
      </c>
    </row>
    <row r="8300" spans="1:5">
      <c r="A8300" s="59">
        <v>17</v>
      </c>
      <c r="B8300" s="59">
        <v>22</v>
      </c>
      <c r="C8300" s="59">
        <v>530</v>
      </c>
      <c r="D8300" s="51">
        <v>11</v>
      </c>
      <c r="E8300" s="51">
        <f t="shared" si="129"/>
        <v>1</v>
      </c>
    </row>
    <row r="8301" spans="1:5">
      <c r="A8301" s="59">
        <v>17</v>
      </c>
      <c r="B8301" s="59">
        <v>22</v>
      </c>
      <c r="C8301" s="59">
        <v>930</v>
      </c>
      <c r="D8301" s="51">
        <v>11</v>
      </c>
      <c r="E8301" s="51">
        <f t="shared" si="129"/>
        <v>1</v>
      </c>
    </row>
    <row r="8302" spans="1:5">
      <c r="A8302" s="59">
        <v>17</v>
      </c>
      <c r="B8302" s="59">
        <v>33</v>
      </c>
      <c r="C8302" s="59">
        <v>150</v>
      </c>
      <c r="D8302" s="51">
        <v>11</v>
      </c>
      <c r="E8302" s="51">
        <f t="shared" si="129"/>
        <v>1</v>
      </c>
    </row>
    <row r="8303" spans="1:5">
      <c r="A8303" s="59">
        <v>17</v>
      </c>
      <c r="B8303" s="59">
        <v>41</v>
      </c>
      <c r="C8303" s="59">
        <v>520</v>
      </c>
      <c r="D8303" s="51">
        <v>11</v>
      </c>
      <c r="E8303" s="51">
        <f t="shared" si="129"/>
        <v>1</v>
      </c>
    </row>
    <row r="8304" spans="1:5">
      <c r="A8304" s="59">
        <v>17</v>
      </c>
      <c r="B8304" s="59">
        <v>44</v>
      </c>
      <c r="C8304" s="59">
        <v>960</v>
      </c>
      <c r="D8304" s="51">
        <v>11</v>
      </c>
      <c r="E8304" s="51">
        <f t="shared" si="129"/>
        <v>1</v>
      </c>
    </row>
    <row r="8305" spans="1:5">
      <c r="A8305" s="59">
        <v>17</v>
      </c>
      <c r="B8305" s="59">
        <v>62</v>
      </c>
      <c r="C8305" s="59">
        <v>899</v>
      </c>
      <c r="D8305" s="51">
        <v>11</v>
      </c>
      <c r="E8305" s="51">
        <f t="shared" si="129"/>
        <v>1</v>
      </c>
    </row>
    <row r="8306" spans="1:5">
      <c r="A8306" s="59">
        <v>17</v>
      </c>
      <c r="B8306" s="59">
        <v>63</v>
      </c>
      <c r="C8306" s="59">
        <v>940</v>
      </c>
      <c r="D8306" s="51">
        <v>11</v>
      </c>
      <c r="E8306" s="51">
        <f t="shared" si="129"/>
        <v>1</v>
      </c>
    </row>
    <row r="8307" spans="1:5">
      <c r="A8307" s="59">
        <v>17</v>
      </c>
      <c r="B8307" s="59">
        <v>63</v>
      </c>
      <c r="C8307" s="59">
        <v>970</v>
      </c>
      <c r="D8307" s="51">
        <v>11</v>
      </c>
      <c r="E8307" s="51">
        <f t="shared" si="129"/>
        <v>1</v>
      </c>
    </row>
    <row r="8308" spans="1:5">
      <c r="A8308" s="59">
        <v>17</v>
      </c>
      <c r="B8308" s="59">
        <v>13</v>
      </c>
      <c r="C8308" s="59">
        <v>420</v>
      </c>
      <c r="D8308" s="51">
        <v>10</v>
      </c>
      <c r="E8308" s="51">
        <f t="shared" si="129"/>
        <v>1</v>
      </c>
    </row>
    <row r="8309" spans="1:5">
      <c r="A8309" s="59">
        <v>17</v>
      </c>
      <c r="B8309" s="59">
        <v>16</v>
      </c>
      <c r="C8309" s="59">
        <v>950</v>
      </c>
      <c r="D8309" s="51">
        <v>10</v>
      </c>
      <c r="E8309" s="51">
        <f t="shared" si="129"/>
        <v>1</v>
      </c>
    </row>
    <row r="8310" spans="1:5">
      <c r="A8310" s="59">
        <v>17</v>
      </c>
      <c r="B8310" s="59">
        <v>31</v>
      </c>
      <c r="C8310" s="59">
        <v>920</v>
      </c>
      <c r="D8310" s="51">
        <v>10</v>
      </c>
      <c r="E8310" s="51">
        <f t="shared" si="129"/>
        <v>1</v>
      </c>
    </row>
    <row r="8311" spans="1:5">
      <c r="A8311" s="59">
        <v>17</v>
      </c>
      <c r="B8311" s="59">
        <v>42</v>
      </c>
      <c r="C8311" s="59">
        <v>550</v>
      </c>
      <c r="D8311" s="51">
        <v>10</v>
      </c>
      <c r="E8311" s="51">
        <f t="shared" si="129"/>
        <v>1</v>
      </c>
    </row>
    <row r="8312" spans="1:5">
      <c r="A8312" s="59">
        <v>17</v>
      </c>
      <c r="B8312" s="59">
        <v>43</v>
      </c>
      <c r="C8312" s="59">
        <v>850</v>
      </c>
      <c r="D8312" s="51">
        <v>10</v>
      </c>
      <c r="E8312" s="51">
        <f t="shared" si="129"/>
        <v>1</v>
      </c>
    </row>
    <row r="8313" spans="1:5">
      <c r="A8313" s="59">
        <v>17</v>
      </c>
      <c r="B8313" s="59">
        <v>13</v>
      </c>
      <c r="C8313" s="59">
        <v>130</v>
      </c>
      <c r="D8313" s="51">
        <v>9</v>
      </c>
      <c r="E8313" s="51">
        <f t="shared" si="129"/>
        <v>1</v>
      </c>
    </row>
    <row r="8314" spans="1:5">
      <c r="A8314" s="59">
        <v>17</v>
      </c>
      <c r="B8314" s="59">
        <v>13</v>
      </c>
      <c r="C8314" s="59">
        <v>620</v>
      </c>
      <c r="D8314" s="51">
        <v>9</v>
      </c>
      <c r="E8314" s="51">
        <f t="shared" si="129"/>
        <v>1</v>
      </c>
    </row>
    <row r="8315" spans="1:5">
      <c r="A8315" s="59">
        <v>17</v>
      </c>
      <c r="B8315" s="59">
        <v>13</v>
      </c>
      <c r="C8315" s="59">
        <v>720</v>
      </c>
      <c r="D8315" s="51">
        <v>9</v>
      </c>
      <c r="E8315" s="51">
        <f t="shared" si="129"/>
        <v>1</v>
      </c>
    </row>
    <row r="8316" spans="1:5">
      <c r="A8316" s="59">
        <v>17</v>
      </c>
      <c r="B8316" s="59">
        <v>15</v>
      </c>
      <c r="C8316" s="59">
        <v>210</v>
      </c>
      <c r="D8316" s="51">
        <v>9</v>
      </c>
      <c r="E8316" s="51">
        <f t="shared" si="129"/>
        <v>1</v>
      </c>
    </row>
    <row r="8317" spans="1:5">
      <c r="A8317" s="59">
        <v>17</v>
      </c>
      <c r="B8317" s="59">
        <v>16</v>
      </c>
      <c r="C8317" s="59">
        <v>140</v>
      </c>
      <c r="D8317" s="51">
        <v>9</v>
      </c>
      <c r="E8317" s="51">
        <f t="shared" si="129"/>
        <v>1</v>
      </c>
    </row>
    <row r="8318" spans="1:5">
      <c r="A8318" s="59">
        <v>17</v>
      </c>
      <c r="B8318" s="59">
        <v>16</v>
      </c>
      <c r="C8318" s="59">
        <v>330</v>
      </c>
      <c r="D8318" s="51">
        <v>9</v>
      </c>
      <c r="E8318" s="51">
        <f t="shared" si="129"/>
        <v>1</v>
      </c>
    </row>
    <row r="8319" spans="1:5">
      <c r="A8319" s="59">
        <v>17</v>
      </c>
      <c r="B8319" s="59">
        <v>16</v>
      </c>
      <c r="C8319" s="59">
        <v>610</v>
      </c>
      <c r="D8319" s="51">
        <v>9</v>
      </c>
      <c r="E8319" s="51">
        <f t="shared" si="129"/>
        <v>1</v>
      </c>
    </row>
    <row r="8320" spans="1:5">
      <c r="A8320" s="59">
        <v>17</v>
      </c>
      <c r="B8320" s="59">
        <v>22</v>
      </c>
      <c r="C8320" s="59">
        <v>510</v>
      </c>
      <c r="D8320" s="51">
        <v>9</v>
      </c>
      <c r="E8320" s="51">
        <f t="shared" si="129"/>
        <v>1</v>
      </c>
    </row>
    <row r="8321" spans="1:5">
      <c r="A8321" s="59">
        <v>17</v>
      </c>
      <c r="B8321" s="59">
        <v>23</v>
      </c>
      <c r="C8321" s="59">
        <v>140</v>
      </c>
      <c r="D8321" s="51">
        <v>9</v>
      </c>
      <c r="E8321" s="51">
        <f t="shared" si="129"/>
        <v>1</v>
      </c>
    </row>
    <row r="8322" spans="1:5">
      <c r="A8322" s="59">
        <v>17</v>
      </c>
      <c r="B8322" s="59">
        <v>43</v>
      </c>
      <c r="C8322" s="59">
        <v>440</v>
      </c>
      <c r="D8322" s="51">
        <v>9</v>
      </c>
      <c r="E8322" s="51">
        <f t="shared" ref="E8322:E8385" si="130">IF(OR(A8322=6,A8322=7,A8322=14,A8322=15,A8322=16,A8322=17,A8322=18,A8322=19,A8322=20,A8322=21,A8322=22,A8322=23,A8322=25,A8322=26,A8322=27,A8322=28,B8322=41,B8322=44,B8322=62),1,0)</f>
        <v>1</v>
      </c>
    </row>
    <row r="8323" spans="1:5">
      <c r="A8323" s="59">
        <v>17</v>
      </c>
      <c r="B8323" s="59">
        <v>44</v>
      </c>
      <c r="C8323" s="59">
        <v>220</v>
      </c>
      <c r="D8323" s="51">
        <v>9</v>
      </c>
      <c r="E8323" s="51">
        <f t="shared" si="130"/>
        <v>1</v>
      </c>
    </row>
    <row r="8324" spans="1:5">
      <c r="A8324" s="59">
        <v>17</v>
      </c>
      <c r="B8324" s="59">
        <v>51</v>
      </c>
      <c r="C8324" s="59">
        <v>910</v>
      </c>
      <c r="D8324" s="51">
        <v>9</v>
      </c>
      <c r="E8324" s="51">
        <f t="shared" si="130"/>
        <v>1</v>
      </c>
    </row>
    <row r="8325" spans="1:5">
      <c r="A8325" s="59">
        <v>17</v>
      </c>
      <c r="B8325" s="59">
        <v>62</v>
      </c>
      <c r="C8325" s="59">
        <v>310</v>
      </c>
      <c r="D8325" s="51">
        <v>9</v>
      </c>
      <c r="E8325" s="51">
        <f t="shared" si="130"/>
        <v>1</v>
      </c>
    </row>
    <row r="8326" spans="1:5">
      <c r="A8326" s="59">
        <v>17</v>
      </c>
      <c r="B8326" s="59">
        <v>63</v>
      </c>
      <c r="C8326" s="59">
        <v>630</v>
      </c>
      <c r="D8326" s="51">
        <v>9</v>
      </c>
      <c r="E8326" s="51">
        <f t="shared" si="130"/>
        <v>1</v>
      </c>
    </row>
    <row r="8327" spans="1:5">
      <c r="A8327" s="59">
        <v>17</v>
      </c>
      <c r="B8327" s="59">
        <v>64</v>
      </c>
      <c r="C8327" s="59">
        <v>820</v>
      </c>
      <c r="D8327" s="51">
        <v>9</v>
      </c>
      <c r="E8327" s="51">
        <f t="shared" si="130"/>
        <v>1</v>
      </c>
    </row>
    <row r="8328" spans="1:5">
      <c r="A8328" s="59">
        <v>17</v>
      </c>
      <c r="B8328" s="59">
        <v>14</v>
      </c>
      <c r="C8328" s="59">
        <v>120</v>
      </c>
      <c r="D8328" s="51">
        <v>8</v>
      </c>
      <c r="E8328" s="51">
        <f t="shared" si="130"/>
        <v>1</v>
      </c>
    </row>
    <row r="8329" spans="1:5">
      <c r="A8329" s="59">
        <v>17</v>
      </c>
      <c r="B8329" s="59">
        <v>14</v>
      </c>
      <c r="C8329" s="59">
        <v>940</v>
      </c>
      <c r="D8329" s="51">
        <v>8</v>
      </c>
      <c r="E8329" s="51">
        <f t="shared" si="130"/>
        <v>1</v>
      </c>
    </row>
    <row r="8330" spans="1:5">
      <c r="A8330" s="59">
        <v>17</v>
      </c>
      <c r="B8330" s="59">
        <v>16</v>
      </c>
      <c r="C8330" s="59">
        <v>310</v>
      </c>
      <c r="D8330" s="51">
        <v>8</v>
      </c>
      <c r="E8330" s="51">
        <f t="shared" si="130"/>
        <v>1</v>
      </c>
    </row>
    <row r="8331" spans="1:5">
      <c r="A8331" s="59">
        <v>17</v>
      </c>
      <c r="B8331" s="59">
        <v>44</v>
      </c>
      <c r="C8331" s="59">
        <v>410</v>
      </c>
      <c r="D8331" s="51">
        <v>8</v>
      </c>
      <c r="E8331" s="51">
        <f t="shared" si="130"/>
        <v>1</v>
      </c>
    </row>
    <row r="8332" spans="1:5">
      <c r="A8332" s="59">
        <v>17</v>
      </c>
      <c r="B8332" s="59">
        <v>63</v>
      </c>
      <c r="C8332" s="59">
        <v>210</v>
      </c>
      <c r="D8332" s="51">
        <v>8</v>
      </c>
      <c r="E8332" s="51">
        <f t="shared" si="130"/>
        <v>1</v>
      </c>
    </row>
    <row r="8333" spans="1:5">
      <c r="A8333" s="59">
        <v>17</v>
      </c>
      <c r="B8333" s="59">
        <v>64</v>
      </c>
      <c r="C8333" s="59">
        <v>630</v>
      </c>
      <c r="D8333" s="51">
        <v>8</v>
      </c>
      <c r="E8333" s="51">
        <f t="shared" si="130"/>
        <v>1</v>
      </c>
    </row>
    <row r="8334" spans="1:5">
      <c r="A8334" s="59">
        <v>17</v>
      </c>
      <c r="B8334" s="59">
        <v>64</v>
      </c>
      <c r="C8334" s="59">
        <v>870</v>
      </c>
      <c r="D8334" s="51">
        <v>8</v>
      </c>
      <c r="E8334" s="51">
        <f t="shared" si="130"/>
        <v>1</v>
      </c>
    </row>
    <row r="8335" spans="1:5">
      <c r="A8335" s="59">
        <v>17</v>
      </c>
      <c r="B8335" s="59">
        <v>71</v>
      </c>
      <c r="C8335" s="59">
        <v>310</v>
      </c>
      <c r="D8335" s="51">
        <v>8</v>
      </c>
      <c r="E8335" s="51">
        <f t="shared" si="130"/>
        <v>1</v>
      </c>
    </row>
    <row r="8336" spans="1:5">
      <c r="A8336" s="59">
        <v>17</v>
      </c>
      <c r="B8336" s="59">
        <v>12</v>
      </c>
      <c r="C8336" s="59">
        <v>920</v>
      </c>
      <c r="D8336" s="51">
        <v>7</v>
      </c>
      <c r="E8336" s="51">
        <f t="shared" si="130"/>
        <v>1</v>
      </c>
    </row>
    <row r="8337" spans="1:5">
      <c r="A8337" s="59">
        <v>17</v>
      </c>
      <c r="B8337" s="59">
        <v>13</v>
      </c>
      <c r="C8337" s="59">
        <v>240</v>
      </c>
      <c r="D8337" s="51">
        <v>7</v>
      </c>
      <c r="E8337" s="51">
        <f t="shared" si="130"/>
        <v>1</v>
      </c>
    </row>
    <row r="8338" spans="1:5">
      <c r="A8338" s="59">
        <v>17</v>
      </c>
      <c r="B8338" s="59">
        <v>13</v>
      </c>
      <c r="C8338" s="59">
        <v>730</v>
      </c>
      <c r="D8338" s="51">
        <v>7</v>
      </c>
      <c r="E8338" s="51">
        <f t="shared" si="130"/>
        <v>1</v>
      </c>
    </row>
    <row r="8339" spans="1:5">
      <c r="A8339" s="59">
        <v>17</v>
      </c>
      <c r="B8339" s="59">
        <v>15</v>
      </c>
      <c r="C8339" s="59">
        <v>320</v>
      </c>
      <c r="D8339" s="51">
        <v>7</v>
      </c>
      <c r="E8339" s="51">
        <f t="shared" si="130"/>
        <v>1</v>
      </c>
    </row>
    <row r="8340" spans="1:5">
      <c r="A8340" s="59">
        <v>17</v>
      </c>
      <c r="B8340" s="59">
        <v>21</v>
      </c>
      <c r="C8340" s="59">
        <v>420</v>
      </c>
      <c r="D8340" s="51">
        <v>7</v>
      </c>
      <c r="E8340" s="51">
        <f t="shared" si="130"/>
        <v>1</v>
      </c>
    </row>
    <row r="8341" spans="1:5">
      <c r="A8341" s="59">
        <v>17</v>
      </c>
      <c r="B8341" s="59">
        <v>32</v>
      </c>
      <c r="C8341" s="59">
        <v>110</v>
      </c>
      <c r="D8341" s="51">
        <v>7</v>
      </c>
      <c r="E8341" s="51">
        <f t="shared" si="130"/>
        <v>1</v>
      </c>
    </row>
    <row r="8342" spans="1:5">
      <c r="A8342" s="59">
        <v>17</v>
      </c>
      <c r="B8342" s="59">
        <v>33</v>
      </c>
      <c r="C8342" s="59">
        <v>610</v>
      </c>
      <c r="D8342" s="51">
        <v>7</v>
      </c>
      <c r="E8342" s="51">
        <f t="shared" si="130"/>
        <v>1</v>
      </c>
    </row>
    <row r="8343" spans="1:5">
      <c r="A8343" s="59">
        <v>17</v>
      </c>
      <c r="B8343" s="59">
        <v>43</v>
      </c>
      <c r="C8343" s="59">
        <v>710</v>
      </c>
      <c r="D8343" s="51">
        <v>7</v>
      </c>
      <c r="E8343" s="51">
        <f t="shared" si="130"/>
        <v>1</v>
      </c>
    </row>
    <row r="8344" spans="1:5">
      <c r="A8344" s="59">
        <v>17</v>
      </c>
      <c r="B8344" s="59">
        <v>43</v>
      </c>
      <c r="C8344" s="59">
        <v>960</v>
      </c>
      <c r="D8344" s="51">
        <v>7</v>
      </c>
      <c r="E8344" s="51">
        <f t="shared" si="130"/>
        <v>1</v>
      </c>
    </row>
    <row r="8345" spans="1:5">
      <c r="A8345" s="59">
        <v>17</v>
      </c>
      <c r="B8345" s="59">
        <v>63</v>
      </c>
      <c r="C8345" s="59">
        <v>540</v>
      </c>
      <c r="D8345" s="51">
        <v>7</v>
      </c>
      <c r="E8345" s="51">
        <f t="shared" si="130"/>
        <v>1</v>
      </c>
    </row>
    <row r="8346" spans="1:5">
      <c r="A8346" s="59">
        <v>17</v>
      </c>
      <c r="B8346" s="59">
        <v>64</v>
      </c>
      <c r="C8346" s="59">
        <v>740</v>
      </c>
      <c r="D8346" s="51">
        <v>7</v>
      </c>
      <c r="E8346" s="51">
        <f t="shared" si="130"/>
        <v>1</v>
      </c>
    </row>
    <row r="8347" spans="1:5">
      <c r="A8347" s="59">
        <v>17</v>
      </c>
      <c r="B8347" s="59">
        <v>81</v>
      </c>
      <c r="C8347" s="59">
        <v>150</v>
      </c>
      <c r="D8347" s="51">
        <v>7</v>
      </c>
      <c r="E8347" s="51">
        <f t="shared" si="130"/>
        <v>1</v>
      </c>
    </row>
    <row r="8348" spans="1:5">
      <c r="A8348" s="59">
        <v>17</v>
      </c>
      <c r="B8348" s="59">
        <v>81</v>
      </c>
      <c r="C8348" s="59">
        <v>210</v>
      </c>
      <c r="D8348" s="51">
        <v>7</v>
      </c>
      <c r="E8348" s="51">
        <f t="shared" si="130"/>
        <v>1</v>
      </c>
    </row>
    <row r="8349" spans="1:5">
      <c r="A8349" s="59">
        <v>17</v>
      </c>
      <c r="B8349" s="59">
        <v>81</v>
      </c>
      <c r="C8349" s="59">
        <v>930</v>
      </c>
      <c r="D8349" s="51">
        <v>7</v>
      </c>
      <c r="E8349" s="51">
        <f t="shared" si="130"/>
        <v>1</v>
      </c>
    </row>
    <row r="8350" spans="1:5">
      <c r="A8350" s="59">
        <v>17</v>
      </c>
      <c r="B8350" s="59">
        <v>13</v>
      </c>
      <c r="C8350" s="59">
        <v>750</v>
      </c>
      <c r="D8350" s="51">
        <v>6</v>
      </c>
      <c r="E8350" s="51">
        <f t="shared" si="130"/>
        <v>1</v>
      </c>
    </row>
    <row r="8351" spans="1:5">
      <c r="A8351" s="59">
        <v>17</v>
      </c>
      <c r="B8351" s="59">
        <v>14</v>
      </c>
      <c r="C8351" s="59">
        <v>430</v>
      </c>
      <c r="D8351" s="51">
        <v>6</v>
      </c>
      <c r="E8351" s="51">
        <f t="shared" si="130"/>
        <v>1</v>
      </c>
    </row>
    <row r="8352" spans="1:5">
      <c r="A8352" s="59">
        <v>17</v>
      </c>
      <c r="B8352" s="59">
        <v>15</v>
      </c>
      <c r="C8352" s="59">
        <v>330</v>
      </c>
      <c r="D8352" s="51">
        <v>6</v>
      </c>
      <c r="E8352" s="51">
        <f t="shared" si="130"/>
        <v>1</v>
      </c>
    </row>
    <row r="8353" spans="1:5">
      <c r="A8353" s="59">
        <v>17</v>
      </c>
      <c r="B8353" s="59">
        <v>15</v>
      </c>
      <c r="C8353" s="59">
        <v>530</v>
      </c>
      <c r="D8353" s="51">
        <v>6</v>
      </c>
      <c r="E8353" s="51">
        <f t="shared" si="130"/>
        <v>1</v>
      </c>
    </row>
    <row r="8354" spans="1:5">
      <c r="A8354" s="59">
        <v>17</v>
      </c>
      <c r="B8354" s="59">
        <v>15</v>
      </c>
      <c r="C8354" s="59">
        <v>950</v>
      </c>
      <c r="D8354" s="51">
        <v>6</v>
      </c>
      <c r="E8354" s="51">
        <f t="shared" si="130"/>
        <v>1</v>
      </c>
    </row>
    <row r="8355" spans="1:5">
      <c r="A8355" s="59">
        <v>17</v>
      </c>
      <c r="B8355" s="59">
        <v>22</v>
      </c>
      <c r="C8355" s="59">
        <v>220</v>
      </c>
      <c r="D8355" s="51">
        <v>6</v>
      </c>
      <c r="E8355" s="51">
        <f t="shared" si="130"/>
        <v>1</v>
      </c>
    </row>
    <row r="8356" spans="1:5">
      <c r="A8356" s="59">
        <v>17</v>
      </c>
      <c r="B8356" s="59">
        <v>22</v>
      </c>
      <c r="C8356" s="59">
        <v>320</v>
      </c>
      <c r="D8356" s="51">
        <v>6</v>
      </c>
      <c r="E8356" s="51">
        <f t="shared" si="130"/>
        <v>1</v>
      </c>
    </row>
    <row r="8357" spans="1:5">
      <c r="A8357" s="59">
        <v>17</v>
      </c>
      <c r="B8357" s="59">
        <v>32</v>
      </c>
      <c r="C8357" s="59">
        <v>210</v>
      </c>
      <c r="D8357" s="51">
        <v>6</v>
      </c>
      <c r="E8357" s="51">
        <f t="shared" si="130"/>
        <v>1</v>
      </c>
    </row>
    <row r="8358" spans="1:5">
      <c r="A8358" s="59">
        <v>17</v>
      </c>
      <c r="B8358" s="59">
        <v>32</v>
      </c>
      <c r="C8358" s="59">
        <v>730</v>
      </c>
      <c r="D8358" s="51">
        <v>6</v>
      </c>
      <c r="E8358" s="51">
        <f t="shared" si="130"/>
        <v>1</v>
      </c>
    </row>
    <row r="8359" spans="1:5">
      <c r="A8359" s="59">
        <v>17</v>
      </c>
      <c r="B8359" s="59">
        <v>61</v>
      </c>
      <c r="C8359" s="59">
        <v>910</v>
      </c>
      <c r="D8359" s="51">
        <v>6</v>
      </c>
      <c r="E8359" s="51">
        <f t="shared" si="130"/>
        <v>1</v>
      </c>
    </row>
    <row r="8360" spans="1:5">
      <c r="A8360" s="59">
        <v>17</v>
      </c>
      <c r="B8360" s="59">
        <v>62</v>
      </c>
      <c r="C8360" s="59">
        <v>960</v>
      </c>
      <c r="D8360" s="51">
        <v>6</v>
      </c>
      <c r="E8360" s="51">
        <f t="shared" si="130"/>
        <v>1</v>
      </c>
    </row>
    <row r="8361" spans="1:5">
      <c r="A8361" s="59">
        <v>17</v>
      </c>
      <c r="B8361" s="59">
        <v>71</v>
      </c>
      <c r="C8361" s="59">
        <v>710</v>
      </c>
      <c r="D8361" s="51">
        <v>6</v>
      </c>
      <c r="E8361" s="51">
        <f t="shared" si="130"/>
        <v>1</v>
      </c>
    </row>
    <row r="8362" spans="1:5">
      <c r="A8362" s="59">
        <v>17</v>
      </c>
      <c r="B8362" s="59">
        <v>71</v>
      </c>
      <c r="C8362" s="59">
        <v>750</v>
      </c>
      <c r="D8362" s="51">
        <v>6</v>
      </c>
      <c r="E8362" s="51">
        <f t="shared" si="130"/>
        <v>1</v>
      </c>
    </row>
    <row r="8363" spans="1:5">
      <c r="A8363" s="59">
        <v>17</v>
      </c>
      <c r="B8363" s="59">
        <v>11</v>
      </c>
      <c r="C8363" s="59">
        <v>510</v>
      </c>
      <c r="D8363" s="51">
        <v>5</v>
      </c>
      <c r="E8363" s="51">
        <f t="shared" si="130"/>
        <v>1</v>
      </c>
    </row>
    <row r="8364" spans="1:5">
      <c r="A8364" s="59">
        <v>17</v>
      </c>
      <c r="B8364" s="59">
        <v>13</v>
      </c>
      <c r="C8364" s="59">
        <v>220</v>
      </c>
      <c r="D8364" s="51">
        <v>5</v>
      </c>
      <c r="E8364" s="51">
        <f t="shared" si="130"/>
        <v>1</v>
      </c>
    </row>
    <row r="8365" spans="1:5">
      <c r="A8365" s="59">
        <v>17</v>
      </c>
      <c r="B8365" s="59">
        <v>13</v>
      </c>
      <c r="C8365" s="59">
        <v>970</v>
      </c>
      <c r="D8365" s="51">
        <v>5</v>
      </c>
      <c r="E8365" s="51">
        <f t="shared" si="130"/>
        <v>1</v>
      </c>
    </row>
    <row r="8366" spans="1:5">
      <c r="A8366" s="59">
        <v>17</v>
      </c>
      <c r="B8366" s="59">
        <v>14</v>
      </c>
      <c r="C8366" s="59">
        <v>220</v>
      </c>
      <c r="D8366" s="51">
        <v>5</v>
      </c>
      <c r="E8366" s="51">
        <f t="shared" si="130"/>
        <v>1</v>
      </c>
    </row>
    <row r="8367" spans="1:5">
      <c r="A8367" s="59">
        <v>17</v>
      </c>
      <c r="B8367" s="59">
        <v>14</v>
      </c>
      <c r="C8367" s="59">
        <v>550</v>
      </c>
      <c r="D8367" s="51">
        <v>5</v>
      </c>
      <c r="E8367" s="51">
        <f t="shared" si="130"/>
        <v>1</v>
      </c>
    </row>
    <row r="8368" spans="1:5">
      <c r="A8368" s="59">
        <v>17</v>
      </c>
      <c r="B8368" s="59">
        <v>14</v>
      </c>
      <c r="C8368" s="59">
        <v>990</v>
      </c>
      <c r="D8368" s="51">
        <v>5</v>
      </c>
      <c r="E8368" s="51">
        <f t="shared" si="130"/>
        <v>1</v>
      </c>
    </row>
    <row r="8369" spans="1:5">
      <c r="A8369" s="59">
        <v>17</v>
      </c>
      <c r="B8369" s="59">
        <v>15</v>
      </c>
      <c r="C8369" s="59">
        <v>240</v>
      </c>
      <c r="D8369" s="51">
        <v>5</v>
      </c>
      <c r="E8369" s="51">
        <f t="shared" si="130"/>
        <v>1</v>
      </c>
    </row>
    <row r="8370" spans="1:5">
      <c r="A8370" s="59">
        <v>17</v>
      </c>
      <c r="B8370" s="59">
        <v>15</v>
      </c>
      <c r="C8370" s="59">
        <v>310</v>
      </c>
      <c r="D8370" s="51">
        <v>5</v>
      </c>
      <c r="E8370" s="51">
        <f t="shared" si="130"/>
        <v>1</v>
      </c>
    </row>
    <row r="8371" spans="1:5">
      <c r="A8371" s="59">
        <v>17</v>
      </c>
      <c r="B8371" s="59">
        <v>16</v>
      </c>
      <c r="C8371" s="59">
        <v>430</v>
      </c>
      <c r="D8371" s="51">
        <v>5</v>
      </c>
      <c r="E8371" s="51">
        <f t="shared" si="130"/>
        <v>1</v>
      </c>
    </row>
    <row r="8372" spans="1:5">
      <c r="A8372" s="59">
        <v>17</v>
      </c>
      <c r="B8372" s="59">
        <v>21</v>
      </c>
      <c r="C8372" s="59">
        <v>910</v>
      </c>
      <c r="D8372" s="51">
        <v>5</v>
      </c>
      <c r="E8372" s="51">
        <f t="shared" si="130"/>
        <v>1</v>
      </c>
    </row>
    <row r="8373" spans="1:5">
      <c r="A8373" s="59">
        <v>17</v>
      </c>
      <c r="B8373" s="59">
        <v>22</v>
      </c>
      <c r="C8373" s="59">
        <v>890</v>
      </c>
      <c r="D8373" s="51">
        <v>5</v>
      </c>
      <c r="E8373" s="51">
        <f t="shared" si="130"/>
        <v>1</v>
      </c>
    </row>
    <row r="8374" spans="1:5">
      <c r="A8374" s="59">
        <v>17</v>
      </c>
      <c r="B8374" s="59">
        <v>32</v>
      </c>
      <c r="C8374" s="59">
        <v>160</v>
      </c>
      <c r="D8374" s="51">
        <v>5</v>
      </c>
      <c r="E8374" s="51">
        <f t="shared" si="130"/>
        <v>1</v>
      </c>
    </row>
    <row r="8375" spans="1:5">
      <c r="A8375" s="59">
        <v>17</v>
      </c>
      <c r="B8375" s="59">
        <v>32</v>
      </c>
      <c r="C8375" s="59">
        <v>895</v>
      </c>
      <c r="D8375" s="51">
        <v>5</v>
      </c>
      <c r="E8375" s="51">
        <f t="shared" si="130"/>
        <v>1</v>
      </c>
    </row>
    <row r="8376" spans="1:5">
      <c r="A8376" s="59">
        <v>17</v>
      </c>
      <c r="B8376" s="59">
        <v>32</v>
      </c>
      <c r="C8376" s="59">
        <v>930</v>
      </c>
      <c r="D8376" s="51">
        <v>5</v>
      </c>
      <c r="E8376" s="51">
        <f t="shared" si="130"/>
        <v>1</v>
      </c>
    </row>
    <row r="8377" spans="1:5">
      <c r="A8377" s="59">
        <v>17</v>
      </c>
      <c r="B8377" s="59">
        <v>33</v>
      </c>
      <c r="C8377" s="59">
        <v>530</v>
      </c>
      <c r="D8377" s="51">
        <v>5</v>
      </c>
      <c r="E8377" s="51">
        <f t="shared" si="130"/>
        <v>1</v>
      </c>
    </row>
    <row r="8378" spans="1:5">
      <c r="A8378" s="59">
        <v>17</v>
      </c>
      <c r="B8378" s="59">
        <v>41</v>
      </c>
      <c r="C8378" s="59">
        <v>410</v>
      </c>
      <c r="D8378" s="51">
        <v>5</v>
      </c>
      <c r="E8378" s="51">
        <f t="shared" si="130"/>
        <v>1</v>
      </c>
    </row>
    <row r="8379" spans="1:5">
      <c r="A8379" s="59">
        <v>17</v>
      </c>
      <c r="B8379" s="59">
        <v>41</v>
      </c>
      <c r="C8379" s="59">
        <v>420</v>
      </c>
      <c r="D8379" s="51">
        <v>5</v>
      </c>
      <c r="E8379" s="51">
        <f t="shared" si="130"/>
        <v>1</v>
      </c>
    </row>
    <row r="8380" spans="1:5">
      <c r="A8380" s="59">
        <v>17</v>
      </c>
      <c r="B8380" s="59">
        <v>41</v>
      </c>
      <c r="C8380" s="59">
        <v>550</v>
      </c>
      <c r="D8380" s="51">
        <v>5</v>
      </c>
      <c r="E8380" s="51">
        <f t="shared" si="130"/>
        <v>1</v>
      </c>
    </row>
    <row r="8381" spans="1:5">
      <c r="A8381" s="59">
        <v>17</v>
      </c>
      <c r="B8381" s="59">
        <v>42</v>
      </c>
      <c r="C8381" s="59">
        <v>630</v>
      </c>
      <c r="D8381" s="51">
        <v>5</v>
      </c>
      <c r="E8381" s="51">
        <f t="shared" si="130"/>
        <v>1</v>
      </c>
    </row>
    <row r="8382" spans="1:5">
      <c r="A8382" s="59">
        <v>17</v>
      </c>
      <c r="B8382" s="59">
        <v>43</v>
      </c>
      <c r="C8382" s="59">
        <v>140</v>
      </c>
      <c r="D8382" s="51">
        <v>5</v>
      </c>
      <c r="E8382" s="51">
        <f t="shared" si="130"/>
        <v>1</v>
      </c>
    </row>
    <row r="8383" spans="1:5">
      <c r="A8383" s="59">
        <v>17</v>
      </c>
      <c r="B8383" s="59">
        <v>51</v>
      </c>
      <c r="C8383" s="59">
        <v>610</v>
      </c>
      <c r="D8383" s="51">
        <v>5</v>
      </c>
      <c r="E8383" s="51">
        <f t="shared" si="130"/>
        <v>1</v>
      </c>
    </row>
    <row r="8384" spans="1:5">
      <c r="A8384" s="59">
        <v>17</v>
      </c>
      <c r="B8384" s="59">
        <v>63</v>
      </c>
      <c r="C8384" s="59">
        <v>320</v>
      </c>
      <c r="D8384" s="51">
        <v>5</v>
      </c>
      <c r="E8384" s="51">
        <f t="shared" si="130"/>
        <v>1</v>
      </c>
    </row>
    <row r="8385" spans="1:5">
      <c r="A8385" s="59">
        <v>17</v>
      </c>
      <c r="B8385" s="59">
        <v>63</v>
      </c>
      <c r="C8385" s="59">
        <v>410</v>
      </c>
      <c r="D8385" s="51">
        <v>5</v>
      </c>
      <c r="E8385" s="51">
        <f t="shared" si="130"/>
        <v>1</v>
      </c>
    </row>
    <row r="8386" spans="1:5">
      <c r="A8386" s="59">
        <v>17</v>
      </c>
      <c r="B8386" s="59">
        <v>63</v>
      </c>
      <c r="C8386" s="59">
        <v>420</v>
      </c>
      <c r="D8386" s="51">
        <v>5</v>
      </c>
      <c r="E8386" s="51">
        <f t="shared" ref="E8386:E8449" si="131">IF(OR(A8386=6,A8386=7,A8386=14,A8386=15,A8386=16,A8386=17,A8386=18,A8386=19,A8386=20,A8386=21,A8386=22,A8386=23,A8386=25,A8386=26,A8386=27,A8386=28,B8386=41,B8386=44,B8386=62),1,0)</f>
        <v>1</v>
      </c>
    </row>
    <row r="8387" spans="1:5">
      <c r="A8387" s="59">
        <v>17</v>
      </c>
      <c r="B8387" s="59">
        <v>63</v>
      </c>
      <c r="C8387" s="59">
        <v>440</v>
      </c>
      <c r="D8387" s="51">
        <v>5</v>
      </c>
      <c r="E8387" s="51">
        <f t="shared" si="131"/>
        <v>1</v>
      </c>
    </row>
    <row r="8388" spans="1:5">
      <c r="A8388" s="59">
        <v>17</v>
      </c>
      <c r="B8388" s="59">
        <v>64</v>
      </c>
      <c r="C8388" s="59">
        <v>130</v>
      </c>
      <c r="D8388" s="51">
        <v>5</v>
      </c>
      <c r="E8388" s="51">
        <f t="shared" si="131"/>
        <v>1</v>
      </c>
    </row>
    <row r="8389" spans="1:5">
      <c r="A8389" s="59">
        <v>17</v>
      </c>
      <c r="B8389" s="59">
        <v>64</v>
      </c>
      <c r="C8389" s="59">
        <v>440</v>
      </c>
      <c r="D8389" s="51">
        <v>5</v>
      </c>
      <c r="E8389" s="51">
        <f t="shared" si="131"/>
        <v>1</v>
      </c>
    </row>
    <row r="8390" spans="1:5">
      <c r="A8390" s="59">
        <v>17</v>
      </c>
      <c r="B8390" s="59">
        <v>71</v>
      </c>
      <c r="C8390" s="59">
        <v>210</v>
      </c>
      <c r="D8390" s="51">
        <v>5</v>
      </c>
      <c r="E8390" s="51">
        <f t="shared" si="131"/>
        <v>1</v>
      </c>
    </row>
    <row r="8391" spans="1:5">
      <c r="A8391" s="59">
        <v>17</v>
      </c>
      <c r="B8391" s="59">
        <v>71</v>
      </c>
      <c r="C8391" s="59">
        <v>950</v>
      </c>
      <c r="D8391" s="51">
        <v>5</v>
      </c>
      <c r="E8391" s="51">
        <f t="shared" si="131"/>
        <v>1</v>
      </c>
    </row>
    <row r="8392" spans="1:5">
      <c r="A8392" s="59">
        <v>17</v>
      </c>
      <c r="B8392" s="59">
        <v>81</v>
      </c>
      <c r="C8392" s="59">
        <v>710</v>
      </c>
      <c r="D8392" s="51">
        <v>5</v>
      </c>
      <c r="E8392" s="51">
        <f t="shared" si="131"/>
        <v>1</v>
      </c>
    </row>
    <row r="8393" spans="1:5">
      <c r="A8393" s="59">
        <v>17</v>
      </c>
      <c r="B8393" s="59">
        <v>11</v>
      </c>
      <c r="C8393" s="59">
        <v>150</v>
      </c>
      <c r="D8393" s="51">
        <v>4</v>
      </c>
      <c r="E8393" s="51">
        <f t="shared" si="131"/>
        <v>1</v>
      </c>
    </row>
    <row r="8394" spans="1:5">
      <c r="A8394" s="59">
        <v>17</v>
      </c>
      <c r="B8394" s="59">
        <v>23</v>
      </c>
      <c r="C8394" s="59">
        <v>230</v>
      </c>
      <c r="D8394" s="51">
        <v>4</v>
      </c>
      <c r="E8394" s="51">
        <f t="shared" si="131"/>
        <v>1</v>
      </c>
    </row>
    <row r="8395" spans="1:5">
      <c r="A8395" s="59">
        <v>17</v>
      </c>
      <c r="B8395" s="59">
        <v>24</v>
      </c>
      <c r="C8395" s="59">
        <v>910</v>
      </c>
      <c r="D8395" s="51">
        <v>4</v>
      </c>
      <c r="E8395" s="51">
        <f t="shared" si="131"/>
        <v>1</v>
      </c>
    </row>
    <row r="8396" spans="1:5">
      <c r="A8396" s="59">
        <v>17</v>
      </c>
      <c r="B8396" s="59">
        <v>32</v>
      </c>
      <c r="C8396" s="59">
        <v>720</v>
      </c>
      <c r="D8396" s="51">
        <v>4</v>
      </c>
      <c r="E8396" s="51">
        <f t="shared" si="131"/>
        <v>1</v>
      </c>
    </row>
    <row r="8397" spans="1:5">
      <c r="A8397" s="59">
        <v>17</v>
      </c>
      <c r="B8397" s="59">
        <v>32</v>
      </c>
      <c r="C8397" s="59">
        <v>970</v>
      </c>
      <c r="D8397" s="51">
        <v>4</v>
      </c>
      <c r="E8397" s="51">
        <f t="shared" si="131"/>
        <v>1</v>
      </c>
    </row>
    <row r="8398" spans="1:5">
      <c r="A8398" s="59">
        <v>17</v>
      </c>
      <c r="B8398" s="59">
        <v>33</v>
      </c>
      <c r="C8398" s="59">
        <v>240</v>
      </c>
      <c r="D8398" s="51">
        <v>4</v>
      </c>
      <c r="E8398" s="51">
        <f t="shared" si="131"/>
        <v>1</v>
      </c>
    </row>
    <row r="8399" spans="1:5">
      <c r="A8399" s="59">
        <v>17</v>
      </c>
      <c r="B8399" s="59">
        <v>41</v>
      </c>
      <c r="C8399" s="59">
        <v>750</v>
      </c>
      <c r="D8399" s="51">
        <v>4</v>
      </c>
      <c r="E8399" s="51">
        <f t="shared" si="131"/>
        <v>1</v>
      </c>
    </row>
    <row r="8400" spans="1:5">
      <c r="A8400" s="59">
        <v>17</v>
      </c>
      <c r="B8400" s="59">
        <v>42</v>
      </c>
      <c r="C8400" s="59">
        <v>230</v>
      </c>
      <c r="D8400" s="51">
        <v>4</v>
      </c>
      <c r="E8400" s="51">
        <f t="shared" si="131"/>
        <v>1</v>
      </c>
    </row>
    <row r="8401" spans="1:5">
      <c r="A8401" s="59">
        <v>17</v>
      </c>
      <c r="B8401" s="59">
        <v>42</v>
      </c>
      <c r="C8401" s="59">
        <v>310</v>
      </c>
      <c r="D8401" s="51">
        <v>4</v>
      </c>
      <c r="E8401" s="51">
        <f t="shared" si="131"/>
        <v>1</v>
      </c>
    </row>
    <row r="8402" spans="1:5">
      <c r="A8402" s="59">
        <v>17</v>
      </c>
      <c r="B8402" s="59">
        <v>42</v>
      </c>
      <c r="C8402" s="59">
        <v>440</v>
      </c>
      <c r="D8402" s="51">
        <v>4</v>
      </c>
      <c r="E8402" s="51">
        <f t="shared" si="131"/>
        <v>1</v>
      </c>
    </row>
    <row r="8403" spans="1:5">
      <c r="A8403" s="59">
        <v>17</v>
      </c>
      <c r="B8403" s="59">
        <v>42</v>
      </c>
      <c r="C8403" s="59">
        <v>640</v>
      </c>
      <c r="D8403" s="51">
        <v>4</v>
      </c>
      <c r="E8403" s="51">
        <f t="shared" si="131"/>
        <v>1</v>
      </c>
    </row>
    <row r="8404" spans="1:5">
      <c r="A8404" s="59">
        <v>17</v>
      </c>
      <c r="B8404" s="59">
        <v>43</v>
      </c>
      <c r="C8404" s="59">
        <v>630</v>
      </c>
      <c r="D8404" s="51">
        <v>4</v>
      </c>
      <c r="E8404" s="51">
        <f t="shared" si="131"/>
        <v>1</v>
      </c>
    </row>
    <row r="8405" spans="1:5">
      <c r="A8405" s="59">
        <v>17</v>
      </c>
      <c r="B8405" s="59">
        <v>44</v>
      </c>
      <c r="C8405" s="59">
        <v>230</v>
      </c>
      <c r="D8405" s="51">
        <v>4</v>
      </c>
      <c r="E8405" s="51">
        <f t="shared" si="131"/>
        <v>1</v>
      </c>
    </row>
    <row r="8406" spans="1:5">
      <c r="A8406" s="59">
        <v>17</v>
      </c>
      <c r="B8406" s="59">
        <v>44</v>
      </c>
      <c r="C8406" s="59">
        <v>330</v>
      </c>
      <c r="D8406" s="51">
        <v>4</v>
      </c>
      <c r="E8406" s="51">
        <f t="shared" si="131"/>
        <v>1</v>
      </c>
    </row>
    <row r="8407" spans="1:5">
      <c r="A8407" s="59">
        <v>17</v>
      </c>
      <c r="B8407" s="59">
        <v>62</v>
      </c>
      <c r="C8407" s="59">
        <v>240</v>
      </c>
      <c r="D8407" s="51">
        <v>4</v>
      </c>
      <c r="E8407" s="51">
        <f t="shared" si="131"/>
        <v>1</v>
      </c>
    </row>
    <row r="8408" spans="1:5">
      <c r="A8408" s="59">
        <v>17</v>
      </c>
      <c r="B8408" s="59">
        <v>62</v>
      </c>
      <c r="C8408" s="59">
        <v>740</v>
      </c>
      <c r="D8408" s="51">
        <v>4</v>
      </c>
      <c r="E8408" s="51">
        <f t="shared" si="131"/>
        <v>1</v>
      </c>
    </row>
    <row r="8409" spans="1:5">
      <c r="A8409" s="59">
        <v>17</v>
      </c>
      <c r="B8409" s="59">
        <v>63</v>
      </c>
      <c r="C8409" s="59">
        <v>310</v>
      </c>
      <c r="D8409" s="51">
        <v>4</v>
      </c>
      <c r="E8409" s="51">
        <f t="shared" si="131"/>
        <v>1</v>
      </c>
    </row>
    <row r="8410" spans="1:5">
      <c r="A8410" s="59">
        <v>17</v>
      </c>
      <c r="B8410" s="59">
        <v>63</v>
      </c>
      <c r="C8410" s="59">
        <v>430</v>
      </c>
      <c r="D8410" s="51">
        <v>4</v>
      </c>
      <c r="E8410" s="51">
        <f t="shared" si="131"/>
        <v>1</v>
      </c>
    </row>
    <row r="8411" spans="1:5">
      <c r="A8411" s="59">
        <v>17</v>
      </c>
      <c r="B8411" s="59">
        <v>64</v>
      </c>
      <c r="C8411" s="59">
        <v>831</v>
      </c>
      <c r="D8411" s="51">
        <v>4</v>
      </c>
      <c r="E8411" s="51">
        <f t="shared" si="131"/>
        <v>1</v>
      </c>
    </row>
    <row r="8412" spans="1:5">
      <c r="A8412" s="59">
        <v>17</v>
      </c>
      <c r="B8412" s="59">
        <v>64</v>
      </c>
      <c r="C8412" s="59">
        <v>893</v>
      </c>
      <c r="D8412" s="51">
        <v>4</v>
      </c>
      <c r="E8412" s="51">
        <f t="shared" si="131"/>
        <v>1</v>
      </c>
    </row>
    <row r="8413" spans="1:5">
      <c r="A8413" s="59">
        <v>17</v>
      </c>
      <c r="B8413" s="59">
        <v>71</v>
      </c>
      <c r="C8413" s="59">
        <v>420</v>
      </c>
      <c r="D8413" s="51">
        <v>4</v>
      </c>
      <c r="E8413" s="51">
        <f t="shared" si="131"/>
        <v>1</v>
      </c>
    </row>
    <row r="8414" spans="1:5">
      <c r="A8414" s="59">
        <v>17</v>
      </c>
      <c r="B8414" s="59">
        <v>71</v>
      </c>
      <c r="C8414" s="59">
        <v>430</v>
      </c>
      <c r="D8414" s="51">
        <v>4</v>
      </c>
      <c r="E8414" s="51">
        <f t="shared" si="131"/>
        <v>1</v>
      </c>
    </row>
    <row r="8415" spans="1:5">
      <c r="A8415" s="59">
        <v>17</v>
      </c>
      <c r="B8415" s="59">
        <v>71</v>
      </c>
      <c r="C8415" s="59">
        <v>440</v>
      </c>
      <c r="D8415" s="51">
        <v>4</v>
      </c>
      <c r="E8415" s="51">
        <f t="shared" si="131"/>
        <v>1</v>
      </c>
    </row>
    <row r="8416" spans="1:5">
      <c r="A8416" s="59">
        <v>17</v>
      </c>
      <c r="B8416" s="59">
        <v>71</v>
      </c>
      <c r="C8416" s="59">
        <v>740</v>
      </c>
      <c r="D8416" s="51">
        <v>4</v>
      </c>
      <c r="E8416" s="51">
        <f t="shared" si="131"/>
        <v>1</v>
      </c>
    </row>
    <row r="8417" spans="1:5">
      <c r="A8417" s="59">
        <v>17</v>
      </c>
      <c r="B8417" s="59">
        <v>81</v>
      </c>
      <c r="C8417" s="59">
        <v>240</v>
      </c>
      <c r="D8417" s="51">
        <v>4</v>
      </c>
      <c r="E8417" s="51">
        <f t="shared" si="131"/>
        <v>1</v>
      </c>
    </row>
    <row r="8418" spans="1:5">
      <c r="A8418" s="59">
        <v>17</v>
      </c>
      <c r="B8418" s="59">
        <v>81</v>
      </c>
      <c r="C8418" s="59">
        <v>310</v>
      </c>
      <c r="D8418" s="51">
        <v>4</v>
      </c>
      <c r="E8418" s="51">
        <f t="shared" si="131"/>
        <v>1</v>
      </c>
    </row>
    <row r="8419" spans="1:5">
      <c r="A8419" s="59">
        <v>17</v>
      </c>
      <c r="B8419" s="59">
        <v>13</v>
      </c>
      <c r="C8419" s="59">
        <v>550</v>
      </c>
      <c r="D8419" s="51">
        <v>3</v>
      </c>
      <c r="E8419" s="51">
        <f t="shared" si="131"/>
        <v>1</v>
      </c>
    </row>
    <row r="8420" spans="1:5">
      <c r="A8420" s="59">
        <v>17</v>
      </c>
      <c r="B8420" s="59">
        <v>14</v>
      </c>
      <c r="C8420" s="59">
        <v>130</v>
      </c>
      <c r="D8420" s="51">
        <v>3</v>
      </c>
      <c r="E8420" s="51">
        <f t="shared" si="131"/>
        <v>1</v>
      </c>
    </row>
    <row r="8421" spans="1:5">
      <c r="A8421" s="59">
        <v>17</v>
      </c>
      <c r="B8421" s="59">
        <v>14</v>
      </c>
      <c r="C8421" s="59">
        <v>520</v>
      </c>
      <c r="D8421" s="51">
        <v>3</v>
      </c>
      <c r="E8421" s="51">
        <f t="shared" si="131"/>
        <v>1</v>
      </c>
    </row>
    <row r="8422" spans="1:5">
      <c r="A8422" s="59">
        <v>17</v>
      </c>
      <c r="B8422" s="59">
        <v>15</v>
      </c>
      <c r="C8422" s="59">
        <v>410</v>
      </c>
      <c r="D8422" s="51">
        <v>3</v>
      </c>
      <c r="E8422" s="51">
        <f t="shared" si="131"/>
        <v>1</v>
      </c>
    </row>
    <row r="8423" spans="1:5">
      <c r="A8423" s="59">
        <v>17</v>
      </c>
      <c r="B8423" s="59">
        <v>16</v>
      </c>
      <c r="C8423" s="59">
        <v>220</v>
      </c>
      <c r="D8423" s="51">
        <v>3</v>
      </c>
      <c r="E8423" s="51">
        <f t="shared" si="131"/>
        <v>1</v>
      </c>
    </row>
    <row r="8424" spans="1:5">
      <c r="A8424" s="59">
        <v>17</v>
      </c>
      <c r="B8424" s="59">
        <v>16</v>
      </c>
      <c r="C8424" s="59">
        <v>320</v>
      </c>
      <c r="D8424" s="51">
        <v>3</v>
      </c>
      <c r="E8424" s="51">
        <f t="shared" si="131"/>
        <v>1</v>
      </c>
    </row>
    <row r="8425" spans="1:5">
      <c r="A8425" s="59">
        <v>17</v>
      </c>
      <c r="B8425" s="59">
        <v>21</v>
      </c>
      <c r="C8425" s="59">
        <v>410</v>
      </c>
      <c r="D8425" s="51">
        <v>3</v>
      </c>
      <c r="E8425" s="51">
        <f t="shared" si="131"/>
        <v>1</v>
      </c>
    </row>
    <row r="8426" spans="1:5">
      <c r="A8426" s="59">
        <v>17</v>
      </c>
      <c r="B8426" s="59">
        <v>21</v>
      </c>
      <c r="C8426" s="59">
        <v>920</v>
      </c>
      <c r="D8426" s="51">
        <v>3</v>
      </c>
      <c r="E8426" s="51">
        <f t="shared" si="131"/>
        <v>1</v>
      </c>
    </row>
    <row r="8427" spans="1:5">
      <c r="A8427" s="59">
        <v>17</v>
      </c>
      <c r="B8427" s="59">
        <v>22</v>
      </c>
      <c r="C8427" s="59">
        <v>610</v>
      </c>
      <c r="D8427" s="51">
        <v>3</v>
      </c>
      <c r="E8427" s="51">
        <f t="shared" si="131"/>
        <v>1</v>
      </c>
    </row>
    <row r="8428" spans="1:5">
      <c r="A8428" s="59">
        <v>17</v>
      </c>
      <c r="B8428" s="59">
        <v>22</v>
      </c>
      <c r="C8428" s="59">
        <v>720</v>
      </c>
      <c r="D8428" s="51">
        <v>3</v>
      </c>
      <c r="E8428" s="51">
        <f t="shared" si="131"/>
        <v>1</v>
      </c>
    </row>
    <row r="8429" spans="1:5">
      <c r="A8429" s="59">
        <v>17</v>
      </c>
      <c r="B8429" s="59">
        <v>23</v>
      </c>
      <c r="C8429" s="59">
        <v>210</v>
      </c>
      <c r="D8429" s="51">
        <v>3</v>
      </c>
      <c r="E8429" s="51">
        <f t="shared" si="131"/>
        <v>1</v>
      </c>
    </row>
    <row r="8430" spans="1:5">
      <c r="A8430" s="59">
        <v>17</v>
      </c>
      <c r="B8430" s="59">
        <v>23</v>
      </c>
      <c r="C8430" s="59">
        <v>530</v>
      </c>
      <c r="D8430" s="51">
        <v>3</v>
      </c>
      <c r="E8430" s="51">
        <f t="shared" si="131"/>
        <v>1</v>
      </c>
    </row>
    <row r="8431" spans="1:5">
      <c r="A8431" s="59">
        <v>17</v>
      </c>
      <c r="B8431" s="59">
        <v>24</v>
      </c>
      <c r="C8431" s="59">
        <v>230</v>
      </c>
      <c r="D8431" s="51">
        <v>3</v>
      </c>
      <c r="E8431" s="51">
        <f t="shared" si="131"/>
        <v>1</v>
      </c>
    </row>
    <row r="8432" spans="1:5">
      <c r="A8432" s="59">
        <v>17</v>
      </c>
      <c r="B8432" s="59">
        <v>24</v>
      </c>
      <c r="C8432" s="59">
        <v>920</v>
      </c>
      <c r="D8432" s="51">
        <v>3</v>
      </c>
      <c r="E8432" s="51">
        <f t="shared" si="131"/>
        <v>1</v>
      </c>
    </row>
    <row r="8433" spans="1:5">
      <c r="A8433" s="59">
        <v>17</v>
      </c>
      <c r="B8433" s="59">
        <v>41</v>
      </c>
      <c r="C8433" s="59">
        <v>150</v>
      </c>
      <c r="D8433" s="51">
        <v>3</v>
      </c>
      <c r="E8433" s="51">
        <f t="shared" si="131"/>
        <v>1</v>
      </c>
    </row>
    <row r="8434" spans="1:5">
      <c r="A8434" s="59">
        <v>17</v>
      </c>
      <c r="B8434" s="59">
        <v>41</v>
      </c>
      <c r="C8434" s="59">
        <v>210</v>
      </c>
      <c r="D8434" s="51">
        <v>3</v>
      </c>
      <c r="E8434" s="51">
        <f t="shared" si="131"/>
        <v>1</v>
      </c>
    </row>
    <row r="8435" spans="1:5">
      <c r="A8435" s="59">
        <v>17</v>
      </c>
      <c r="B8435" s="59">
        <v>41</v>
      </c>
      <c r="C8435" s="59">
        <v>860</v>
      </c>
      <c r="D8435" s="51">
        <v>3</v>
      </c>
      <c r="E8435" s="51">
        <f t="shared" si="131"/>
        <v>1</v>
      </c>
    </row>
    <row r="8436" spans="1:5">
      <c r="A8436" s="59">
        <v>17</v>
      </c>
      <c r="B8436" s="59">
        <v>42</v>
      </c>
      <c r="C8436" s="59">
        <v>150</v>
      </c>
      <c r="D8436" s="51">
        <v>3</v>
      </c>
      <c r="E8436" s="51">
        <f t="shared" si="131"/>
        <v>1</v>
      </c>
    </row>
    <row r="8437" spans="1:5">
      <c r="A8437" s="59">
        <v>17</v>
      </c>
      <c r="B8437" s="59">
        <v>42</v>
      </c>
      <c r="C8437" s="59">
        <v>970</v>
      </c>
      <c r="D8437" s="51">
        <v>3</v>
      </c>
      <c r="E8437" s="51">
        <f t="shared" si="131"/>
        <v>1</v>
      </c>
    </row>
    <row r="8438" spans="1:5">
      <c r="A8438" s="59">
        <v>17</v>
      </c>
      <c r="B8438" s="59">
        <v>43</v>
      </c>
      <c r="C8438" s="59">
        <v>130</v>
      </c>
      <c r="D8438" s="51">
        <v>3</v>
      </c>
      <c r="E8438" s="51">
        <f t="shared" si="131"/>
        <v>1</v>
      </c>
    </row>
    <row r="8439" spans="1:5">
      <c r="A8439" s="59">
        <v>17</v>
      </c>
      <c r="B8439" s="59">
        <v>43</v>
      </c>
      <c r="C8439" s="59">
        <v>895</v>
      </c>
      <c r="D8439" s="51">
        <v>3</v>
      </c>
      <c r="E8439" s="51">
        <f t="shared" si="131"/>
        <v>1</v>
      </c>
    </row>
    <row r="8440" spans="1:5">
      <c r="A8440" s="59">
        <v>17</v>
      </c>
      <c r="B8440" s="59">
        <v>44</v>
      </c>
      <c r="C8440" s="59">
        <v>310</v>
      </c>
      <c r="D8440" s="51">
        <v>3</v>
      </c>
      <c r="E8440" s="51">
        <f t="shared" si="131"/>
        <v>1</v>
      </c>
    </row>
    <row r="8441" spans="1:5">
      <c r="A8441" s="59">
        <v>17</v>
      </c>
      <c r="B8441" s="59">
        <v>44</v>
      </c>
      <c r="C8441" s="59">
        <v>550</v>
      </c>
      <c r="D8441" s="51">
        <v>3</v>
      </c>
      <c r="E8441" s="51">
        <f t="shared" si="131"/>
        <v>1</v>
      </c>
    </row>
    <row r="8442" spans="1:5">
      <c r="A8442" s="59">
        <v>17</v>
      </c>
      <c r="B8442" s="59">
        <v>61</v>
      </c>
      <c r="C8442" s="59">
        <v>510</v>
      </c>
      <c r="D8442" s="51">
        <v>3</v>
      </c>
      <c r="E8442" s="51">
        <f t="shared" si="131"/>
        <v>1</v>
      </c>
    </row>
    <row r="8443" spans="1:5">
      <c r="A8443" s="59">
        <v>17</v>
      </c>
      <c r="B8443" s="59">
        <v>62</v>
      </c>
      <c r="C8443" s="59">
        <v>230</v>
      </c>
      <c r="D8443" s="51">
        <v>3</v>
      </c>
      <c r="E8443" s="51">
        <f t="shared" si="131"/>
        <v>1</v>
      </c>
    </row>
    <row r="8444" spans="1:5">
      <c r="A8444" s="59">
        <v>17</v>
      </c>
      <c r="B8444" s="59">
        <v>62</v>
      </c>
      <c r="C8444" s="59">
        <v>320</v>
      </c>
      <c r="D8444" s="51">
        <v>3</v>
      </c>
      <c r="E8444" s="51">
        <f t="shared" si="131"/>
        <v>1</v>
      </c>
    </row>
    <row r="8445" spans="1:5">
      <c r="A8445" s="59">
        <v>17</v>
      </c>
      <c r="B8445" s="59">
        <v>62</v>
      </c>
      <c r="C8445" s="59">
        <v>330</v>
      </c>
      <c r="D8445" s="51">
        <v>3</v>
      </c>
      <c r="E8445" s="51">
        <f t="shared" si="131"/>
        <v>1</v>
      </c>
    </row>
    <row r="8446" spans="1:5">
      <c r="A8446" s="59">
        <v>17</v>
      </c>
      <c r="B8446" s="59">
        <v>62</v>
      </c>
      <c r="C8446" s="59">
        <v>630</v>
      </c>
      <c r="D8446" s="51">
        <v>3</v>
      </c>
      <c r="E8446" s="51">
        <f t="shared" si="131"/>
        <v>1</v>
      </c>
    </row>
    <row r="8447" spans="1:5">
      <c r="A8447" s="59">
        <v>17</v>
      </c>
      <c r="B8447" s="59">
        <v>63</v>
      </c>
      <c r="C8447" s="59">
        <v>950</v>
      </c>
      <c r="D8447" s="51">
        <v>3</v>
      </c>
      <c r="E8447" s="51">
        <f t="shared" si="131"/>
        <v>1</v>
      </c>
    </row>
    <row r="8448" spans="1:5">
      <c r="A8448" s="59">
        <v>17</v>
      </c>
      <c r="B8448" s="59">
        <v>71</v>
      </c>
      <c r="C8448" s="59">
        <v>831</v>
      </c>
      <c r="D8448" s="51">
        <v>3</v>
      </c>
      <c r="E8448" s="51">
        <f t="shared" si="131"/>
        <v>1</v>
      </c>
    </row>
    <row r="8449" spans="1:5">
      <c r="A8449" s="59">
        <v>17</v>
      </c>
      <c r="B8449" s="59">
        <v>71</v>
      </c>
      <c r="C8449" s="59">
        <v>940</v>
      </c>
      <c r="D8449" s="51">
        <v>3</v>
      </c>
      <c r="E8449" s="51">
        <f t="shared" si="131"/>
        <v>1</v>
      </c>
    </row>
    <row r="8450" spans="1:5">
      <c r="A8450" s="59">
        <v>17</v>
      </c>
      <c r="B8450" s="59">
        <v>81</v>
      </c>
      <c r="C8450" s="59">
        <v>320</v>
      </c>
      <c r="D8450" s="51">
        <v>3</v>
      </c>
      <c r="E8450" s="51">
        <f t="shared" ref="E8450:E8513" si="132">IF(OR(A8450=6,A8450=7,A8450=14,A8450=15,A8450=16,A8450=17,A8450=18,A8450=19,A8450=20,A8450=21,A8450=22,A8450=23,A8450=25,A8450=26,A8450=27,A8450=28,B8450=41,B8450=44,B8450=62),1,0)</f>
        <v>1</v>
      </c>
    </row>
    <row r="8451" spans="1:5">
      <c r="A8451" s="59">
        <v>17</v>
      </c>
      <c r="B8451" s="59">
        <v>14</v>
      </c>
      <c r="C8451" s="59">
        <v>970</v>
      </c>
      <c r="D8451" s="51">
        <v>2</v>
      </c>
      <c r="E8451" s="51">
        <f t="shared" si="132"/>
        <v>1</v>
      </c>
    </row>
    <row r="8452" spans="1:5">
      <c r="A8452" s="59">
        <v>17</v>
      </c>
      <c r="B8452" s="59">
        <v>15</v>
      </c>
      <c r="C8452" s="59">
        <v>230</v>
      </c>
      <c r="D8452" s="51">
        <v>2</v>
      </c>
      <c r="E8452" s="51">
        <f t="shared" si="132"/>
        <v>1</v>
      </c>
    </row>
    <row r="8453" spans="1:5">
      <c r="A8453" s="59">
        <v>17</v>
      </c>
      <c r="B8453" s="59">
        <v>15</v>
      </c>
      <c r="C8453" s="59">
        <v>940</v>
      </c>
      <c r="D8453" s="51">
        <v>2</v>
      </c>
      <c r="E8453" s="51">
        <f t="shared" si="132"/>
        <v>1</v>
      </c>
    </row>
    <row r="8454" spans="1:5">
      <c r="A8454" s="59">
        <v>17</v>
      </c>
      <c r="B8454" s="59">
        <v>15</v>
      </c>
      <c r="C8454" s="59">
        <v>990</v>
      </c>
      <c r="D8454" s="51">
        <v>2</v>
      </c>
      <c r="E8454" s="51">
        <f t="shared" si="132"/>
        <v>1</v>
      </c>
    </row>
    <row r="8455" spans="1:5">
      <c r="A8455" s="59">
        <v>17</v>
      </c>
      <c r="B8455" s="59">
        <v>16</v>
      </c>
      <c r="C8455" s="59">
        <v>130</v>
      </c>
      <c r="D8455" s="51">
        <v>2</v>
      </c>
      <c r="E8455" s="51">
        <f t="shared" si="132"/>
        <v>1</v>
      </c>
    </row>
    <row r="8456" spans="1:5">
      <c r="A8456" s="59">
        <v>17</v>
      </c>
      <c r="B8456" s="59">
        <v>16</v>
      </c>
      <c r="C8456" s="59">
        <v>930</v>
      </c>
      <c r="D8456" s="51">
        <v>2</v>
      </c>
      <c r="E8456" s="51">
        <f t="shared" si="132"/>
        <v>1</v>
      </c>
    </row>
    <row r="8457" spans="1:5">
      <c r="A8457" s="59">
        <v>17</v>
      </c>
      <c r="B8457" s="59">
        <v>21</v>
      </c>
      <c r="C8457" s="59">
        <v>230</v>
      </c>
      <c r="D8457" s="51">
        <v>2</v>
      </c>
      <c r="E8457" s="51">
        <f t="shared" si="132"/>
        <v>1</v>
      </c>
    </row>
    <row r="8458" spans="1:5">
      <c r="A8458" s="59">
        <v>17</v>
      </c>
      <c r="B8458" s="59">
        <v>22</v>
      </c>
      <c r="C8458" s="59">
        <v>120</v>
      </c>
      <c r="D8458" s="51">
        <v>2</v>
      </c>
      <c r="E8458" s="51">
        <f t="shared" si="132"/>
        <v>1</v>
      </c>
    </row>
    <row r="8459" spans="1:5">
      <c r="A8459" s="59">
        <v>17</v>
      </c>
      <c r="B8459" s="59">
        <v>22</v>
      </c>
      <c r="C8459" s="59">
        <v>140</v>
      </c>
      <c r="D8459" s="51">
        <v>2</v>
      </c>
      <c r="E8459" s="51">
        <f t="shared" si="132"/>
        <v>1</v>
      </c>
    </row>
    <row r="8460" spans="1:5">
      <c r="A8460" s="59">
        <v>17</v>
      </c>
      <c r="B8460" s="59">
        <v>22</v>
      </c>
      <c r="C8460" s="59">
        <v>840</v>
      </c>
      <c r="D8460" s="51">
        <v>2</v>
      </c>
      <c r="E8460" s="51">
        <f t="shared" si="132"/>
        <v>1</v>
      </c>
    </row>
    <row r="8461" spans="1:5">
      <c r="A8461" s="59">
        <v>17</v>
      </c>
      <c r="B8461" s="59">
        <v>22</v>
      </c>
      <c r="C8461" s="59">
        <v>990</v>
      </c>
      <c r="D8461" s="51">
        <v>2</v>
      </c>
      <c r="E8461" s="51">
        <f t="shared" si="132"/>
        <v>1</v>
      </c>
    </row>
    <row r="8462" spans="1:5">
      <c r="A8462" s="59">
        <v>17</v>
      </c>
      <c r="B8462" s="59">
        <v>24</v>
      </c>
      <c r="C8462" s="59">
        <v>210</v>
      </c>
      <c r="D8462" s="51">
        <v>2</v>
      </c>
      <c r="E8462" s="51">
        <f t="shared" si="132"/>
        <v>1</v>
      </c>
    </row>
    <row r="8463" spans="1:5">
      <c r="A8463" s="59">
        <v>17</v>
      </c>
      <c r="B8463" s="59">
        <v>31</v>
      </c>
      <c r="C8463" s="59">
        <v>530</v>
      </c>
      <c r="D8463" s="51">
        <v>2</v>
      </c>
      <c r="E8463" s="51">
        <f t="shared" si="132"/>
        <v>1</v>
      </c>
    </row>
    <row r="8464" spans="1:5">
      <c r="A8464" s="59">
        <v>17</v>
      </c>
      <c r="B8464" s="59">
        <v>32</v>
      </c>
      <c r="C8464" s="59">
        <v>150</v>
      </c>
      <c r="D8464" s="51">
        <v>2</v>
      </c>
      <c r="E8464" s="51">
        <f t="shared" si="132"/>
        <v>1</v>
      </c>
    </row>
    <row r="8465" spans="1:5">
      <c r="A8465" s="59">
        <v>17</v>
      </c>
      <c r="B8465" s="59">
        <v>32</v>
      </c>
      <c r="C8465" s="59">
        <v>310</v>
      </c>
      <c r="D8465" s="51">
        <v>2</v>
      </c>
      <c r="E8465" s="51">
        <f t="shared" si="132"/>
        <v>1</v>
      </c>
    </row>
    <row r="8466" spans="1:5">
      <c r="A8466" s="59">
        <v>17</v>
      </c>
      <c r="B8466" s="59">
        <v>32</v>
      </c>
      <c r="C8466" s="59">
        <v>320</v>
      </c>
      <c r="D8466" s="51">
        <v>2</v>
      </c>
      <c r="E8466" s="51">
        <f t="shared" si="132"/>
        <v>1</v>
      </c>
    </row>
    <row r="8467" spans="1:5">
      <c r="A8467" s="59">
        <v>17</v>
      </c>
      <c r="B8467" s="59">
        <v>32</v>
      </c>
      <c r="C8467" s="59">
        <v>620</v>
      </c>
      <c r="D8467" s="51">
        <v>2</v>
      </c>
      <c r="E8467" s="51">
        <f t="shared" si="132"/>
        <v>1</v>
      </c>
    </row>
    <row r="8468" spans="1:5">
      <c r="A8468" s="59">
        <v>17</v>
      </c>
      <c r="B8468" s="59">
        <v>32</v>
      </c>
      <c r="C8468" s="59">
        <v>990</v>
      </c>
      <c r="D8468" s="51">
        <v>2</v>
      </c>
      <c r="E8468" s="51">
        <f t="shared" si="132"/>
        <v>1</v>
      </c>
    </row>
    <row r="8469" spans="1:5">
      <c r="A8469" s="59">
        <v>17</v>
      </c>
      <c r="B8469" s="59">
        <v>33</v>
      </c>
      <c r="C8469" s="59">
        <v>160</v>
      </c>
      <c r="D8469" s="51">
        <v>2</v>
      </c>
      <c r="E8469" s="51">
        <f t="shared" si="132"/>
        <v>1</v>
      </c>
    </row>
    <row r="8470" spans="1:5">
      <c r="A8470" s="59">
        <v>17</v>
      </c>
      <c r="B8470" s="59">
        <v>33</v>
      </c>
      <c r="C8470" s="59">
        <v>210</v>
      </c>
      <c r="D8470" s="51">
        <v>2</v>
      </c>
      <c r="E8470" s="51">
        <f t="shared" si="132"/>
        <v>1</v>
      </c>
    </row>
    <row r="8471" spans="1:5">
      <c r="A8471" s="59">
        <v>17</v>
      </c>
      <c r="B8471" s="59">
        <v>33</v>
      </c>
      <c r="C8471" s="59">
        <v>720</v>
      </c>
      <c r="D8471" s="51">
        <v>2</v>
      </c>
      <c r="E8471" s="51">
        <f t="shared" si="132"/>
        <v>1</v>
      </c>
    </row>
    <row r="8472" spans="1:5">
      <c r="A8472" s="59">
        <v>17</v>
      </c>
      <c r="B8472" s="59">
        <v>33</v>
      </c>
      <c r="C8472" s="59">
        <v>930</v>
      </c>
      <c r="D8472" s="51">
        <v>2</v>
      </c>
      <c r="E8472" s="51">
        <f t="shared" si="132"/>
        <v>1</v>
      </c>
    </row>
    <row r="8473" spans="1:5">
      <c r="A8473" s="59">
        <v>17</v>
      </c>
      <c r="B8473" s="59">
        <v>41</v>
      </c>
      <c r="C8473" s="59">
        <v>960</v>
      </c>
      <c r="D8473" s="51">
        <v>2</v>
      </c>
      <c r="E8473" s="51">
        <f t="shared" si="132"/>
        <v>1</v>
      </c>
    </row>
    <row r="8474" spans="1:5">
      <c r="A8474" s="59">
        <v>17</v>
      </c>
      <c r="B8474" s="59">
        <v>42</v>
      </c>
      <c r="C8474" s="59">
        <v>240</v>
      </c>
      <c r="D8474" s="51">
        <v>2</v>
      </c>
      <c r="E8474" s="51">
        <f t="shared" si="132"/>
        <v>1</v>
      </c>
    </row>
    <row r="8475" spans="1:5">
      <c r="A8475" s="59">
        <v>17</v>
      </c>
      <c r="B8475" s="59">
        <v>42</v>
      </c>
      <c r="C8475" s="59">
        <v>410</v>
      </c>
      <c r="D8475" s="51">
        <v>2</v>
      </c>
      <c r="E8475" s="51">
        <f t="shared" si="132"/>
        <v>1</v>
      </c>
    </row>
    <row r="8476" spans="1:5">
      <c r="A8476" s="59">
        <v>17</v>
      </c>
      <c r="B8476" s="59">
        <v>42</v>
      </c>
      <c r="C8476" s="59">
        <v>430</v>
      </c>
      <c r="D8476" s="51">
        <v>2</v>
      </c>
      <c r="E8476" s="51">
        <f t="shared" si="132"/>
        <v>1</v>
      </c>
    </row>
    <row r="8477" spans="1:5">
      <c r="A8477" s="59">
        <v>17</v>
      </c>
      <c r="B8477" s="59">
        <v>43</v>
      </c>
      <c r="C8477" s="59">
        <v>891</v>
      </c>
      <c r="D8477" s="51">
        <v>2</v>
      </c>
      <c r="E8477" s="51">
        <f t="shared" si="132"/>
        <v>1</v>
      </c>
    </row>
    <row r="8478" spans="1:5">
      <c r="A8478" s="59">
        <v>17</v>
      </c>
      <c r="B8478" s="59">
        <v>44</v>
      </c>
      <c r="C8478" s="59">
        <v>430</v>
      </c>
      <c r="D8478" s="51">
        <v>2</v>
      </c>
      <c r="E8478" s="51">
        <f t="shared" si="132"/>
        <v>1</v>
      </c>
    </row>
    <row r="8479" spans="1:5">
      <c r="A8479" s="59">
        <v>17</v>
      </c>
      <c r="B8479" s="59">
        <v>44</v>
      </c>
      <c r="C8479" s="59">
        <v>893</v>
      </c>
      <c r="D8479" s="51">
        <v>2</v>
      </c>
      <c r="E8479" s="51">
        <f t="shared" si="132"/>
        <v>1</v>
      </c>
    </row>
    <row r="8480" spans="1:5">
      <c r="A8480" s="59">
        <v>17</v>
      </c>
      <c r="B8480" s="59">
        <v>51</v>
      </c>
      <c r="C8480" s="59">
        <v>420</v>
      </c>
      <c r="D8480" s="51">
        <v>2</v>
      </c>
      <c r="E8480" s="51">
        <f t="shared" si="132"/>
        <v>1</v>
      </c>
    </row>
    <row r="8481" spans="1:5">
      <c r="A8481" s="59">
        <v>17</v>
      </c>
      <c r="B8481" s="59">
        <v>62</v>
      </c>
      <c r="C8481" s="59">
        <v>440</v>
      </c>
      <c r="D8481" s="51">
        <v>2</v>
      </c>
      <c r="E8481" s="51">
        <f t="shared" si="132"/>
        <v>1</v>
      </c>
    </row>
    <row r="8482" spans="1:5">
      <c r="A8482" s="59">
        <v>17</v>
      </c>
      <c r="B8482" s="59">
        <v>62</v>
      </c>
      <c r="C8482" s="59">
        <v>861</v>
      </c>
      <c r="D8482" s="51">
        <v>2</v>
      </c>
      <c r="E8482" s="51">
        <f t="shared" si="132"/>
        <v>1</v>
      </c>
    </row>
    <row r="8483" spans="1:5">
      <c r="A8483" s="59">
        <v>17</v>
      </c>
      <c r="B8483" s="59">
        <v>63</v>
      </c>
      <c r="C8483" s="59">
        <v>740</v>
      </c>
      <c r="D8483" s="51">
        <v>2</v>
      </c>
      <c r="E8483" s="51">
        <f t="shared" si="132"/>
        <v>1</v>
      </c>
    </row>
    <row r="8484" spans="1:5">
      <c r="A8484" s="59">
        <v>17</v>
      </c>
      <c r="B8484" s="59">
        <v>63</v>
      </c>
      <c r="C8484" s="59">
        <v>899</v>
      </c>
      <c r="D8484" s="51">
        <v>2</v>
      </c>
      <c r="E8484" s="51">
        <f t="shared" si="132"/>
        <v>1</v>
      </c>
    </row>
    <row r="8485" spans="1:5">
      <c r="A8485" s="59">
        <v>17</v>
      </c>
      <c r="B8485" s="59">
        <v>64</v>
      </c>
      <c r="C8485" s="59">
        <v>850</v>
      </c>
      <c r="D8485" s="51">
        <v>2</v>
      </c>
      <c r="E8485" s="51">
        <f t="shared" si="132"/>
        <v>1</v>
      </c>
    </row>
    <row r="8486" spans="1:5">
      <c r="A8486" s="59">
        <v>17</v>
      </c>
      <c r="B8486" s="59">
        <v>64</v>
      </c>
      <c r="C8486" s="59">
        <v>891</v>
      </c>
      <c r="D8486" s="51">
        <v>2</v>
      </c>
      <c r="E8486" s="51">
        <f t="shared" si="132"/>
        <v>1</v>
      </c>
    </row>
    <row r="8487" spans="1:5">
      <c r="A8487" s="59">
        <v>17</v>
      </c>
      <c r="B8487" s="59">
        <v>71</v>
      </c>
      <c r="C8487" s="59">
        <v>230</v>
      </c>
      <c r="D8487" s="51">
        <v>2</v>
      </c>
      <c r="E8487" s="51">
        <f t="shared" si="132"/>
        <v>1</v>
      </c>
    </row>
    <row r="8488" spans="1:5">
      <c r="A8488" s="59">
        <v>17</v>
      </c>
      <c r="B8488" s="59">
        <v>81</v>
      </c>
      <c r="C8488" s="59">
        <v>870</v>
      </c>
      <c r="D8488" s="51">
        <v>2</v>
      </c>
      <c r="E8488" s="51">
        <f t="shared" si="132"/>
        <v>1</v>
      </c>
    </row>
    <row r="8489" spans="1:5">
      <c r="A8489" s="59">
        <v>17</v>
      </c>
      <c r="B8489" s="59">
        <v>11</v>
      </c>
      <c r="C8489" s="59">
        <v>110</v>
      </c>
      <c r="D8489" s="51">
        <v>1</v>
      </c>
      <c r="E8489" s="51">
        <f t="shared" si="132"/>
        <v>1</v>
      </c>
    </row>
    <row r="8490" spans="1:5">
      <c r="A8490" s="59">
        <v>17</v>
      </c>
      <c r="B8490" s="59">
        <v>11</v>
      </c>
      <c r="C8490" s="59">
        <v>160</v>
      </c>
      <c r="D8490" s="51">
        <v>1</v>
      </c>
      <c r="E8490" s="51">
        <f t="shared" si="132"/>
        <v>1</v>
      </c>
    </row>
    <row r="8491" spans="1:5">
      <c r="A8491" s="59">
        <v>17</v>
      </c>
      <c r="B8491" s="59">
        <v>12</v>
      </c>
      <c r="C8491" s="59">
        <v>150</v>
      </c>
      <c r="D8491" s="51">
        <v>1</v>
      </c>
      <c r="E8491" s="51">
        <f t="shared" si="132"/>
        <v>1</v>
      </c>
    </row>
    <row r="8492" spans="1:5">
      <c r="A8492" s="59">
        <v>17</v>
      </c>
      <c r="B8492" s="59">
        <v>12</v>
      </c>
      <c r="C8492" s="59">
        <v>520</v>
      </c>
      <c r="D8492" s="51">
        <v>1</v>
      </c>
      <c r="E8492" s="51">
        <f t="shared" si="132"/>
        <v>1</v>
      </c>
    </row>
    <row r="8493" spans="1:5">
      <c r="A8493" s="59">
        <v>17</v>
      </c>
      <c r="B8493" s="59">
        <v>13</v>
      </c>
      <c r="C8493" s="59">
        <v>140</v>
      </c>
      <c r="D8493" s="51">
        <v>1</v>
      </c>
      <c r="E8493" s="51">
        <f t="shared" si="132"/>
        <v>1</v>
      </c>
    </row>
    <row r="8494" spans="1:5">
      <c r="A8494" s="59">
        <v>17</v>
      </c>
      <c r="B8494" s="59">
        <v>13</v>
      </c>
      <c r="C8494" s="59">
        <v>540</v>
      </c>
      <c r="D8494" s="51">
        <v>1</v>
      </c>
      <c r="E8494" s="51">
        <f t="shared" si="132"/>
        <v>1</v>
      </c>
    </row>
    <row r="8495" spans="1:5">
      <c r="A8495" s="59">
        <v>17</v>
      </c>
      <c r="B8495" s="59">
        <v>13</v>
      </c>
      <c r="C8495" s="59">
        <v>640</v>
      </c>
      <c r="D8495" s="51">
        <v>1</v>
      </c>
      <c r="E8495" s="51">
        <f t="shared" si="132"/>
        <v>1</v>
      </c>
    </row>
    <row r="8496" spans="1:5">
      <c r="A8496" s="59">
        <v>17</v>
      </c>
      <c r="B8496" s="59">
        <v>13</v>
      </c>
      <c r="C8496" s="59">
        <v>710</v>
      </c>
      <c r="D8496" s="51">
        <v>1</v>
      </c>
      <c r="E8496" s="51">
        <f t="shared" si="132"/>
        <v>1</v>
      </c>
    </row>
    <row r="8497" spans="1:5">
      <c r="A8497" s="59">
        <v>17</v>
      </c>
      <c r="B8497" s="59">
        <v>13</v>
      </c>
      <c r="C8497" s="59">
        <v>990</v>
      </c>
      <c r="D8497" s="51">
        <v>1</v>
      </c>
      <c r="E8497" s="51">
        <f t="shared" si="132"/>
        <v>1</v>
      </c>
    </row>
    <row r="8498" spans="1:5">
      <c r="A8498" s="59">
        <v>17</v>
      </c>
      <c r="B8498" s="59">
        <v>14</v>
      </c>
      <c r="C8498" s="59">
        <v>730</v>
      </c>
      <c r="D8498" s="51">
        <v>1</v>
      </c>
      <c r="E8498" s="51">
        <f t="shared" si="132"/>
        <v>1</v>
      </c>
    </row>
    <row r="8499" spans="1:5">
      <c r="A8499" s="59">
        <v>17</v>
      </c>
      <c r="B8499" s="59">
        <v>14</v>
      </c>
      <c r="C8499" s="59">
        <v>750</v>
      </c>
      <c r="D8499" s="51">
        <v>1</v>
      </c>
      <c r="E8499" s="51">
        <f t="shared" si="132"/>
        <v>1</v>
      </c>
    </row>
    <row r="8500" spans="1:5">
      <c r="A8500" s="59">
        <v>17</v>
      </c>
      <c r="B8500" s="59">
        <v>14</v>
      </c>
      <c r="C8500" s="59">
        <v>960</v>
      </c>
      <c r="D8500" s="51">
        <v>1</v>
      </c>
      <c r="E8500" s="51">
        <f t="shared" si="132"/>
        <v>1</v>
      </c>
    </row>
    <row r="8501" spans="1:5">
      <c r="A8501" s="59">
        <v>17</v>
      </c>
      <c r="B8501" s="59">
        <v>15</v>
      </c>
      <c r="C8501" s="59">
        <v>220</v>
      </c>
      <c r="D8501" s="51">
        <v>1</v>
      </c>
      <c r="E8501" s="51">
        <f t="shared" si="132"/>
        <v>1</v>
      </c>
    </row>
    <row r="8502" spans="1:5">
      <c r="A8502" s="59">
        <v>17</v>
      </c>
      <c r="B8502" s="59">
        <v>15</v>
      </c>
      <c r="C8502" s="59">
        <v>610</v>
      </c>
      <c r="D8502" s="51">
        <v>1</v>
      </c>
      <c r="E8502" s="51">
        <f t="shared" si="132"/>
        <v>1</v>
      </c>
    </row>
    <row r="8503" spans="1:5">
      <c r="A8503" s="59">
        <v>17</v>
      </c>
      <c r="B8503" s="59">
        <v>15</v>
      </c>
      <c r="C8503" s="59">
        <v>970</v>
      </c>
      <c r="D8503" s="51">
        <v>1</v>
      </c>
      <c r="E8503" s="51">
        <f t="shared" si="132"/>
        <v>1</v>
      </c>
    </row>
    <row r="8504" spans="1:5">
      <c r="A8504" s="59">
        <v>17</v>
      </c>
      <c r="B8504" s="59">
        <v>21</v>
      </c>
      <c r="C8504" s="59">
        <v>240</v>
      </c>
      <c r="D8504" s="51">
        <v>1</v>
      </c>
      <c r="E8504" s="51">
        <f t="shared" si="132"/>
        <v>1</v>
      </c>
    </row>
    <row r="8505" spans="1:5">
      <c r="A8505" s="59">
        <v>17</v>
      </c>
      <c r="B8505" s="59">
        <v>22</v>
      </c>
      <c r="C8505" s="59">
        <v>970</v>
      </c>
      <c r="D8505" s="51">
        <v>1</v>
      </c>
      <c r="E8505" s="51">
        <f t="shared" si="132"/>
        <v>1</v>
      </c>
    </row>
    <row r="8506" spans="1:5">
      <c r="A8506" s="59">
        <v>17</v>
      </c>
      <c r="B8506" s="59">
        <v>23</v>
      </c>
      <c r="C8506" s="59">
        <v>320</v>
      </c>
      <c r="D8506" s="51">
        <v>1</v>
      </c>
      <c r="E8506" s="51">
        <f t="shared" si="132"/>
        <v>1</v>
      </c>
    </row>
    <row r="8507" spans="1:5">
      <c r="A8507" s="59">
        <v>17</v>
      </c>
      <c r="B8507" s="59">
        <v>23</v>
      </c>
      <c r="C8507" s="59">
        <v>330</v>
      </c>
      <c r="D8507" s="51">
        <v>1</v>
      </c>
      <c r="E8507" s="51">
        <f t="shared" si="132"/>
        <v>1</v>
      </c>
    </row>
    <row r="8508" spans="1:5">
      <c r="A8508" s="59">
        <v>17</v>
      </c>
      <c r="B8508" s="59">
        <v>23</v>
      </c>
      <c r="C8508" s="59">
        <v>550</v>
      </c>
      <c r="D8508" s="51">
        <v>1</v>
      </c>
      <c r="E8508" s="51">
        <f t="shared" si="132"/>
        <v>1</v>
      </c>
    </row>
    <row r="8509" spans="1:5">
      <c r="A8509" s="59">
        <v>17</v>
      </c>
      <c r="B8509" s="59">
        <v>24</v>
      </c>
      <c r="C8509" s="59">
        <v>240</v>
      </c>
      <c r="D8509" s="51">
        <v>1</v>
      </c>
      <c r="E8509" s="51">
        <f t="shared" si="132"/>
        <v>1</v>
      </c>
    </row>
    <row r="8510" spans="1:5">
      <c r="A8510" s="59">
        <v>17</v>
      </c>
      <c r="B8510" s="59">
        <v>24</v>
      </c>
      <c r="C8510" s="59">
        <v>610</v>
      </c>
      <c r="D8510" s="51">
        <v>1</v>
      </c>
      <c r="E8510" s="51">
        <f t="shared" si="132"/>
        <v>1</v>
      </c>
    </row>
    <row r="8511" spans="1:5">
      <c r="A8511" s="59">
        <v>17</v>
      </c>
      <c r="B8511" s="59">
        <v>24</v>
      </c>
      <c r="C8511" s="59">
        <v>970</v>
      </c>
      <c r="D8511" s="51">
        <v>1</v>
      </c>
      <c r="E8511" s="51">
        <f t="shared" si="132"/>
        <v>1</v>
      </c>
    </row>
    <row r="8512" spans="1:5">
      <c r="A8512" s="59">
        <v>17</v>
      </c>
      <c r="B8512" s="59">
        <v>31</v>
      </c>
      <c r="C8512" s="59">
        <v>720</v>
      </c>
      <c r="D8512" s="51">
        <v>1</v>
      </c>
      <c r="E8512" s="51">
        <f t="shared" si="132"/>
        <v>1</v>
      </c>
    </row>
    <row r="8513" spans="1:5">
      <c r="A8513" s="59">
        <v>17</v>
      </c>
      <c r="B8513" s="59">
        <v>32</v>
      </c>
      <c r="C8513" s="59">
        <v>240</v>
      </c>
      <c r="D8513" s="51">
        <v>1</v>
      </c>
      <c r="E8513" s="51">
        <f t="shared" si="132"/>
        <v>1</v>
      </c>
    </row>
    <row r="8514" spans="1:5">
      <c r="A8514" s="59">
        <v>17</v>
      </c>
      <c r="B8514" s="59">
        <v>32</v>
      </c>
      <c r="C8514" s="59">
        <v>540</v>
      </c>
      <c r="D8514" s="51">
        <v>1</v>
      </c>
      <c r="E8514" s="51">
        <f t="shared" ref="E8514:E8577" si="133">IF(OR(A8514=6,A8514=7,A8514=14,A8514=15,A8514=16,A8514=17,A8514=18,A8514=19,A8514=20,A8514=21,A8514=22,A8514=23,A8514=25,A8514=26,A8514=27,A8514=28,B8514=41,B8514=44,B8514=62),1,0)</f>
        <v>1</v>
      </c>
    </row>
    <row r="8515" spans="1:5">
      <c r="A8515" s="59">
        <v>17</v>
      </c>
      <c r="B8515" s="59">
        <v>33</v>
      </c>
      <c r="C8515" s="59">
        <v>230</v>
      </c>
      <c r="D8515" s="51">
        <v>1</v>
      </c>
      <c r="E8515" s="51">
        <f t="shared" si="133"/>
        <v>1</v>
      </c>
    </row>
    <row r="8516" spans="1:5">
      <c r="A8516" s="59">
        <v>17</v>
      </c>
      <c r="B8516" s="59">
        <v>33</v>
      </c>
      <c r="C8516" s="59">
        <v>310</v>
      </c>
      <c r="D8516" s="51">
        <v>1</v>
      </c>
      <c r="E8516" s="51">
        <f t="shared" si="133"/>
        <v>1</v>
      </c>
    </row>
    <row r="8517" spans="1:5">
      <c r="A8517" s="59">
        <v>17</v>
      </c>
      <c r="B8517" s="59">
        <v>33</v>
      </c>
      <c r="C8517" s="59">
        <v>330</v>
      </c>
      <c r="D8517" s="51">
        <v>1</v>
      </c>
      <c r="E8517" s="51">
        <f t="shared" si="133"/>
        <v>1</v>
      </c>
    </row>
    <row r="8518" spans="1:5">
      <c r="A8518" s="59">
        <v>17</v>
      </c>
      <c r="B8518" s="59">
        <v>41</v>
      </c>
      <c r="C8518" s="59">
        <v>230</v>
      </c>
      <c r="D8518" s="51">
        <v>1</v>
      </c>
      <c r="E8518" s="51">
        <f t="shared" si="133"/>
        <v>1</v>
      </c>
    </row>
    <row r="8519" spans="1:5">
      <c r="A8519" s="59">
        <v>17</v>
      </c>
      <c r="B8519" s="59">
        <v>41</v>
      </c>
      <c r="C8519" s="59">
        <v>320</v>
      </c>
      <c r="D8519" s="51">
        <v>1</v>
      </c>
      <c r="E8519" s="51">
        <f t="shared" si="133"/>
        <v>1</v>
      </c>
    </row>
    <row r="8520" spans="1:5">
      <c r="A8520" s="59">
        <v>17</v>
      </c>
      <c r="B8520" s="59">
        <v>41</v>
      </c>
      <c r="C8520" s="59">
        <v>710</v>
      </c>
      <c r="D8520" s="51">
        <v>1</v>
      </c>
      <c r="E8520" s="51">
        <f t="shared" si="133"/>
        <v>1</v>
      </c>
    </row>
    <row r="8521" spans="1:5">
      <c r="A8521" s="59">
        <v>17</v>
      </c>
      <c r="B8521" s="59">
        <v>41</v>
      </c>
      <c r="C8521" s="59">
        <v>970</v>
      </c>
      <c r="D8521" s="51">
        <v>1</v>
      </c>
      <c r="E8521" s="51">
        <f t="shared" si="133"/>
        <v>1</v>
      </c>
    </row>
    <row r="8522" spans="1:5">
      <c r="A8522" s="59">
        <v>17</v>
      </c>
      <c r="B8522" s="59">
        <v>41</v>
      </c>
      <c r="C8522" s="59">
        <v>990</v>
      </c>
      <c r="D8522" s="51">
        <v>1</v>
      </c>
      <c r="E8522" s="51">
        <f t="shared" si="133"/>
        <v>1</v>
      </c>
    </row>
    <row r="8523" spans="1:5">
      <c r="A8523" s="59">
        <v>17</v>
      </c>
      <c r="B8523" s="59">
        <v>42</v>
      </c>
      <c r="C8523" s="59">
        <v>210</v>
      </c>
      <c r="D8523" s="51">
        <v>1</v>
      </c>
      <c r="E8523" s="51">
        <f t="shared" si="133"/>
        <v>1</v>
      </c>
    </row>
    <row r="8524" spans="1:5">
      <c r="A8524" s="59">
        <v>17</v>
      </c>
      <c r="B8524" s="59">
        <v>42</v>
      </c>
      <c r="C8524" s="59">
        <v>220</v>
      </c>
      <c r="D8524" s="51">
        <v>1</v>
      </c>
      <c r="E8524" s="51">
        <f t="shared" si="133"/>
        <v>1</v>
      </c>
    </row>
    <row r="8525" spans="1:5">
      <c r="A8525" s="59">
        <v>17</v>
      </c>
      <c r="B8525" s="59">
        <v>42</v>
      </c>
      <c r="C8525" s="59">
        <v>320</v>
      </c>
      <c r="D8525" s="51">
        <v>1</v>
      </c>
      <c r="E8525" s="51">
        <f t="shared" si="133"/>
        <v>1</v>
      </c>
    </row>
    <row r="8526" spans="1:5">
      <c r="A8526" s="59">
        <v>17</v>
      </c>
      <c r="B8526" s="59">
        <v>42</v>
      </c>
      <c r="C8526" s="59">
        <v>420</v>
      </c>
      <c r="D8526" s="51">
        <v>1</v>
      </c>
      <c r="E8526" s="51">
        <f t="shared" si="133"/>
        <v>1</v>
      </c>
    </row>
    <row r="8527" spans="1:5">
      <c r="A8527" s="59">
        <v>17</v>
      </c>
      <c r="B8527" s="59">
        <v>42</v>
      </c>
      <c r="C8527" s="59">
        <v>540</v>
      </c>
      <c r="D8527" s="51">
        <v>1</v>
      </c>
      <c r="E8527" s="51">
        <f t="shared" si="133"/>
        <v>1</v>
      </c>
    </row>
    <row r="8528" spans="1:5">
      <c r="A8528" s="59">
        <v>17</v>
      </c>
      <c r="B8528" s="59">
        <v>42</v>
      </c>
      <c r="C8528" s="59">
        <v>730</v>
      </c>
      <c r="D8528" s="51">
        <v>1</v>
      </c>
      <c r="E8528" s="51">
        <f t="shared" si="133"/>
        <v>1</v>
      </c>
    </row>
    <row r="8529" spans="1:5">
      <c r="A8529" s="59">
        <v>17</v>
      </c>
      <c r="B8529" s="59">
        <v>42</v>
      </c>
      <c r="C8529" s="59">
        <v>990</v>
      </c>
      <c r="D8529" s="51">
        <v>1</v>
      </c>
      <c r="E8529" s="51">
        <f t="shared" si="133"/>
        <v>1</v>
      </c>
    </row>
    <row r="8530" spans="1:5">
      <c r="A8530" s="59">
        <v>17</v>
      </c>
      <c r="B8530" s="59">
        <v>43</v>
      </c>
      <c r="C8530" s="59">
        <v>120</v>
      </c>
      <c r="D8530" s="51">
        <v>1</v>
      </c>
      <c r="E8530" s="51">
        <f t="shared" si="133"/>
        <v>1</v>
      </c>
    </row>
    <row r="8531" spans="1:5">
      <c r="A8531" s="59">
        <v>17</v>
      </c>
      <c r="B8531" s="59">
        <v>44</v>
      </c>
      <c r="C8531" s="59">
        <v>140</v>
      </c>
      <c r="D8531" s="51">
        <v>1</v>
      </c>
      <c r="E8531" s="51">
        <f t="shared" si="133"/>
        <v>1</v>
      </c>
    </row>
    <row r="8532" spans="1:5">
      <c r="A8532" s="59">
        <v>17</v>
      </c>
      <c r="B8532" s="59">
        <v>44</v>
      </c>
      <c r="C8532" s="59">
        <v>240</v>
      </c>
      <c r="D8532" s="51">
        <v>1</v>
      </c>
      <c r="E8532" s="51">
        <f t="shared" si="133"/>
        <v>1</v>
      </c>
    </row>
    <row r="8533" spans="1:5">
      <c r="A8533" s="59">
        <v>17</v>
      </c>
      <c r="B8533" s="59">
        <v>44</v>
      </c>
      <c r="C8533" s="59">
        <v>320</v>
      </c>
      <c r="D8533" s="51">
        <v>1</v>
      </c>
      <c r="E8533" s="51">
        <f t="shared" si="133"/>
        <v>1</v>
      </c>
    </row>
    <row r="8534" spans="1:5">
      <c r="A8534" s="59">
        <v>17</v>
      </c>
      <c r="B8534" s="59">
        <v>44</v>
      </c>
      <c r="C8534" s="59">
        <v>540</v>
      </c>
      <c r="D8534" s="51">
        <v>1</v>
      </c>
      <c r="E8534" s="51">
        <f t="shared" si="133"/>
        <v>1</v>
      </c>
    </row>
    <row r="8535" spans="1:5">
      <c r="A8535" s="59">
        <v>17</v>
      </c>
      <c r="B8535" s="59">
        <v>44</v>
      </c>
      <c r="C8535" s="59">
        <v>861</v>
      </c>
      <c r="D8535" s="51">
        <v>1</v>
      </c>
      <c r="E8535" s="51">
        <f t="shared" si="133"/>
        <v>1</v>
      </c>
    </row>
    <row r="8536" spans="1:5">
      <c r="A8536" s="59">
        <v>17</v>
      </c>
      <c r="B8536" s="59">
        <v>51</v>
      </c>
      <c r="C8536" s="59">
        <v>530</v>
      </c>
      <c r="D8536" s="51">
        <v>1</v>
      </c>
      <c r="E8536" s="51">
        <f t="shared" si="133"/>
        <v>1</v>
      </c>
    </row>
    <row r="8537" spans="1:5">
      <c r="A8537" s="59">
        <v>17</v>
      </c>
      <c r="B8537" s="59">
        <v>51</v>
      </c>
      <c r="C8537" s="59">
        <v>620</v>
      </c>
      <c r="D8537" s="51">
        <v>1</v>
      </c>
      <c r="E8537" s="51">
        <f t="shared" si="133"/>
        <v>1</v>
      </c>
    </row>
    <row r="8538" spans="1:5">
      <c r="A8538" s="59">
        <v>17</v>
      </c>
      <c r="B8538" s="59">
        <v>61</v>
      </c>
      <c r="C8538" s="59">
        <v>610</v>
      </c>
      <c r="D8538" s="51">
        <v>1</v>
      </c>
      <c r="E8538" s="51">
        <f t="shared" si="133"/>
        <v>1</v>
      </c>
    </row>
    <row r="8539" spans="1:5">
      <c r="A8539" s="59">
        <v>17</v>
      </c>
      <c r="B8539" s="59">
        <v>61</v>
      </c>
      <c r="C8539" s="59">
        <v>620</v>
      </c>
      <c r="D8539" s="51">
        <v>1</v>
      </c>
      <c r="E8539" s="51">
        <f t="shared" si="133"/>
        <v>1</v>
      </c>
    </row>
    <row r="8540" spans="1:5">
      <c r="A8540" s="59">
        <v>17</v>
      </c>
      <c r="B8540" s="59">
        <v>62</v>
      </c>
      <c r="C8540" s="59">
        <v>130</v>
      </c>
      <c r="D8540" s="51">
        <v>1</v>
      </c>
      <c r="E8540" s="51">
        <f t="shared" si="133"/>
        <v>1</v>
      </c>
    </row>
    <row r="8541" spans="1:5">
      <c r="A8541" s="59">
        <v>17</v>
      </c>
      <c r="B8541" s="59">
        <v>62</v>
      </c>
      <c r="C8541" s="59">
        <v>840</v>
      </c>
      <c r="D8541" s="51">
        <v>1</v>
      </c>
      <c r="E8541" s="51">
        <f t="shared" si="133"/>
        <v>1</v>
      </c>
    </row>
    <row r="8542" spans="1:5">
      <c r="A8542" s="59">
        <v>17</v>
      </c>
      <c r="B8542" s="59">
        <v>62</v>
      </c>
      <c r="C8542" s="59">
        <v>860</v>
      </c>
      <c r="D8542" s="51">
        <v>1</v>
      </c>
      <c r="E8542" s="51">
        <f t="shared" si="133"/>
        <v>1</v>
      </c>
    </row>
    <row r="8543" spans="1:5">
      <c r="A8543" s="59">
        <v>17</v>
      </c>
      <c r="B8543" s="59">
        <v>63</v>
      </c>
      <c r="C8543" s="59">
        <v>230</v>
      </c>
      <c r="D8543" s="51">
        <v>1</v>
      </c>
      <c r="E8543" s="51">
        <f t="shared" si="133"/>
        <v>1</v>
      </c>
    </row>
    <row r="8544" spans="1:5">
      <c r="A8544" s="59">
        <v>17</v>
      </c>
      <c r="B8544" s="59">
        <v>63</v>
      </c>
      <c r="C8544" s="59">
        <v>240</v>
      </c>
      <c r="D8544" s="51">
        <v>1</v>
      </c>
      <c r="E8544" s="51">
        <f t="shared" si="133"/>
        <v>1</v>
      </c>
    </row>
    <row r="8545" spans="1:5">
      <c r="A8545" s="59">
        <v>17</v>
      </c>
      <c r="B8545" s="59">
        <v>63</v>
      </c>
      <c r="C8545" s="59">
        <v>820</v>
      </c>
      <c r="D8545" s="51">
        <v>1</v>
      </c>
      <c r="E8545" s="51">
        <f t="shared" si="133"/>
        <v>1</v>
      </c>
    </row>
    <row r="8546" spans="1:5">
      <c r="A8546" s="59">
        <v>17</v>
      </c>
      <c r="B8546" s="59">
        <v>63</v>
      </c>
      <c r="C8546" s="59">
        <v>831</v>
      </c>
      <c r="D8546" s="51">
        <v>1</v>
      </c>
      <c r="E8546" s="51">
        <f t="shared" si="133"/>
        <v>1</v>
      </c>
    </row>
    <row r="8547" spans="1:5">
      <c r="A8547" s="59">
        <v>17</v>
      </c>
      <c r="B8547" s="59">
        <v>63</v>
      </c>
      <c r="C8547" s="59">
        <v>861</v>
      </c>
      <c r="D8547" s="51">
        <v>1</v>
      </c>
      <c r="E8547" s="51">
        <f t="shared" si="133"/>
        <v>1</v>
      </c>
    </row>
    <row r="8548" spans="1:5">
      <c r="A8548" s="59">
        <v>17</v>
      </c>
      <c r="B8548" s="59">
        <v>63</v>
      </c>
      <c r="C8548" s="59">
        <v>893</v>
      </c>
      <c r="D8548" s="51">
        <v>1</v>
      </c>
      <c r="E8548" s="51">
        <f t="shared" si="133"/>
        <v>1</v>
      </c>
    </row>
    <row r="8549" spans="1:5">
      <c r="A8549" s="59">
        <v>17</v>
      </c>
      <c r="B8549" s="59">
        <v>63</v>
      </c>
      <c r="C8549" s="59">
        <v>960</v>
      </c>
      <c r="D8549" s="51">
        <v>1</v>
      </c>
      <c r="E8549" s="51">
        <f t="shared" si="133"/>
        <v>1</v>
      </c>
    </row>
    <row r="8550" spans="1:5">
      <c r="A8550" s="59">
        <v>17</v>
      </c>
      <c r="B8550" s="59">
        <v>64</v>
      </c>
      <c r="C8550" s="59">
        <v>960</v>
      </c>
      <c r="D8550" s="51">
        <v>1</v>
      </c>
      <c r="E8550" s="51">
        <f t="shared" si="133"/>
        <v>1</v>
      </c>
    </row>
    <row r="8551" spans="1:5">
      <c r="A8551" s="59">
        <v>17</v>
      </c>
      <c r="B8551" s="59">
        <v>71</v>
      </c>
      <c r="C8551" s="59">
        <v>330</v>
      </c>
      <c r="D8551" s="51">
        <v>1</v>
      </c>
      <c r="E8551" s="51">
        <f t="shared" si="133"/>
        <v>1</v>
      </c>
    </row>
    <row r="8552" spans="1:5">
      <c r="A8552" s="59">
        <v>17</v>
      </c>
      <c r="B8552" s="59">
        <v>71</v>
      </c>
      <c r="C8552" s="59">
        <v>840</v>
      </c>
      <c r="D8552" s="51">
        <v>1</v>
      </c>
      <c r="E8552" s="51">
        <f t="shared" si="133"/>
        <v>1</v>
      </c>
    </row>
    <row r="8553" spans="1:5">
      <c r="A8553" s="59">
        <v>17</v>
      </c>
      <c r="B8553" s="59">
        <v>71</v>
      </c>
      <c r="C8553" s="59">
        <v>860</v>
      </c>
      <c r="D8553" s="51">
        <v>1</v>
      </c>
      <c r="E8553" s="51">
        <f t="shared" si="133"/>
        <v>1</v>
      </c>
    </row>
    <row r="8554" spans="1:5">
      <c r="A8554" s="59">
        <v>17</v>
      </c>
      <c r="B8554" s="59">
        <v>71</v>
      </c>
      <c r="C8554" s="59">
        <v>960</v>
      </c>
      <c r="D8554" s="51">
        <v>1</v>
      </c>
      <c r="E8554" s="51">
        <f t="shared" si="133"/>
        <v>1</v>
      </c>
    </row>
    <row r="8555" spans="1:5">
      <c r="A8555" s="59">
        <v>17</v>
      </c>
      <c r="B8555" s="59">
        <v>81</v>
      </c>
      <c r="C8555" s="59">
        <v>410</v>
      </c>
      <c r="D8555" s="51">
        <v>1</v>
      </c>
      <c r="E8555" s="51">
        <f t="shared" si="133"/>
        <v>1</v>
      </c>
    </row>
    <row r="8556" spans="1:5">
      <c r="A8556" s="59">
        <v>17</v>
      </c>
      <c r="B8556" s="59">
        <v>81</v>
      </c>
      <c r="C8556" s="59">
        <v>420</v>
      </c>
      <c r="D8556" s="51">
        <v>1</v>
      </c>
      <c r="E8556" s="51">
        <f t="shared" si="133"/>
        <v>1</v>
      </c>
    </row>
    <row r="8557" spans="1:5">
      <c r="A8557" s="59">
        <v>17</v>
      </c>
      <c r="B8557" s="59">
        <v>81</v>
      </c>
      <c r="C8557" s="59">
        <v>540</v>
      </c>
      <c r="D8557" s="51">
        <v>1</v>
      </c>
      <c r="E8557" s="51">
        <f t="shared" si="133"/>
        <v>1</v>
      </c>
    </row>
    <row r="8558" spans="1:5">
      <c r="A8558" s="59">
        <v>17</v>
      </c>
      <c r="B8558" s="59">
        <v>81</v>
      </c>
      <c r="C8558" s="59">
        <v>550</v>
      </c>
      <c r="D8558" s="51">
        <v>1</v>
      </c>
      <c r="E8558" s="51">
        <f t="shared" si="133"/>
        <v>1</v>
      </c>
    </row>
    <row r="8559" spans="1:5">
      <c r="A8559" s="59">
        <v>17</v>
      </c>
      <c r="B8559" s="59">
        <v>81</v>
      </c>
      <c r="C8559" s="59">
        <v>630</v>
      </c>
      <c r="D8559" s="51">
        <v>1</v>
      </c>
      <c r="E8559" s="51">
        <f t="shared" si="133"/>
        <v>1</v>
      </c>
    </row>
    <row r="8560" spans="1:5">
      <c r="A8560" s="59">
        <v>18</v>
      </c>
      <c r="B8560" s="59">
        <v>71</v>
      </c>
      <c r="C8560" s="59">
        <v>920</v>
      </c>
      <c r="D8560" s="51">
        <v>281652</v>
      </c>
      <c r="E8560" s="51">
        <f t="shared" si="133"/>
        <v>1</v>
      </c>
    </row>
    <row r="8561" spans="1:5">
      <c r="A8561" s="59">
        <v>18</v>
      </c>
      <c r="B8561" s="59">
        <v>64</v>
      </c>
      <c r="C8561" s="59">
        <v>920</v>
      </c>
      <c r="D8561" s="51">
        <v>151705</v>
      </c>
      <c r="E8561" s="51">
        <f t="shared" si="133"/>
        <v>1</v>
      </c>
    </row>
    <row r="8562" spans="1:5">
      <c r="A8562" s="59">
        <v>18</v>
      </c>
      <c r="B8562" s="59">
        <v>63</v>
      </c>
      <c r="C8562" s="59">
        <v>920</v>
      </c>
      <c r="D8562" s="51">
        <v>81185</v>
      </c>
      <c r="E8562" s="51">
        <f t="shared" si="133"/>
        <v>1</v>
      </c>
    </row>
    <row r="8563" spans="1:5">
      <c r="A8563" s="59">
        <v>18</v>
      </c>
      <c r="B8563" s="59">
        <v>62</v>
      </c>
      <c r="C8563" s="59">
        <v>920</v>
      </c>
      <c r="D8563" s="51">
        <v>69523</v>
      </c>
      <c r="E8563" s="51">
        <f t="shared" si="133"/>
        <v>1</v>
      </c>
    </row>
    <row r="8564" spans="1:5">
      <c r="A8564" s="59">
        <v>18</v>
      </c>
      <c r="B8564" s="59">
        <v>43</v>
      </c>
      <c r="C8564" s="59">
        <v>920</v>
      </c>
      <c r="D8564" s="51">
        <v>50009</v>
      </c>
      <c r="E8564" s="51">
        <f t="shared" si="133"/>
        <v>1</v>
      </c>
    </row>
    <row r="8565" spans="1:5">
      <c r="A8565" s="59">
        <v>18</v>
      </c>
      <c r="B8565" s="59">
        <v>44</v>
      </c>
      <c r="C8565" s="59">
        <v>920</v>
      </c>
      <c r="D8565" s="51">
        <v>33785</v>
      </c>
      <c r="E8565" s="51">
        <f t="shared" si="133"/>
        <v>1</v>
      </c>
    </row>
    <row r="8566" spans="1:5">
      <c r="A8566" s="59">
        <v>18</v>
      </c>
      <c r="B8566" s="59">
        <v>71</v>
      </c>
      <c r="C8566" s="59">
        <v>910</v>
      </c>
      <c r="D8566" s="51">
        <v>30128</v>
      </c>
      <c r="E8566" s="51">
        <f t="shared" si="133"/>
        <v>1</v>
      </c>
    </row>
    <row r="8567" spans="1:5">
      <c r="A8567" s="59">
        <v>18</v>
      </c>
      <c r="B8567" s="59">
        <v>42</v>
      </c>
      <c r="C8567" s="59">
        <v>920</v>
      </c>
      <c r="D8567" s="51">
        <v>23402</v>
      </c>
      <c r="E8567" s="51">
        <f t="shared" si="133"/>
        <v>1</v>
      </c>
    </row>
    <row r="8568" spans="1:5">
      <c r="A8568" s="59">
        <v>18</v>
      </c>
      <c r="B8568" s="59">
        <v>64</v>
      </c>
      <c r="C8568" s="59">
        <v>910</v>
      </c>
      <c r="D8568" s="51">
        <v>22756</v>
      </c>
      <c r="E8568" s="51">
        <f t="shared" si="133"/>
        <v>1</v>
      </c>
    </row>
    <row r="8569" spans="1:5">
      <c r="A8569" s="59">
        <v>18</v>
      </c>
      <c r="B8569" s="59">
        <v>43</v>
      </c>
      <c r="C8569" s="59">
        <v>910</v>
      </c>
      <c r="D8569" s="51">
        <v>12909</v>
      </c>
      <c r="E8569" s="51">
        <f t="shared" si="133"/>
        <v>1</v>
      </c>
    </row>
    <row r="8570" spans="1:5">
      <c r="A8570" s="59">
        <v>18</v>
      </c>
      <c r="B8570" s="59">
        <v>81</v>
      </c>
      <c r="C8570" s="59">
        <v>920</v>
      </c>
      <c r="D8570" s="51">
        <v>11377</v>
      </c>
      <c r="E8570" s="51">
        <f t="shared" si="133"/>
        <v>1</v>
      </c>
    </row>
    <row r="8571" spans="1:5">
      <c r="A8571" s="59">
        <v>18</v>
      </c>
      <c r="B8571" s="59">
        <v>14</v>
      </c>
      <c r="C8571" s="59">
        <v>910</v>
      </c>
      <c r="D8571" s="51">
        <v>10678</v>
      </c>
      <c r="E8571" s="51">
        <f t="shared" si="133"/>
        <v>1</v>
      </c>
    </row>
    <row r="8572" spans="1:5">
      <c r="A8572" s="59">
        <v>18</v>
      </c>
      <c r="B8572" s="59">
        <v>13</v>
      </c>
      <c r="C8572" s="59">
        <v>920</v>
      </c>
      <c r="D8572" s="51">
        <v>9939</v>
      </c>
      <c r="E8572" s="51">
        <f t="shared" si="133"/>
        <v>1</v>
      </c>
    </row>
    <row r="8573" spans="1:5">
      <c r="A8573" s="59">
        <v>18</v>
      </c>
      <c r="B8573" s="59">
        <v>63</v>
      </c>
      <c r="C8573" s="59">
        <v>910</v>
      </c>
      <c r="D8573" s="51">
        <v>9055</v>
      </c>
      <c r="E8573" s="51">
        <f t="shared" si="133"/>
        <v>1</v>
      </c>
    </row>
    <row r="8574" spans="1:5">
      <c r="A8574" s="59">
        <v>18</v>
      </c>
      <c r="B8574" s="59">
        <v>14</v>
      </c>
      <c r="C8574" s="59">
        <v>920</v>
      </c>
      <c r="D8574" s="51">
        <v>8927</v>
      </c>
      <c r="E8574" s="51">
        <f t="shared" si="133"/>
        <v>1</v>
      </c>
    </row>
    <row r="8575" spans="1:5">
      <c r="A8575" s="59">
        <v>18</v>
      </c>
      <c r="B8575" s="59">
        <v>44</v>
      </c>
      <c r="C8575" s="59">
        <v>910</v>
      </c>
      <c r="D8575" s="51">
        <v>7140</v>
      </c>
      <c r="E8575" s="51">
        <f t="shared" si="133"/>
        <v>1</v>
      </c>
    </row>
    <row r="8576" spans="1:5">
      <c r="A8576" s="59">
        <v>18</v>
      </c>
      <c r="B8576" s="59">
        <v>62</v>
      </c>
      <c r="C8576" s="59">
        <v>910</v>
      </c>
      <c r="D8576" s="51">
        <v>6855</v>
      </c>
      <c r="E8576" s="51">
        <f t="shared" si="133"/>
        <v>1</v>
      </c>
    </row>
    <row r="8577" spans="1:5">
      <c r="A8577" s="59">
        <v>18</v>
      </c>
      <c r="B8577" s="59">
        <v>64</v>
      </c>
      <c r="C8577" s="59">
        <v>510</v>
      </c>
      <c r="D8577" s="51">
        <v>6026</v>
      </c>
      <c r="E8577" s="51">
        <f t="shared" si="133"/>
        <v>1</v>
      </c>
    </row>
    <row r="8578" spans="1:5">
      <c r="A8578" s="59">
        <v>18</v>
      </c>
      <c r="B8578" s="59">
        <v>13</v>
      </c>
      <c r="C8578" s="59">
        <v>910</v>
      </c>
      <c r="D8578" s="51">
        <v>5904</v>
      </c>
      <c r="E8578" s="51">
        <f t="shared" ref="E8578:E8641" si="134">IF(OR(A8578=6,A8578=7,A8578=14,A8578=15,A8578=16,A8578=17,A8578=18,A8578=19,A8578=20,A8578=21,A8578=22,A8578=23,A8578=25,A8578=26,A8578=27,A8578=28,B8578=41,B8578=44,B8578=62),1,0)</f>
        <v>1</v>
      </c>
    </row>
    <row r="8579" spans="1:5">
      <c r="A8579" s="59">
        <v>18</v>
      </c>
      <c r="B8579" s="59">
        <v>71</v>
      </c>
      <c r="C8579" s="59">
        <v>610</v>
      </c>
      <c r="D8579" s="51">
        <v>4797</v>
      </c>
      <c r="E8579" s="51">
        <f t="shared" si="134"/>
        <v>1</v>
      </c>
    </row>
    <row r="8580" spans="1:5">
      <c r="A8580" s="59">
        <v>18</v>
      </c>
      <c r="B8580" s="59">
        <v>42</v>
      </c>
      <c r="C8580" s="59">
        <v>910</v>
      </c>
      <c r="D8580" s="51">
        <v>4401</v>
      </c>
      <c r="E8580" s="51">
        <f t="shared" si="134"/>
        <v>1</v>
      </c>
    </row>
    <row r="8581" spans="1:5">
      <c r="A8581" s="59">
        <v>18</v>
      </c>
      <c r="B8581" s="59">
        <v>63</v>
      </c>
      <c r="C8581" s="59">
        <v>510</v>
      </c>
      <c r="D8581" s="51">
        <v>3257</v>
      </c>
      <c r="E8581" s="51">
        <f t="shared" si="134"/>
        <v>1</v>
      </c>
    </row>
    <row r="8582" spans="1:5">
      <c r="A8582" s="59">
        <v>18</v>
      </c>
      <c r="B8582" s="59">
        <v>32</v>
      </c>
      <c r="C8582" s="59">
        <v>920</v>
      </c>
      <c r="D8582" s="51">
        <v>3094</v>
      </c>
      <c r="E8582" s="51">
        <f t="shared" si="134"/>
        <v>1</v>
      </c>
    </row>
    <row r="8583" spans="1:5">
      <c r="A8583" s="59">
        <v>18</v>
      </c>
      <c r="B8583" s="59">
        <v>41</v>
      </c>
      <c r="C8583" s="59">
        <v>920</v>
      </c>
      <c r="D8583" s="51">
        <v>3032</v>
      </c>
      <c r="E8583" s="51">
        <f t="shared" si="134"/>
        <v>1</v>
      </c>
    </row>
    <row r="8584" spans="1:5">
      <c r="A8584" s="59">
        <v>18</v>
      </c>
      <c r="B8584" s="59">
        <v>22</v>
      </c>
      <c r="C8584" s="59">
        <v>910</v>
      </c>
      <c r="D8584" s="51">
        <v>2888</v>
      </c>
      <c r="E8584" s="51">
        <f t="shared" si="134"/>
        <v>1</v>
      </c>
    </row>
    <row r="8585" spans="1:5">
      <c r="A8585" s="59">
        <v>18</v>
      </c>
      <c r="B8585" s="59">
        <v>62</v>
      </c>
      <c r="C8585" s="59">
        <v>720</v>
      </c>
      <c r="D8585" s="51">
        <v>2635</v>
      </c>
      <c r="E8585" s="51">
        <f t="shared" si="134"/>
        <v>1</v>
      </c>
    </row>
    <row r="8586" spans="1:5">
      <c r="A8586" s="59">
        <v>18</v>
      </c>
      <c r="B8586" s="59">
        <v>15</v>
      </c>
      <c r="C8586" s="59">
        <v>910</v>
      </c>
      <c r="D8586" s="51">
        <v>2379</v>
      </c>
      <c r="E8586" s="51">
        <f t="shared" si="134"/>
        <v>1</v>
      </c>
    </row>
    <row r="8587" spans="1:5">
      <c r="A8587" s="59">
        <v>18</v>
      </c>
      <c r="B8587" s="59">
        <v>64</v>
      </c>
      <c r="C8587" s="59">
        <v>610</v>
      </c>
      <c r="D8587" s="51">
        <v>2226</v>
      </c>
      <c r="E8587" s="51">
        <f t="shared" si="134"/>
        <v>1</v>
      </c>
    </row>
    <row r="8588" spans="1:5">
      <c r="A8588" s="59">
        <v>18</v>
      </c>
      <c r="B8588" s="59">
        <v>71</v>
      </c>
      <c r="C8588" s="59">
        <v>510</v>
      </c>
      <c r="D8588" s="51">
        <v>2182</v>
      </c>
      <c r="E8588" s="51">
        <f t="shared" si="134"/>
        <v>1</v>
      </c>
    </row>
    <row r="8589" spans="1:5">
      <c r="A8589" s="59">
        <v>18</v>
      </c>
      <c r="B8589" s="59">
        <v>43</v>
      </c>
      <c r="C8589" s="59">
        <v>510</v>
      </c>
      <c r="D8589" s="51">
        <v>1792</v>
      </c>
      <c r="E8589" s="51">
        <f t="shared" si="134"/>
        <v>1</v>
      </c>
    </row>
    <row r="8590" spans="1:5">
      <c r="A8590" s="59">
        <v>18</v>
      </c>
      <c r="B8590" s="59">
        <v>64</v>
      </c>
      <c r="C8590" s="59">
        <v>720</v>
      </c>
      <c r="D8590" s="51">
        <v>1753</v>
      </c>
      <c r="E8590" s="51">
        <f t="shared" si="134"/>
        <v>1</v>
      </c>
    </row>
    <row r="8591" spans="1:5">
      <c r="A8591" s="59">
        <v>18</v>
      </c>
      <c r="B8591" s="59">
        <v>22</v>
      </c>
      <c r="C8591" s="59">
        <v>920</v>
      </c>
      <c r="D8591" s="51">
        <v>1748</v>
      </c>
      <c r="E8591" s="51">
        <f t="shared" si="134"/>
        <v>1</v>
      </c>
    </row>
    <row r="8592" spans="1:5">
      <c r="A8592" s="59">
        <v>18</v>
      </c>
      <c r="B8592" s="59">
        <v>14</v>
      </c>
      <c r="C8592" s="59">
        <v>150</v>
      </c>
      <c r="D8592" s="51">
        <v>1539</v>
      </c>
      <c r="E8592" s="51">
        <f t="shared" si="134"/>
        <v>1</v>
      </c>
    </row>
    <row r="8593" spans="1:5">
      <c r="A8593" s="59">
        <v>18</v>
      </c>
      <c r="B8593" s="59">
        <v>64</v>
      </c>
      <c r="C8593" s="59">
        <v>530</v>
      </c>
      <c r="D8593" s="51">
        <v>1480</v>
      </c>
      <c r="E8593" s="51">
        <f t="shared" si="134"/>
        <v>1</v>
      </c>
    </row>
    <row r="8594" spans="1:5">
      <c r="A8594" s="59">
        <v>18</v>
      </c>
      <c r="B8594" s="59">
        <v>63</v>
      </c>
      <c r="C8594" s="59">
        <v>610</v>
      </c>
      <c r="D8594" s="51">
        <v>1410</v>
      </c>
      <c r="E8594" s="51">
        <f t="shared" si="134"/>
        <v>1</v>
      </c>
    </row>
    <row r="8595" spans="1:5">
      <c r="A8595" s="59">
        <v>18</v>
      </c>
      <c r="B8595" s="59">
        <v>62</v>
      </c>
      <c r="C8595" s="59">
        <v>510</v>
      </c>
      <c r="D8595" s="51">
        <v>1407</v>
      </c>
      <c r="E8595" s="51">
        <f t="shared" si="134"/>
        <v>1</v>
      </c>
    </row>
    <row r="8596" spans="1:5">
      <c r="A8596" s="59">
        <v>18</v>
      </c>
      <c r="B8596" s="59">
        <v>16</v>
      </c>
      <c r="C8596" s="59">
        <v>910</v>
      </c>
      <c r="D8596" s="51">
        <v>1321</v>
      </c>
      <c r="E8596" s="51">
        <f t="shared" si="134"/>
        <v>1</v>
      </c>
    </row>
    <row r="8597" spans="1:5">
      <c r="A8597" s="59">
        <v>18</v>
      </c>
      <c r="B8597" s="59">
        <v>33</v>
      </c>
      <c r="C8597" s="59">
        <v>920</v>
      </c>
      <c r="D8597" s="51">
        <v>1239</v>
      </c>
      <c r="E8597" s="51">
        <f t="shared" si="134"/>
        <v>1</v>
      </c>
    </row>
    <row r="8598" spans="1:5">
      <c r="A8598" s="59">
        <v>18</v>
      </c>
      <c r="B8598" s="59">
        <v>51</v>
      </c>
      <c r="C8598" s="59">
        <v>920</v>
      </c>
      <c r="D8598" s="51">
        <v>1165</v>
      </c>
      <c r="E8598" s="51">
        <f t="shared" si="134"/>
        <v>1</v>
      </c>
    </row>
    <row r="8599" spans="1:5">
      <c r="A8599" s="59">
        <v>18</v>
      </c>
      <c r="B8599" s="59">
        <v>43</v>
      </c>
      <c r="C8599" s="59">
        <v>610</v>
      </c>
      <c r="D8599" s="51">
        <v>1139</v>
      </c>
      <c r="E8599" s="51">
        <f t="shared" si="134"/>
        <v>1</v>
      </c>
    </row>
    <row r="8600" spans="1:5">
      <c r="A8600" s="59">
        <v>18</v>
      </c>
      <c r="B8600" s="59">
        <v>16</v>
      </c>
      <c r="C8600" s="59">
        <v>920</v>
      </c>
      <c r="D8600" s="51">
        <v>1112</v>
      </c>
      <c r="E8600" s="51">
        <f t="shared" si="134"/>
        <v>1</v>
      </c>
    </row>
    <row r="8601" spans="1:5">
      <c r="A8601" s="59">
        <v>18</v>
      </c>
      <c r="B8601" s="59">
        <v>63</v>
      </c>
      <c r="C8601" s="59">
        <v>720</v>
      </c>
      <c r="D8601" s="51">
        <v>1020</v>
      </c>
      <c r="E8601" s="51">
        <f t="shared" si="134"/>
        <v>1</v>
      </c>
    </row>
    <row r="8602" spans="1:5">
      <c r="A8602" s="59">
        <v>18</v>
      </c>
      <c r="B8602" s="59">
        <v>81</v>
      </c>
      <c r="C8602" s="59">
        <v>910</v>
      </c>
      <c r="D8602" s="51">
        <v>995</v>
      </c>
      <c r="E8602" s="51">
        <f t="shared" si="134"/>
        <v>1</v>
      </c>
    </row>
    <row r="8603" spans="1:5">
      <c r="A8603" s="59">
        <v>18</v>
      </c>
      <c r="B8603" s="59">
        <v>32</v>
      </c>
      <c r="C8603" s="59">
        <v>910</v>
      </c>
      <c r="D8603" s="51">
        <v>988</v>
      </c>
      <c r="E8603" s="51">
        <f t="shared" si="134"/>
        <v>1</v>
      </c>
    </row>
    <row r="8604" spans="1:5">
      <c r="A8604" s="59">
        <v>18</v>
      </c>
      <c r="B8604" s="59">
        <v>43</v>
      </c>
      <c r="C8604" s="59">
        <v>720</v>
      </c>
      <c r="D8604" s="51">
        <v>965</v>
      </c>
      <c r="E8604" s="51">
        <f t="shared" si="134"/>
        <v>1</v>
      </c>
    </row>
    <row r="8605" spans="1:5">
      <c r="A8605" s="59">
        <v>18</v>
      </c>
      <c r="B8605" s="59">
        <v>33</v>
      </c>
      <c r="C8605" s="59">
        <v>910</v>
      </c>
      <c r="D8605" s="51">
        <v>808</v>
      </c>
      <c r="E8605" s="51">
        <f t="shared" si="134"/>
        <v>1</v>
      </c>
    </row>
    <row r="8606" spans="1:5">
      <c r="A8606" s="59">
        <v>18</v>
      </c>
      <c r="B8606" s="59">
        <v>43</v>
      </c>
      <c r="C8606" s="59">
        <v>530</v>
      </c>
      <c r="D8606" s="51">
        <v>769</v>
      </c>
      <c r="E8606" s="51">
        <f t="shared" si="134"/>
        <v>1</v>
      </c>
    </row>
    <row r="8607" spans="1:5">
      <c r="A8607" s="59">
        <v>18</v>
      </c>
      <c r="B8607" s="59">
        <v>64</v>
      </c>
      <c r="C8607" s="59">
        <v>110</v>
      </c>
      <c r="D8607" s="51">
        <v>758</v>
      </c>
      <c r="E8607" s="51">
        <f t="shared" si="134"/>
        <v>1</v>
      </c>
    </row>
    <row r="8608" spans="1:5">
      <c r="A8608" s="59">
        <v>18</v>
      </c>
      <c r="B8608" s="59">
        <v>15</v>
      </c>
      <c r="C8608" s="59">
        <v>920</v>
      </c>
      <c r="D8608" s="51">
        <v>752</v>
      </c>
      <c r="E8608" s="51">
        <f t="shared" si="134"/>
        <v>1</v>
      </c>
    </row>
    <row r="8609" spans="1:5">
      <c r="A8609" s="59">
        <v>18</v>
      </c>
      <c r="B8609" s="59">
        <v>42</v>
      </c>
      <c r="C8609" s="59">
        <v>610</v>
      </c>
      <c r="D8609" s="51">
        <v>729</v>
      </c>
      <c r="E8609" s="51">
        <f t="shared" si="134"/>
        <v>1</v>
      </c>
    </row>
    <row r="8610" spans="1:5">
      <c r="A8610" s="59">
        <v>18</v>
      </c>
      <c r="B8610" s="59">
        <v>13</v>
      </c>
      <c r="C8610" s="59">
        <v>150</v>
      </c>
      <c r="D8610" s="51">
        <v>728</v>
      </c>
      <c r="E8610" s="51">
        <f t="shared" si="134"/>
        <v>1</v>
      </c>
    </row>
    <row r="8611" spans="1:5">
      <c r="A8611" s="59">
        <v>18</v>
      </c>
      <c r="B8611" s="59">
        <v>44</v>
      </c>
      <c r="C8611" s="59">
        <v>510</v>
      </c>
      <c r="D8611" s="51">
        <v>722</v>
      </c>
      <c r="E8611" s="51">
        <f t="shared" si="134"/>
        <v>1</v>
      </c>
    </row>
    <row r="8612" spans="1:5">
      <c r="A8612" s="59">
        <v>18</v>
      </c>
      <c r="B8612" s="59">
        <v>62</v>
      </c>
      <c r="C8612" s="59">
        <v>610</v>
      </c>
      <c r="D8612" s="51">
        <v>682</v>
      </c>
      <c r="E8612" s="51">
        <f t="shared" si="134"/>
        <v>1</v>
      </c>
    </row>
    <row r="8613" spans="1:5">
      <c r="A8613" s="59">
        <v>18</v>
      </c>
      <c r="B8613" s="59">
        <v>64</v>
      </c>
      <c r="C8613" s="59">
        <v>861</v>
      </c>
      <c r="D8613" s="51">
        <v>675</v>
      </c>
      <c r="E8613" s="51">
        <f t="shared" si="134"/>
        <v>1</v>
      </c>
    </row>
    <row r="8614" spans="1:5">
      <c r="A8614" s="59">
        <v>18</v>
      </c>
      <c r="B8614" s="59">
        <v>14</v>
      </c>
      <c r="C8614" s="59">
        <v>160</v>
      </c>
      <c r="D8614" s="51">
        <v>648</v>
      </c>
      <c r="E8614" s="51">
        <f t="shared" si="134"/>
        <v>1</v>
      </c>
    </row>
    <row r="8615" spans="1:5">
      <c r="A8615" s="59">
        <v>18</v>
      </c>
      <c r="B8615" s="59">
        <v>14</v>
      </c>
      <c r="C8615" s="59">
        <v>110</v>
      </c>
      <c r="D8615" s="51">
        <v>611</v>
      </c>
      <c r="E8615" s="51">
        <f t="shared" si="134"/>
        <v>1</v>
      </c>
    </row>
    <row r="8616" spans="1:5">
      <c r="A8616" s="59">
        <v>18</v>
      </c>
      <c r="B8616" s="59">
        <v>71</v>
      </c>
      <c r="C8616" s="59">
        <v>620</v>
      </c>
      <c r="D8616" s="51">
        <v>589</v>
      </c>
      <c r="E8616" s="51">
        <f t="shared" si="134"/>
        <v>1</v>
      </c>
    </row>
    <row r="8617" spans="1:5">
      <c r="A8617" s="59">
        <v>18</v>
      </c>
      <c r="B8617" s="59">
        <v>41</v>
      </c>
      <c r="C8617" s="59">
        <v>910</v>
      </c>
      <c r="D8617" s="51">
        <v>574</v>
      </c>
      <c r="E8617" s="51">
        <f t="shared" si="134"/>
        <v>1</v>
      </c>
    </row>
    <row r="8618" spans="1:5">
      <c r="A8618" s="59">
        <v>18</v>
      </c>
      <c r="B8618" s="59">
        <v>64</v>
      </c>
      <c r="C8618" s="59">
        <v>160</v>
      </c>
      <c r="D8618" s="51">
        <v>573</v>
      </c>
      <c r="E8618" s="51">
        <f t="shared" si="134"/>
        <v>1</v>
      </c>
    </row>
    <row r="8619" spans="1:5">
      <c r="A8619" s="59">
        <v>18</v>
      </c>
      <c r="B8619" s="59">
        <v>62</v>
      </c>
      <c r="C8619" s="59">
        <v>990</v>
      </c>
      <c r="D8619" s="51">
        <v>554</v>
      </c>
      <c r="E8619" s="51">
        <f t="shared" si="134"/>
        <v>1</v>
      </c>
    </row>
    <row r="8620" spans="1:5">
      <c r="A8620" s="59">
        <v>18</v>
      </c>
      <c r="B8620" s="59">
        <v>43</v>
      </c>
      <c r="C8620" s="59">
        <v>160</v>
      </c>
      <c r="D8620" s="51">
        <v>536</v>
      </c>
      <c r="E8620" s="51">
        <f t="shared" si="134"/>
        <v>1</v>
      </c>
    </row>
    <row r="8621" spans="1:5">
      <c r="A8621" s="59">
        <v>18</v>
      </c>
      <c r="B8621" s="59">
        <v>44</v>
      </c>
      <c r="C8621" s="59">
        <v>720</v>
      </c>
      <c r="D8621" s="51">
        <v>536</v>
      </c>
      <c r="E8621" s="51">
        <f t="shared" si="134"/>
        <v>1</v>
      </c>
    </row>
    <row r="8622" spans="1:5">
      <c r="A8622" s="59">
        <v>18</v>
      </c>
      <c r="B8622" s="59">
        <v>63</v>
      </c>
      <c r="C8622" s="59">
        <v>530</v>
      </c>
      <c r="D8622" s="51">
        <v>510</v>
      </c>
      <c r="E8622" s="51">
        <f t="shared" si="134"/>
        <v>1</v>
      </c>
    </row>
    <row r="8623" spans="1:5">
      <c r="A8623" s="59">
        <v>18</v>
      </c>
      <c r="B8623" s="59">
        <v>43</v>
      </c>
      <c r="C8623" s="59">
        <v>930</v>
      </c>
      <c r="D8623" s="51">
        <v>507</v>
      </c>
      <c r="E8623" s="51">
        <f t="shared" si="134"/>
        <v>1</v>
      </c>
    </row>
    <row r="8624" spans="1:5">
      <c r="A8624" s="59">
        <v>18</v>
      </c>
      <c r="B8624" s="59">
        <v>62</v>
      </c>
      <c r="C8624" s="59">
        <v>730</v>
      </c>
      <c r="D8624" s="51">
        <v>476</v>
      </c>
      <c r="E8624" s="51">
        <f t="shared" si="134"/>
        <v>1</v>
      </c>
    </row>
    <row r="8625" spans="1:5">
      <c r="A8625" s="59">
        <v>18</v>
      </c>
      <c r="B8625" s="59">
        <v>64</v>
      </c>
      <c r="C8625" s="59">
        <v>730</v>
      </c>
      <c r="D8625" s="51">
        <v>446</v>
      </c>
      <c r="E8625" s="51">
        <f t="shared" si="134"/>
        <v>1</v>
      </c>
    </row>
    <row r="8626" spans="1:5">
      <c r="A8626" s="59">
        <v>18</v>
      </c>
      <c r="B8626" s="59">
        <v>44</v>
      </c>
      <c r="C8626" s="59">
        <v>610</v>
      </c>
      <c r="D8626" s="51">
        <v>445</v>
      </c>
      <c r="E8626" s="51">
        <f t="shared" si="134"/>
        <v>1</v>
      </c>
    </row>
    <row r="8627" spans="1:5">
      <c r="A8627" s="59">
        <v>18</v>
      </c>
      <c r="B8627" s="59">
        <v>64</v>
      </c>
      <c r="C8627" s="59">
        <v>410</v>
      </c>
      <c r="D8627" s="51">
        <v>407</v>
      </c>
      <c r="E8627" s="51">
        <f t="shared" si="134"/>
        <v>1</v>
      </c>
    </row>
    <row r="8628" spans="1:5">
      <c r="A8628" s="59">
        <v>18</v>
      </c>
      <c r="B8628" s="59">
        <v>71</v>
      </c>
      <c r="C8628" s="59">
        <v>720</v>
      </c>
      <c r="D8628" s="51">
        <v>403</v>
      </c>
      <c r="E8628" s="51">
        <f t="shared" si="134"/>
        <v>1</v>
      </c>
    </row>
    <row r="8629" spans="1:5">
      <c r="A8629" s="59">
        <v>18</v>
      </c>
      <c r="B8629" s="59">
        <v>62</v>
      </c>
      <c r="C8629" s="59">
        <v>530</v>
      </c>
      <c r="D8629" s="51">
        <v>395</v>
      </c>
      <c r="E8629" s="51">
        <f t="shared" si="134"/>
        <v>1</v>
      </c>
    </row>
    <row r="8630" spans="1:5">
      <c r="A8630" s="59">
        <v>18</v>
      </c>
      <c r="B8630" s="59">
        <v>32</v>
      </c>
      <c r="C8630" s="59">
        <v>420</v>
      </c>
      <c r="D8630" s="51">
        <v>394</v>
      </c>
      <c r="E8630" s="51">
        <f t="shared" si="134"/>
        <v>1</v>
      </c>
    </row>
    <row r="8631" spans="1:5">
      <c r="A8631" s="59">
        <v>18</v>
      </c>
      <c r="B8631" s="59">
        <v>15</v>
      </c>
      <c r="C8631" s="59">
        <v>140</v>
      </c>
      <c r="D8631" s="51">
        <v>389</v>
      </c>
      <c r="E8631" s="51">
        <f t="shared" si="134"/>
        <v>1</v>
      </c>
    </row>
    <row r="8632" spans="1:5">
      <c r="A8632" s="59">
        <v>18</v>
      </c>
      <c r="B8632" s="59">
        <v>64</v>
      </c>
      <c r="C8632" s="59">
        <v>620</v>
      </c>
      <c r="D8632" s="51">
        <v>375</v>
      </c>
      <c r="E8632" s="51">
        <f t="shared" si="134"/>
        <v>1</v>
      </c>
    </row>
    <row r="8633" spans="1:5">
      <c r="A8633" s="59">
        <v>18</v>
      </c>
      <c r="B8633" s="59">
        <v>64</v>
      </c>
      <c r="C8633" s="59">
        <v>150</v>
      </c>
      <c r="D8633" s="51">
        <v>370</v>
      </c>
      <c r="E8633" s="51">
        <f t="shared" si="134"/>
        <v>1</v>
      </c>
    </row>
    <row r="8634" spans="1:5">
      <c r="A8634" s="59">
        <v>18</v>
      </c>
      <c r="B8634" s="59">
        <v>32</v>
      </c>
      <c r="C8634" s="59">
        <v>410</v>
      </c>
      <c r="D8634" s="51">
        <v>368</v>
      </c>
      <c r="E8634" s="51">
        <f t="shared" si="134"/>
        <v>1</v>
      </c>
    </row>
    <row r="8635" spans="1:5">
      <c r="A8635" s="59">
        <v>18</v>
      </c>
      <c r="B8635" s="59">
        <v>63</v>
      </c>
      <c r="C8635" s="59">
        <v>730</v>
      </c>
      <c r="D8635" s="51">
        <v>350</v>
      </c>
      <c r="E8635" s="51">
        <f t="shared" si="134"/>
        <v>1</v>
      </c>
    </row>
    <row r="8636" spans="1:5">
      <c r="A8636" s="59">
        <v>18</v>
      </c>
      <c r="B8636" s="59">
        <v>14</v>
      </c>
      <c r="C8636" s="59">
        <v>140</v>
      </c>
      <c r="D8636" s="51">
        <v>324</v>
      </c>
      <c r="E8636" s="51">
        <f t="shared" si="134"/>
        <v>1</v>
      </c>
    </row>
    <row r="8637" spans="1:5">
      <c r="A8637" s="59">
        <v>18</v>
      </c>
      <c r="B8637" s="59">
        <v>13</v>
      </c>
      <c r="C8637" s="59">
        <v>110</v>
      </c>
      <c r="D8637" s="51">
        <v>314</v>
      </c>
      <c r="E8637" s="51">
        <f t="shared" si="134"/>
        <v>1</v>
      </c>
    </row>
    <row r="8638" spans="1:5">
      <c r="A8638" s="59">
        <v>18</v>
      </c>
      <c r="B8638" s="59">
        <v>13</v>
      </c>
      <c r="C8638" s="59">
        <v>160</v>
      </c>
      <c r="D8638" s="51">
        <v>295</v>
      </c>
      <c r="E8638" s="51">
        <f t="shared" si="134"/>
        <v>1</v>
      </c>
    </row>
    <row r="8639" spans="1:5">
      <c r="A8639" s="59">
        <v>18</v>
      </c>
      <c r="B8639" s="59">
        <v>71</v>
      </c>
      <c r="C8639" s="59">
        <v>530</v>
      </c>
      <c r="D8639" s="51">
        <v>295</v>
      </c>
      <c r="E8639" s="51">
        <f t="shared" si="134"/>
        <v>1</v>
      </c>
    </row>
    <row r="8640" spans="1:5">
      <c r="A8640" s="59">
        <v>18</v>
      </c>
      <c r="B8640" s="59">
        <v>22</v>
      </c>
      <c r="C8640" s="59">
        <v>210</v>
      </c>
      <c r="D8640" s="51">
        <v>287</v>
      </c>
      <c r="E8640" s="51">
        <f t="shared" si="134"/>
        <v>1</v>
      </c>
    </row>
    <row r="8641" spans="1:5">
      <c r="A8641" s="59">
        <v>18</v>
      </c>
      <c r="B8641" s="59">
        <v>44</v>
      </c>
      <c r="C8641" s="59">
        <v>530</v>
      </c>
      <c r="D8641" s="51">
        <v>271</v>
      </c>
      <c r="E8641" s="51">
        <f t="shared" si="134"/>
        <v>1</v>
      </c>
    </row>
    <row r="8642" spans="1:5">
      <c r="A8642" s="59">
        <v>18</v>
      </c>
      <c r="B8642" s="59">
        <v>43</v>
      </c>
      <c r="C8642" s="59">
        <v>620</v>
      </c>
      <c r="D8642" s="51">
        <v>244</v>
      </c>
      <c r="E8642" s="51">
        <f t="shared" ref="E8642:E8705" si="135">IF(OR(A8642=6,A8642=7,A8642=14,A8642=15,A8642=16,A8642=17,A8642=18,A8642=19,A8642=20,A8642=21,A8642=22,A8642=23,A8642=25,A8642=26,A8642=27,A8642=28,B8642=41,B8642=44,B8642=62),1,0)</f>
        <v>1</v>
      </c>
    </row>
    <row r="8643" spans="1:5">
      <c r="A8643" s="59">
        <v>18</v>
      </c>
      <c r="B8643" s="59">
        <v>43</v>
      </c>
      <c r="C8643" s="59">
        <v>520</v>
      </c>
      <c r="D8643" s="51">
        <v>243</v>
      </c>
      <c r="E8643" s="51">
        <f t="shared" si="135"/>
        <v>1</v>
      </c>
    </row>
    <row r="8644" spans="1:5">
      <c r="A8644" s="59">
        <v>18</v>
      </c>
      <c r="B8644" s="59">
        <v>64</v>
      </c>
      <c r="C8644" s="59">
        <v>520</v>
      </c>
      <c r="D8644" s="51">
        <v>236</v>
      </c>
      <c r="E8644" s="51">
        <f t="shared" si="135"/>
        <v>1</v>
      </c>
    </row>
    <row r="8645" spans="1:5">
      <c r="A8645" s="59">
        <v>18</v>
      </c>
      <c r="B8645" s="59">
        <v>81</v>
      </c>
      <c r="C8645" s="59">
        <v>730</v>
      </c>
      <c r="D8645" s="51">
        <v>229</v>
      </c>
      <c r="E8645" s="51">
        <f t="shared" si="135"/>
        <v>1</v>
      </c>
    </row>
    <row r="8646" spans="1:5">
      <c r="A8646" s="59">
        <v>18</v>
      </c>
      <c r="B8646" s="59">
        <v>64</v>
      </c>
      <c r="C8646" s="59">
        <v>860</v>
      </c>
      <c r="D8646" s="51">
        <v>227</v>
      </c>
      <c r="E8646" s="51">
        <f t="shared" si="135"/>
        <v>1</v>
      </c>
    </row>
    <row r="8647" spans="1:5">
      <c r="A8647" s="59">
        <v>18</v>
      </c>
      <c r="B8647" s="59">
        <v>81</v>
      </c>
      <c r="C8647" s="59">
        <v>720</v>
      </c>
      <c r="D8647" s="51">
        <v>220</v>
      </c>
      <c r="E8647" s="51">
        <f t="shared" si="135"/>
        <v>1</v>
      </c>
    </row>
    <row r="8648" spans="1:5">
      <c r="A8648" s="59">
        <v>18</v>
      </c>
      <c r="B8648" s="59">
        <v>43</v>
      </c>
      <c r="C8648" s="59">
        <v>110</v>
      </c>
      <c r="D8648" s="51">
        <v>216</v>
      </c>
      <c r="E8648" s="51">
        <f t="shared" si="135"/>
        <v>1</v>
      </c>
    </row>
    <row r="8649" spans="1:5">
      <c r="A8649" s="59">
        <v>18</v>
      </c>
      <c r="B8649" s="59">
        <v>43</v>
      </c>
      <c r="C8649" s="59">
        <v>150</v>
      </c>
      <c r="D8649" s="51">
        <v>215</v>
      </c>
      <c r="E8649" s="51">
        <f t="shared" si="135"/>
        <v>1</v>
      </c>
    </row>
    <row r="8650" spans="1:5">
      <c r="A8650" s="59">
        <v>18</v>
      </c>
      <c r="B8650" s="59">
        <v>64</v>
      </c>
      <c r="C8650" s="59">
        <v>990</v>
      </c>
      <c r="D8650" s="51">
        <v>215</v>
      </c>
      <c r="E8650" s="51">
        <f t="shared" si="135"/>
        <v>1</v>
      </c>
    </row>
    <row r="8651" spans="1:5">
      <c r="A8651" s="59">
        <v>18</v>
      </c>
      <c r="B8651" s="59">
        <v>43</v>
      </c>
      <c r="C8651" s="59">
        <v>861</v>
      </c>
      <c r="D8651" s="51">
        <v>213</v>
      </c>
      <c r="E8651" s="51">
        <f t="shared" si="135"/>
        <v>1</v>
      </c>
    </row>
    <row r="8652" spans="1:5">
      <c r="A8652" s="59">
        <v>18</v>
      </c>
      <c r="B8652" s="59">
        <v>42</v>
      </c>
      <c r="C8652" s="59">
        <v>510</v>
      </c>
      <c r="D8652" s="51">
        <v>210</v>
      </c>
      <c r="E8652" s="51">
        <f t="shared" si="135"/>
        <v>1</v>
      </c>
    </row>
    <row r="8653" spans="1:5">
      <c r="A8653" s="59">
        <v>18</v>
      </c>
      <c r="B8653" s="59">
        <v>41</v>
      </c>
      <c r="C8653" s="59">
        <v>720</v>
      </c>
      <c r="D8653" s="51">
        <v>207</v>
      </c>
      <c r="E8653" s="51">
        <f t="shared" si="135"/>
        <v>1</v>
      </c>
    </row>
    <row r="8654" spans="1:5">
      <c r="A8654" s="59">
        <v>18</v>
      </c>
      <c r="B8654" s="59">
        <v>64</v>
      </c>
      <c r="C8654" s="59">
        <v>750</v>
      </c>
      <c r="D8654" s="51">
        <v>207</v>
      </c>
      <c r="E8654" s="51">
        <f t="shared" si="135"/>
        <v>1</v>
      </c>
    </row>
    <row r="8655" spans="1:5">
      <c r="A8655" s="59">
        <v>18</v>
      </c>
      <c r="B8655" s="59">
        <v>13</v>
      </c>
      <c r="C8655" s="59">
        <v>510</v>
      </c>
      <c r="D8655" s="51">
        <v>204</v>
      </c>
      <c r="E8655" s="51">
        <f t="shared" si="135"/>
        <v>1</v>
      </c>
    </row>
    <row r="8656" spans="1:5">
      <c r="A8656" s="59">
        <v>18</v>
      </c>
      <c r="B8656" s="59">
        <v>61</v>
      </c>
      <c r="C8656" s="59">
        <v>920</v>
      </c>
      <c r="D8656" s="51">
        <v>200</v>
      </c>
      <c r="E8656" s="51">
        <f t="shared" si="135"/>
        <v>1</v>
      </c>
    </row>
    <row r="8657" spans="1:5">
      <c r="A8657" s="59">
        <v>18</v>
      </c>
      <c r="B8657" s="59">
        <v>44</v>
      </c>
      <c r="C8657" s="59">
        <v>892</v>
      </c>
      <c r="D8657" s="51">
        <v>194</v>
      </c>
      <c r="E8657" s="51">
        <f t="shared" si="135"/>
        <v>1</v>
      </c>
    </row>
    <row r="8658" spans="1:5">
      <c r="A8658" s="59">
        <v>18</v>
      </c>
      <c r="B8658" s="59">
        <v>15</v>
      </c>
      <c r="C8658" s="59">
        <v>150</v>
      </c>
      <c r="D8658" s="51">
        <v>191</v>
      </c>
      <c r="E8658" s="51">
        <f t="shared" si="135"/>
        <v>1</v>
      </c>
    </row>
    <row r="8659" spans="1:5">
      <c r="A8659" s="59">
        <v>18</v>
      </c>
      <c r="B8659" s="59">
        <v>43</v>
      </c>
      <c r="C8659" s="59">
        <v>940</v>
      </c>
      <c r="D8659" s="51">
        <v>191</v>
      </c>
      <c r="E8659" s="51">
        <f t="shared" si="135"/>
        <v>1</v>
      </c>
    </row>
    <row r="8660" spans="1:5">
      <c r="A8660" s="59">
        <v>18</v>
      </c>
      <c r="B8660" s="59">
        <v>71</v>
      </c>
      <c r="C8660" s="59">
        <v>520</v>
      </c>
      <c r="D8660" s="51">
        <v>191</v>
      </c>
      <c r="E8660" s="51">
        <f t="shared" si="135"/>
        <v>1</v>
      </c>
    </row>
    <row r="8661" spans="1:5">
      <c r="A8661" s="59">
        <v>18</v>
      </c>
      <c r="B8661" s="59">
        <v>22</v>
      </c>
      <c r="C8661" s="59">
        <v>150</v>
      </c>
      <c r="D8661" s="51">
        <v>183</v>
      </c>
      <c r="E8661" s="51">
        <f t="shared" si="135"/>
        <v>1</v>
      </c>
    </row>
    <row r="8662" spans="1:5">
      <c r="A8662" s="59">
        <v>18</v>
      </c>
      <c r="B8662" s="59">
        <v>43</v>
      </c>
      <c r="C8662" s="59">
        <v>990</v>
      </c>
      <c r="D8662" s="51">
        <v>181</v>
      </c>
      <c r="E8662" s="51">
        <f t="shared" si="135"/>
        <v>1</v>
      </c>
    </row>
    <row r="8663" spans="1:5">
      <c r="A8663" s="59">
        <v>18</v>
      </c>
      <c r="B8663" s="59">
        <v>64</v>
      </c>
      <c r="C8663" s="59">
        <v>420</v>
      </c>
      <c r="D8663" s="51">
        <v>170</v>
      </c>
      <c r="E8663" s="51">
        <f t="shared" si="135"/>
        <v>1</v>
      </c>
    </row>
    <row r="8664" spans="1:5">
      <c r="A8664" s="59">
        <v>18</v>
      </c>
      <c r="B8664" s="59">
        <v>14</v>
      </c>
      <c r="C8664" s="59">
        <v>510</v>
      </c>
      <c r="D8664" s="51">
        <v>165</v>
      </c>
      <c r="E8664" s="51">
        <f t="shared" si="135"/>
        <v>1</v>
      </c>
    </row>
    <row r="8665" spans="1:5">
      <c r="A8665" s="59">
        <v>18</v>
      </c>
      <c r="B8665" s="59">
        <v>81</v>
      </c>
      <c r="C8665" s="59">
        <v>990</v>
      </c>
      <c r="D8665" s="51">
        <v>160</v>
      </c>
      <c r="E8665" s="51">
        <f t="shared" si="135"/>
        <v>1</v>
      </c>
    </row>
    <row r="8666" spans="1:5">
      <c r="A8666" s="59">
        <v>18</v>
      </c>
      <c r="B8666" s="59">
        <v>32</v>
      </c>
      <c r="C8666" s="59">
        <v>510</v>
      </c>
      <c r="D8666" s="51">
        <v>158</v>
      </c>
      <c r="E8666" s="51">
        <f t="shared" si="135"/>
        <v>1</v>
      </c>
    </row>
    <row r="8667" spans="1:5">
      <c r="A8667" s="59">
        <v>18</v>
      </c>
      <c r="B8667" s="59">
        <v>64</v>
      </c>
      <c r="C8667" s="59">
        <v>430</v>
      </c>
      <c r="D8667" s="51">
        <v>158</v>
      </c>
      <c r="E8667" s="51">
        <f t="shared" si="135"/>
        <v>1</v>
      </c>
    </row>
    <row r="8668" spans="1:5">
      <c r="A8668" s="59">
        <v>18</v>
      </c>
      <c r="B8668" s="59">
        <v>71</v>
      </c>
      <c r="C8668" s="59">
        <v>990</v>
      </c>
      <c r="D8668" s="51">
        <v>154</v>
      </c>
      <c r="E8668" s="51">
        <f t="shared" si="135"/>
        <v>1</v>
      </c>
    </row>
    <row r="8669" spans="1:5">
      <c r="A8669" s="59">
        <v>18</v>
      </c>
      <c r="B8669" s="59">
        <v>22</v>
      </c>
      <c r="C8669" s="59">
        <v>230</v>
      </c>
      <c r="D8669" s="51">
        <v>153</v>
      </c>
      <c r="E8669" s="51">
        <f t="shared" si="135"/>
        <v>1</v>
      </c>
    </row>
    <row r="8670" spans="1:5">
      <c r="A8670" s="59">
        <v>18</v>
      </c>
      <c r="B8670" s="59">
        <v>63</v>
      </c>
      <c r="C8670" s="59">
        <v>620</v>
      </c>
      <c r="D8670" s="51">
        <v>152</v>
      </c>
      <c r="E8670" s="51">
        <f t="shared" si="135"/>
        <v>1</v>
      </c>
    </row>
    <row r="8671" spans="1:5">
      <c r="A8671" s="59">
        <v>18</v>
      </c>
      <c r="B8671" s="59">
        <v>42</v>
      </c>
      <c r="C8671" s="59">
        <v>530</v>
      </c>
      <c r="D8671" s="51">
        <v>148</v>
      </c>
      <c r="E8671" s="51">
        <f t="shared" si="135"/>
        <v>1</v>
      </c>
    </row>
    <row r="8672" spans="1:5">
      <c r="A8672" s="59">
        <v>18</v>
      </c>
      <c r="B8672" s="59">
        <v>44</v>
      </c>
      <c r="C8672" s="59">
        <v>930</v>
      </c>
      <c r="D8672" s="51">
        <v>148</v>
      </c>
      <c r="E8672" s="51">
        <f t="shared" si="135"/>
        <v>1</v>
      </c>
    </row>
    <row r="8673" spans="1:5">
      <c r="A8673" s="59">
        <v>18</v>
      </c>
      <c r="B8673" s="59">
        <v>81</v>
      </c>
      <c r="C8673" s="59">
        <v>510</v>
      </c>
      <c r="D8673" s="51">
        <v>145</v>
      </c>
      <c r="E8673" s="51">
        <f t="shared" si="135"/>
        <v>1</v>
      </c>
    </row>
    <row r="8674" spans="1:5">
      <c r="A8674" s="59">
        <v>18</v>
      </c>
      <c r="B8674" s="59">
        <v>24</v>
      </c>
      <c r="C8674" s="59">
        <v>920</v>
      </c>
      <c r="D8674" s="51">
        <v>143</v>
      </c>
      <c r="E8674" s="51">
        <f t="shared" si="135"/>
        <v>1</v>
      </c>
    </row>
    <row r="8675" spans="1:5">
      <c r="A8675" s="59">
        <v>18</v>
      </c>
      <c r="B8675" s="59">
        <v>44</v>
      </c>
      <c r="C8675" s="59">
        <v>990</v>
      </c>
      <c r="D8675" s="51">
        <v>141</v>
      </c>
      <c r="E8675" s="51">
        <f t="shared" si="135"/>
        <v>1</v>
      </c>
    </row>
    <row r="8676" spans="1:5">
      <c r="A8676" s="59">
        <v>18</v>
      </c>
      <c r="B8676" s="59">
        <v>62</v>
      </c>
      <c r="C8676" s="59">
        <v>750</v>
      </c>
      <c r="D8676" s="51">
        <v>139</v>
      </c>
      <c r="E8676" s="51">
        <f t="shared" si="135"/>
        <v>1</v>
      </c>
    </row>
    <row r="8677" spans="1:5">
      <c r="A8677" s="59">
        <v>18</v>
      </c>
      <c r="B8677" s="59">
        <v>81</v>
      </c>
      <c r="C8677" s="59">
        <v>610</v>
      </c>
      <c r="D8677" s="51">
        <v>132</v>
      </c>
      <c r="E8677" s="51">
        <f t="shared" si="135"/>
        <v>1</v>
      </c>
    </row>
    <row r="8678" spans="1:5">
      <c r="A8678" s="59">
        <v>18</v>
      </c>
      <c r="B8678" s="59">
        <v>14</v>
      </c>
      <c r="C8678" s="59">
        <v>310</v>
      </c>
      <c r="D8678" s="51">
        <v>130</v>
      </c>
      <c r="E8678" s="51">
        <f t="shared" si="135"/>
        <v>1</v>
      </c>
    </row>
    <row r="8679" spans="1:5">
      <c r="A8679" s="59">
        <v>18</v>
      </c>
      <c r="B8679" s="59">
        <v>64</v>
      </c>
      <c r="C8679" s="59">
        <v>550</v>
      </c>
      <c r="D8679" s="51">
        <v>127</v>
      </c>
      <c r="E8679" s="51">
        <f t="shared" si="135"/>
        <v>1</v>
      </c>
    </row>
    <row r="8680" spans="1:5">
      <c r="A8680" s="59">
        <v>18</v>
      </c>
      <c r="B8680" s="59">
        <v>63</v>
      </c>
      <c r="C8680" s="59">
        <v>520</v>
      </c>
      <c r="D8680" s="51">
        <v>119</v>
      </c>
      <c r="E8680" s="51">
        <f t="shared" si="135"/>
        <v>1</v>
      </c>
    </row>
    <row r="8681" spans="1:5">
      <c r="A8681" s="59">
        <v>18</v>
      </c>
      <c r="B8681" s="59">
        <v>16</v>
      </c>
      <c r="C8681" s="59">
        <v>150</v>
      </c>
      <c r="D8681" s="51">
        <v>117</v>
      </c>
      <c r="E8681" s="51">
        <f t="shared" si="135"/>
        <v>1</v>
      </c>
    </row>
    <row r="8682" spans="1:5">
      <c r="A8682" s="59">
        <v>18</v>
      </c>
      <c r="B8682" s="59">
        <v>42</v>
      </c>
      <c r="C8682" s="59">
        <v>620</v>
      </c>
      <c r="D8682" s="51">
        <v>117</v>
      </c>
      <c r="E8682" s="51">
        <f t="shared" si="135"/>
        <v>1</v>
      </c>
    </row>
    <row r="8683" spans="1:5">
      <c r="A8683" s="59">
        <v>18</v>
      </c>
      <c r="B8683" s="59">
        <v>43</v>
      </c>
      <c r="C8683" s="59">
        <v>970</v>
      </c>
      <c r="D8683" s="51">
        <v>116</v>
      </c>
      <c r="E8683" s="51">
        <f t="shared" si="135"/>
        <v>1</v>
      </c>
    </row>
    <row r="8684" spans="1:5">
      <c r="A8684" s="59">
        <v>18</v>
      </c>
      <c r="B8684" s="59">
        <v>22</v>
      </c>
      <c r="C8684" s="59">
        <v>110</v>
      </c>
      <c r="D8684" s="51">
        <v>114</v>
      </c>
      <c r="E8684" s="51">
        <f t="shared" si="135"/>
        <v>1</v>
      </c>
    </row>
    <row r="8685" spans="1:5">
      <c r="A8685" s="59">
        <v>18</v>
      </c>
      <c r="B8685" s="59">
        <v>43</v>
      </c>
      <c r="C8685" s="59">
        <v>730</v>
      </c>
      <c r="D8685" s="51">
        <v>108</v>
      </c>
      <c r="E8685" s="51">
        <f t="shared" si="135"/>
        <v>1</v>
      </c>
    </row>
    <row r="8686" spans="1:5">
      <c r="A8686" s="59">
        <v>18</v>
      </c>
      <c r="B8686" s="59">
        <v>62</v>
      </c>
      <c r="C8686" s="59">
        <v>620</v>
      </c>
      <c r="D8686" s="51">
        <v>108</v>
      </c>
      <c r="E8686" s="51">
        <f t="shared" si="135"/>
        <v>1</v>
      </c>
    </row>
    <row r="8687" spans="1:5">
      <c r="A8687" s="59">
        <v>18</v>
      </c>
      <c r="B8687" s="59">
        <v>71</v>
      </c>
      <c r="C8687" s="59">
        <v>160</v>
      </c>
      <c r="D8687" s="51">
        <v>108</v>
      </c>
      <c r="E8687" s="51">
        <f t="shared" si="135"/>
        <v>1</v>
      </c>
    </row>
    <row r="8688" spans="1:5">
      <c r="A8688" s="59">
        <v>18</v>
      </c>
      <c r="B8688" s="59">
        <v>15</v>
      </c>
      <c r="C8688" s="59">
        <v>160</v>
      </c>
      <c r="D8688" s="51">
        <v>107</v>
      </c>
      <c r="E8688" s="51">
        <f t="shared" si="135"/>
        <v>1</v>
      </c>
    </row>
    <row r="8689" spans="1:5">
      <c r="A8689" s="59">
        <v>18</v>
      </c>
      <c r="B8689" s="59">
        <v>14</v>
      </c>
      <c r="C8689" s="59">
        <v>210</v>
      </c>
      <c r="D8689" s="51">
        <v>105</v>
      </c>
      <c r="E8689" s="51">
        <f t="shared" si="135"/>
        <v>1</v>
      </c>
    </row>
    <row r="8690" spans="1:5">
      <c r="A8690" s="59">
        <v>18</v>
      </c>
      <c r="B8690" s="59">
        <v>63</v>
      </c>
      <c r="C8690" s="59">
        <v>750</v>
      </c>
      <c r="D8690" s="51">
        <v>104</v>
      </c>
      <c r="E8690" s="51">
        <f t="shared" si="135"/>
        <v>1</v>
      </c>
    </row>
    <row r="8691" spans="1:5">
      <c r="A8691" s="59">
        <v>18</v>
      </c>
      <c r="B8691" s="59">
        <v>71</v>
      </c>
      <c r="C8691" s="59">
        <v>110</v>
      </c>
      <c r="D8691" s="51">
        <v>103</v>
      </c>
      <c r="E8691" s="51">
        <f t="shared" si="135"/>
        <v>1</v>
      </c>
    </row>
    <row r="8692" spans="1:5">
      <c r="A8692" s="59">
        <v>18</v>
      </c>
      <c r="B8692" s="59">
        <v>63</v>
      </c>
      <c r="C8692" s="59">
        <v>990</v>
      </c>
      <c r="D8692" s="51">
        <v>102</v>
      </c>
      <c r="E8692" s="51">
        <f t="shared" si="135"/>
        <v>1</v>
      </c>
    </row>
    <row r="8693" spans="1:5">
      <c r="A8693" s="59">
        <v>18</v>
      </c>
      <c r="B8693" s="59">
        <v>14</v>
      </c>
      <c r="C8693" s="59">
        <v>930</v>
      </c>
      <c r="D8693" s="51">
        <v>99</v>
      </c>
      <c r="E8693" s="51">
        <f t="shared" si="135"/>
        <v>1</v>
      </c>
    </row>
    <row r="8694" spans="1:5">
      <c r="A8694" s="59">
        <v>18</v>
      </c>
      <c r="B8694" s="59">
        <v>62</v>
      </c>
      <c r="C8694" s="59">
        <v>710</v>
      </c>
      <c r="D8694" s="51">
        <v>99</v>
      </c>
      <c r="E8694" s="51">
        <f t="shared" si="135"/>
        <v>1</v>
      </c>
    </row>
    <row r="8695" spans="1:5">
      <c r="A8695" s="59">
        <v>18</v>
      </c>
      <c r="B8695" s="59">
        <v>64</v>
      </c>
      <c r="C8695" s="59">
        <v>930</v>
      </c>
      <c r="D8695" s="51">
        <v>99</v>
      </c>
      <c r="E8695" s="51">
        <f t="shared" si="135"/>
        <v>1</v>
      </c>
    </row>
    <row r="8696" spans="1:5">
      <c r="A8696" s="59">
        <v>18</v>
      </c>
      <c r="B8696" s="59">
        <v>31</v>
      </c>
      <c r="C8696" s="59">
        <v>910</v>
      </c>
      <c r="D8696" s="51">
        <v>96</v>
      </c>
      <c r="E8696" s="51">
        <f t="shared" si="135"/>
        <v>1</v>
      </c>
    </row>
    <row r="8697" spans="1:5">
      <c r="A8697" s="59">
        <v>18</v>
      </c>
      <c r="B8697" s="59">
        <v>11</v>
      </c>
      <c r="C8697" s="59">
        <v>920</v>
      </c>
      <c r="D8697" s="51">
        <v>95</v>
      </c>
      <c r="E8697" s="51">
        <f t="shared" si="135"/>
        <v>1</v>
      </c>
    </row>
    <row r="8698" spans="1:5">
      <c r="A8698" s="59">
        <v>18</v>
      </c>
      <c r="B8698" s="59">
        <v>13</v>
      </c>
      <c r="C8698" s="59">
        <v>610</v>
      </c>
      <c r="D8698" s="51">
        <v>92</v>
      </c>
      <c r="E8698" s="51">
        <f t="shared" si="135"/>
        <v>1</v>
      </c>
    </row>
    <row r="8699" spans="1:5">
      <c r="A8699" s="59">
        <v>18</v>
      </c>
      <c r="B8699" s="59">
        <v>43</v>
      </c>
      <c r="C8699" s="59">
        <v>210</v>
      </c>
      <c r="D8699" s="51">
        <v>92</v>
      </c>
      <c r="E8699" s="51">
        <f t="shared" si="135"/>
        <v>1</v>
      </c>
    </row>
    <row r="8700" spans="1:5">
      <c r="A8700" s="59">
        <v>18</v>
      </c>
      <c r="B8700" s="59">
        <v>22</v>
      </c>
      <c r="C8700" s="59">
        <v>310</v>
      </c>
      <c r="D8700" s="51">
        <v>90</v>
      </c>
      <c r="E8700" s="51">
        <f t="shared" si="135"/>
        <v>1</v>
      </c>
    </row>
    <row r="8701" spans="1:5">
      <c r="A8701" s="59">
        <v>18</v>
      </c>
      <c r="B8701" s="59">
        <v>64</v>
      </c>
      <c r="C8701" s="59">
        <v>210</v>
      </c>
      <c r="D8701" s="51">
        <v>89</v>
      </c>
      <c r="E8701" s="51">
        <f t="shared" si="135"/>
        <v>1</v>
      </c>
    </row>
    <row r="8702" spans="1:5">
      <c r="A8702" s="59">
        <v>18</v>
      </c>
      <c r="B8702" s="59">
        <v>33</v>
      </c>
      <c r="C8702" s="59">
        <v>410</v>
      </c>
      <c r="D8702" s="51">
        <v>87</v>
      </c>
      <c r="E8702" s="51">
        <f t="shared" si="135"/>
        <v>1</v>
      </c>
    </row>
    <row r="8703" spans="1:5">
      <c r="A8703" s="59">
        <v>18</v>
      </c>
      <c r="B8703" s="59">
        <v>43</v>
      </c>
      <c r="C8703" s="59">
        <v>410</v>
      </c>
      <c r="D8703" s="51">
        <v>86</v>
      </c>
      <c r="E8703" s="51">
        <f t="shared" si="135"/>
        <v>1</v>
      </c>
    </row>
    <row r="8704" spans="1:5">
      <c r="A8704" s="59">
        <v>18</v>
      </c>
      <c r="B8704" s="59">
        <v>62</v>
      </c>
      <c r="C8704" s="59">
        <v>520</v>
      </c>
      <c r="D8704" s="51">
        <v>86</v>
      </c>
      <c r="E8704" s="51">
        <f t="shared" si="135"/>
        <v>1</v>
      </c>
    </row>
    <row r="8705" spans="1:5">
      <c r="A8705" s="59">
        <v>18</v>
      </c>
      <c r="B8705" s="59">
        <v>14</v>
      </c>
      <c r="C8705" s="59">
        <v>320</v>
      </c>
      <c r="D8705" s="51">
        <v>84</v>
      </c>
      <c r="E8705" s="51">
        <f t="shared" si="135"/>
        <v>1</v>
      </c>
    </row>
    <row r="8706" spans="1:5">
      <c r="A8706" s="59">
        <v>18</v>
      </c>
      <c r="B8706" s="59">
        <v>71</v>
      </c>
      <c r="C8706" s="59">
        <v>640</v>
      </c>
      <c r="D8706" s="51">
        <v>84</v>
      </c>
      <c r="E8706" s="51">
        <f t="shared" ref="E8706:E8769" si="136">IF(OR(A8706=6,A8706=7,A8706=14,A8706=15,A8706=16,A8706=17,A8706=18,A8706=19,A8706=20,A8706=21,A8706=22,A8706=23,A8706=25,A8706=26,A8706=27,A8706=28,B8706=41,B8706=44,B8706=62),1,0)</f>
        <v>1</v>
      </c>
    </row>
    <row r="8707" spans="1:5">
      <c r="A8707" s="59">
        <v>18</v>
      </c>
      <c r="B8707" s="59">
        <v>13</v>
      </c>
      <c r="C8707" s="59">
        <v>530</v>
      </c>
      <c r="D8707" s="51">
        <v>83</v>
      </c>
      <c r="E8707" s="51">
        <f t="shared" si="136"/>
        <v>1</v>
      </c>
    </row>
    <row r="8708" spans="1:5">
      <c r="A8708" s="59">
        <v>18</v>
      </c>
      <c r="B8708" s="59">
        <v>44</v>
      </c>
      <c r="C8708" s="59">
        <v>620</v>
      </c>
      <c r="D8708" s="51">
        <v>83</v>
      </c>
      <c r="E8708" s="51">
        <f t="shared" si="136"/>
        <v>1</v>
      </c>
    </row>
    <row r="8709" spans="1:5">
      <c r="A8709" s="59">
        <v>18</v>
      </c>
      <c r="B8709" s="59">
        <v>63</v>
      </c>
      <c r="C8709" s="59">
        <v>710</v>
      </c>
      <c r="D8709" s="51">
        <v>82</v>
      </c>
      <c r="E8709" s="51">
        <f t="shared" si="136"/>
        <v>1</v>
      </c>
    </row>
    <row r="8710" spans="1:5">
      <c r="A8710" s="59">
        <v>18</v>
      </c>
      <c r="B8710" s="59">
        <v>63</v>
      </c>
      <c r="C8710" s="59">
        <v>110</v>
      </c>
      <c r="D8710" s="51">
        <v>81</v>
      </c>
      <c r="E8710" s="51">
        <f t="shared" si="136"/>
        <v>1</v>
      </c>
    </row>
    <row r="8711" spans="1:5">
      <c r="A8711" s="59">
        <v>18</v>
      </c>
      <c r="B8711" s="59">
        <v>14</v>
      </c>
      <c r="C8711" s="59">
        <v>610</v>
      </c>
      <c r="D8711" s="51">
        <v>80</v>
      </c>
      <c r="E8711" s="51">
        <f t="shared" si="136"/>
        <v>1</v>
      </c>
    </row>
    <row r="8712" spans="1:5">
      <c r="A8712" s="59">
        <v>18</v>
      </c>
      <c r="B8712" s="59">
        <v>71</v>
      </c>
      <c r="C8712" s="59">
        <v>730</v>
      </c>
      <c r="D8712" s="51">
        <v>80</v>
      </c>
      <c r="E8712" s="51">
        <f t="shared" si="136"/>
        <v>1</v>
      </c>
    </row>
    <row r="8713" spans="1:5">
      <c r="A8713" s="59">
        <v>18</v>
      </c>
      <c r="B8713" s="59">
        <v>13</v>
      </c>
      <c r="C8713" s="59">
        <v>930</v>
      </c>
      <c r="D8713" s="51">
        <v>79</v>
      </c>
      <c r="E8713" s="51">
        <f t="shared" si="136"/>
        <v>1</v>
      </c>
    </row>
    <row r="8714" spans="1:5">
      <c r="A8714" s="59">
        <v>18</v>
      </c>
      <c r="B8714" s="59">
        <v>23</v>
      </c>
      <c r="C8714" s="59">
        <v>910</v>
      </c>
      <c r="D8714" s="51">
        <v>78</v>
      </c>
      <c r="E8714" s="51">
        <f t="shared" si="136"/>
        <v>1</v>
      </c>
    </row>
    <row r="8715" spans="1:5">
      <c r="A8715" s="59">
        <v>18</v>
      </c>
      <c r="B8715" s="59">
        <v>22</v>
      </c>
      <c r="C8715" s="59">
        <v>240</v>
      </c>
      <c r="D8715" s="51">
        <v>77</v>
      </c>
      <c r="E8715" s="51">
        <f t="shared" si="136"/>
        <v>1</v>
      </c>
    </row>
    <row r="8716" spans="1:5">
      <c r="A8716" s="59">
        <v>18</v>
      </c>
      <c r="B8716" s="59">
        <v>32</v>
      </c>
      <c r="C8716" s="59">
        <v>530</v>
      </c>
      <c r="D8716" s="51">
        <v>77</v>
      </c>
      <c r="E8716" s="51">
        <f t="shared" si="136"/>
        <v>1</v>
      </c>
    </row>
    <row r="8717" spans="1:5">
      <c r="A8717" s="59">
        <v>18</v>
      </c>
      <c r="B8717" s="59">
        <v>14</v>
      </c>
      <c r="C8717" s="59">
        <v>330</v>
      </c>
      <c r="D8717" s="51">
        <v>74</v>
      </c>
      <c r="E8717" s="51">
        <f t="shared" si="136"/>
        <v>1</v>
      </c>
    </row>
    <row r="8718" spans="1:5">
      <c r="A8718" s="59">
        <v>18</v>
      </c>
      <c r="B8718" s="59">
        <v>31</v>
      </c>
      <c r="C8718" s="59">
        <v>920</v>
      </c>
      <c r="D8718" s="51">
        <v>73</v>
      </c>
      <c r="E8718" s="51">
        <f t="shared" si="136"/>
        <v>1</v>
      </c>
    </row>
    <row r="8719" spans="1:5">
      <c r="A8719" s="59">
        <v>18</v>
      </c>
      <c r="B8719" s="59">
        <v>43</v>
      </c>
      <c r="C8719" s="59">
        <v>750</v>
      </c>
      <c r="D8719" s="51">
        <v>72</v>
      </c>
      <c r="E8719" s="51">
        <f t="shared" si="136"/>
        <v>1</v>
      </c>
    </row>
    <row r="8720" spans="1:5">
      <c r="A8720" s="59">
        <v>18</v>
      </c>
      <c r="B8720" s="59">
        <v>43</v>
      </c>
      <c r="C8720" s="59">
        <v>950</v>
      </c>
      <c r="D8720" s="51">
        <v>72</v>
      </c>
      <c r="E8720" s="51">
        <f t="shared" si="136"/>
        <v>1</v>
      </c>
    </row>
    <row r="8721" spans="1:5">
      <c r="A8721" s="59">
        <v>18</v>
      </c>
      <c r="B8721" s="59">
        <v>14</v>
      </c>
      <c r="C8721" s="59">
        <v>230</v>
      </c>
      <c r="D8721" s="51">
        <v>71</v>
      </c>
      <c r="E8721" s="51">
        <f t="shared" si="136"/>
        <v>1</v>
      </c>
    </row>
    <row r="8722" spans="1:5">
      <c r="A8722" s="59">
        <v>18</v>
      </c>
      <c r="B8722" s="59">
        <v>64</v>
      </c>
      <c r="C8722" s="59">
        <v>710</v>
      </c>
      <c r="D8722" s="51">
        <v>71</v>
      </c>
      <c r="E8722" s="51">
        <f t="shared" si="136"/>
        <v>1</v>
      </c>
    </row>
    <row r="8723" spans="1:5">
      <c r="A8723" s="59">
        <v>18</v>
      </c>
      <c r="B8723" s="59">
        <v>14</v>
      </c>
      <c r="C8723" s="59">
        <v>950</v>
      </c>
      <c r="D8723" s="51">
        <v>69</v>
      </c>
      <c r="E8723" s="51">
        <f t="shared" si="136"/>
        <v>1</v>
      </c>
    </row>
    <row r="8724" spans="1:5">
      <c r="A8724" s="59">
        <v>18</v>
      </c>
      <c r="B8724" s="59">
        <v>22</v>
      </c>
      <c r="C8724" s="59">
        <v>320</v>
      </c>
      <c r="D8724" s="51">
        <v>69</v>
      </c>
      <c r="E8724" s="51">
        <f t="shared" si="136"/>
        <v>1</v>
      </c>
    </row>
    <row r="8725" spans="1:5">
      <c r="A8725" s="59">
        <v>18</v>
      </c>
      <c r="B8725" s="59">
        <v>32</v>
      </c>
      <c r="C8725" s="59">
        <v>720</v>
      </c>
      <c r="D8725" s="51">
        <v>69</v>
      </c>
      <c r="E8725" s="51">
        <f t="shared" si="136"/>
        <v>1</v>
      </c>
    </row>
    <row r="8726" spans="1:5">
      <c r="A8726" s="59">
        <v>18</v>
      </c>
      <c r="B8726" s="59">
        <v>43</v>
      </c>
      <c r="C8726" s="59">
        <v>230</v>
      </c>
      <c r="D8726" s="51">
        <v>69</v>
      </c>
      <c r="E8726" s="51">
        <f t="shared" si="136"/>
        <v>1</v>
      </c>
    </row>
    <row r="8727" spans="1:5">
      <c r="A8727" s="59">
        <v>18</v>
      </c>
      <c r="B8727" s="59">
        <v>64</v>
      </c>
      <c r="C8727" s="59">
        <v>310</v>
      </c>
      <c r="D8727" s="51">
        <v>69</v>
      </c>
      <c r="E8727" s="51">
        <f t="shared" si="136"/>
        <v>1</v>
      </c>
    </row>
    <row r="8728" spans="1:5">
      <c r="A8728" s="59">
        <v>18</v>
      </c>
      <c r="B8728" s="59">
        <v>41</v>
      </c>
      <c r="C8728" s="59">
        <v>510</v>
      </c>
      <c r="D8728" s="51">
        <v>68</v>
      </c>
      <c r="E8728" s="51">
        <f t="shared" si="136"/>
        <v>1</v>
      </c>
    </row>
    <row r="8729" spans="1:5">
      <c r="A8729" s="59">
        <v>18</v>
      </c>
      <c r="B8729" s="59">
        <v>32</v>
      </c>
      <c r="C8729" s="59">
        <v>430</v>
      </c>
      <c r="D8729" s="51">
        <v>65</v>
      </c>
      <c r="E8729" s="51">
        <f t="shared" si="136"/>
        <v>1</v>
      </c>
    </row>
    <row r="8730" spans="1:5">
      <c r="A8730" s="59">
        <v>18</v>
      </c>
      <c r="B8730" s="59">
        <v>43</v>
      </c>
      <c r="C8730" s="59">
        <v>840</v>
      </c>
      <c r="D8730" s="51">
        <v>65</v>
      </c>
      <c r="E8730" s="51">
        <f t="shared" si="136"/>
        <v>1</v>
      </c>
    </row>
    <row r="8731" spans="1:5">
      <c r="A8731" s="59">
        <v>18</v>
      </c>
      <c r="B8731" s="59">
        <v>51</v>
      </c>
      <c r="C8731" s="59">
        <v>910</v>
      </c>
      <c r="D8731" s="51">
        <v>65</v>
      </c>
      <c r="E8731" s="51">
        <f t="shared" si="136"/>
        <v>1</v>
      </c>
    </row>
    <row r="8732" spans="1:5">
      <c r="A8732" s="59">
        <v>18</v>
      </c>
      <c r="B8732" s="59">
        <v>15</v>
      </c>
      <c r="C8732" s="59">
        <v>110</v>
      </c>
      <c r="D8732" s="51">
        <v>64</v>
      </c>
      <c r="E8732" s="51">
        <f t="shared" si="136"/>
        <v>1</v>
      </c>
    </row>
    <row r="8733" spans="1:5">
      <c r="A8733" s="59">
        <v>18</v>
      </c>
      <c r="B8733" s="59">
        <v>42</v>
      </c>
      <c r="C8733" s="59">
        <v>940</v>
      </c>
      <c r="D8733" s="51">
        <v>63</v>
      </c>
      <c r="E8733" s="51">
        <f t="shared" si="136"/>
        <v>1</v>
      </c>
    </row>
    <row r="8734" spans="1:5">
      <c r="A8734" s="59">
        <v>18</v>
      </c>
      <c r="B8734" s="59">
        <v>14</v>
      </c>
      <c r="C8734" s="59">
        <v>530</v>
      </c>
      <c r="D8734" s="51">
        <v>61</v>
      </c>
      <c r="E8734" s="51">
        <f t="shared" si="136"/>
        <v>1</v>
      </c>
    </row>
    <row r="8735" spans="1:5">
      <c r="A8735" s="59">
        <v>18</v>
      </c>
      <c r="B8735" s="59">
        <v>64</v>
      </c>
      <c r="C8735" s="59">
        <v>940</v>
      </c>
      <c r="D8735" s="51">
        <v>61</v>
      </c>
      <c r="E8735" s="51">
        <f t="shared" si="136"/>
        <v>1</v>
      </c>
    </row>
    <row r="8736" spans="1:5">
      <c r="A8736" s="59">
        <v>18</v>
      </c>
      <c r="B8736" s="59">
        <v>42</v>
      </c>
      <c r="C8736" s="59">
        <v>990</v>
      </c>
      <c r="D8736" s="51">
        <v>60</v>
      </c>
      <c r="E8736" s="51">
        <f t="shared" si="136"/>
        <v>1</v>
      </c>
    </row>
    <row r="8737" spans="1:5">
      <c r="A8737" s="59">
        <v>18</v>
      </c>
      <c r="B8737" s="59">
        <v>43</v>
      </c>
      <c r="C8737" s="59">
        <v>430</v>
      </c>
      <c r="D8737" s="51">
        <v>59</v>
      </c>
      <c r="E8737" s="51">
        <f t="shared" si="136"/>
        <v>1</v>
      </c>
    </row>
    <row r="8738" spans="1:5">
      <c r="A8738" s="59">
        <v>18</v>
      </c>
      <c r="B8738" s="59">
        <v>44</v>
      </c>
      <c r="C8738" s="59">
        <v>950</v>
      </c>
      <c r="D8738" s="51">
        <v>59</v>
      </c>
      <c r="E8738" s="51">
        <f t="shared" si="136"/>
        <v>1</v>
      </c>
    </row>
    <row r="8739" spans="1:5">
      <c r="A8739" s="59">
        <v>18</v>
      </c>
      <c r="B8739" s="59">
        <v>63</v>
      </c>
      <c r="C8739" s="59">
        <v>160</v>
      </c>
      <c r="D8739" s="51">
        <v>59</v>
      </c>
      <c r="E8739" s="51">
        <f t="shared" si="136"/>
        <v>1</v>
      </c>
    </row>
    <row r="8740" spans="1:5">
      <c r="A8740" s="59">
        <v>18</v>
      </c>
      <c r="B8740" s="59">
        <v>62</v>
      </c>
      <c r="C8740" s="59">
        <v>160</v>
      </c>
      <c r="D8740" s="51">
        <v>58</v>
      </c>
      <c r="E8740" s="51">
        <f t="shared" si="136"/>
        <v>1</v>
      </c>
    </row>
    <row r="8741" spans="1:5">
      <c r="A8741" s="59">
        <v>18</v>
      </c>
      <c r="B8741" s="59">
        <v>33</v>
      </c>
      <c r="C8741" s="59">
        <v>420</v>
      </c>
      <c r="D8741" s="51">
        <v>57</v>
      </c>
      <c r="E8741" s="51">
        <f t="shared" si="136"/>
        <v>1</v>
      </c>
    </row>
    <row r="8742" spans="1:5">
      <c r="A8742" s="59">
        <v>18</v>
      </c>
      <c r="B8742" s="59">
        <v>32</v>
      </c>
      <c r="C8742" s="59">
        <v>610</v>
      </c>
      <c r="D8742" s="51">
        <v>55</v>
      </c>
      <c r="E8742" s="51">
        <f t="shared" si="136"/>
        <v>1</v>
      </c>
    </row>
    <row r="8743" spans="1:5">
      <c r="A8743" s="59">
        <v>18</v>
      </c>
      <c r="B8743" s="59">
        <v>64</v>
      </c>
      <c r="C8743" s="59">
        <v>893</v>
      </c>
      <c r="D8743" s="51">
        <v>55</v>
      </c>
      <c r="E8743" s="51">
        <f t="shared" si="136"/>
        <v>1</v>
      </c>
    </row>
    <row r="8744" spans="1:5">
      <c r="A8744" s="59">
        <v>18</v>
      </c>
      <c r="B8744" s="59">
        <v>43</v>
      </c>
      <c r="C8744" s="59">
        <v>420</v>
      </c>
      <c r="D8744" s="51">
        <v>54</v>
      </c>
      <c r="E8744" s="51">
        <f t="shared" si="136"/>
        <v>1</v>
      </c>
    </row>
    <row r="8745" spans="1:5">
      <c r="A8745" s="59">
        <v>18</v>
      </c>
      <c r="B8745" s="59">
        <v>44</v>
      </c>
      <c r="C8745" s="59">
        <v>160</v>
      </c>
      <c r="D8745" s="51">
        <v>52</v>
      </c>
      <c r="E8745" s="51">
        <f t="shared" si="136"/>
        <v>1</v>
      </c>
    </row>
    <row r="8746" spans="1:5">
      <c r="A8746" s="59">
        <v>18</v>
      </c>
      <c r="B8746" s="59">
        <v>64</v>
      </c>
      <c r="C8746" s="59">
        <v>240</v>
      </c>
      <c r="D8746" s="51">
        <v>52</v>
      </c>
      <c r="E8746" s="51">
        <f t="shared" si="136"/>
        <v>1</v>
      </c>
    </row>
    <row r="8747" spans="1:5">
      <c r="A8747" s="59">
        <v>18</v>
      </c>
      <c r="B8747" s="59">
        <v>64</v>
      </c>
      <c r="C8747" s="59">
        <v>970</v>
      </c>
      <c r="D8747" s="51">
        <v>52</v>
      </c>
      <c r="E8747" s="51">
        <f t="shared" si="136"/>
        <v>1</v>
      </c>
    </row>
    <row r="8748" spans="1:5">
      <c r="A8748" s="59">
        <v>18</v>
      </c>
      <c r="B8748" s="59">
        <v>23</v>
      </c>
      <c r="C8748" s="59">
        <v>920</v>
      </c>
      <c r="D8748" s="51">
        <v>51</v>
      </c>
      <c r="E8748" s="51">
        <f t="shared" si="136"/>
        <v>1</v>
      </c>
    </row>
    <row r="8749" spans="1:5">
      <c r="A8749" s="59">
        <v>18</v>
      </c>
      <c r="B8749" s="59">
        <v>44</v>
      </c>
      <c r="C8749" s="59">
        <v>730</v>
      </c>
      <c r="D8749" s="51">
        <v>51</v>
      </c>
      <c r="E8749" s="51">
        <f t="shared" si="136"/>
        <v>1</v>
      </c>
    </row>
    <row r="8750" spans="1:5">
      <c r="A8750" s="59">
        <v>18</v>
      </c>
      <c r="B8750" s="59">
        <v>62</v>
      </c>
      <c r="C8750" s="59">
        <v>110</v>
      </c>
      <c r="D8750" s="51">
        <v>51</v>
      </c>
      <c r="E8750" s="51">
        <f t="shared" si="136"/>
        <v>1</v>
      </c>
    </row>
    <row r="8751" spans="1:5">
      <c r="A8751" s="59">
        <v>18</v>
      </c>
      <c r="B8751" s="59">
        <v>43</v>
      </c>
      <c r="C8751" s="59">
        <v>860</v>
      </c>
      <c r="D8751" s="51">
        <v>50</v>
      </c>
      <c r="E8751" s="51">
        <f t="shared" si="136"/>
        <v>1</v>
      </c>
    </row>
    <row r="8752" spans="1:5">
      <c r="A8752" s="59">
        <v>18</v>
      </c>
      <c r="B8752" s="59">
        <v>71</v>
      </c>
      <c r="C8752" s="59">
        <v>930</v>
      </c>
      <c r="D8752" s="51">
        <v>50</v>
      </c>
      <c r="E8752" s="51">
        <f t="shared" si="136"/>
        <v>1</v>
      </c>
    </row>
    <row r="8753" spans="1:5">
      <c r="A8753" s="59">
        <v>18</v>
      </c>
      <c r="B8753" s="59">
        <v>43</v>
      </c>
      <c r="C8753" s="59">
        <v>240</v>
      </c>
      <c r="D8753" s="51">
        <v>49</v>
      </c>
      <c r="E8753" s="51">
        <f t="shared" si="136"/>
        <v>1</v>
      </c>
    </row>
    <row r="8754" spans="1:5">
      <c r="A8754" s="59">
        <v>18</v>
      </c>
      <c r="B8754" s="59">
        <v>14</v>
      </c>
      <c r="C8754" s="59">
        <v>720</v>
      </c>
      <c r="D8754" s="51">
        <v>48</v>
      </c>
      <c r="E8754" s="51">
        <f t="shared" si="136"/>
        <v>1</v>
      </c>
    </row>
    <row r="8755" spans="1:5">
      <c r="A8755" s="59">
        <v>18</v>
      </c>
      <c r="B8755" s="59">
        <v>16</v>
      </c>
      <c r="C8755" s="59">
        <v>160</v>
      </c>
      <c r="D8755" s="51">
        <v>46</v>
      </c>
      <c r="E8755" s="51">
        <f t="shared" si="136"/>
        <v>1</v>
      </c>
    </row>
    <row r="8756" spans="1:5">
      <c r="A8756" s="59">
        <v>18</v>
      </c>
      <c r="B8756" s="59">
        <v>16</v>
      </c>
      <c r="C8756" s="59">
        <v>210</v>
      </c>
      <c r="D8756" s="51">
        <v>46</v>
      </c>
      <c r="E8756" s="51">
        <f t="shared" si="136"/>
        <v>1</v>
      </c>
    </row>
    <row r="8757" spans="1:5">
      <c r="A8757" s="59">
        <v>18</v>
      </c>
      <c r="B8757" s="59">
        <v>21</v>
      </c>
      <c r="C8757" s="59">
        <v>910</v>
      </c>
      <c r="D8757" s="51">
        <v>46</v>
      </c>
      <c r="E8757" s="51">
        <f t="shared" si="136"/>
        <v>1</v>
      </c>
    </row>
    <row r="8758" spans="1:5">
      <c r="A8758" s="59">
        <v>18</v>
      </c>
      <c r="B8758" s="59">
        <v>71</v>
      </c>
      <c r="C8758" s="59">
        <v>550</v>
      </c>
      <c r="D8758" s="51">
        <v>46</v>
      </c>
      <c r="E8758" s="51">
        <f t="shared" si="136"/>
        <v>1</v>
      </c>
    </row>
    <row r="8759" spans="1:5">
      <c r="A8759" s="59">
        <v>18</v>
      </c>
      <c r="B8759" s="59">
        <v>22</v>
      </c>
      <c r="C8759" s="59">
        <v>160</v>
      </c>
      <c r="D8759" s="51">
        <v>45</v>
      </c>
      <c r="E8759" s="51">
        <f t="shared" si="136"/>
        <v>1</v>
      </c>
    </row>
    <row r="8760" spans="1:5">
      <c r="A8760" s="59">
        <v>18</v>
      </c>
      <c r="B8760" s="59">
        <v>42</v>
      </c>
      <c r="C8760" s="59">
        <v>110</v>
      </c>
      <c r="D8760" s="51">
        <v>45</v>
      </c>
      <c r="E8760" s="51">
        <f t="shared" si="136"/>
        <v>1</v>
      </c>
    </row>
    <row r="8761" spans="1:5">
      <c r="A8761" s="59">
        <v>18</v>
      </c>
      <c r="B8761" s="59">
        <v>44</v>
      </c>
      <c r="C8761" s="59">
        <v>970</v>
      </c>
      <c r="D8761" s="51">
        <v>45</v>
      </c>
      <c r="E8761" s="51">
        <f t="shared" si="136"/>
        <v>1</v>
      </c>
    </row>
    <row r="8762" spans="1:5">
      <c r="A8762" s="59">
        <v>18</v>
      </c>
      <c r="B8762" s="59">
        <v>13</v>
      </c>
      <c r="C8762" s="59">
        <v>950</v>
      </c>
      <c r="D8762" s="51">
        <v>44</v>
      </c>
      <c r="E8762" s="51">
        <f t="shared" si="136"/>
        <v>1</v>
      </c>
    </row>
    <row r="8763" spans="1:5">
      <c r="A8763" s="59">
        <v>18</v>
      </c>
      <c r="B8763" s="59">
        <v>41</v>
      </c>
      <c r="C8763" s="59">
        <v>160</v>
      </c>
      <c r="D8763" s="51">
        <v>44</v>
      </c>
      <c r="E8763" s="51">
        <f t="shared" si="136"/>
        <v>1</v>
      </c>
    </row>
    <row r="8764" spans="1:5">
      <c r="A8764" s="59">
        <v>18</v>
      </c>
      <c r="B8764" s="59">
        <v>64</v>
      </c>
      <c r="C8764" s="59">
        <v>230</v>
      </c>
      <c r="D8764" s="51">
        <v>44</v>
      </c>
      <c r="E8764" s="51">
        <f t="shared" si="136"/>
        <v>1</v>
      </c>
    </row>
    <row r="8765" spans="1:5">
      <c r="A8765" s="59">
        <v>18</v>
      </c>
      <c r="B8765" s="59">
        <v>64</v>
      </c>
      <c r="C8765" s="59">
        <v>830</v>
      </c>
      <c r="D8765" s="51">
        <v>44</v>
      </c>
      <c r="E8765" s="51">
        <f t="shared" si="136"/>
        <v>1</v>
      </c>
    </row>
    <row r="8766" spans="1:5">
      <c r="A8766" s="59">
        <v>18</v>
      </c>
      <c r="B8766" s="59">
        <v>22</v>
      </c>
      <c r="C8766" s="59">
        <v>330</v>
      </c>
      <c r="D8766" s="51">
        <v>42</v>
      </c>
      <c r="E8766" s="51">
        <f t="shared" si="136"/>
        <v>1</v>
      </c>
    </row>
    <row r="8767" spans="1:5">
      <c r="A8767" s="59">
        <v>18</v>
      </c>
      <c r="B8767" s="59">
        <v>14</v>
      </c>
      <c r="C8767" s="59">
        <v>240</v>
      </c>
      <c r="D8767" s="51">
        <v>41</v>
      </c>
      <c r="E8767" s="51">
        <f t="shared" si="136"/>
        <v>1</v>
      </c>
    </row>
    <row r="8768" spans="1:5">
      <c r="A8768" s="59">
        <v>18</v>
      </c>
      <c r="B8768" s="59">
        <v>41</v>
      </c>
      <c r="C8768" s="59">
        <v>610</v>
      </c>
      <c r="D8768" s="51">
        <v>41</v>
      </c>
      <c r="E8768" s="51">
        <f t="shared" si="136"/>
        <v>1</v>
      </c>
    </row>
    <row r="8769" spans="1:5">
      <c r="A8769" s="59">
        <v>18</v>
      </c>
      <c r="B8769" s="59">
        <v>64</v>
      </c>
      <c r="C8769" s="59">
        <v>220</v>
      </c>
      <c r="D8769" s="51">
        <v>41</v>
      </c>
      <c r="E8769" s="51">
        <f t="shared" si="136"/>
        <v>1</v>
      </c>
    </row>
    <row r="8770" spans="1:5">
      <c r="A8770" s="59">
        <v>18</v>
      </c>
      <c r="B8770" s="59">
        <v>41</v>
      </c>
      <c r="C8770" s="59">
        <v>530</v>
      </c>
      <c r="D8770" s="51">
        <v>40</v>
      </c>
      <c r="E8770" s="51">
        <f t="shared" ref="E8770:E8833" si="137">IF(OR(A8770=6,A8770=7,A8770=14,A8770=15,A8770=16,A8770=17,A8770=18,A8770=19,A8770=20,A8770=21,A8770=22,A8770=23,A8770=25,A8770=26,A8770=27,A8770=28,B8770=41,B8770=44,B8770=62),1,0)</f>
        <v>1</v>
      </c>
    </row>
    <row r="8771" spans="1:5">
      <c r="A8771" s="59">
        <v>18</v>
      </c>
      <c r="B8771" s="59">
        <v>13</v>
      </c>
      <c r="C8771" s="59">
        <v>230</v>
      </c>
      <c r="D8771" s="51">
        <v>39</v>
      </c>
      <c r="E8771" s="51">
        <f t="shared" si="137"/>
        <v>1</v>
      </c>
    </row>
    <row r="8772" spans="1:5">
      <c r="A8772" s="59">
        <v>18</v>
      </c>
      <c r="B8772" s="59">
        <v>32</v>
      </c>
      <c r="C8772" s="59">
        <v>960</v>
      </c>
      <c r="D8772" s="51">
        <v>39</v>
      </c>
      <c r="E8772" s="51">
        <f t="shared" si="137"/>
        <v>1</v>
      </c>
    </row>
    <row r="8773" spans="1:5">
      <c r="A8773" s="59">
        <v>18</v>
      </c>
      <c r="B8773" s="59">
        <v>42</v>
      </c>
      <c r="C8773" s="59">
        <v>150</v>
      </c>
      <c r="D8773" s="51">
        <v>39</v>
      </c>
      <c r="E8773" s="51">
        <f t="shared" si="137"/>
        <v>1</v>
      </c>
    </row>
    <row r="8774" spans="1:5">
      <c r="A8774" s="59">
        <v>18</v>
      </c>
      <c r="B8774" s="59">
        <v>44</v>
      </c>
      <c r="C8774" s="59">
        <v>940</v>
      </c>
      <c r="D8774" s="51">
        <v>39</v>
      </c>
      <c r="E8774" s="51">
        <f t="shared" si="137"/>
        <v>1</v>
      </c>
    </row>
    <row r="8775" spans="1:5">
      <c r="A8775" s="59">
        <v>18</v>
      </c>
      <c r="B8775" s="59">
        <v>13</v>
      </c>
      <c r="C8775" s="59">
        <v>720</v>
      </c>
      <c r="D8775" s="51">
        <v>38</v>
      </c>
      <c r="E8775" s="51">
        <f t="shared" si="137"/>
        <v>1</v>
      </c>
    </row>
    <row r="8776" spans="1:5">
      <c r="A8776" s="59">
        <v>18</v>
      </c>
      <c r="B8776" s="59">
        <v>24</v>
      </c>
      <c r="C8776" s="59">
        <v>910</v>
      </c>
      <c r="D8776" s="51">
        <v>38</v>
      </c>
      <c r="E8776" s="51">
        <f t="shared" si="137"/>
        <v>1</v>
      </c>
    </row>
    <row r="8777" spans="1:5">
      <c r="A8777" s="59">
        <v>18</v>
      </c>
      <c r="B8777" s="59">
        <v>13</v>
      </c>
      <c r="C8777" s="59">
        <v>210</v>
      </c>
      <c r="D8777" s="51">
        <v>37</v>
      </c>
      <c r="E8777" s="51">
        <f t="shared" si="137"/>
        <v>1</v>
      </c>
    </row>
    <row r="8778" spans="1:5">
      <c r="A8778" s="59">
        <v>18</v>
      </c>
      <c r="B8778" s="59">
        <v>13</v>
      </c>
      <c r="C8778" s="59">
        <v>310</v>
      </c>
      <c r="D8778" s="51">
        <v>37</v>
      </c>
      <c r="E8778" s="51">
        <f t="shared" si="137"/>
        <v>1</v>
      </c>
    </row>
    <row r="8779" spans="1:5">
      <c r="A8779" s="59">
        <v>18</v>
      </c>
      <c r="B8779" s="59">
        <v>64</v>
      </c>
      <c r="C8779" s="59">
        <v>540</v>
      </c>
      <c r="D8779" s="51">
        <v>37</v>
      </c>
      <c r="E8779" s="51">
        <f t="shared" si="137"/>
        <v>1</v>
      </c>
    </row>
    <row r="8780" spans="1:5">
      <c r="A8780" s="59">
        <v>18</v>
      </c>
      <c r="B8780" s="59">
        <v>64</v>
      </c>
      <c r="C8780" s="59">
        <v>640</v>
      </c>
      <c r="D8780" s="51">
        <v>36</v>
      </c>
      <c r="E8780" s="51">
        <f t="shared" si="137"/>
        <v>1</v>
      </c>
    </row>
    <row r="8781" spans="1:5">
      <c r="A8781" s="59">
        <v>18</v>
      </c>
      <c r="B8781" s="59">
        <v>71</v>
      </c>
      <c r="C8781" s="59">
        <v>150</v>
      </c>
      <c r="D8781" s="51">
        <v>36</v>
      </c>
      <c r="E8781" s="51">
        <f t="shared" si="137"/>
        <v>1</v>
      </c>
    </row>
    <row r="8782" spans="1:5">
      <c r="A8782" s="59">
        <v>18</v>
      </c>
      <c r="B8782" s="59">
        <v>16</v>
      </c>
      <c r="C8782" s="59">
        <v>110</v>
      </c>
      <c r="D8782" s="51">
        <v>35</v>
      </c>
      <c r="E8782" s="51">
        <f t="shared" si="137"/>
        <v>1</v>
      </c>
    </row>
    <row r="8783" spans="1:5">
      <c r="A8783" s="59">
        <v>18</v>
      </c>
      <c r="B8783" s="59">
        <v>41</v>
      </c>
      <c r="C8783" s="59">
        <v>930</v>
      </c>
      <c r="D8783" s="51">
        <v>35</v>
      </c>
      <c r="E8783" s="51">
        <f t="shared" si="137"/>
        <v>1</v>
      </c>
    </row>
    <row r="8784" spans="1:5">
      <c r="A8784" s="59">
        <v>18</v>
      </c>
      <c r="B8784" s="59">
        <v>44</v>
      </c>
      <c r="C8784" s="59">
        <v>960</v>
      </c>
      <c r="D8784" s="51">
        <v>35</v>
      </c>
      <c r="E8784" s="51">
        <f t="shared" si="137"/>
        <v>1</v>
      </c>
    </row>
    <row r="8785" spans="1:5">
      <c r="A8785" s="59">
        <v>18</v>
      </c>
      <c r="B8785" s="59">
        <v>32</v>
      </c>
      <c r="C8785" s="59">
        <v>895</v>
      </c>
      <c r="D8785" s="51">
        <v>34</v>
      </c>
      <c r="E8785" s="51">
        <f t="shared" si="137"/>
        <v>1</v>
      </c>
    </row>
    <row r="8786" spans="1:5">
      <c r="A8786" s="59">
        <v>18</v>
      </c>
      <c r="B8786" s="59">
        <v>16</v>
      </c>
      <c r="C8786" s="59">
        <v>230</v>
      </c>
      <c r="D8786" s="51">
        <v>33</v>
      </c>
      <c r="E8786" s="51">
        <f t="shared" si="137"/>
        <v>1</v>
      </c>
    </row>
    <row r="8787" spans="1:5">
      <c r="A8787" s="59">
        <v>18</v>
      </c>
      <c r="B8787" s="59">
        <v>16</v>
      </c>
      <c r="C8787" s="59">
        <v>510</v>
      </c>
      <c r="D8787" s="51">
        <v>33</v>
      </c>
      <c r="E8787" s="51">
        <f t="shared" si="137"/>
        <v>1</v>
      </c>
    </row>
    <row r="8788" spans="1:5">
      <c r="A8788" s="59">
        <v>18</v>
      </c>
      <c r="B8788" s="59">
        <v>33</v>
      </c>
      <c r="C8788" s="59">
        <v>430</v>
      </c>
      <c r="D8788" s="51">
        <v>33</v>
      </c>
      <c r="E8788" s="51">
        <f t="shared" si="137"/>
        <v>1</v>
      </c>
    </row>
    <row r="8789" spans="1:5">
      <c r="A8789" s="59">
        <v>18</v>
      </c>
      <c r="B8789" s="59">
        <v>43</v>
      </c>
      <c r="C8789" s="59">
        <v>850</v>
      </c>
      <c r="D8789" s="51">
        <v>33</v>
      </c>
      <c r="E8789" s="51">
        <f t="shared" si="137"/>
        <v>1</v>
      </c>
    </row>
    <row r="8790" spans="1:5">
      <c r="A8790" s="59">
        <v>18</v>
      </c>
      <c r="B8790" s="59">
        <v>44</v>
      </c>
      <c r="C8790" s="59">
        <v>520</v>
      </c>
      <c r="D8790" s="51">
        <v>33</v>
      </c>
      <c r="E8790" s="51">
        <f t="shared" si="137"/>
        <v>1</v>
      </c>
    </row>
    <row r="8791" spans="1:5">
      <c r="A8791" s="59">
        <v>18</v>
      </c>
      <c r="B8791" s="59">
        <v>11</v>
      </c>
      <c r="C8791" s="59">
        <v>910</v>
      </c>
      <c r="D8791" s="51">
        <v>32</v>
      </c>
      <c r="E8791" s="51">
        <f t="shared" si="137"/>
        <v>1</v>
      </c>
    </row>
    <row r="8792" spans="1:5">
      <c r="A8792" s="59">
        <v>18</v>
      </c>
      <c r="B8792" s="59">
        <v>14</v>
      </c>
      <c r="C8792" s="59">
        <v>410</v>
      </c>
      <c r="D8792" s="51">
        <v>32</v>
      </c>
      <c r="E8792" s="51">
        <f t="shared" si="137"/>
        <v>1</v>
      </c>
    </row>
    <row r="8793" spans="1:5">
      <c r="A8793" s="59">
        <v>18</v>
      </c>
      <c r="B8793" s="59">
        <v>44</v>
      </c>
      <c r="C8793" s="59">
        <v>750</v>
      </c>
      <c r="D8793" s="51">
        <v>32</v>
      </c>
      <c r="E8793" s="51">
        <f t="shared" si="137"/>
        <v>1</v>
      </c>
    </row>
    <row r="8794" spans="1:5">
      <c r="A8794" s="59">
        <v>18</v>
      </c>
      <c r="B8794" s="59">
        <v>44</v>
      </c>
      <c r="C8794" s="59">
        <v>899</v>
      </c>
      <c r="D8794" s="51">
        <v>31</v>
      </c>
      <c r="E8794" s="51">
        <f t="shared" si="137"/>
        <v>1</v>
      </c>
    </row>
    <row r="8795" spans="1:5">
      <c r="A8795" s="59">
        <v>18</v>
      </c>
      <c r="B8795" s="59">
        <v>63</v>
      </c>
      <c r="C8795" s="59">
        <v>550</v>
      </c>
      <c r="D8795" s="51">
        <v>31</v>
      </c>
      <c r="E8795" s="51">
        <f t="shared" si="137"/>
        <v>1</v>
      </c>
    </row>
    <row r="8796" spans="1:5">
      <c r="A8796" s="59">
        <v>18</v>
      </c>
      <c r="B8796" s="59">
        <v>71</v>
      </c>
      <c r="C8796" s="59">
        <v>750</v>
      </c>
      <c r="D8796" s="51">
        <v>31</v>
      </c>
      <c r="E8796" s="51">
        <f t="shared" si="137"/>
        <v>1</v>
      </c>
    </row>
    <row r="8797" spans="1:5">
      <c r="A8797" s="59">
        <v>18</v>
      </c>
      <c r="B8797" s="59">
        <v>31</v>
      </c>
      <c r="C8797" s="59">
        <v>410</v>
      </c>
      <c r="D8797" s="51">
        <v>30</v>
      </c>
      <c r="E8797" s="51">
        <f t="shared" si="137"/>
        <v>1</v>
      </c>
    </row>
    <row r="8798" spans="1:5">
      <c r="A8798" s="59">
        <v>18</v>
      </c>
      <c r="B8798" s="59">
        <v>41</v>
      </c>
      <c r="C8798" s="59">
        <v>990</v>
      </c>
      <c r="D8798" s="51">
        <v>30</v>
      </c>
      <c r="E8798" s="51">
        <f t="shared" si="137"/>
        <v>1</v>
      </c>
    </row>
    <row r="8799" spans="1:5">
      <c r="A8799" s="59">
        <v>18</v>
      </c>
      <c r="B8799" s="59">
        <v>64</v>
      </c>
      <c r="C8799" s="59">
        <v>950</v>
      </c>
      <c r="D8799" s="51">
        <v>30</v>
      </c>
      <c r="E8799" s="51">
        <f t="shared" si="137"/>
        <v>1</v>
      </c>
    </row>
    <row r="8800" spans="1:5">
      <c r="A8800" s="59">
        <v>18</v>
      </c>
      <c r="B8800" s="59">
        <v>81</v>
      </c>
      <c r="C8800" s="59">
        <v>530</v>
      </c>
      <c r="D8800" s="51">
        <v>30</v>
      </c>
      <c r="E8800" s="51">
        <f t="shared" si="137"/>
        <v>1</v>
      </c>
    </row>
    <row r="8801" spans="1:5">
      <c r="A8801" s="59">
        <v>18</v>
      </c>
      <c r="B8801" s="59">
        <v>16</v>
      </c>
      <c r="C8801" s="59">
        <v>320</v>
      </c>
      <c r="D8801" s="51">
        <v>29</v>
      </c>
      <c r="E8801" s="51">
        <f t="shared" si="137"/>
        <v>1</v>
      </c>
    </row>
    <row r="8802" spans="1:5">
      <c r="A8802" s="59">
        <v>18</v>
      </c>
      <c r="B8802" s="59">
        <v>22</v>
      </c>
      <c r="C8802" s="59">
        <v>930</v>
      </c>
      <c r="D8802" s="51">
        <v>28</v>
      </c>
      <c r="E8802" s="51">
        <f t="shared" si="137"/>
        <v>1</v>
      </c>
    </row>
    <row r="8803" spans="1:5">
      <c r="A8803" s="59">
        <v>18</v>
      </c>
      <c r="B8803" s="59">
        <v>13</v>
      </c>
      <c r="C8803" s="59">
        <v>990</v>
      </c>
      <c r="D8803" s="51">
        <v>27</v>
      </c>
      <c r="E8803" s="51">
        <f t="shared" si="137"/>
        <v>1</v>
      </c>
    </row>
    <row r="8804" spans="1:5">
      <c r="A8804" s="59">
        <v>18</v>
      </c>
      <c r="B8804" s="59">
        <v>15</v>
      </c>
      <c r="C8804" s="59">
        <v>320</v>
      </c>
      <c r="D8804" s="51">
        <v>26</v>
      </c>
      <c r="E8804" s="51">
        <f t="shared" si="137"/>
        <v>1</v>
      </c>
    </row>
    <row r="8805" spans="1:5">
      <c r="A8805" s="59">
        <v>18</v>
      </c>
      <c r="B8805" s="59">
        <v>71</v>
      </c>
      <c r="C8805" s="59">
        <v>630</v>
      </c>
      <c r="D8805" s="51">
        <v>26</v>
      </c>
      <c r="E8805" s="51">
        <f t="shared" si="137"/>
        <v>1</v>
      </c>
    </row>
    <row r="8806" spans="1:5">
      <c r="A8806" s="59">
        <v>18</v>
      </c>
      <c r="B8806" s="59">
        <v>33</v>
      </c>
      <c r="C8806" s="59">
        <v>510</v>
      </c>
      <c r="D8806" s="51">
        <v>25</v>
      </c>
      <c r="E8806" s="51">
        <f t="shared" si="137"/>
        <v>1</v>
      </c>
    </row>
    <row r="8807" spans="1:5">
      <c r="A8807" s="59">
        <v>18</v>
      </c>
      <c r="B8807" s="59">
        <v>43</v>
      </c>
      <c r="C8807" s="59">
        <v>710</v>
      </c>
      <c r="D8807" s="51">
        <v>25</v>
      </c>
      <c r="E8807" s="51">
        <f t="shared" si="137"/>
        <v>1</v>
      </c>
    </row>
    <row r="8808" spans="1:5">
      <c r="A8808" s="59">
        <v>18</v>
      </c>
      <c r="B8808" s="59">
        <v>62</v>
      </c>
      <c r="C8808" s="59">
        <v>970</v>
      </c>
      <c r="D8808" s="51">
        <v>25</v>
      </c>
      <c r="E8808" s="51">
        <f t="shared" si="137"/>
        <v>1</v>
      </c>
    </row>
    <row r="8809" spans="1:5">
      <c r="A8809" s="59">
        <v>18</v>
      </c>
      <c r="B8809" s="59">
        <v>71</v>
      </c>
      <c r="C8809" s="59">
        <v>970</v>
      </c>
      <c r="D8809" s="51">
        <v>25</v>
      </c>
      <c r="E8809" s="51">
        <f t="shared" si="137"/>
        <v>1</v>
      </c>
    </row>
    <row r="8810" spans="1:5">
      <c r="A8810" s="59">
        <v>18</v>
      </c>
      <c r="B8810" s="59">
        <v>13</v>
      </c>
      <c r="C8810" s="59">
        <v>320</v>
      </c>
      <c r="D8810" s="51">
        <v>24</v>
      </c>
      <c r="E8810" s="51">
        <f t="shared" si="137"/>
        <v>1</v>
      </c>
    </row>
    <row r="8811" spans="1:5">
      <c r="A8811" s="59">
        <v>18</v>
      </c>
      <c r="B8811" s="59">
        <v>22</v>
      </c>
      <c r="C8811" s="59">
        <v>950</v>
      </c>
      <c r="D8811" s="51">
        <v>24</v>
      </c>
      <c r="E8811" s="51">
        <f t="shared" si="137"/>
        <v>1</v>
      </c>
    </row>
    <row r="8812" spans="1:5">
      <c r="A8812" s="59">
        <v>18</v>
      </c>
      <c r="B8812" s="59">
        <v>43</v>
      </c>
      <c r="C8812" s="59">
        <v>330</v>
      </c>
      <c r="D8812" s="51">
        <v>24</v>
      </c>
      <c r="E8812" s="51">
        <f t="shared" si="137"/>
        <v>1</v>
      </c>
    </row>
    <row r="8813" spans="1:5">
      <c r="A8813" s="59">
        <v>18</v>
      </c>
      <c r="B8813" s="59">
        <v>62</v>
      </c>
      <c r="C8813" s="59">
        <v>150</v>
      </c>
      <c r="D8813" s="51">
        <v>24</v>
      </c>
      <c r="E8813" s="51">
        <f t="shared" si="137"/>
        <v>1</v>
      </c>
    </row>
    <row r="8814" spans="1:5">
      <c r="A8814" s="59">
        <v>18</v>
      </c>
      <c r="B8814" s="59">
        <v>14</v>
      </c>
      <c r="C8814" s="59">
        <v>940</v>
      </c>
      <c r="D8814" s="51">
        <v>23</v>
      </c>
      <c r="E8814" s="51">
        <f t="shared" si="137"/>
        <v>1</v>
      </c>
    </row>
    <row r="8815" spans="1:5">
      <c r="A8815" s="59">
        <v>18</v>
      </c>
      <c r="B8815" s="59">
        <v>42</v>
      </c>
      <c r="C8815" s="59">
        <v>160</v>
      </c>
      <c r="D8815" s="51">
        <v>23</v>
      </c>
      <c r="E8815" s="51">
        <f t="shared" si="137"/>
        <v>1</v>
      </c>
    </row>
    <row r="8816" spans="1:5">
      <c r="A8816" s="59">
        <v>18</v>
      </c>
      <c r="B8816" s="59">
        <v>43</v>
      </c>
      <c r="C8816" s="59">
        <v>320</v>
      </c>
      <c r="D8816" s="51">
        <v>23</v>
      </c>
      <c r="E8816" s="51">
        <f t="shared" si="137"/>
        <v>1</v>
      </c>
    </row>
    <row r="8817" spans="1:5">
      <c r="A8817" s="59">
        <v>18</v>
      </c>
      <c r="B8817" s="59">
        <v>44</v>
      </c>
      <c r="C8817" s="59">
        <v>861</v>
      </c>
      <c r="D8817" s="51">
        <v>23</v>
      </c>
      <c r="E8817" s="51">
        <f t="shared" si="137"/>
        <v>1</v>
      </c>
    </row>
    <row r="8818" spans="1:5">
      <c r="A8818" s="59">
        <v>18</v>
      </c>
      <c r="B8818" s="59">
        <v>63</v>
      </c>
      <c r="C8818" s="59">
        <v>150</v>
      </c>
      <c r="D8818" s="51">
        <v>23</v>
      </c>
      <c r="E8818" s="51">
        <f t="shared" si="137"/>
        <v>1</v>
      </c>
    </row>
    <row r="8819" spans="1:5">
      <c r="A8819" s="59">
        <v>18</v>
      </c>
      <c r="B8819" s="59">
        <v>64</v>
      </c>
      <c r="C8819" s="59">
        <v>330</v>
      </c>
      <c r="D8819" s="51">
        <v>23</v>
      </c>
      <c r="E8819" s="51">
        <f t="shared" si="137"/>
        <v>1</v>
      </c>
    </row>
    <row r="8820" spans="1:5">
      <c r="A8820" s="59">
        <v>18</v>
      </c>
      <c r="B8820" s="59">
        <v>22</v>
      </c>
      <c r="C8820" s="59">
        <v>140</v>
      </c>
      <c r="D8820" s="51">
        <v>22</v>
      </c>
      <c r="E8820" s="51">
        <f t="shared" si="137"/>
        <v>1</v>
      </c>
    </row>
    <row r="8821" spans="1:5">
      <c r="A8821" s="59">
        <v>18</v>
      </c>
      <c r="B8821" s="59">
        <v>13</v>
      </c>
      <c r="C8821" s="59">
        <v>220</v>
      </c>
      <c r="D8821" s="51">
        <v>21</v>
      </c>
      <c r="E8821" s="51">
        <f t="shared" si="137"/>
        <v>1</v>
      </c>
    </row>
    <row r="8822" spans="1:5">
      <c r="A8822" s="59">
        <v>18</v>
      </c>
      <c r="B8822" s="59">
        <v>32</v>
      </c>
      <c r="C8822" s="59">
        <v>620</v>
      </c>
      <c r="D8822" s="51">
        <v>21</v>
      </c>
      <c r="E8822" s="51">
        <f t="shared" si="137"/>
        <v>1</v>
      </c>
    </row>
    <row r="8823" spans="1:5">
      <c r="A8823" s="59">
        <v>18</v>
      </c>
      <c r="B8823" s="59">
        <v>33</v>
      </c>
      <c r="C8823" s="59">
        <v>150</v>
      </c>
      <c r="D8823" s="51">
        <v>21</v>
      </c>
      <c r="E8823" s="51">
        <f t="shared" si="137"/>
        <v>1</v>
      </c>
    </row>
    <row r="8824" spans="1:5">
      <c r="A8824" s="59">
        <v>18</v>
      </c>
      <c r="B8824" s="59">
        <v>41</v>
      </c>
      <c r="C8824" s="59">
        <v>750</v>
      </c>
      <c r="D8824" s="51">
        <v>20</v>
      </c>
      <c r="E8824" s="51">
        <f t="shared" si="137"/>
        <v>1</v>
      </c>
    </row>
    <row r="8825" spans="1:5">
      <c r="A8825" s="59">
        <v>18</v>
      </c>
      <c r="B8825" s="59">
        <v>42</v>
      </c>
      <c r="C8825" s="59">
        <v>970</v>
      </c>
      <c r="D8825" s="51">
        <v>20</v>
      </c>
      <c r="E8825" s="51">
        <f t="shared" si="137"/>
        <v>1</v>
      </c>
    </row>
    <row r="8826" spans="1:5">
      <c r="A8826" s="59">
        <v>18</v>
      </c>
      <c r="B8826" s="59">
        <v>63</v>
      </c>
      <c r="C8826" s="59">
        <v>930</v>
      </c>
      <c r="D8826" s="51">
        <v>20</v>
      </c>
      <c r="E8826" s="51">
        <f t="shared" si="137"/>
        <v>1</v>
      </c>
    </row>
    <row r="8827" spans="1:5">
      <c r="A8827" s="59">
        <v>18</v>
      </c>
      <c r="B8827" s="59">
        <v>71</v>
      </c>
      <c r="C8827" s="59">
        <v>210</v>
      </c>
      <c r="D8827" s="51">
        <v>20</v>
      </c>
      <c r="E8827" s="51">
        <f t="shared" si="137"/>
        <v>1</v>
      </c>
    </row>
    <row r="8828" spans="1:5">
      <c r="A8828" s="59">
        <v>18</v>
      </c>
      <c r="B8828" s="59">
        <v>14</v>
      </c>
      <c r="C8828" s="59">
        <v>420</v>
      </c>
      <c r="D8828" s="51">
        <v>19</v>
      </c>
      <c r="E8828" s="51">
        <f t="shared" si="137"/>
        <v>1</v>
      </c>
    </row>
    <row r="8829" spans="1:5">
      <c r="A8829" s="59">
        <v>18</v>
      </c>
      <c r="B8829" s="59">
        <v>15</v>
      </c>
      <c r="C8829" s="59">
        <v>610</v>
      </c>
      <c r="D8829" s="51">
        <v>19</v>
      </c>
      <c r="E8829" s="51">
        <f t="shared" si="137"/>
        <v>1</v>
      </c>
    </row>
    <row r="8830" spans="1:5">
      <c r="A8830" s="59">
        <v>18</v>
      </c>
      <c r="B8830" s="59">
        <v>22</v>
      </c>
      <c r="C8830" s="59">
        <v>510</v>
      </c>
      <c r="D8830" s="51">
        <v>19</v>
      </c>
      <c r="E8830" s="51">
        <f t="shared" si="137"/>
        <v>1</v>
      </c>
    </row>
    <row r="8831" spans="1:5">
      <c r="A8831" s="59">
        <v>18</v>
      </c>
      <c r="B8831" s="59">
        <v>22</v>
      </c>
      <c r="C8831" s="59">
        <v>890</v>
      </c>
      <c r="D8831" s="51">
        <v>19</v>
      </c>
      <c r="E8831" s="51">
        <f t="shared" si="137"/>
        <v>1</v>
      </c>
    </row>
    <row r="8832" spans="1:5">
      <c r="A8832" s="59">
        <v>18</v>
      </c>
      <c r="B8832" s="59">
        <v>32</v>
      </c>
      <c r="C8832" s="59">
        <v>520</v>
      </c>
      <c r="D8832" s="51">
        <v>19</v>
      </c>
      <c r="E8832" s="51">
        <f t="shared" si="137"/>
        <v>1</v>
      </c>
    </row>
    <row r="8833" spans="1:5">
      <c r="A8833" s="59">
        <v>18</v>
      </c>
      <c r="B8833" s="59">
        <v>43</v>
      </c>
      <c r="C8833" s="59">
        <v>895</v>
      </c>
      <c r="D8833" s="51">
        <v>19</v>
      </c>
      <c r="E8833" s="51">
        <f t="shared" si="137"/>
        <v>1</v>
      </c>
    </row>
    <row r="8834" spans="1:5">
      <c r="A8834" s="59">
        <v>18</v>
      </c>
      <c r="B8834" s="59">
        <v>61</v>
      </c>
      <c r="C8834" s="59">
        <v>910</v>
      </c>
      <c r="D8834" s="51">
        <v>19</v>
      </c>
      <c r="E8834" s="51">
        <f t="shared" ref="E8834:E8897" si="138">IF(OR(A8834=6,A8834=7,A8834=14,A8834=15,A8834=16,A8834=17,A8834=18,A8834=19,A8834=20,A8834=21,A8834=22,A8834=23,A8834=25,A8834=26,A8834=27,A8834=28,B8834=41,B8834=44,B8834=62),1,0)</f>
        <v>1</v>
      </c>
    </row>
    <row r="8835" spans="1:5">
      <c r="A8835" s="59">
        <v>18</v>
      </c>
      <c r="B8835" s="59">
        <v>64</v>
      </c>
      <c r="C8835" s="59">
        <v>870</v>
      </c>
      <c r="D8835" s="51">
        <v>19</v>
      </c>
      <c r="E8835" s="51">
        <f t="shared" si="138"/>
        <v>1</v>
      </c>
    </row>
    <row r="8836" spans="1:5">
      <c r="A8836" s="59">
        <v>18</v>
      </c>
      <c r="B8836" s="59">
        <v>81</v>
      </c>
      <c r="C8836" s="59">
        <v>620</v>
      </c>
      <c r="D8836" s="51">
        <v>19</v>
      </c>
      <c r="E8836" s="51">
        <f t="shared" si="138"/>
        <v>1</v>
      </c>
    </row>
    <row r="8837" spans="1:5">
      <c r="A8837" s="59">
        <v>18</v>
      </c>
      <c r="B8837" s="59">
        <v>81</v>
      </c>
      <c r="C8837" s="59">
        <v>950</v>
      </c>
      <c r="D8837" s="51">
        <v>19</v>
      </c>
      <c r="E8837" s="51">
        <f t="shared" si="138"/>
        <v>1</v>
      </c>
    </row>
    <row r="8838" spans="1:5">
      <c r="A8838" s="59">
        <v>18</v>
      </c>
      <c r="B8838" s="59">
        <v>13</v>
      </c>
      <c r="C8838" s="59">
        <v>330</v>
      </c>
      <c r="D8838" s="51">
        <v>18</v>
      </c>
      <c r="E8838" s="51">
        <f t="shared" si="138"/>
        <v>1</v>
      </c>
    </row>
    <row r="8839" spans="1:5">
      <c r="A8839" s="59">
        <v>18</v>
      </c>
      <c r="B8839" s="59">
        <v>13</v>
      </c>
      <c r="C8839" s="59">
        <v>620</v>
      </c>
      <c r="D8839" s="51">
        <v>18</v>
      </c>
      <c r="E8839" s="51">
        <f t="shared" si="138"/>
        <v>1</v>
      </c>
    </row>
    <row r="8840" spans="1:5">
      <c r="A8840" s="59">
        <v>18</v>
      </c>
      <c r="B8840" s="59">
        <v>13</v>
      </c>
      <c r="C8840" s="59">
        <v>970</v>
      </c>
      <c r="D8840" s="51">
        <v>18</v>
      </c>
      <c r="E8840" s="51">
        <f t="shared" si="138"/>
        <v>1</v>
      </c>
    </row>
    <row r="8841" spans="1:5">
      <c r="A8841" s="59">
        <v>18</v>
      </c>
      <c r="B8841" s="59">
        <v>16</v>
      </c>
      <c r="C8841" s="59">
        <v>330</v>
      </c>
      <c r="D8841" s="51">
        <v>18</v>
      </c>
      <c r="E8841" s="51">
        <f t="shared" si="138"/>
        <v>1</v>
      </c>
    </row>
    <row r="8842" spans="1:5">
      <c r="A8842" s="59">
        <v>18</v>
      </c>
      <c r="B8842" s="59">
        <v>22</v>
      </c>
      <c r="C8842" s="59">
        <v>220</v>
      </c>
      <c r="D8842" s="51">
        <v>18</v>
      </c>
      <c r="E8842" s="51">
        <f t="shared" si="138"/>
        <v>1</v>
      </c>
    </row>
    <row r="8843" spans="1:5">
      <c r="A8843" s="59">
        <v>18</v>
      </c>
      <c r="B8843" s="59">
        <v>42</v>
      </c>
      <c r="C8843" s="59">
        <v>930</v>
      </c>
      <c r="D8843" s="51">
        <v>18</v>
      </c>
      <c r="E8843" s="51">
        <f t="shared" si="138"/>
        <v>1</v>
      </c>
    </row>
    <row r="8844" spans="1:5">
      <c r="A8844" s="59">
        <v>18</v>
      </c>
      <c r="B8844" s="59">
        <v>43</v>
      </c>
      <c r="C8844" s="59">
        <v>220</v>
      </c>
      <c r="D8844" s="51">
        <v>18</v>
      </c>
      <c r="E8844" s="51">
        <f t="shared" si="138"/>
        <v>1</v>
      </c>
    </row>
    <row r="8845" spans="1:5">
      <c r="A8845" s="59">
        <v>18</v>
      </c>
      <c r="B8845" s="59">
        <v>44</v>
      </c>
      <c r="C8845" s="59">
        <v>840</v>
      </c>
      <c r="D8845" s="51">
        <v>18</v>
      </c>
      <c r="E8845" s="51">
        <f t="shared" si="138"/>
        <v>1</v>
      </c>
    </row>
    <row r="8846" spans="1:5">
      <c r="A8846" s="59">
        <v>18</v>
      </c>
      <c r="B8846" s="59">
        <v>32</v>
      </c>
      <c r="C8846" s="59">
        <v>970</v>
      </c>
      <c r="D8846" s="51">
        <v>17</v>
      </c>
      <c r="E8846" s="51">
        <f t="shared" si="138"/>
        <v>1</v>
      </c>
    </row>
    <row r="8847" spans="1:5">
      <c r="A8847" s="59">
        <v>18</v>
      </c>
      <c r="B8847" s="59">
        <v>33</v>
      </c>
      <c r="C8847" s="59">
        <v>610</v>
      </c>
      <c r="D8847" s="51">
        <v>17</v>
      </c>
      <c r="E8847" s="51">
        <f t="shared" si="138"/>
        <v>1</v>
      </c>
    </row>
    <row r="8848" spans="1:5">
      <c r="A8848" s="59">
        <v>18</v>
      </c>
      <c r="B8848" s="59">
        <v>44</v>
      </c>
      <c r="C8848" s="59">
        <v>110</v>
      </c>
      <c r="D8848" s="51">
        <v>17</v>
      </c>
      <c r="E8848" s="51">
        <f t="shared" si="138"/>
        <v>1</v>
      </c>
    </row>
    <row r="8849" spans="1:5">
      <c r="A8849" s="59">
        <v>18</v>
      </c>
      <c r="B8849" s="59">
        <v>16</v>
      </c>
      <c r="C8849" s="59">
        <v>140</v>
      </c>
      <c r="D8849" s="51">
        <v>16</v>
      </c>
      <c r="E8849" s="51">
        <f t="shared" si="138"/>
        <v>1</v>
      </c>
    </row>
    <row r="8850" spans="1:5">
      <c r="A8850" s="59">
        <v>18</v>
      </c>
      <c r="B8850" s="59">
        <v>62</v>
      </c>
      <c r="C8850" s="59">
        <v>410</v>
      </c>
      <c r="D8850" s="51">
        <v>16</v>
      </c>
      <c r="E8850" s="51">
        <f t="shared" si="138"/>
        <v>1</v>
      </c>
    </row>
    <row r="8851" spans="1:5">
      <c r="A8851" s="59">
        <v>18</v>
      </c>
      <c r="B8851" s="59">
        <v>62</v>
      </c>
      <c r="C8851" s="59">
        <v>550</v>
      </c>
      <c r="D8851" s="51">
        <v>16</v>
      </c>
      <c r="E8851" s="51">
        <f t="shared" si="138"/>
        <v>1</v>
      </c>
    </row>
    <row r="8852" spans="1:5">
      <c r="A8852" s="59">
        <v>18</v>
      </c>
      <c r="B8852" s="59">
        <v>63</v>
      </c>
      <c r="C8852" s="59">
        <v>970</v>
      </c>
      <c r="D8852" s="51">
        <v>16</v>
      </c>
      <c r="E8852" s="51">
        <f t="shared" si="138"/>
        <v>1</v>
      </c>
    </row>
    <row r="8853" spans="1:5">
      <c r="A8853" s="59">
        <v>18</v>
      </c>
      <c r="B8853" s="59">
        <v>71</v>
      </c>
      <c r="C8853" s="59">
        <v>410</v>
      </c>
      <c r="D8853" s="51">
        <v>16</v>
      </c>
      <c r="E8853" s="51">
        <f t="shared" si="138"/>
        <v>1</v>
      </c>
    </row>
    <row r="8854" spans="1:5">
      <c r="A8854" s="59">
        <v>18</v>
      </c>
      <c r="B8854" s="59">
        <v>13</v>
      </c>
      <c r="C8854" s="59">
        <v>240</v>
      </c>
      <c r="D8854" s="51">
        <v>15</v>
      </c>
      <c r="E8854" s="51">
        <f t="shared" si="138"/>
        <v>1</v>
      </c>
    </row>
    <row r="8855" spans="1:5">
      <c r="A8855" s="59">
        <v>18</v>
      </c>
      <c r="B8855" s="59">
        <v>14</v>
      </c>
      <c r="C8855" s="59">
        <v>990</v>
      </c>
      <c r="D8855" s="51">
        <v>15</v>
      </c>
      <c r="E8855" s="51">
        <f t="shared" si="138"/>
        <v>1</v>
      </c>
    </row>
    <row r="8856" spans="1:5">
      <c r="A8856" s="59">
        <v>18</v>
      </c>
      <c r="B8856" s="59">
        <v>15</v>
      </c>
      <c r="C8856" s="59">
        <v>210</v>
      </c>
      <c r="D8856" s="51">
        <v>15</v>
      </c>
      <c r="E8856" s="51">
        <f t="shared" si="138"/>
        <v>1</v>
      </c>
    </row>
    <row r="8857" spans="1:5">
      <c r="A8857" s="59">
        <v>18</v>
      </c>
      <c r="B8857" s="59">
        <v>15</v>
      </c>
      <c r="C8857" s="59">
        <v>330</v>
      </c>
      <c r="D8857" s="51">
        <v>15</v>
      </c>
      <c r="E8857" s="51">
        <f t="shared" si="138"/>
        <v>1</v>
      </c>
    </row>
    <row r="8858" spans="1:5">
      <c r="A8858" s="59">
        <v>18</v>
      </c>
      <c r="B8858" s="59">
        <v>15</v>
      </c>
      <c r="C8858" s="59">
        <v>930</v>
      </c>
      <c r="D8858" s="51">
        <v>15</v>
      </c>
      <c r="E8858" s="51">
        <f t="shared" si="138"/>
        <v>1</v>
      </c>
    </row>
    <row r="8859" spans="1:5">
      <c r="A8859" s="59">
        <v>18</v>
      </c>
      <c r="B8859" s="59">
        <v>43</v>
      </c>
      <c r="C8859" s="59">
        <v>310</v>
      </c>
      <c r="D8859" s="51">
        <v>15</v>
      </c>
      <c r="E8859" s="51">
        <f t="shared" si="138"/>
        <v>1</v>
      </c>
    </row>
    <row r="8860" spans="1:5">
      <c r="A8860" s="59">
        <v>18</v>
      </c>
      <c r="B8860" s="59">
        <v>44</v>
      </c>
      <c r="C8860" s="59">
        <v>860</v>
      </c>
      <c r="D8860" s="51">
        <v>15</v>
      </c>
      <c r="E8860" s="51">
        <f t="shared" si="138"/>
        <v>1</v>
      </c>
    </row>
    <row r="8861" spans="1:5">
      <c r="A8861" s="59">
        <v>18</v>
      </c>
      <c r="B8861" s="59">
        <v>63</v>
      </c>
      <c r="C8861" s="59">
        <v>640</v>
      </c>
      <c r="D8861" s="51">
        <v>15</v>
      </c>
      <c r="E8861" s="51">
        <f t="shared" si="138"/>
        <v>1</v>
      </c>
    </row>
    <row r="8862" spans="1:5">
      <c r="A8862" s="59">
        <v>18</v>
      </c>
      <c r="B8862" s="59">
        <v>64</v>
      </c>
      <c r="C8862" s="59">
        <v>630</v>
      </c>
      <c r="D8862" s="51">
        <v>15</v>
      </c>
      <c r="E8862" s="51">
        <f t="shared" si="138"/>
        <v>1</v>
      </c>
    </row>
    <row r="8863" spans="1:5">
      <c r="A8863" s="59">
        <v>18</v>
      </c>
      <c r="B8863" s="59">
        <v>16</v>
      </c>
      <c r="C8863" s="59">
        <v>240</v>
      </c>
      <c r="D8863" s="51">
        <v>14</v>
      </c>
      <c r="E8863" s="51">
        <f t="shared" si="138"/>
        <v>1</v>
      </c>
    </row>
    <row r="8864" spans="1:5">
      <c r="A8864" s="59">
        <v>18</v>
      </c>
      <c r="B8864" s="59">
        <v>16</v>
      </c>
      <c r="C8864" s="59">
        <v>310</v>
      </c>
      <c r="D8864" s="51">
        <v>14</v>
      </c>
      <c r="E8864" s="51">
        <f t="shared" si="138"/>
        <v>1</v>
      </c>
    </row>
    <row r="8865" spans="1:5">
      <c r="A8865" s="59">
        <v>18</v>
      </c>
      <c r="B8865" s="59">
        <v>42</v>
      </c>
      <c r="C8865" s="59">
        <v>831</v>
      </c>
      <c r="D8865" s="51">
        <v>14</v>
      </c>
      <c r="E8865" s="51">
        <f t="shared" si="138"/>
        <v>1</v>
      </c>
    </row>
    <row r="8866" spans="1:5">
      <c r="A8866" s="59">
        <v>18</v>
      </c>
      <c r="B8866" s="59">
        <v>61</v>
      </c>
      <c r="C8866" s="59">
        <v>510</v>
      </c>
      <c r="D8866" s="51">
        <v>14</v>
      </c>
      <c r="E8866" s="51">
        <f t="shared" si="138"/>
        <v>1</v>
      </c>
    </row>
    <row r="8867" spans="1:5">
      <c r="A8867" s="59">
        <v>18</v>
      </c>
      <c r="B8867" s="59">
        <v>62</v>
      </c>
      <c r="C8867" s="59">
        <v>930</v>
      </c>
      <c r="D8867" s="51">
        <v>14</v>
      </c>
      <c r="E8867" s="51">
        <f t="shared" si="138"/>
        <v>1</v>
      </c>
    </row>
    <row r="8868" spans="1:5">
      <c r="A8868" s="59">
        <v>18</v>
      </c>
      <c r="B8868" s="59">
        <v>71</v>
      </c>
      <c r="C8868" s="59">
        <v>540</v>
      </c>
      <c r="D8868" s="51">
        <v>14</v>
      </c>
      <c r="E8868" s="51">
        <f t="shared" si="138"/>
        <v>1</v>
      </c>
    </row>
    <row r="8869" spans="1:5">
      <c r="A8869" s="59">
        <v>18</v>
      </c>
      <c r="B8869" s="59">
        <v>12</v>
      </c>
      <c r="C8869" s="59">
        <v>910</v>
      </c>
      <c r="D8869" s="51">
        <v>13</v>
      </c>
      <c r="E8869" s="51">
        <f t="shared" si="138"/>
        <v>1</v>
      </c>
    </row>
    <row r="8870" spans="1:5">
      <c r="A8870" s="59">
        <v>18</v>
      </c>
      <c r="B8870" s="59">
        <v>13</v>
      </c>
      <c r="C8870" s="59">
        <v>730</v>
      </c>
      <c r="D8870" s="51">
        <v>13</v>
      </c>
      <c r="E8870" s="51">
        <f t="shared" si="138"/>
        <v>1</v>
      </c>
    </row>
    <row r="8871" spans="1:5">
      <c r="A8871" s="59">
        <v>18</v>
      </c>
      <c r="B8871" s="59">
        <v>15</v>
      </c>
      <c r="C8871" s="59">
        <v>230</v>
      </c>
      <c r="D8871" s="51">
        <v>13</v>
      </c>
      <c r="E8871" s="51">
        <f t="shared" si="138"/>
        <v>1</v>
      </c>
    </row>
    <row r="8872" spans="1:5">
      <c r="A8872" s="59">
        <v>18</v>
      </c>
      <c r="B8872" s="59">
        <v>15</v>
      </c>
      <c r="C8872" s="59">
        <v>310</v>
      </c>
      <c r="D8872" s="51">
        <v>13</v>
      </c>
      <c r="E8872" s="51">
        <f t="shared" si="138"/>
        <v>1</v>
      </c>
    </row>
    <row r="8873" spans="1:5">
      <c r="A8873" s="59">
        <v>18</v>
      </c>
      <c r="B8873" s="59">
        <v>33</v>
      </c>
      <c r="C8873" s="59">
        <v>930</v>
      </c>
      <c r="D8873" s="51">
        <v>13</v>
      </c>
      <c r="E8873" s="51">
        <f t="shared" si="138"/>
        <v>1</v>
      </c>
    </row>
    <row r="8874" spans="1:5">
      <c r="A8874" s="59">
        <v>18</v>
      </c>
      <c r="B8874" s="59">
        <v>43</v>
      </c>
      <c r="C8874" s="59">
        <v>899</v>
      </c>
      <c r="D8874" s="51">
        <v>13</v>
      </c>
      <c r="E8874" s="51">
        <f t="shared" si="138"/>
        <v>1</v>
      </c>
    </row>
    <row r="8875" spans="1:5">
      <c r="A8875" s="59">
        <v>18</v>
      </c>
      <c r="B8875" s="59">
        <v>44</v>
      </c>
      <c r="C8875" s="59">
        <v>220</v>
      </c>
      <c r="D8875" s="51">
        <v>13</v>
      </c>
      <c r="E8875" s="51">
        <f t="shared" si="138"/>
        <v>1</v>
      </c>
    </row>
    <row r="8876" spans="1:5">
      <c r="A8876" s="59">
        <v>18</v>
      </c>
      <c r="B8876" s="59">
        <v>62</v>
      </c>
      <c r="C8876" s="59">
        <v>540</v>
      </c>
      <c r="D8876" s="51">
        <v>13</v>
      </c>
      <c r="E8876" s="51">
        <f t="shared" si="138"/>
        <v>1</v>
      </c>
    </row>
    <row r="8877" spans="1:5">
      <c r="A8877" s="59">
        <v>18</v>
      </c>
      <c r="B8877" s="59">
        <v>62</v>
      </c>
      <c r="C8877" s="59">
        <v>640</v>
      </c>
      <c r="D8877" s="51">
        <v>13</v>
      </c>
      <c r="E8877" s="51">
        <f t="shared" si="138"/>
        <v>1</v>
      </c>
    </row>
    <row r="8878" spans="1:5">
      <c r="A8878" s="59">
        <v>18</v>
      </c>
      <c r="B8878" s="59">
        <v>64</v>
      </c>
      <c r="C8878" s="59">
        <v>320</v>
      </c>
      <c r="D8878" s="51">
        <v>13</v>
      </c>
      <c r="E8878" s="51">
        <f t="shared" si="138"/>
        <v>1</v>
      </c>
    </row>
    <row r="8879" spans="1:5">
      <c r="A8879" s="59">
        <v>18</v>
      </c>
      <c r="B8879" s="59">
        <v>64</v>
      </c>
      <c r="C8879" s="59">
        <v>820</v>
      </c>
      <c r="D8879" s="51">
        <v>13</v>
      </c>
      <c r="E8879" s="51">
        <f t="shared" si="138"/>
        <v>1</v>
      </c>
    </row>
    <row r="8880" spans="1:5">
      <c r="A8880" s="59">
        <v>18</v>
      </c>
      <c r="B8880" s="59">
        <v>64</v>
      </c>
      <c r="C8880" s="59">
        <v>899</v>
      </c>
      <c r="D8880" s="51">
        <v>13</v>
      </c>
      <c r="E8880" s="51">
        <f t="shared" si="138"/>
        <v>1</v>
      </c>
    </row>
    <row r="8881" spans="1:5">
      <c r="A8881" s="59">
        <v>18</v>
      </c>
      <c r="B8881" s="59">
        <v>81</v>
      </c>
      <c r="C8881" s="59">
        <v>160</v>
      </c>
      <c r="D8881" s="51">
        <v>13</v>
      </c>
      <c r="E8881" s="51">
        <f t="shared" si="138"/>
        <v>1</v>
      </c>
    </row>
    <row r="8882" spans="1:5">
      <c r="A8882" s="59">
        <v>18</v>
      </c>
      <c r="B8882" s="59">
        <v>13</v>
      </c>
      <c r="C8882" s="59">
        <v>140</v>
      </c>
      <c r="D8882" s="51">
        <v>12</v>
      </c>
      <c r="E8882" s="51">
        <f t="shared" si="138"/>
        <v>1</v>
      </c>
    </row>
    <row r="8883" spans="1:5">
      <c r="A8883" s="59">
        <v>18</v>
      </c>
      <c r="B8883" s="59">
        <v>13</v>
      </c>
      <c r="C8883" s="59">
        <v>410</v>
      </c>
      <c r="D8883" s="51">
        <v>12</v>
      </c>
      <c r="E8883" s="51">
        <f t="shared" si="138"/>
        <v>1</v>
      </c>
    </row>
    <row r="8884" spans="1:5">
      <c r="A8884" s="59">
        <v>18</v>
      </c>
      <c r="B8884" s="59">
        <v>14</v>
      </c>
      <c r="C8884" s="59">
        <v>130</v>
      </c>
      <c r="D8884" s="51">
        <v>12</v>
      </c>
      <c r="E8884" s="51">
        <f t="shared" si="138"/>
        <v>1</v>
      </c>
    </row>
    <row r="8885" spans="1:5">
      <c r="A8885" s="59">
        <v>18</v>
      </c>
      <c r="B8885" s="59">
        <v>14</v>
      </c>
      <c r="C8885" s="59">
        <v>750</v>
      </c>
      <c r="D8885" s="51">
        <v>12</v>
      </c>
      <c r="E8885" s="51">
        <f t="shared" si="138"/>
        <v>1</v>
      </c>
    </row>
    <row r="8886" spans="1:5">
      <c r="A8886" s="59">
        <v>18</v>
      </c>
      <c r="B8886" s="59">
        <v>15</v>
      </c>
      <c r="C8886" s="59">
        <v>510</v>
      </c>
      <c r="D8886" s="51">
        <v>12</v>
      </c>
      <c r="E8886" s="51">
        <f t="shared" si="138"/>
        <v>1</v>
      </c>
    </row>
    <row r="8887" spans="1:5">
      <c r="A8887" s="59">
        <v>18</v>
      </c>
      <c r="B8887" s="59">
        <v>15</v>
      </c>
      <c r="C8887" s="59">
        <v>950</v>
      </c>
      <c r="D8887" s="51">
        <v>12</v>
      </c>
      <c r="E8887" s="51">
        <f t="shared" si="138"/>
        <v>1</v>
      </c>
    </row>
    <row r="8888" spans="1:5">
      <c r="A8888" s="59">
        <v>18</v>
      </c>
      <c r="B8888" s="59">
        <v>41</v>
      </c>
      <c r="C8888" s="59">
        <v>730</v>
      </c>
      <c r="D8888" s="51">
        <v>12</v>
      </c>
      <c r="E8888" s="51">
        <f t="shared" si="138"/>
        <v>1</v>
      </c>
    </row>
    <row r="8889" spans="1:5">
      <c r="A8889" s="59">
        <v>18</v>
      </c>
      <c r="B8889" s="59">
        <v>43</v>
      </c>
      <c r="C8889" s="59">
        <v>550</v>
      </c>
      <c r="D8889" s="51">
        <v>12</v>
      </c>
      <c r="E8889" s="51">
        <f t="shared" si="138"/>
        <v>1</v>
      </c>
    </row>
    <row r="8890" spans="1:5">
      <c r="A8890" s="59">
        <v>18</v>
      </c>
      <c r="B8890" s="59">
        <v>64</v>
      </c>
      <c r="C8890" s="59">
        <v>140</v>
      </c>
      <c r="D8890" s="51">
        <v>12</v>
      </c>
      <c r="E8890" s="51">
        <f t="shared" si="138"/>
        <v>1</v>
      </c>
    </row>
    <row r="8891" spans="1:5">
      <c r="A8891" s="59">
        <v>18</v>
      </c>
      <c r="B8891" s="59">
        <v>64</v>
      </c>
      <c r="C8891" s="59">
        <v>840</v>
      </c>
      <c r="D8891" s="51">
        <v>12</v>
      </c>
      <c r="E8891" s="51">
        <f t="shared" si="138"/>
        <v>1</v>
      </c>
    </row>
    <row r="8892" spans="1:5">
      <c r="A8892" s="59">
        <v>18</v>
      </c>
      <c r="B8892" s="59">
        <v>12</v>
      </c>
      <c r="C8892" s="59">
        <v>920</v>
      </c>
      <c r="D8892" s="51">
        <v>11</v>
      </c>
      <c r="E8892" s="51">
        <f t="shared" si="138"/>
        <v>1</v>
      </c>
    </row>
    <row r="8893" spans="1:5">
      <c r="A8893" s="59">
        <v>18</v>
      </c>
      <c r="B8893" s="59">
        <v>13</v>
      </c>
      <c r="C8893" s="59">
        <v>940</v>
      </c>
      <c r="D8893" s="51">
        <v>11</v>
      </c>
      <c r="E8893" s="51">
        <f t="shared" si="138"/>
        <v>1</v>
      </c>
    </row>
    <row r="8894" spans="1:5">
      <c r="A8894" s="59">
        <v>18</v>
      </c>
      <c r="B8894" s="59">
        <v>14</v>
      </c>
      <c r="C8894" s="59">
        <v>220</v>
      </c>
      <c r="D8894" s="51">
        <v>11</v>
      </c>
      <c r="E8894" s="51">
        <f t="shared" si="138"/>
        <v>1</v>
      </c>
    </row>
    <row r="8895" spans="1:5">
      <c r="A8895" s="59">
        <v>18</v>
      </c>
      <c r="B8895" s="59">
        <v>32</v>
      </c>
      <c r="C8895" s="59">
        <v>730</v>
      </c>
      <c r="D8895" s="51">
        <v>11</v>
      </c>
      <c r="E8895" s="51">
        <f t="shared" si="138"/>
        <v>1</v>
      </c>
    </row>
    <row r="8896" spans="1:5">
      <c r="A8896" s="59">
        <v>18</v>
      </c>
      <c r="B8896" s="59">
        <v>33</v>
      </c>
      <c r="C8896" s="59">
        <v>530</v>
      </c>
      <c r="D8896" s="51">
        <v>11</v>
      </c>
      <c r="E8896" s="51">
        <f t="shared" si="138"/>
        <v>1</v>
      </c>
    </row>
    <row r="8897" spans="1:5">
      <c r="A8897" s="59">
        <v>18</v>
      </c>
      <c r="B8897" s="59">
        <v>33</v>
      </c>
      <c r="C8897" s="59">
        <v>950</v>
      </c>
      <c r="D8897" s="51">
        <v>11</v>
      </c>
      <c r="E8897" s="51">
        <f t="shared" si="138"/>
        <v>1</v>
      </c>
    </row>
    <row r="8898" spans="1:5">
      <c r="A8898" s="59">
        <v>18</v>
      </c>
      <c r="B8898" s="59">
        <v>44</v>
      </c>
      <c r="C8898" s="59">
        <v>893</v>
      </c>
      <c r="D8898" s="51">
        <v>11</v>
      </c>
      <c r="E8898" s="51">
        <f t="shared" ref="E8898:E8961" si="139">IF(OR(A8898=6,A8898=7,A8898=14,A8898=15,A8898=16,A8898=17,A8898=18,A8898=19,A8898=20,A8898=21,A8898=22,A8898=23,A8898=25,A8898=26,A8898=27,A8898=28,B8898=41,B8898=44,B8898=62),1,0)</f>
        <v>1</v>
      </c>
    </row>
    <row r="8899" spans="1:5">
      <c r="A8899" s="59">
        <v>18</v>
      </c>
      <c r="B8899" s="59">
        <v>62</v>
      </c>
      <c r="C8899" s="59">
        <v>899</v>
      </c>
      <c r="D8899" s="51">
        <v>11</v>
      </c>
      <c r="E8899" s="51">
        <f t="shared" si="139"/>
        <v>1</v>
      </c>
    </row>
    <row r="8900" spans="1:5">
      <c r="A8900" s="59">
        <v>18</v>
      </c>
      <c r="B8900" s="59">
        <v>63</v>
      </c>
      <c r="C8900" s="59">
        <v>220</v>
      </c>
      <c r="D8900" s="51">
        <v>11</v>
      </c>
      <c r="E8900" s="51">
        <f t="shared" si="139"/>
        <v>1</v>
      </c>
    </row>
    <row r="8901" spans="1:5">
      <c r="A8901" s="59">
        <v>18</v>
      </c>
      <c r="B8901" s="59">
        <v>63</v>
      </c>
      <c r="C8901" s="59">
        <v>430</v>
      </c>
      <c r="D8901" s="51">
        <v>11</v>
      </c>
      <c r="E8901" s="51">
        <f t="shared" si="139"/>
        <v>1</v>
      </c>
    </row>
    <row r="8902" spans="1:5">
      <c r="A8902" s="59">
        <v>18</v>
      </c>
      <c r="B8902" s="59">
        <v>63</v>
      </c>
      <c r="C8902" s="59">
        <v>940</v>
      </c>
      <c r="D8902" s="51">
        <v>11</v>
      </c>
      <c r="E8902" s="51">
        <f t="shared" si="139"/>
        <v>1</v>
      </c>
    </row>
    <row r="8903" spans="1:5">
      <c r="A8903" s="59">
        <v>18</v>
      </c>
      <c r="B8903" s="59">
        <v>64</v>
      </c>
      <c r="C8903" s="59">
        <v>440</v>
      </c>
      <c r="D8903" s="51">
        <v>11</v>
      </c>
      <c r="E8903" s="51">
        <f t="shared" si="139"/>
        <v>1</v>
      </c>
    </row>
    <row r="8904" spans="1:5">
      <c r="A8904" s="59">
        <v>18</v>
      </c>
      <c r="B8904" s="59">
        <v>64</v>
      </c>
      <c r="C8904" s="59">
        <v>895</v>
      </c>
      <c r="D8904" s="51">
        <v>11</v>
      </c>
      <c r="E8904" s="51">
        <f t="shared" si="139"/>
        <v>1</v>
      </c>
    </row>
    <row r="8905" spans="1:5">
      <c r="A8905" s="59">
        <v>18</v>
      </c>
      <c r="B8905" s="59">
        <v>31</v>
      </c>
      <c r="C8905" s="59">
        <v>430</v>
      </c>
      <c r="D8905" s="51">
        <v>10</v>
      </c>
      <c r="E8905" s="51">
        <f t="shared" si="139"/>
        <v>1</v>
      </c>
    </row>
    <row r="8906" spans="1:5">
      <c r="A8906" s="59">
        <v>18</v>
      </c>
      <c r="B8906" s="59">
        <v>32</v>
      </c>
      <c r="C8906" s="59">
        <v>930</v>
      </c>
      <c r="D8906" s="51">
        <v>10</v>
      </c>
      <c r="E8906" s="51">
        <f t="shared" si="139"/>
        <v>1</v>
      </c>
    </row>
    <row r="8907" spans="1:5">
      <c r="A8907" s="59">
        <v>18</v>
      </c>
      <c r="B8907" s="59">
        <v>32</v>
      </c>
      <c r="C8907" s="59">
        <v>950</v>
      </c>
      <c r="D8907" s="51">
        <v>10</v>
      </c>
      <c r="E8907" s="51">
        <f t="shared" si="139"/>
        <v>1</v>
      </c>
    </row>
    <row r="8908" spans="1:5">
      <c r="A8908" s="59">
        <v>18</v>
      </c>
      <c r="B8908" s="59">
        <v>43</v>
      </c>
      <c r="C8908" s="59">
        <v>892</v>
      </c>
      <c r="D8908" s="51">
        <v>10</v>
      </c>
      <c r="E8908" s="51">
        <f t="shared" si="139"/>
        <v>1</v>
      </c>
    </row>
    <row r="8909" spans="1:5">
      <c r="A8909" s="59">
        <v>18</v>
      </c>
      <c r="B8909" s="59">
        <v>43</v>
      </c>
      <c r="C8909" s="59">
        <v>893</v>
      </c>
      <c r="D8909" s="51">
        <v>10</v>
      </c>
      <c r="E8909" s="51">
        <f t="shared" si="139"/>
        <v>1</v>
      </c>
    </row>
    <row r="8910" spans="1:5">
      <c r="A8910" s="59">
        <v>18</v>
      </c>
      <c r="B8910" s="59">
        <v>64</v>
      </c>
      <c r="C8910" s="59">
        <v>740</v>
      </c>
      <c r="D8910" s="51">
        <v>10</v>
      </c>
      <c r="E8910" s="51">
        <f t="shared" si="139"/>
        <v>1</v>
      </c>
    </row>
    <row r="8911" spans="1:5">
      <c r="A8911" s="59">
        <v>18</v>
      </c>
      <c r="B8911" s="59">
        <v>64</v>
      </c>
      <c r="C8911" s="59">
        <v>831</v>
      </c>
      <c r="D8911" s="51">
        <v>10</v>
      </c>
      <c r="E8911" s="51">
        <f t="shared" si="139"/>
        <v>1</v>
      </c>
    </row>
    <row r="8912" spans="1:5">
      <c r="A8912" s="59">
        <v>18</v>
      </c>
      <c r="B8912" s="59">
        <v>64</v>
      </c>
      <c r="C8912" s="59">
        <v>960</v>
      </c>
      <c r="D8912" s="51">
        <v>10</v>
      </c>
      <c r="E8912" s="51">
        <f t="shared" si="139"/>
        <v>1</v>
      </c>
    </row>
    <row r="8913" spans="1:5">
      <c r="A8913" s="59">
        <v>18</v>
      </c>
      <c r="B8913" s="59">
        <v>71</v>
      </c>
      <c r="C8913" s="59">
        <v>710</v>
      </c>
      <c r="D8913" s="51">
        <v>10</v>
      </c>
      <c r="E8913" s="51">
        <f t="shared" si="139"/>
        <v>1</v>
      </c>
    </row>
    <row r="8914" spans="1:5">
      <c r="A8914" s="59">
        <v>18</v>
      </c>
      <c r="B8914" s="59">
        <v>11</v>
      </c>
      <c r="C8914" s="59">
        <v>510</v>
      </c>
      <c r="D8914" s="51">
        <v>9</v>
      </c>
      <c r="E8914" s="51">
        <f t="shared" si="139"/>
        <v>1</v>
      </c>
    </row>
    <row r="8915" spans="1:5">
      <c r="A8915" s="59">
        <v>18</v>
      </c>
      <c r="B8915" s="59">
        <v>14</v>
      </c>
      <c r="C8915" s="59">
        <v>120</v>
      </c>
      <c r="D8915" s="51">
        <v>9</v>
      </c>
      <c r="E8915" s="51">
        <f t="shared" si="139"/>
        <v>1</v>
      </c>
    </row>
    <row r="8916" spans="1:5">
      <c r="A8916" s="59">
        <v>18</v>
      </c>
      <c r="B8916" s="59">
        <v>14</v>
      </c>
      <c r="C8916" s="59">
        <v>620</v>
      </c>
      <c r="D8916" s="51">
        <v>9</v>
      </c>
      <c r="E8916" s="51">
        <f t="shared" si="139"/>
        <v>1</v>
      </c>
    </row>
    <row r="8917" spans="1:5">
      <c r="A8917" s="59">
        <v>18</v>
      </c>
      <c r="B8917" s="59">
        <v>14</v>
      </c>
      <c r="C8917" s="59">
        <v>730</v>
      </c>
      <c r="D8917" s="51">
        <v>9</v>
      </c>
      <c r="E8917" s="51">
        <f t="shared" si="139"/>
        <v>1</v>
      </c>
    </row>
    <row r="8918" spans="1:5">
      <c r="A8918" s="59">
        <v>18</v>
      </c>
      <c r="B8918" s="59">
        <v>16</v>
      </c>
      <c r="C8918" s="59">
        <v>940</v>
      </c>
      <c r="D8918" s="51">
        <v>9</v>
      </c>
      <c r="E8918" s="51">
        <f t="shared" si="139"/>
        <v>1</v>
      </c>
    </row>
    <row r="8919" spans="1:5">
      <c r="A8919" s="59">
        <v>18</v>
      </c>
      <c r="B8919" s="59">
        <v>22</v>
      </c>
      <c r="C8919" s="59">
        <v>610</v>
      </c>
      <c r="D8919" s="51">
        <v>9</v>
      </c>
      <c r="E8919" s="51">
        <f t="shared" si="139"/>
        <v>1</v>
      </c>
    </row>
    <row r="8920" spans="1:5">
      <c r="A8920" s="59">
        <v>18</v>
      </c>
      <c r="B8920" s="59">
        <v>22</v>
      </c>
      <c r="C8920" s="59">
        <v>990</v>
      </c>
      <c r="D8920" s="51">
        <v>9</v>
      </c>
      <c r="E8920" s="51">
        <f t="shared" si="139"/>
        <v>1</v>
      </c>
    </row>
    <row r="8921" spans="1:5">
      <c r="A8921" s="59">
        <v>18</v>
      </c>
      <c r="B8921" s="59">
        <v>43</v>
      </c>
      <c r="C8921" s="59">
        <v>831</v>
      </c>
      <c r="D8921" s="51">
        <v>9</v>
      </c>
      <c r="E8921" s="51">
        <f t="shared" si="139"/>
        <v>1</v>
      </c>
    </row>
    <row r="8922" spans="1:5">
      <c r="A8922" s="59">
        <v>18</v>
      </c>
      <c r="B8922" s="59">
        <v>44</v>
      </c>
      <c r="C8922" s="59">
        <v>150</v>
      </c>
      <c r="D8922" s="51">
        <v>9</v>
      </c>
      <c r="E8922" s="51">
        <f t="shared" si="139"/>
        <v>1</v>
      </c>
    </row>
    <row r="8923" spans="1:5">
      <c r="A8923" s="59">
        <v>18</v>
      </c>
      <c r="B8923" s="59">
        <v>44</v>
      </c>
      <c r="C8923" s="59">
        <v>410</v>
      </c>
      <c r="D8923" s="51">
        <v>9</v>
      </c>
      <c r="E8923" s="51">
        <f t="shared" si="139"/>
        <v>1</v>
      </c>
    </row>
    <row r="8924" spans="1:5">
      <c r="A8924" s="59">
        <v>18</v>
      </c>
      <c r="B8924" s="59">
        <v>63</v>
      </c>
      <c r="C8924" s="59">
        <v>420</v>
      </c>
      <c r="D8924" s="51">
        <v>9</v>
      </c>
      <c r="E8924" s="51">
        <f t="shared" si="139"/>
        <v>1</v>
      </c>
    </row>
    <row r="8925" spans="1:5">
      <c r="A8925" s="59">
        <v>18</v>
      </c>
      <c r="B8925" s="59">
        <v>63</v>
      </c>
      <c r="C8925" s="59">
        <v>440</v>
      </c>
      <c r="D8925" s="51">
        <v>9</v>
      </c>
      <c r="E8925" s="51">
        <f t="shared" si="139"/>
        <v>1</v>
      </c>
    </row>
    <row r="8926" spans="1:5">
      <c r="A8926" s="59">
        <v>18</v>
      </c>
      <c r="B8926" s="59">
        <v>81</v>
      </c>
      <c r="C8926" s="59">
        <v>750</v>
      </c>
      <c r="D8926" s="51">
        <v>9</v>
      </c>
      <c r="E8926" s="51">
        <f t="shared" si="139"/>
        <v>1</v>
      </c>
    </row>
    <row r="8927" spans="1:5">
      <c r="A8927" s="59">
        <v>18</v>
      </c>
      <c r="B8927" s="59">
        <v>11</v>
      </c>
      <c r="C8927" s="59">
        <v>160</v>
      </c>
      <c r="D8927" s="51">
        <v>8</v>
      </c>
      <c r="E8927" s="51">
        <f t="shared" si="139"/>
        <v>1</v>
      </c>
    </row>
    <row r="8928" spans="1:5">
      <c r="A8928" s="59">
        <v>18</v>
      </c>
      <c r="B8928" s="59">
        <v>14</v>
      </c>
      <c r="C8928" s="59">
        <v>520</v>
      </c>
      <c r="D8928" s="51">
        <v>8</v>
      </c>
      <c r="E8928" s="51">
        <f t="shared" si="139"/>
        <v>1</v>
      </c>
    </row>
    <row r="8929" spans="1:5">
      <c r="A8929" s="59">
        <v>18</v>
      </c>
      <c r="B8929" s="59">
        <v>15</v>
      </c>
      <c r="C8929" s="59">
        <v>130</v>
      </c>
      <c r="D8929" s="51">
        <v>8</v>
      </c>
      <c r="E8929" s="51">
        <f t="shared" si="139"/>
        <v>1</v>
      </c>
    </row>
    <row r="8930" spans="1:5">
      <c r="A8930" s="59">
        <v>18</v>
      </c>
      <c r="B8930" s="59">
        <v>16</v>
      </c>
      <c r="C8930" s="59">
        <v>420</v>
      </c>
      <c r="D8930" s="51">
        <v>8</v>
      </c>
      <c r="E8930" s="51">
        <f t="shared" si="139"/>
        <v>1</v>
      </c>
    </row>
    <row r="8931" spans="1:5">
      <c r="A8931" s="59">
        <v>18</v>
      </c>
      <c r="B8931" s="59">
        <v>16</v>
      </c>
      <c r="C8931" s="59">
        <v>530</v>
      </c>
      <c r="D8931" s="51">
        <v>8</v>
      </c>
      <c r="E8931" s="51">
        <f t="shared" si="139"/>
        <v>1</v>
      </c>
    </row>
    <row r="8932" spans="1:5">
      <c r="A8932" s="59">
        <v>18</v>
      </c>
      <c r="B8932" s="59">
        <v>21</v>
      </c>
      <c r="C8932" s="59">
        <v>140</v>
      </c>
      <c r="D8932" s="51">
        <v>8</v>
      </c>
      <c r="E8932" s="51">
        <f t="shared" si="139"/>
        <v>1</v>
      </c>
    </row>
    <row r="8933" spans="1:5">
      <c r="A8933" s="59">
        <v>18</v>
      </c>
      <c r="B8933" s="59">
        <v>21</v>
      </c>
      <c r="C8933" s="59">
        <v>210</v>
      </c>
      <c r="D8933" s="51">
        <v>8</v>
      </c>
      <c r="E8933" s="51">
        <f t="shared" si="139"/>
        <v>1</v>
      </c>
    </row>
    <row r="8934" spans="1:5">
      <c r="A8934" s="59">
        <v>18</v>
      </c>
      <c r="B8934" s="59">
        <v>33</v>
      </c>
      <c r="C8934" s="59">
        <v>210</v>
      </c>
      <c r="D8934" s="51">
        <v>8</v>
      </c>
      <c r="E8934" s="51">
        <f t="shared" si="139"/>
        <v>1</v>
      </c>
    </row>
    <row r="8935" spans="1:5">
      <c r="A8935" s="59">
        <v>18</v>
      </c>
      <c r="B8935" s="59">
        <v>41</v>
      </c>
      <c r="C8935" s="59">
        <v>520</v>
      </c>
      <c r="D8935" s="51">
        <v>8</v>
      </c>
      <c r="E8935" s="51">
        <f t="shared" si="139"/>
        <v>1</v>
      </c>
    </row>
    <row r="8936" spans="1:5">
      <c r="A8936" s="59">
        <v>18</v>
      </c>
      <c r="B8936" s="59">
        <v>42</v>
      </c>
      <c r="C8936" s="59">
        <v>520</v>
      </c>
      <c r="D8936" s="51">
        <v>8</v>
      </c>
      <c r="E8936" s="51">
        <f t="shared" si="139"/>
        <v>1</v>
      </c>
    </row>
    <row r="8937" spans="1:5">
      <c r="A8937" s="59">
        <v>18</v>
      </c>
      <c r="B8937" s="59">
        <v>42</v>
      </c>
      <c r="C8937" s="59">
        <v>950</v>
      </c>
      <c r="D8937" s="51">
        <v>8</v>
      </c>
      <c r="E8937" s="51">
        <f t="shared" si="139"/>
        <v>1</v>
      </c>
    </row>
    <row r="8938" spans="1:5">
      <c r="A8938" s="59">
        <v>18</v>
      </c>
      <c r="B8938" s="59">
        <v>43</v>
      </c>
      <c r="C8938" s="59">
        <v>440</v>
      </c>
      <c r="D8938" s="51">
        <v>8</v>
      </c>
      <c r="E8938" s="51">
        <f t="shared" si="139"/>
        <v>1</v>
      </c>
    </row>
    <row r="8939" spans="1:5">
      <c r="A8939" s="59">
        <v>18</v>
      </c>
      <c r="B8939" s="59">
        <v>43</v>
      </c>
      <c r="C8939" s="59">
        <v>960</v>
      </c>
      <c r="D8939" s="51">
        <v>8</v>
      </c>
      <c r="E8939" s="51">
        <f t="shared" si="139"/>
        <v>1</v>
      </c>
    </row>
    <row r="8940" spans="1:5">
      <c r="A8940" s="59">
        <v>18</v>
      </c>
      <c r="B8940" s="59">
        <v>63</v>
      </c>
      <c r="C8940" s="59">
        <v>410</v>
      </c>
      <c r="D8940" s="51">
        <v>8</v>
      </c>
      <c r="E8940" s="51">
        <f t="shared" si="139"/>
        <v>1</v>
      </c>
    </row>
    <row r="8941" spans="1:5">
      <c r="A8941" s="59">
        <v>18</v>
      </c>
      <c r="B8941" s="59">
        <v>63</v>
      </c>
      <c r="C8941" s="59">
        <v>830</v>
      </c>
      <c r="D8941" s="51">
        <v>8</v>
      </c>
      <c r="E8941" s="51">
        <f t="shared" si="139"/>
        <v>1</v>
      </c>
    </row>
    <row r="8942" spans="1:5">
      <c r="A8942" s="59">
        <v>18</v>
      </c>
      <c r="B8942" s="59">
        <v>64</v>
      </c>
      <c r="C8942" s="59">
        <v>891</v>
      </c>
      <c r="D8942" s="51">
        <v>8</v>
      </c>
      <c r="E8942" s="51">
        <f t="shared" si="139"/>
        <v>1</v>
      </c>
    </row>
    <row r="8943" spans="1:5">
      <c r="A8943" s="59">
        <v>18</v>
      </c>
      <c r="B8943" s="59">
        <v>11</v>
      </c>
      <c r="C8943" s="59">
        <v>720</v>
      </c>
      <c r="D8943" s="51">
        <v>7</v>
      </c>
      <c r="E8943" s="51">
        <f t="shared" si="139"/>
        <v>1</v>
      </c>
    </row>
    <row r="8944" spans="1:5">
      <c r="A8944" s="59">
        <v>18</v>
      </c>
      <c r="B8944" s="59">
        <v>13</v>
      </c>
      <c r="C8944" s="59">
        <v>130</v>
      </c>
      <c r="D8944" s="51">
        <v>7</v>
      </c>
      <c r="E8944" s="51">
        <f t="shared" si="139"/>
        <v>1</v>
      </c>
    </row>
    <row r="8945" spans="1:5">
      <c r="A8945" s="59">
        <v>18</v>
      </c>
      <c r="B8945" s="59">
        <v>15</v>
      </c>
      <c r="C8945" s="59">
        <v>240</v>
      </c>
      <c r="D8945" s="51">
        <v>7</v>
      </c>
      <c r="E8945" s="51">
        <f t="shared" si="139"/>
        <v>1</v>
      </c>
    </row>
    <row r="8946" spans="1:5">
      <c r="A8946" s="59">
        <v>18</v>
      </c>
      <c r="B8946" s="59">
        <v>16</v>
      </c>
      <c r="C8946" s="59">
        <v>610</v>
      </c>
      <c r="D8946" s="51">
        <v>7</v>
      </c>
      <c r="E8946" s="51">
        <f t="shared" si="139"/>
        <v>1</v>
      </c>
    </row>
    <row r="8947" spans="1:5">
      <c r="A8947" s="59">
        <v>18</v>
      </c>
      <c r="B8947" s="59">
        <v>16</v>
      </c>
      <c r="C8947" s="59">
        <v>930</v>
      </c>
      <c r="D8947" s="51">
        <v>7</v>
      </c>
      <c r="E8947" s="51">
        <f t="shared" si="139"/>
        <v>1</v>
      </c>
    </row>
    <row r="8948" spans="1:5">
      <c r="A8948" s="59">
        <v>18</v>
      </c>
      <c r="B8948" s="59">
        <v>23</v>
      </c>
      <c r="C8948" s="59">
        <v>230</v>
      </c>
      <c r="D8948" s="51">
        <v>7</v>
      </c>
      <c r="E8948" s="51">
        <f t="shared" si="139"/>
        <v>1</v>
      </c>
    </row>
    <row r="8949" spans="1:5">
      <c r="A8949" s="59">
        <v>18</v>
      </c>
      <c r="B8949" s="59">
        <v>24</v>
      </c>
      <c r="C8949" s="59">
        <v>210</v>
      </c>
      <c r="D8949" s="51">
        <v>7</v>
      </c>
      <c r="E8949" s="51">
        <f t="shared" si="139"/>
        <v>1</v>
      </c>
    </row>
    <row r="8950" spans="1:5">
      <c r="A8950" s="59">
        <v>18</v>
      </c>
      <c r="B8950" s="59">
        <v>32</v>
      </c>
      <c r="C8950" s="59">
        <v>990</v>
      </c>
      <c r="D8950" s="51">
        <v>7</v>
      </c>
      <c r="E8950" s="51">
        <f t="shared" si="139"/>
        <v>1</v>
      </c>
    </row>
    <row r="8951" spans="1:5">
      <c r="A8951" s="59">
        <v>18</v>
      </c>
      <c r="B8951" s="59">
        <v>33</v>
      </c>
      <c r="C8951" s="59">
        <v>160</v>
      </c>
      <c r="D8951" s="51">
        <v>7</v>
      </c>
      <c r="E8951" s="51">
        <f t="shared" si="139"/>
        <v>1</v>
      </c>
    </row>
    <row r="8952" spans="1:5">
      <c r="A8952" s="59">
        <v>18</v>
      </c>
      <c r="B8952" s="59">
        <v>33</v>
      </c>
      <c r="C8952" s="59">
        <v>720</v>
      </c>
      <c r="D8952" s="51">
        <v>7</v>
      </c>
      <c r="E8952" s="51">
        <f t="shared" si="139"/>
        <v>1</v>
      </c>
    </row>
    <row r="8953" spans="1:5">
      <c r="A8953" s="59">
        <v>18</v>
      </c>
      <c r="B8953" s="59">
        <v>42</v>
      </c>
      <c r="C8953" s="59">
        <v>220</v>
      </c>
      <c r="D8953" s="51">
        <v>7</v>
      </c>
      <c r="E8953" s="51">
        <f t="shared" si="139"/>
        <v>1</v>
      </c>
    </row>
    <row r="8954" spans="1:5">
      <c r="A8954" s="59">
        <v>18</v>
      </c>
      <c r="B8954" s="59">
        <v>43</v>
      </c>
      <c r="C8954" s="59">
        <v>830</v>
      </c>
      <c r="D8954" s="51">
        <v>7</v>
      </c>
      <c r="E8954" s="51">
        <f t="shared" si="139"/>
        <v>1</v>
      </c>
    </row>
    <row r="8955" spans="1:5">
      <c r="A8955" s="59">
        <v>18</v>
      </c>
      <c r="B8955" s="59">
        <v>44</v>
      </c>
      <c r="C8955" s="59">
        <v>430</v>
      </c>
      <c r="D8955" s="51">
        <v>7</v>
      </c>
      <c r="E8955" s="51">
        <f t="shared" si="139"/>
        <v>1</v>
      </c>
    </row>
    <row r="8956" spans="1:5">
      <c r="A8956" s="59">
        <v>18</v>
      </c>
      <c r="B8956" s="59">
        <v>51</v>
      </c>
      <c r="C8956" s="59">
        <v>510</v>
      </c>
      <c r="D8956" s="51">
        <v>7</v>
      </c>
      <c r="E8956" s="51">
        <f t="shared" si="139"/>
        <v>1</v>
      </c>
    </row>
    <row r="8957" spans="1:5">
      <c r="A8957" s="59">
        <v>18</v>
      </c>
      <c r="B8957" s="59">
        <v>61</v>
      </c>
      <c r="C8957" s="59">
        <v>720</v>
      </c>
      <c r="D8957" s="51">
        <v>7</v>
      </c>
      <c r="E8957" s="51">
        <f t="shared" si="139"/>
        <v>1</v>
      </c>
    </row>
    <row r="8958" spans="1:5">
      <c r="A8958" s="59">
        <v>18</v>
      </c>
      <c r="B8958" s="59">
        <v>61</v>
      </c>
      <c r="C8958" s="59">
        <v>750</v>
      </c>
      <c r="D8958" s="51">
        <v>7</v>
      </c>
      <c r="E8958" s="51">
        <f t="shared" si="139"/>
        <v>1</v>
      </c>
    </row>
    <row r="8959" spans="1:5">
      <c r="A8959" s="59">
        <v>18</v>
      </c>
      <c r="B8959" s="59">
        <v>63</v>
      </c>
      <c r="C8959" s="59">
        <v>210</v>
      </c>
      <c r="D8959" s="51">
        <v>7</v>
      </c>
      <c r="E8959" s="51">
        <f t="shared" si="139"/>
        <v>1</v>
      </c>
    </row>
    <row r="8960" spans="1:5">
      <c r="A8960" s="59">
        <v>18</v>
      </c>
      <c r="B8960" s="59">
        <v>63</v>
      </c>
      <c r="C8960" s="59">
        <v>540</v>
      </c>
      <c r="D8960" s="51">
        <v>7</v>
      </c>
      <c r="E8960" s="51">
        <f t="shared" si="139"/>
        <v>1</v>
      </c>
    </row>
    <row r="8961" spans="1:5">
      <c r="A8961" s="59">
        <v>18</v>
      </c>
      <c r="B8961" s="59">
        <v>63</v>
      </c>
      <c r="C8961" s="59">
        <v>831</v>
      </c>
      <c r="D8961" s="51">
        <v>7</v>
      </c>
      <c r="E8961" s="51">
        <f t="shared" si="139"/>
        <v>1</v>
      </c>
    </row>
    <row r="8962" spans="1:5">
      <c r="A8962" s="59">
        <v>18</v>
      </c>
      <c r="B8962" s="59">
        <v>71</v>
      </c>
      <c r="C8962" s="59">
        <v>420</v>
      </c>
      <c r="D8962" s="51">
        <v>7</v>
      </c>
      <c r="E8962" s="51">
        <f t="shared" ref="E8962:E9025" si="140">IF(OR(A8962=6,A8962=7,A8962=14,A8962=15,A8962=16,A8962=17,A8962=18,A8962=19,A8962=20,A8962=21,A8962=22,A8962=23,A8962=25,A8962=26,A8962=27,A8962=28,B8962=41,B8962=44,B8962=62),1,0)</f>
        <v>1</v>
      </c>
    </row>
    <row r="8963" spans="1:5">
      <c r="A8963" s="59">
        <v>18</v>
      </c>
      <c r="B8963" s="59">
        <v>71</v>
      </c>
      <c r="C8963" s="59">
        <v>893</v>
      </c>
      <c r="D8963" s="51">
        <v>7</v>
      </c>
      <c r="E8963" s="51">
        <f t="shared" si="140"/>
        <v>1</v>
      </c>
    </row>
    <row r="8964" spans="1:5">
      <c r="A8964" s="59">
        <v>18</v>
      </c>
      <c r="B8964" s="59">
        <v>71</v>
      </c>
      <c r="C8964" s="59">
        <v>950</v>
      </c>
      <c r="D8964" s="51">
        <v>7</v>
      </c>
      <c r="E8964" s="51">
        <f t="shared" si="140"/>
        <v>1</v>
      </c>
    </row>
    <row r="8965" spans="1:5">
      <c r="A8965" s="59">
        <v>18</v>
      </c>
      <c r="B8965" s="59">
        <v>11</v>
      </c>
      <c r="C8965" s="59">
        <v>730</v>
      </c>
      <c r="D8965" s="51">
        <v>6</v>
      </c>
      <c r="E8965" s="51">
        <f t="shared" si="140"/>
        <v>1</v>
      </c>
    </row>
    <row r="8966" spans="1:5">
      <c r="A8966" s="59">
        <v>18</v>
      </c>
      <c r="B8966" s="59">
        <v>13</v>
      </c>
      <c r="C8966" s="59">
        <v>520</v>
      </c>
      <c r="D8966" s="51">
        <v>6</v>
      </c>
      <c r="E8966" s="51">
        <f t="shared" si="140"/>
        <v>1</v>
      </c>
    </row>
    <row r="8967" spans="1:5">
      <c r="A8967" s="59">
        <v>18</v>
      </c>
      <c r="B8967" s="59">
        <v>13</v>
      </c>
      <c r="C8967" s="59">
        <v>750</v>
      </c>
      <c r="D8967" s="51">
        <v>6</v>
      </c>
      <c r="E8967" s="51">
        <f t="shared" si="140"/>
        <v>1</v>
      </c>
    </row>
    <row r="8968" spans="1:5">
      <c r="A8968" s="59">
        <v>18</v>
      </c>
      <c r="B8968" s="59">
        <v>14</v>
      </c>
      <c r="C8968" s="59">
        <v>430</v>
      </c>
      <c r="D8968" s="51">
        <v>6</v>
      </c>
      <c r="E8968" s="51">
        <f t="shared" si="140"/>
        <v>1</v>
      </c>
    </row>
    <row r="8969" spans="1:5">
      <c r="A8969" s="59">
        <v>18</v>
      </c>
      <c r="B8969" s="59">
        <v>15</v>
      </c>
      <c r="C8969" s="59">
        <v>410</v>
      </c>
      <c r="D8969" s="51">
        <v>6</v>
      </c>
      <c r="E8969" s="51">
        <f t="shared" si="140"/>
        <v>1</v>
      </c>
    </row>
    <row r="8970" spans="1:5">
      <c r="A8970" s="59">
        <v>18</v>
      </c>
      <c r="B8970" s="59">
        <v>15</v>
      </c>
      <c r="C8970" s="59">
        <v>530</v>
      </c>
      <c r="D8970" s="51">
        <v>6</v>
      </c>
      <c r="E8970" s="51">
        <f t="shared" si="140"/>
        <v>1</v>
      </c>
    </row>
    <row r="8971" spans="1:5">
      <c r="A8971" s="59">
        <v>18</v>
      </c>
      <c r="B8971" s="59">
        <v>23</v>
      </c>
      <c r="C8971" s="59">
        <v>140</v>
      </c>
      <c r="D8971" s="51">
        <v>6</v>
      </c>
      <c r="E8971" s="51">
        <f t="shared" si="140"/>
        <v>1</v>
      </c>
    </row>
    <row r="8972" spans="1:5">
      <c r="A8972" s="59">
        <v>18</v>
      </c>
      <c r="B8972" s="59">
        <v>33</v>
      </c>
      <c r="C8972" s="59">
        <v>970</v>
      </c>
      <c r="D8972" s="51">
        <v>6</v>
      </c>
      <c r="E8972" s="51">
        <f t="shared" si="140"/>
        <v>1</v>
      </c>
    </row>
    <row r="8973" spans="1:5">
      <c r="A8973" s="59">
        <v>18</v>
      </c>
      <c r="B8973" s="59">
        <v>41</v>
      </c>
      <c r="C8973" s="59">
        <v>230</v>
      </c>
      <c r="D8973" s="51">
        <v>6</v>
      </c>
      <c r="E8973" s="51">
        <f t="shared" si="140"/>
        <v>1</v>
      </c>
    </row>
    <row r="8974" spans="1:5">
      <c r="A8974" s="59">
        <v>18</v>
      </c>
      <c r="B8974" s="59">
        <v>42</v>
      </c>
      <c r="C8974" s="59">
        <v>320</v>
      </c>
      <c r="D8974" s="51">
        <v>6</v>
      </c>
      <c r="E8974" s="51">
        <f t="shared" si="140"/>
        <v>1</v>
      </c>
    </row>
    <row r="8975" spans="1:5">
      <c r="A8975" s="59">
        <v>18</v>
      </c>
      <c r="B8975" s="59">
        <v>43</v>
      </c>
      <c r="C8975" s="59">
        <v>640</v>
      </c>
      <c r="D8975" s="51">
        <v>6</v>
      </c>
      <c r="E8975" s="51">
        <f t="shared" si="140"/>
        <v>1</v>
      </c>
    </row>
    <row r="8976" spans="1:5">
      <c r="A8976" s="59">
        <v>18</v>
      </c>
      <c r="B8976" s="59">
        <v>44</v>
      </c>
      <c r="C8976" s="59">
        <v>710</v>
      </c>
      <c r="D8976" s="51">
        <v>6</v>
      </c>
      <c r="E8976" s="51">
        <f t="shared" si="140"/>
        <v>1</v>
      </c>
    </row>
    <row r="8977" spans="1:5">
      <c r="A8977" s="59">
        <v>18</v>
      </c>
      <c r="B8977" s="59">
        <v>44</v>
      </c>
      <c r="C8977" s="59">
        <v>880</v>
      </c>
      <c r="D8977" s="51">
        <v>6</v>
      </c>
      <c r="E8977" s="51">
        <f t="shared" si="140"/>
        <v>1</v>
      </c>
    </row>
    <row r="8978" spans="1:5">
      <c r="A8978" s="59">
        <v>18</v>
      </c>
      <c r="B8978" s="59">
        <v>62</v>
      </c>
      <c r="C8978" s="59">
        <v>740</v>
      </c>
      <c r="D8978" s="51">
        <v>6</v>
      </c>
      <c r="E8978" s="51">
        <f t="shared" si="140"/>
        <v>1</v>
      </c>
    </row>
    <row r="8979" spans="1:5">
      <c r="A8979" s="59">
        <v>18</v>
      </c>
      <c r="B8979" s="59">
        <v>62</v>
      </c>
      <c r="C8979" s="59">
        <v>940</v>
      </c>
      <c r="D8979" s="51">
        <v>6</v>
      </c>
      <c r="E8979" s="51">
        <f t="shared" si="140"/>
        <v>1</v>
      </c>
    </row>
    <row r="8980" spans="1:5">
      <c r="A8980" s="59">
        <v>18</v>
      </c>
      <c r="B8980" s="59">
        <v>63</v>
      </c>
      <c r="C8980" s="59">
        <v>950</v>
      </c>
      <c r="D8980" s="51">
        <v>6</v>
      </c>
      <c r="E8980" s="51">
        <f t="shared" si="140"/>
        <v>1</v>
      </c>
    </row>
    <row r="8981" spans="1:5">
      <c r="A8981" s="59">
        <v>18</v>
      </c>
      <c r="B8981" s="59">
        <v>81</v>
      </c>
      <c r="C8981" s="59">
        <v>110</v>
      </c>
      <c r="D8981" s="51">
        <v>6</v>
      </c>
      <c r="E8981" s="51">
        <f t="shared" si="140"/>
        <v>1</v>
      </c>
    </row>
    <row r="8982" spans="1:5">
      <c r="A8982" s="59">
        <v>18</v>
      </c>
      <c r="B8982" s="59">
        <v>11</v>
      </c>
      <c r="C8982" s="59">
        <v>110</v>
      </c>
      <c r="D8982" s="51">
        <v>5</v>
      </c>
      <c r="E8982" s="51">
        <f t="shared" si="140"/>
        <v>1</v>
      </c>
    </row>
    <row r="8983" spans="1:5">
      <c r="A8983" s="59">
        <v>18</v>
      </c>
      <c r="B8983" s="59">
        <v>12</v>
      </c>
      <c r="C8983" s="59">
        <v>510</v>
      </c>
      <c r="D8983" s="51">
        <v>5</v>
      </c>
      <c r="E8983" s="51">
        <f t="shared" si="140"/>
        <v>1</v>
      </c>
    </row>
    <row r="8984" spans="1:5">
      <c r="A8984" s="59">
        <v>18</v>
      </c>
      <c r="B8984" s="59">
        <v>15</v>
      </c>
      <c r="C8984" s="59">
        <v>990</v>
      </c>
      <c r="D8984" s="51">
        <v>5</v>
      </c>
      <c r="E8984" s="51">
        <f t="shared" si="140"/>
        <v>1</v>
      </c>
    </row>
    <row r="8985" spans="1:5">
      <c r="A8985" s="59">
        <v>18</v>
      </c>
      <c r="B8985" s="59">
        <v>16</v>
      </c>
      <c r="C8985" s="59">
        <v>950</v>
      </c>
      <c r="D8985" s="51">
        <v>5</v>
      </c>
      <c r="E8985" s="51">
        <f t="shared" si="140"/>
        <v>1</v>
      </c>
    </row>
    <row r="8986" spans="1:5">
      <c r="A8986" s="59">
        <v>18</v>
      </c>
      <c r="B8986" s="59">
        <v>21</v>
      </c>
      <c r="C8986" s="59">
        <v>230</v>
      </c>
      <c r="D8986" s="51">
        <v>5</v>
      </c>
      <c r="E8986" s="51">
        <f t="shared" si="140"/>
        <v>1</v>
      </c>
    </row>
    <row r="8987" spans="1:5">
      <c r="A8987" s="59">
        <v>18</v>
      </c>
      <c r="B8987" s="59">
        <v>24</v>
      </c>
      <c r="C8987" s="59">
        <v>720</v>
      </c>
      <c r="D8987" s="51">
        <v>5</v>
      </c>
      <c r="E8987" s="51">
        <f t="shared" si="140"/>
        <v>1</v>
      </c>
    </row>
    <row r="8988" spans="1:5">
      <c r="A8988" s="59">
        <v>18</v>
      </c>
      <c r="B8988" s="59">
        <v>32</v>
      </c>
      <c r="C8988" s="59">
        <v>150</v>
      </c>
      <c r="D8988" s="51">
        <v>5</v>
      </c>
      <c r="E8988" s="51">
        <f t="shared" si="140"/>
        <v>1</v>
      </c>
    </row>
    <row r="8989" spans="1:5">
      <c r="A8989" s="59">
        <v>18</v>
      </c>
      <c r="B8989" s="59">
        <v>32</v>
      </c>
      <c r="C8989" s="59">
        <v>210</v>
      </c>
      <c r="D8989" s="51">
        <v>5</v>
      </c>
      <c r="E8989" s="51">
        <f t="shared" si="140"/>
        <v>1</v>
      </c>
    </row>
    <row r="8990" spans="1:5">
      <c r="A8990" s="59">
        <v>18</v>
      </c>
      <c r="B8990" s="59">
        <v>32</v>
      </c>
      <c r="C8990" s="59">
        <v>230</v>
      </c>
      <c r="D8990" s="51">
        <v>5</v>
      </c>
      <c r="E8990" s="51">
        <f t="shared" si="140"/>
        <v>1</v>
      </c>
    </row>
    <row r="8991" spans="1:5">
      <c r="A8991" s="59">
        <v>18</v>
      </c>
      <c r="B8991" s="59">
        <v>32</v>
      </c>
      <c r="C8991" s="59">
        <v>330</v>
      </c>
      <c r="D8991" s="51">
        <v>5</v>
      </c>
      <c r="E8991" s="51">
        <f t="shared" si="140"/>
        <v>1</v>
      </c>
    </row>
    <row r="8992" spans="1:5">
      <c r="A8992" s="59">
        <v>18</v>
      </c>
      <c r="B8992" s="59">
        <v>33</v>
      </c>
      <c r="C8992" s="59">
        <v>230</v>
      </c>
      <c r="D8992" s="51">
        <v>5</v>
      </c>
      <c r="E8992" s="51">
        <f t="shared" si="140"/>
        <v>1</v>
      </c>
    </row>
    <row r="8993" spans="1:5">
      <c r="A8993" s="59">
        <v>18</v>
      </c>
      <c r="B8993" s="59">
        <v>33</v>
      </c>
      <c r="C8993" s="59">
        <v>620</v>
      </c>
      <c r="D8993" s="51">
        <v>5</v>
      </c>
      <c r="E8993" s="51">
        <f t="shared" si="140"/>
        <v>1</v>
      </c>
    </row>
    <row r="8994" spans="1:5">
      <c r="A8994" s="59">
        <v>18</v>
      </c>
      <c r="B8994" s="59">
        <v>42</v>
      </c>
      <c r="C8994" s="59">
        <v>210</v>
      </c>
      <c r="D8994" s="51">
        <v>5</v>
      </c>
      <c r="E8994" s="51">
        <f t="shared" si="140"/>
        <v>1</v>
      </c>
    </row>
    <row r="8995" spans="1:5">
      <c r="A8995" s="59">
        <v>18</v>
      </c>
      <c r="B8995" s="59">
        <v>42</v>
      </c>
      <c r="C8995" s="59">
        <v>830</v>
      </c>
      <c r="D8995" s="51">
        <v>5</v>
      </c>
      <c r="E8995" s="51">
        <f t="shared" si="140"/>
        <v>1</v>
      </c>
    </row>
    <row r="8996" spans="1:5">
      <c r="A8996" s="59">
        <v>18</v>
      </c>
      <c r="B8996" s="59">
        <v>43</v>
      </c>
      <c r="C8996" s="59">
        <v>540</v>
      </c>
      <c r="D8996" s="51">
        <v>5</v>
      </c>
      <c r="E8996" s="51">
        <f t="shared" si="140"/>
        <v>1</v>
      </c>
    </row>
    <row r="8997" spans="1:5">
      <c r="A8997" s="59">
        <v>18</v>
      </c>
      <c r="B8997" s="59">
        <v>51</v>
      </c>
      <c r="C8997" s="59">
        <v>430</v>
      </c>
      <c r="D8997" s="51">
        <v>5</v>
      </c>
      <c r="E8997" s="51">
        <f t="shared" si="140"/>
        <v>1</v>
      </c>
    </row>
    <row r="8998" spans="1:5">
      <c r="A8998" s="59">
        <v>18</v>
      </c>
      <c r="B8998" s="59">
        <v>61</v>
      </c>
      <c r="C8998" s="59">
        <v>610</v>
      </c>
      <c r="D8998" s="51">
        <v>5</v>
      </c>
      <c r="E8998" s="51">
        <f t="shared" si="140"/>
        <v>1</v>
      </c>
    </row>
    <row r="8999" spans="1:5">
      <c r="A8999" s="59">
        <v>18</v>
      </c>
      <c r="B8999" s="59">
        <v>62</v>
      </c>
      <c r="C8999" s="59">
        <v>210</v>
      </c>
      <c r="D8999" s="51">
        <v>5</v>
      </c>
      <c r="E8999" s="51">
        <f t="shared" si="140"/>
        <v>1</v>
      </c>
    </row>
    <row r="9000" spans="1:5">
      <c r="A9000" s="59">
        <v>18</v>
      </c>
      <c r="B9000" s="59">
        <v>62</v>
      </c>
      <c r="C9000" s="59">
        <v>440</v>
      </c>
      <c r="D9000" s="51">
        <v>5</v>
      </c>
      <c r="E9000" s="51">
        <f t="shared" si="140"/>
        <v>1</v>
      </c>
    </row>
    <row r="9001" spans="1:5">
      <c r="A9001" s="59">
        <v>18</v>
      </c>
      <c r="B9001" s="59">
        <v>62</v>
      </c>
      <c r="C9001" s="59">
        <v>850</v>
      </c>
      <c r="D9001" s="51">
        <v>5</v>
      </c>
      <c r="E9001" s="51">
        <f t="shared" si="140"/>
        <v>1</v>
      </c>
    </row>
    <row r="9002" spans="1:5">
      <c r="A9002" s="59">
        <v>18</v>
      </c>
      <c r="B9002" s="59">
        <v>63</v>
      </c>
      <c r="C9002" s="59">
        <v>230</v>
      </c>
      <c r="D9002" s="51">
        <v>5</v>
      </c>
      <c r="E9002" s="51">
        <f t="shared" si="140"/>
        <v>1</v>
      </c>
    </row>
    <row r="9003" spans="1:5">
      <c r="A9003" s="59">
        <v>18</v>
      </c>
      <c r="B9003" s="59">
        <v>81</v>
      </c>
      <c r="C9003" s="59">
        <v>150</v>
      </c>
      <c r="D9003" s="51">
        <v>5</v>
      </c>
      <c r="E9003" s="51">
        <f t="shared" si="140"/>
        <v>1</v>
      </c>
    </row>
    <row r="9004" spans="1:5">
      <c r="A9004" s="59">
        <v>18</v>
      </c>
      <c r="B9004" s="59">
        <v>81</v>
      </c>
      <c r="C9004" s="59">
        <v>870</v>
      </c>
      <c r="D9004" s="51">
        <v>5</v>
      </c>
      <c r="E9004" s="51">
        <f t="shared" si="140"/>
        <v>1</v>
      </c>
    </row>
    <row r="9005" spans="1:5">
      <c r="A9005" s="59">
        <v>18</v>
      </c>
      <c r="B9005" s="59">
        <v>11</v>
      </c>
      <c r="C9005" s="59">
        <v>150</v>
      </c>
      <c r="D9005" s="51">
        <v>4</v>
      </c>
      <c r="E9005" s="51">
        <f t="shared" si="140"/>
        <v>1</v>
      </c>
    </row>
    <row r="9006" spans="1:5">
      <c r="A9006" s="59">
        <v>18</v>
      </c>
      <c r="B9006" s="59">
        <v>13</v>
      </c>
      <c r="C9006" s="59">
        <v>420</v>
      </c>
      <c r="D9006" s="51">
        <v>4</v>
      </c>
      <c r="E9006" s="51">
        <f t="shared" si="140"/>
        <v>1</v>
      </c>
    </row>
    <row r="9007" spans="1:5">
      <c r="A9007" s="59">
        <v>18</v>
      </c>
      <c r="B9007" s="59">
        <v>13</v>
      </c>
      <c r="C9007" s="59">
        <v>960</v>
      </c>
      <c r="D9007" s="51">
        <v>4</v>
      </c>
      <c r="E9007" s="51">
        <f t="shared" si="140"/>
        <v>1</v>
      </c>
    </row>
    <row r="9008" spans="1:5">
      <c r="A9008" s="59">
        <v>18</v>
      </c>
      <c r="B9008" s="59">
        <v>15</v>
      </c>
      <c r="C9008" s="59">
        <v>720</v>
      </c>
      <c r="D9008" s="51">
        <v>4</v>
      </c>
      <c r="E9008" s="51">
        <f t="shared" si="140"/>
        <v>1</v>
      </c>
    </row>
    <row r="9009" spans="1:5">
      <c r="A9009" s="59">
        <v>18</v>
      </c>
      <c r="B9009" s="59">
        <v>16</v>
      </c>
      <c r="C9009" s="59">
        <v>410</v>
      </c>
      <c r="D9009" s="51">
        <v>4</v>
      </c>
      <c r="E9009" s="51">
        <f t="shared" si="140"/>
        <v>1</v>
      </c>
    </row>
    <row r="9010" spans="1:5">
      <c r="A9010" s="59">
        <v>18</v>
      </c>
      <c r="B9010" s="59">
        <v>16</v>
      </c>
      <c r="C9010" s="59">
        <v>730</v>
      </c>
      <c r="D9010" s="51">
        <v>4</v>
      </c>
      <c r="E9010" s="51">
        <f t="shared" si="140"/>
        <v>1</v>
      </c>
    </row>
    <row r="9011" spans="1:5">
      <c r="A9011" s="59">
        <v>18</v>
      </c>
      <c r="B9011" s="59">
        <v>21</v>
      </c>
      <c r="C9011" s="59">
        <v>330</v>
      </c>
      <c r="D9011" s="51">
        <v>4</v>
      </c>
      <c r="E9011" s="51">
        <f t="shared" si="140"/>
        <v>1</v>
      </c>
    </row>
    <row r="9012" spans="1:5">
      <c r="A9012" s="59">
        <v>18</v>
      </c>
      <c r="B9012" s="59">
        <v>22</v>
      </c>
      <c r="C9012" s="59">
        <v>720</v>
      </c>
      <c r="D9012" s="51">
        <v>4</v>
      </c>
      <c r="E9012" s="51">
        <f t="shared" si="140"/>
        <v>1</v>
      </c>
    </row>
    <row r="9013" spans="1:5">
      <c r="A9013" s="59">
        <v>18</v>
      </c>
      <c r="B9013" s="59">
        <v>23</v>
      </c>
      <c r="C9013" s="59">
        <v>110</v>
      </c>
      <c r="D9013" s="51">
        <v>4</v>
      </c>
      <c r="E9013" s="51">
        <f t="shared" si="140"/>
        <v>1</v>
      </c>
    </row>
    <row r="9014" spans="1:5">
      <c r="A9014" s="59">
        <v>18</v>
      </c>
      <c r="B9014" s="59">
        <v>33</v>
      </c>
      <c r="C9014" s="59">
        <v>110</v>
      </c>
      <c r="D9014" s="51">
        <v>4</v>
      </c>
      <c r="E9014" s="51">
        <f t="shared" si="140"/>
        <v>1</v>
      </c>
    </row>
    <row r="9015" spans="1:5">
      <c r="A9015" s="59">
        <v>18</v>
      </c>
      <c r="B9015" s="59">
        <v>33</v>
      </c>
      <c r="C9015" s="59">
        <v>240</v>
      </c>
      <c r="D9015" s="51">
        <v>4</v>
      </c>
      <c r="E9015" s="51">
        <f t="shared" si="140"/>
        <v>1</v>
      </c>
    </row>
    <row r="9016" spans="1:5">
      <c r="A9016" s="59">
        <v>18</v>
      </c>
      <c r="B9016" s="59">
        <v>33</v>
      </c>
      <c r="C9016" s="59">
        <v>330</v>
      </c>
      <c r="D9016" s="51">
        <v>4</v>
      </c>
      <c r="E9016" s="51">
        <f t="shared" si="140"/>
        <v>1</v>
      </c>
    </row>
    <row r="9017" spans="1:5">
      <c r="A9017" s="59">
        <v>18</v>
      </c>
      <c r="B9017" s="59">
        <v>41</v>
      </c>
      <c r="C9017" s="59">
        <v>150</v>
      </c>
      <c r="D9017" s="51">
        <v>4</v>
      </c>
      <c r="E9017" s="51">
        <f t="shared" si="140"/>
        <v>1</v>
      </c>
    </row>
    <row r="9018" spans="1:5">
      <c r="A9018" s="59">
        <v>18</v>
      </c>
      <c r="B9018" s="59">
        <v>41</v>
      </c>
      <c r="C9018" s="59">
        <v>620</v>
      </c>
      <c r="D9018" s="51">
        <v>4</v>
      </c>
      <c r="E9018" s="51">
        <f t="shared" si="140"/>
        <v>1</v>
      </c>
    </row>
    <row r="9019" spans="1:5">
      <c r="A9019" s="59">
        <v>18</v>
      </c>
      <c r="B9019" s="59">
        <v>41</v>
      </c>
      <c r="C9019" s="59">
        <v>893</v>
      </c>
      <c r="D9019" s="51">
        <v>4</v>
      </c>
      <c r="E9019" s="51">
        <f t="shared" si="140"/>
        <v>1</v>
      </c>
    </row>
    <row r="9020" spans="1:5">
      <c r="A9020" s="59">
        <v>18</v>
      </c>
      <c r="B9020" s="59">
        <v>42</v>
      </c>
      <c r="C9020" s="59">
        <v>410</v>
      </c>
      <c r="D9020" s="51">
        <v>4</v>
      </c>
      <c r="E9020" s="51">
        <f t="shared" si="140"/>
        <v>1</v>
      </c>
    </row>
    <row r="9021" spans="1:5">
      <c r="A9021" s="59">
        <v>18</v>
      </c>
      <c r="B9021" s="59">
        <v>42</v>
      </c>
      <c r="C9021" s="59">
        <v>420</v>
      </c>
      <c r="D9021" s="51">
        <v>4</v>
      </c>
      <c r="E9021" s="51">
        <f t="shared" si="140"/>
        <v>1</v>
      </c>
    </row>
    <row r="9022" spans="1:5">
      <c r="A9022" s="59">
        <v>18</v>
      </c>
      <c r="B9022" s="59">
        <v>42</v>
      </c>
      <c r="C9022" s="59">
        <v>440</v>
      </c>
      <c r="D9022" s="51">
        <v>4</v>
      </c>
      <c r="E9022" s="51">
        <f t="shared" si="140"/>
        <v>1</v>
      </c>
    </row>
    <row r="9023" spans="1:5">
      <c r="A9023" s="59">
        <v>18</v>
      </c>
      <c r="B9023" s="59">
        <v>42</v>
      </c>
      <c r="C9023" s="59">
        <v>550</v>
      </c>
      <c r="D9023" s="51">
        <v>4</v>
      </c>
      <c r="E9023" s="51">
        <f t="shared" si="140"/>
        <v>1</v>
      </c>
    </row>
    <row r="9024" spans="1:5">
      <c r="A9024" s="59">
        <v>18</v>
      </c>
      <c r="B9024" s="59">
        <v>62</v>
      </c>
      <c r="C9024" s="59">
        <v>430</v>
      </c>
      <c r="D9024" s="51">
        <v>4</v>
      </c>
      <c r="E9024" s="51">
        <f t="shared" si="140"/>
        <v>1</v>
      </c>
    </row>
    <row r="9025" spans="1:5">
      <c r="A9025" s="59">
        <v>18</v>
      </c>
      <c r="B9025" s="59">
        <v>62</v>
      </c>
      <c r="C9025" s="59">
        <v>630</v>
      </c>
      <c r="D9025" s="51">
        <v>4</v>
      </c>
      <c r="E9025" s="51">
        <f t="shared" si="140"/>
        <v>1</v>
      </c>
    </row>
    <row r="9026" spans="1:5">
      <c r="A9026" s="59">
        <v>18</v>
      </c>
      <c r="B9026" s="59">
        <v>63</v>
      </c>
      <c r="C9026" s="59">
        <v>630</v>
      </c>
      <c r="D9026" s="51">
        <v>4</v>
      </c>
      <c r="E9026" s="51">
        <f t="shared" ref="E9026:E9089" si="141">IF(OR(A9026=6,A9026=7,A9026=14,A9026=15,A9026=16,A9026=17,A9026=18,A9026=19,A9026=20,A9026=21,A9026=22,A9026=23,A9026=25,A9026=26,A9026=27,A9026=28,B9026=41,B9026=44,B9026=62),1,0)</f>
        <v>1</v>
      </c>
    </row>
    <row r="9027" spans="1:5">
      <c r="A9027" s="59">
        <v>18</v>
      </c>
      <c r="B9027" s="59">
        <v>63</v>
      </c>
      <c r="C9027" s="59">
        <v>960</v>
      </c>
      <c r="D9027" s="51">
        <v>4</v>
      </c>
      <c r="E9027" s="51">
        <f t="shared" si="141"/>
        <v>1</v>
      </c>
    </row>
    <row r="9028" spans="1:5">
      <c r="A9028" s="59">
        <v>18</v>
      </c>
      <c r="B9028" s="59">
        <v>64</v>
      </c>
      <c r="C9028" s="59">
        <v>120</v>
      </c>
      <c r="D9028" s="51">
        <v>4</v>
      </c>
      <c r="E9028" s="51">
        <f t="shared" si="141"/>
        <v>1</v>
      </c>
    </row>
    <row r="9029" spans="1:5">
      <c r="A9029" s="59">
        <v>18</v>
      </c>
      <c r="B9029" s="59">
        <v>81</v>
      </c>
      <c r="C9029" s="59">
        <v>330</v>
      </c>
      <c r="D9029" s="51">
        <v>4</v>
      </c>
      <c r="E9029" s="51">
        <f t="shared" si="141"/>
        <v>1</v>
      </c>
    </row>
    <row r="9030" spans="1:5">
      <c r="A9030" s="59">
        <v>18</v>
      </c>
      <c r="B9030" s="59">
        <v>81</v>
      </c>
      <c r="C9030" s="59">
        <v>710</v>
      </c>
      <c r="D9030" s="51">
        <v>4</v>
      </c>
      <c r="E9030" s="51">
        <f t="shared" si="141"/>
        <v>1</v>
      </c>
    </row>
    <row r="9031" spans="1:5">
      <c r="A9031" s="59">
        <v>18</v>
      </c>
      <c r="B9031" s="59">
        <v>13</v>
      </c>
      <c r="C9031" s="59">
        <v>120</v>
      </c>
      <c r="D9031" s="51">
        <v>3</v>
      </c>
      <c r="E9031" s="51">
        <f t="shared" si="141"/>
        <v>1</v>
      </c>
    </row>
    <row r="9032" spans="1:5">
      <c r="A9032" s="59">
        <v>18</v>
      </c>
      <c r="B9032" s="59">
        <v>13</v>
      </c>
      <c r="C9032" s="59">
        <v>430</v>
      </c>
      <c r="D9032" s="51">
        <v>3</v>
      </c>
      <c r="E9032" s="51">
        <f t="shared" si="141"/>
        <v>1</v>
      </c>
    </row>
    <row r="9033" spans="1:5">
      <c r="A9033" s="59">
        <v>18</v>
      </c>
      <c r="B9033" s="59">
        <v>14</v>
      </c>
      <c r="C9033" s="59">
        <v>960</v>
      </c>
      <c r="D9033" s="51">
        <v>3</v>
      </c>
      <c r="E9033" s="51">
        <f t="shared" si="141"/>
        <v>1</v>
      </c>
    </row>
    <row r="9034" spans="1:5">
      <c r="A9034" s="59">
        <v>18</v>
      </c>
      <c r="B9034" s="59">
        <v>15</v>
      </c>
      <c r="C9034" s="59">
        <v>730</v>
      </c>
      <c r="D9034" s="51">
        <v>3</v>
      </c>
      <c r="E9034" s="51">
        <f t="shared" si="141"/>
        <v>1</v>
      </c>
    </row>
    <row r="9035" spans="1:5">
      <c r="A9035" s="59">
        <v>18</v>
      </c>
      <c r="B9035" s="59">
        <v>16</v>
      </c>
      <c r="C9035" s="59">
        <v>990</v>
      </c>
      <c r="D9035" s="51">
        <v>3</v>
      </c>
      <c r="E9035" s="51">
        <f t="shared" si="141"/>
        <v>1</v>
      </c>
    </row>
    <row r="9036" spans="1:5">
      <c r="A9036" s="59">
        <v>18</v>
      </c>
      <c r="B9036" s="59">
        <v>21</v>
      </c>
      <c r="C9036" s="59">
        <v>240</v>
      </c>
      <c r="D9036" s="51">
        <v>3</v>
      </c>
      <c r="E9036" s="51">
        <f t="shared" si="141"/>
        <v>1</v>
      </c>
    </row>
    <row r="9037" spans="1:5">
      <c r="A9037" s="59">
        <v>18</v>
      </c>
      <c r="B9037" s="59">
        <v>21</v>
      </c>
      <c r="C9037" s="59">
        <v>320</v>
      </c>
      <c r="D9037" s="51">
        <v>3</v>
      </c>
      <c r="E9037" s="51">
        <f t="shared" si="141"/>
        <v>1</v>
      </c>
    </row>
    <row r="9038" spans="1:5">
      <c r="A9038" s="59">
        <v>18</v>
      </c>
      <c r="B9038" s="59">
        <v>22</v>
      </c>
      <c r="C9038" s="59">
        <v>120</v>
      </c>
      <c r="D9038" s="51">
        <v>3</v>
      </c>
      <c r="E9038" s="51">
        <f t="shared" si="141"/>
        <v>1</v>
      </c>
    </row>
    <row r="9039" spans="1:5">
      <c r="A9039" s="59">
        <v>18</v>
      </c>
      <c r="B9039" s="59">
        <v>22</v>
      </c>
      <c r="C9039" s="59">
        <v>940</v>
      </c>
      <c r="D9039" s="51">
        <v>3</v>
      </c>
      <c r="E9039" s="51">
        <f t="shared" si="141"/>
        <v>1</v>
      </c>
    </row>
    <row r="9040" spans="1:5">
      <c r="A9040" s="59">
        <v>18</v>
      </c>
      <c r="B9040" s="59">
        <v>23</v>
      </c>
      <c r="C9040" s="59">
        <v>150</v>
      </c>
      <c r="D9040" s="51">
        <v>3</v>
      </c>
      <c r="E9040" s="51">
        <f t="shared" si="141"/>
        <v>1</v>
      </c>
    </row>
    <row r="9041" spans="1:5">
      <c r="A9041" s="59">
        <v>18</v>
      </c>
      <c r="B9041" s="59">
        <v>23</v>
      </c>
      <c r="C9041" s="59">
        <v>160</v>
      </c>
      <c r="D9041" s="51">
        <v>3</v>
      </c>
      <c r="E9041" s="51">
        <f t="shared" si="141"/>
        <v>1</v>
      </c>
    </row>
    <row r="9042" spans="1:5">
      <c r="A9042" s="59">
        <v>18</v>
      </c>
      <c r="B9042" s="59">
        <v>23</v>
      </c>
      <c r="C9042" s="59">
        <v>210</v>
      </c>
      <c r="D9042" s="51">
        <v>3</v>
      </c>
      <c r="E9042" s="51">
        <f t="shared" si="141"/>
        <v>1</v>
      </c>
    </row>
    <row r="9043" spans="1:5">
      <c r="A9043" s="59">
        <v>18</v>
      </c>
      <c r="B9043" s="59">
        <v>23</v>
      </c>
      <c r="C9043" s="59">
        <v>240</v>
      </c>
      <c r="D9043" s="51">
        <v>3</v>
      </c>
      <c r="E9043" s="51">
        <f t="shared" si="141"/>
        <v>1</v>
      </c>
    </row>
    <row r="9044" spans="1:5">
      <c r="A9044" s="59">
        <v>18</v>
      </c>
      <c r="B9044" s="59">
        <v>24</v>
      </c>
      <c r="C9044" s="59">
        <v>530</v>
      </c>
      <c r="D9044" s="51">
        <v>3</v>
      </c>
      <c r="E9044" s="51">
        <f t="shared" si="141"/>
        <v>1</v>
      </c>
    </row>
    <row r="9045" spans="1:5">
      <c r="A9045" s="59">
        <v>18</v>
      </c>
      <c r="B9045" s="59">
        <v>31</v>
      </c>
      <c r="C9045" s="59">
        <v>895</v>
      </c>
      <c r="D9045" s="51">
        <v>3</v>
      </c>
      <c r="E9045" s="51">
        <f t="shared" si="141"/>
        <v>1</v>
      </c>
    </row>
    <row r="9046" spans="1:5">
      <c r="A9046" s="59">
        <v>18</v>
      </c>
      <c r="B9046" s="59">
        <v>32</v>
      </c>
      <c r="C9046" s="59">
        <v>110</v>
      </c>
      <c r="D9046" s="51">
        <v>3</v>
      </c>
      <c r="E9046" s="51">
        <f t="shared" si="141"/>
        <v>1</v>
      </c>
    </row>
    <row r="9047" spans="1:5">
      <c r="A9047" s="59">
        <v>18</v>
      </c>
      <c r="B9047" s="59">
        <v>32</v>
      </c>
      <c r="C9047" s="59">
        <v>160</v>
      </c>
      <c r="D9047" s="51">
        <v>3</v>
      </c>
      <c r="E9047" s="51">
        <f t="shared" si="141"/>
        <v>1</v>
      </c>
    </row>
    <row r="9048" spans="1:5">
      <c r="A9048" s="59">
        <v>18</v>
      </c>
      <c r="B9048" s="59">
        <v>32</v>
      </c>
      <c r="C9048" s="59">
        <v>240</v>
      </c>
      <c r="D9048" s="51">
        <v>3</v>
      </c>
      <c r="E9048" s="51">
        <f t="shared" si="141"/>
        <v>1</v>
      </c>
    </row>
    <row r="9049" spans="1:5">
      <c r="A9049" s="59">
        <v>18</v>
      </c>
      <c r="B9049" s="59">
        <v>33</v>
      </c>
      <c r="C9049" s="59">
        <v>960</v>
      </c>
      <c r="D9049" s="51">
        <v>3</v>
      </c>
      <c r="E9049" s="51">
        <f t="shared" si="141"/>
        <v>1</v>
      </c>
    </row>
    <row r="9050" spans="1:5">
      <c r="A9050" s="59">
        <v>18</v>
      </c>
      <c r="B9050" s="59">
        <v>41</v>
      </c>
      <c r="C9050" s="59">
        <v>710</v>
      </c>
      <c r="D9050" s="51">
        <v>3</v>
      </c>
      <c r="E9050" s="51">
        <f t="shared" si="141"/>
        <v>1</v>
      </c>
    </row>
    <row r="9051" spans="1:5">
      <c r="A9051" s="59">
        <v>18</v>
      </c>
      <c r="B9051" s="59">
        <v>42</v>
      </c>
      <c r="C9051" s="59">
        <v>630</v>
      </c>
      <c r="D9051" s="51">
        <v>3</v>
      </c>
      <c r="E9051" s="51">
        <f t="shared" si="141"/>
        <v>1</v>
      </c>
    </row>
    <row r="9052" spans="1:5">
      <c r="A9052" s="59">
        <v>18</v>
      </c>
      <c r="B9052" s="59">
        <v>42</v>
      </c>
      <c r="C9052" s="59">
        <v>720</v>
      </c>
      <c r="D9052" s="51">
        <v>3</v>
      </c>
      <c r="E9052" s="51">
        <f t="shared" si="141"/>
        <v>1</v>
      </c>
    </row>
    <row r="9053" spans="1:5">
      <c r="A9053" s="59">
        <v>18</v>
      </c>
      <c r="B9053" s="59">
        <v>43</v>
      </c>
      <c r="C9053" s="59">
        <v>120</v>
      </c>
      <c r="D9053" s="51">
        <v>3</v>
      </c>
      <c r="E9053" s="51">
        <f t="shared" si="141"/>
        <v>1</v>
      </c>
    </row>
    <row r="9054" spans="1:5">
      <c r="A9054" s="59">
        <v>18</v>
      </c>
      <c r="B9054" s="59">
        <v>43</v>
      </c>
      <c r="C9054" s="59">
        <v>140</v>
      </c>
      <c r="D9054" s="51">
        <v>3</v>
      </c>
      <c r="E9054" s="51">
        <f t="shared" si="141"/>
        <v>1</v>
      </c>
    </row>
    <row r="9055" spans="1:5">
      <c r="A9055" s="59">
        <v>18</v>
      </c>
      <c r="B9055" s="59">
        <v>43</v>
      </c>
      <c r="C9055" s="59">
        <v>862</v>
      </c>
      <c r="D9055" s="51">
        <v>3</v>
      </c>
      <c r="E9055" s="51">
        <f t="shared" si="141"/>
        <v>1</v>
      </c>
    </row>
    <row r="9056" spans="1:5">
      <c r="A9056" s="59">
        <v>18</v>
      </c>
      <c r="B9056" s="59">
        <v>44</v>
      </c>
      <c r="C9056" s="59">
        <v>230</v>
      </c>
      <c r="D9056" s="51">
        <v>3</v>
      </c>
      <c r="E9056" s="51">
        <f t="shared" si="141"/>
        <v>1</v>
      </c>
    </row>
    <row r="9057" spans="1:5">
      <c r="A9057" s="59">
        <v>18</v>
      </c>
      <c r="B9057" s="59">
        <v>44</v>
      </c>
      <c r="C9057" s="59">
        <v>550</v>
      </c>
      <c r="D9057" s="51">
        <v>3</v>
      </c>
      <c r="E9057" s="51">
        <f t="shared" si="141"/>
        <v>1</v>
      </c>
    </row>
    <row r="9058" spans="1:5">
      <c r="A9058" s="59">
        <v>18</v>
      </c>
      <c r="B9058" s="59">
        <v>44</v>
      </c>
      <c r="C9058" s="59">
        <v>640</v>
      </c>
      <c r="D9058" s="51">
        <v>3</v>
      </c>
      <c r="E9058" s="51">
        <f t="shared" si="141"/>
        <v>1</v>
      </c>
    </row>
    <row r="9059" spans="1:5">
      <c r="A9059" s="59">
        <v>18</v>
      </c>
      <c r="B9059" s="59">
        <v>62</v>
      </c>
      <c r="C9059" s="59">
        <v>310</v>
      </c>
      <c r="D9059" s="51">
        <v>3</v>
      </c>
      <c r="E9059" s="51">
        <f t="shared" si="141"/>
        <v>1</v>
      </c>
    </row>
    <row r="9060" spans="1:5">
      <c r="A9060" s="59">
        <v>18</v>
      </c>
      <c r="B9060" s="59">
        <v>62</v>
      </c>
      <c r="C9060" s="59">
        <v>420</v>
      </c>
      <c r="D9060" s="51">
        <v>3</v>
      </c>
      <c r="E9060" s="51">
        <f t="shared" si="141"/>
        <v>1</v>
      </c>
    </row>
    <row r="9061" spans="1:5">
      <c r="A9061" s="59">
        <v>18</v>
      </c>
      <c r="B9061" s="59">
        <v>62</v>
      </c>
      <c r="C9061" s="59">
        <v>960</v>
      </c>
      <c r="D9061" s="51">
        <v>3</v>
      </c>
      <c r="E9061" s="51">
        <f t="shared" si="141"/>
        <v>1</v>
      </c>
    </row>
    <row r="9062" spans="1:5">
      <c r="A9062" s="59">
        <v>18</v>
      </c>
      <c r="B9062" s="59">
        <v>64</v>
      </c>
      <c r="C9062" s="59">
        <v>130</v>
      </c>
      <c r="D9062" s="51">
        <v>3</v>
      </c>
      <c r="E9062" s="51">
        <f t="shared" si="141"/>
        <v>1</v>
      </c>
    </row>
    <row r="9063" spans="1:5">
      <c r="A9063" s="59">
        <v>18</v>
      </c>
      <c r="B9063" s="59">
        <v>71</v>
      </c>
      <c r="C9063" s="59">
        <v>220</v>
      </c>
      <c r="D9063" s="51">
        <v>3</v>
      </c>
      <c r="E9063" s="51">
        <f t="shared" si="141"/>
        <v>1</v>
      </c>
    </row>
    <row r="9064" spans="1:5">
      <c r="A9064" s="59">
        <v>18</v>
      </c>
      <c r="B9064" s="59">
        <v>71</v>
      </c>
      <c r="C9064" s="59">
        <v>320</v>
      </c>
      <c r="D9064" s="51">
        <v>3</v>
      </c>
      <c r="E9064" s="51">
        <f t="shared" si="141"/>
        <v>1</v>
      </c>
    </row>
    <row r="9065" spans="1:5">
      <c r="A9065" s="59">
        <v>18</v>
      </c>
      <c r="B9065" s="59">
        <v>71</v>
      </c>
      <c r="C9065" s="59">
        <v>430</v>
      </c>
      <c r="D9065" s="51">
        <v>3</v>
      </c>
      <c r="E9065" s="51">
        <f t="shared" si="141"/>
        <v>1</v>
      </c>
    </row>
    <row r="9066" spans="1:5">
      <c r="A9066" s="59">
        <v>18</v>
      </c>
      <c r="B9066" s="59">
        <v>71</v>
      </c>
      <c r="C9066" s="59">
        <v>740</v>
      </c>
      <c r="D9066" s="51">
        <v>3</v>
      </c>
      <c r="E9066" s="51">
        <f t="shared" si="141"/>
        <v>1</v>
      </c>
    </row>
    <row r="9067" spans="1:5">
      <c r="A9067" s="59">
        <v>18</v>
      </c>
      <c r="B9067" s="59">
        <v>71</v>
      </c>
      <c r="C9067" s="59">
        <v>831</v>
      </c>
      <c r="D9067" s="51">
        <v>3</v>
      </c>
      <c r="E9067" s="51">
        <f t="shared" si="141"/>
        <v>1</v>
      </c>
    </row>
    <row r="9068" spans="1:5">
      <c r="A9068" s="59">
        <v>18</v>
      </c>
      <c r="B9068" s="59">
        <v>71</v>
      </c>
      <c r="C9068" s="59">
        <v>940</v>
      </c>
      <c r="D9068" s="51">
        <v>3</v>
      </c>
      <c r="E9068" s="51">
        <f t="shared" si="141"/>
        <v>1</v>
      </c>
    </row>
    <row r="9069" spans="1:5">
      <c r="A9069" s="59">
        <v>18</v>
      </c>
      <c r="B9069" s="59">
        <v>71</v>
      </c>
      <c r="C9069" s="59">
        <v>960</v>
      </c>
      <c r="D9069" s="51">
        <v>3</v>
      </c>
      <c r="E9069" s="51">
        <f t="shared" si="141"/>
        <v>1</v>
      </c>
    </row>
    <row r="9070" spans="1:5">
      <c r="A9070" s="59">
        <v>18</v>
      </c>
      <c r="B9070" s="59">
        <v>81</v>
      </c>
      <c r="C9070" s="59">
        <v>210</v>
      </c>
      <c r="D9070" s="51">
        <v>3</v>
      </c>
      <c r="E9070" s="51">
        <f t="shared" si="141"/>
        <v>1</v>
      </c>
    </row>
    <row r="9071" spans="1:5">
      <c r="A9071" s="59">
        <v>18</v>
      </c>
      <c r="B9071" s="59">
        <v>81</v>
      </c>
      <c r="C9071" s="59">
        <v>410</v>
      </c>
      <c r="D9071" s="51">
        <v>3</v>
      </c>
      <c r="E9071" s="51">
        <f t="shared" si="141"/>
        <v>1</v>
      </c>
    </row>
    <row r="9072" spans="1:5">
      <c r="A9072" s="59">
        <v>18</v>
      </c>
      <c r="B9072" s="59">
        <v>81</v>
      </c>
      <c r="C9072" s="59">
        <v>930</v>
      </c>
      <c r="D9072" s="51">
        <v>3</v>
      </c>
      <c r="E9072" s="51">
        <f t="shared" si="141"/>
        <v>1</v>
      </c>
    </row>
    <row r="9073" spans="1:5">
      <c r="A9073" s="59">
        <v>18</v>
      </c>
      <c r="B9073" s="59">
        <v>11</v>
      </c>
      <c r="C9073" s="59">
        <v>950</v>
      </c>
      <c r="D9073" s="51">
        <v>2</v>
      </c>
      <c r="E9073" s="51">
        <f t="shared" si="141"/>
        <v>1</v>
      </c>
    </row>
    <row r="9074" spans="1:5">
      <c r="A9074" s="59">
        <v>18</v>
      </c>
      <c r="B9074" s="59">
        <v>13</v>
      </c>
      <c r="C9074" s="59">
        <v>630</v>
      </c>
      <c r="D9074" s="51">
        <v>2</v>
      </c>
      <c r="E9074" s="51">
        <f t="shared" si="141"/>
        <v>1</v>
      </c>
    </row>
    <row r="9075" spans="1:5">
      <c r="A9075" s="59">
        <v>18</v>
      </c>
      <c r="B9075" s="59">
        <v>13</v>
      </c>
      <c r="C9075" s="59">
        <v>710</v>
      </c>
      <c r="D9075" s="51">
        <v>2</v>
      </c>
      <c r="E9075" s="51">
        <f t="shared" si="141"/>
        <v>1</v>
      </c>
    </row>
    <row r="9076" spans="1:5">
      <c r="A9076" s="59">
        <v>18</v>
      </c>
      <c r="B9076" s="59">
        <v>16</v>
      </c>
      <c r="C9076" s="59">
        <v>220</v>
      </c>
      <c r="D9076" s="51">
        <v>2</v>
      </c>
      <c r="E9076" s="51">
        <f t="shared" si="141"/>
        <v>1</v>
      </c>
    </row>
    <row r="9077" spans="1:5">
      <c r="A9077" s="59">
        <v>18</v>
      </c>
      <c r="B9077" s="59">
        <v>16</v>
      </c>
      <c r="C9077" s="59">
        <v>430</v>
      </c>
      <c r="D9077" s="51">
        <v>2</v>
      </c>
      <c r="E9077" s="51">
        <f t="shared" si="141"/>
        <v>1</v>
      </c>
    </row>
    <row r="9078" spans="1:5">
      <c r="A9078" s="59">
        <v>18</v>
      </c>
      <c r="B9078" s="59">
        <v>22</v>
      </c>
      <c r="C9078" s="59">
        <v>970</v>
      </c>
      <c r="D9078" s="51">
        <v>2</v>
      </c>
      <c r="E9078" s="51">
        <f t="shared" si="141"/>
        <v>1</v>
      </c>
    </row>
    <row r="9079" spans="1:5">
      <c r="A9079" s="59">
        <v>18</v>
      </c>
      <c r="B9079" s="59">
        <v>32</v>
      </c>
      <c r="C9079" s="59">
        <v>820</v>
      </c>
      <c r="D9079" s="51">
        <v>2</v>
      </c>
      <c r="E9079" s="51">
        <f t="shared" si="141"/>
        <v>1</v>
      </c>
    </row>
    <row r="9080" spans="1:5">
      <c r="A9080" s="59">
        <v>18</v>
      </c>
      <c r="B9080" s="59">
        <v>33</v>
      </c>
      <c r="C9080" s="59">
        <v>140</v>
      </c>
      <c r="D9080" s="51">
        <v>2</v>
      </c>
      <c r="E9080" s="51">
        <f t="shared" si="141"/>
        <v>1</v>
      </c>
    </row>
    <row r="9081" spans="1:5">
      <c r="A9081" s="59">
        <v>18</v>
      </c>
      <c r="B9081" s="59">
        <v>33</v>
      </c>
      <c r="C9081" s="59">
        <v>320</v>
      </c>
      <c r="D9081" s="51">
        <v>2</v>
      </c>
      <c r="E9081" s="51">
        <f t="shared" si="141"/>
        <v>1</v>
      </c>
    </row>
    <row r="9082" spans="1:5">
      <c r="A9082" s="59">
        <v>18</v>
      </c>
      <c r="B9082" s="59">
        <v>41</v>
      </c>
      <c r="C9082" s="59">
        <v>110</v>
      </c>
      <c r="D9082" s="51">
        <v>2</v>
      </c>
      <c r="E9082" s="51">
        <f t="shared" si="141"/>
        <v>1</v>
      </c>
    </row>
    <row r="9083" spans="1:5">
      <c r="A9083" s="59">
        <v>18</v>
      </c>
      <c r="B9083" s="59">
        <v>41</v>
      </c>
      <c r="C9083" s="59">
        <v>850</v>
      </c>
      <c r="D9083" s="51">
        <v>2</v>
      </c>
      <c r="E9083" s="51">
        <f t="shared" si="141"/>
        <v>1</v>
      </c>
    </row>
    <row r="9084" spans="1:5">
      <c r="A9084" s="59">
        <v>18</v>
      </c>
      <c r="B9084" s="59">
        <v>41</v>
      </c>
      <c r="C9084" s="59">
        <v>950</v>
      </c>
      <c r="D9084" s="51">
        <v>2</v>
      </c>
      <c r="E9084" s="51">
        <f t="shared" si="141"/>
        <v>1</v>
      </c>
    </row>
    <row r="9085" spans="1:5">
      <c r="A9085" s="59">
        <v>18</v>
      </c>
      <c r="B9085" s="59">
        <v>42</v>
      </c>
      <c r="C9085" s="59">
        <v>540</v>
      </c>
      <c r="D9085" s="51">
        <v>2</v>
      </c>
      <c r="E9085" s="51">
        <f t="shared" si="141"/>
        <v>1</v>
      </c>
    </row>
    <row r="9086" spans="1:5">
      <c r="A9086" s="59">
        <v>18</v>
      </c>
      <c r="B9086" s="59">
        <v>42</v>
      </c>
      <c r="C9086" s="59">
        <v>640</v>
      </c>
      <c r="D9086" s="51">
        <v>2</v>
      </c>
      <c r="E9086" s="51">
        <f t="shared" si="141"/>
        <v>1</v>
      </c>
    </row>
    <row r="9087" spans="1:5">
      <c r="A9087" s="59">
        <v>18</v>
      </c>
      <c r="B9087" s="59">
        <v>43</v>
      </c>
      <c r="C9087" s="59">
        <v>890</v>
      </c>
      <c r="D9087" s="51">
        <v>2</v>
      </c>
      <c r="E9087" s="51">
        <f t="shared" si="141"/>
        <v>1</v>
      </c>
    </row>
    <row r="9088" spans="1:5">
      <c r="A9088" s="59">
        <v>18</v>
      </c>
      <c r="B9088" s="59">
        <v>44</v>
      </c>
      <c r="C9088" s="59">
        <v>540</v>
      </c>
      <c r="D9088" s="51">
        <v>2</v>
      </c>
      <c r="E9088" s="51">
        <f t="shared" si="141"/>
        <v>1</v>
      </c>
    </row>
    <row r="9089" spans="1:5">
      <c r="A9089" s="59">
        <v>18</v>
      </c>
      <c r="B9089" s="59">
        <v>44</v>
      </c>
      <c r="C9089" s="59">
        <v>630</v>
      </c>
      <c r="D9089" s="51">
        <v>2</v>
      </c>
      <c r="E9089" s="51">
        <f t="shared" si="141"/>
        <v>1</v>
      </c>
    </row>
    <row r="9090" spans="1:5">
      <c r="A9090" s="59">
        <v>18</v>
      </c>
      <c r="B9090" s="59">
        <v>51</v>
      </c>
      <c r="C9090" s="59">
        <v>530</v>
      </c>
      <c r="D9090" s="51">
        <v>2</v>
      </c>
      <c r="E9090" s="51">
        <f t="shared" ref="E9090:E9153" si="142">IF(OR(A9090=6,A9090=7,A9090=14,A9090=15,A9090=16,A9090=17,A9090=18,A9090=19,A9090=20,A9090=21,A9090=22,A9090=23,A9090=25,A9090=26,A9090=27,A9090=28,B9090=41,B9090=44,B9090=62),1,0)</f>
        <v>1</v>
      </c>
    </row>
    <row r="9091" spans="1:5">
      <c r="A9091" s="59">
        <v>18</v>
      </c>
      <c r="B9091" s="59">
        <v>51</v>
      </c>
      <c r="C9091" s="59">
        <v>610</v>
      </c>
      <c r="D9091" s="51">
        <v>2</v>
      </c>
      <c r="E9091" s="51">
        <f t="shared" si="142"/>
        <v>1</v>
      </c>
    </row>
    <row r="9092" spans="1:5">
      <c r="A9092" s="59">
        <v>18</v>
      </c>
      <c r="B9092" s="59">
        <v>51</v>
      </c>
      <c r="C9092" s="59">
        <v>620</v>
      </c>
      <c r="D9092" s="51">
        <v>2</v>
      </c>
      <c r="E9092" s="51">
        <f t="shared" si="142"/>
        <v>1</v>
      </c>
    </row>
    <row r="9093" spans="1:5">
      <c r="A9093" s="59">
        <v>18</v>
      </c>
      <c r="B9093" s="59">
        <v>61</v>
      </c>
      <c r="C9093" s="59">
        <v>990</v>
      </c>
      <c r="D9093" s="51">
        <v>2</v>
      </c>
      <c r="E9093" s="51">
        <f t="shared" si="142"/>
        <v>1</v>
      </c>
    </row>
    <row r="9094" spans="1:5">
      <c r="A9094" s="59">
        <v>18</v>
      </c>
      <c r="B9094" s="59">
        <v>62</v>
      </c>
      <c r="C9094" s="59">
        <v>220</v>
      </c>
      <c r="D9094" s="51">
        <v>2</v>
      </c>
      <c r="E9094" s="51">
        <f t="shared" si="142"/>
        <v>1</v>
      </c>
    </row>
    <row r="9095" spans="1:5">
      <c r="A9095" s="59">
        <v>18</v>
      </c>
      <c r="B9095" s="59">
        <v>62</v>
      </c>
      <c r="C9095" s="59">
        <v>230</v>
      </c>
      <c r="D9095" s="51">
        <v>2</v>
      </c>
      <c r="E9095" s="51">
        <f t="shared" si="142"/>
        <v>1</v>
      </c>
    </row>
    <row r="9096" spans="1:5">
      <c r="A9096" s="59">
        <v>18</v>
      </c>
      <c r="B9096" s="59">
        <v>62</v>
      </c>
      <c r="C9096" s="59">
        <v>240</v>
      </c>
      <c r="D9096" s="51">
        <v>2</v>
      </c>
      <c r="E9096" s="51">
        <f t="shared" si="142"/>
        <v>1</v>
      </c>
    </row>
    <row r="9097" spans="1:5">
      <c r="A9097" s="59">
        <v>18</v>
      </c>
      <c r="B9097" s="59">
        <v>62</v>
      </c>
      <c r="C9097" s="59">
        <v>893</v>
      </c>
      <c r="D9097" s="51">
        <v>2</v>
      </c>
      <c r="E9097" s="51">
        <f t="shared" si="142"/>
        <v>1</v>
      </c>
    </row>
    <row r="9098" spans="1:5">
      <c r="A9098" s="59">
        <v>18</v>
      </c>
      <c r="B9098" s="59">
        <v>62</v>
      </c>
      <c r="C9098" s="59">
        <v>950</v>
      </c>
      <c r="D9098" s="51">
        <v>2</v>
      </c>
      <c r="E9098" s="51">
        <f t="shared" si="142"/>
        <v>1</v>
      </c>
    </row>
    <row r="9099" spans="1:5">
      <c r="A9099" s="59">
        <v>18</v>
      </c>
      <c r="B9099" s="59">
        <v>64</v>
      </c>
      <c r="C9099" s="59">
        <v>892</v>
      </c>
      <c r="D9099" s="51">
        <v>2</v>
      </c>
      <c r="E9099" s="51">
        <f t="shared" si="142"/>
        <v>1</v>
      </c>
    </row>
    <row r="9100" spans="1:5">
      <c r="A9100" s="59">
        <v>18</v>
      </c>
      <c r="B9100" s="59">
        <v>71</v>
      </c>
      <c r="C9100" s="59">
        <v>860</v>
      </c>
      <c r="D9100" s="51">
        <v>2</v>
      </c>
      <c r="E9100" s="51">
        <f t="shared" si="142"/>
        <v>1</v>
      </c>
    </row>
    <row r="9101" spans="1:5">
      <c r="A9101" s="59">
        <v>18</v>
      </c>
      <c r="B9101" s="59">
        <v>81</v>
      </c>
      <c r="C9101" s="59">
        <v>520</v>
      </c>
      <c r="D9101" s="51">
        <v>2</v>
      </c>
      <c r="E9101" s="51">
        <f t="shared" si="142"/>
        <v>1</v>
      </c>
    </row>
    <row r="9102" spans="1:5">
      <c r="A9102" s="59">
        <v>18</v>
      </c>
      <c r="B9102" s="59">
        <v>81</v>
      </c>
      <c r="C9102" s="59">
        <v>831</v>
      </c>
      <c r="D9102" s="51">
        <v>2</v>
      </c>
      <c r="E9102" s="51">
        <f t="shared" si="142"/>
        <v>1</v>
      </c>
    </row>
    <row r="9103" spans="1:5">
      <c r="A9103" s="59">
        <v>18</v>
      </c>
      <c r="B9103" s="59">
        <v>81</v>
      </c>
      <c r="C9103" s="59">
        <v>893</v>
      </c>
      <c r="D9103" s="51">
        <v>2</v>
      </c>
      <c r="E9103" s="51">
        <f t="shared" si="142"/>
        <v>1</v>
      </c>
    </row>
    <row r="9104" spans="1:5">
      <c r="A9104" s="59">
        <v>18</v>
      </c>
      <c r="B9104" s="59">
        <v>81</v>
      </c>
      <c r="C9104" s="59">
        <v>960</v>
      </c>
      <c r="D9104" s="51">
        <v>2</v>
      </c>
      <c r="E9104" s="51">
        <f t="shared" si="142"/>
        <v>1</v>
      </c>
    </row>
    <row r="9105" spans="1:5">
      <c r="A9105" s="59">
        <v>18</v>
      </c>
      <c r="B9105" s="59">
        <v>11</v>
      </c>
      <c r="C9105" s="59">
        <v>610</v>
      </c>
      <c r="D9105" s="51">
        <v>1</v>
      </c>
      <c r="E9105" s="51">
        <f t="shared" si="142"/>
        <v>1</v>
      </c>
    </row>
    <row r="9106" spans="1:5">
      <c r="A9106" s="59">
        <v>18</v>
      </c>
      <c r="B9106" s="59">
        <v>12</v>
      </c>
      <c r="C9106" s="59">
        <v>150</v>
      </c>
      <c r="D9106" s="51">
        <v>1</v>
      </c>
      <c r="E9106" s="51">
        <f t="shared" si="142"/>
        <v>1</v>
      </c>
    </row>
    <row r="9107" spans="1:5">
      <c r="A9107" s="59">
        <v>18</v>
      </c>
      <c r="B9107" s="59">
        <v>12</v>
      </c>
      <c r="C9107" s="59">
        <v>160</v>
      </c>
      <c r="D9107" s="51">
        <v>1</v>
      </c>
      <c r="E9107" s="51">
        <f t="shared" si="142"/>
        <v>1</v>
      </c>
    </row>
    <row r="9108" spans="1:5">
      <c r="A9108" s="59">
        <v>18</v>
      </c>
      <c r="B9108" s="59">
        <v>13</v>
      </c>
      <c r="C9108" s="59">
        <v>540</v>
      </c>
      <c r="D9108" s="51">
        <v>1</v>
      </c>
      <c r="E9108" s="51">
        <f t="shared" si="142"/>
        <v>1</v>
      </c>
    </row>
    <row r="9109" spans="1:5">
      <c r="A9109" s="59">
        <v>18</v>
      </c>
      <c r="B9109" s="59">
        <v>13</v>
      </c>
      <c r="C9109" s="59">
        <v>550</v>
      </c>
      <c r="D9109" s="51">
        <v>1</v>
      </c>
      <c r="E9109" s="51">
        <f t="shared" si="142"/>
        <v>1</v>
      </c>
    </row>
    <row r="9110" spans="1:5">
      <c r="A9110" s="59">
        <v>18</v>
      </c>
      <c r="B9110" s="59">
        <v>14</v>
      </c>
      <c r="C9110" s="59">
        <v>640</v>
      </c>
      <c r="D9110" s="51">
        <v>1</v>
      </c>
      <c r="E9110" s="51">
        <f t="shared" si="142"/>
        <v>1</v>
      </c>
    </row>
    <row r="9111" spans="1:5">
      <c r="A9111" s="59">
        <v>18</v>
      </c>
      <c r="B9111" s="59">
        <v>14</v>
      </c>
      <c r="C9111" s="59">
        <v>860</v>
      </c>
      <c r="D9111" s="51">
        <v>1</v>
      </c>
      <c r="E9111" s="51">
        <f t="shared" si="142"/>
        <v>1</v>
      </c>
    </row>
    <row r="9112" spans="1:5">
      <c r="A9112" s="59">
        <v>18</v>
      </c>
      <c r="B9112" s="59">
        <v>14</v>
      </c>
      <c r="C9112" s="59">
        <v>890</v>
      </c>
      <c r="D9112" s="51">
        <v>1</v>
      </c>
      <c r="E9112" s="51">
        <f t="shared" si="142"/>
        <v>1</v>
      </c>
    </row>
    <row r="9113" spans="1:5">
      <c r="A9113" s="59">
        <v>18</v>
      </c>
      <c r="B9113" s="59">
        <v>14</v>
      </c>
      <c r="C9113" s="59">
        <v>970</v>
      </c>
      <c r="D9113" s="51">
        <v>1</v>
      </c>
      <c r="E9113" s="51">
        <f t="shared" si="142"/>
        <v>1</v>
      </c>
    </row>
    <row r="9114" spans="1:5">
      <c r="A9114" s="59">
        <v>18</v>
      </c>
      <c r="B9114" s="59">
        <v>15</v>
      </c>
      <c r="C9114" s="59">
        <v>420</v>
      </c>
      <c r="D9114" s="51">
        <v>1</v>
      </c>
      <c r="E9114" s="51">
        <f t="shared" si="142"/>
        <v>1</v>
      </c>
    </row>
    <row r="9115" spans="1:5">
      <c r="A9115" s="59">
        <v>18</v>
      </c>
      <c r="B9115" s="59">
        <v>15</v>
      </c>
      <c r="C9115" s="59">
        <v>430</v>
      </c>
      <c r="D9115" s="51">
        <v>1</v>
      </c>
      <c r="E9115" s="51">
        <f t="shared" si="142"/>
        <v>1</v>
      </c>
    </row>
    <row r="9116" spans="1:5">
      <c r="A9116" s="59">
        <v>18</v>
      </c>
      <c r="B9116" s="59">
        <v>15</v>
      </c>
      <c r="C9116" s="59">
        <v>520</v>
      </c>
      <c r="D9116" s="51">
        <v>1</v>
      </c>
      <c r="E9116" s="51">
        <f t="shared" si="142"/>
        <v>1</v>
      </c>
    </row>
    <row r="9117" spans="1:5">
      <c r="A9117" s="59">
        <v>18</v>
      </c>
      <c r="B9117" s="59">
        <v>15</v>
      </c>
      <c r="C9117" s="59">
        <v>620</v>
      </c>
      <c r="D9117" s="51">
        <v>1</v>
      </c>
      <c r="E9117" s="51">
        <f t="shared" si="142"/>
        <v>1</v>
      </c>
    </row>
    <row r="9118" spans="1:5">
      <c r="A9118" s="59">
        <v>18</v>
      </c>
      <c r="B9118" s="59">
        <v>15</v>
      </c>
      <c r="C9118" s="59">
        <v>750</v>
      </c>
      <c r="D9118" s="51">
        <v>1</v>
      </c>
      <c r="E9118" s="51">
        <f t="shared" si="142"/>
        <v>1</v>
      </c>
    </row>
    <row r="9119" spans="1:5">
      <c r="A9119" s="59">
        <v>18</v>
      </c>
      <c r="B9119" s="59">
        <v>15</v>
      </c>
      <c r="C9119" s="59">
        <v>940</v>
      </c>
      <c r="D9119" s="51">
        <v>1</v>
      </c>
      <c r="E9119" s="51">
        <f t="shared" si="142"/>
        <v>1</v>
      </c>
    </row>
    <row r="9120" spans="1:5">
      <c r="A9120" s="59">
        <v>18</v>
      </c>
      <c r="B9120" s="59">
        <v>15</v>
      </c>
      <c r="C9120" s="59">
        <v>960</v>
      </c>
      <c r="D9120" s="51">
        <v>1</v>
      </c>
      <c r="E9120" s="51">
        <f t="shared" si="142"/>
        <v>1</v>
      </c>
    </row>
    <row r="9121" spans="1:5">
      <c r="A9121" s="59">
        <v>18</v>
      </c>
      <c r="B9121" s="59">
        <v>16</v>
      </c>
      <c r="C9121" s="59">
        <v>520</v>
      </c>
      <c r="D9121" s="51">
        <v>1</v>
      </c>
      <c r="E9121" s="51">
        <f t="shared" si="142"/>
        <v>1</v>
      </c>
    </row>
    <row r="9122" spans="1:5">
      <c r="A9122" s="59">
        <v>18</v>
      </c>
      <c r="B9122" s="59">
        <v>16</v>
      </c>
      <c r="C9122" s="59">
        <v>720</v>
      </c>
      <c r="D9122" s="51">
        <v>1</v>
      </c>
      <c r="E9122" s="51">
        <f t="shared" si="142"/>
        <v>1</v>
      </c>
    </row>
    <row r="9123" spans="1:5">
      <c r="A9123" s="59">
        <v>18</v>
      </c>
      <c r="B9123" s="59">
        <v>16</v>
      </c>
      <c r="C9123" s="59">
        <v>960</v>
      </c>
      <c r="D9123" s="51">
        <v>1</v>
      </c>
      <c r="E9123" s="51">
        <f t="shared" si="142"/>
        <v>1</v>
      </c>
    </row>
    <row r="9124" spans="1:5">
      <c r="A9124" s="59">
        <v>18</v>
      </c>
      <c r="B9124" s="59">
        <v>21</v>
      </c>
      <c r="C9124" s="59">
        <v>110</v>
      </c>
      <c r="D9124" s="51">
        <v>1</v>
      </c>
      <c r="E9124" s="51">
        <f t="shared" si="142"/>
        <v>1</v>
      </c>
    </row>
    <row r="9125" spans="1:5">
      <c r="A9125" s="59">
        <v>18</v>
      </c>
      <c r="B9125" s="59">
        <v>21</v>
      </c>
      <c r="C9125" s="59">
        <v>920</v>
      </c>
      <c r="D9125" s="51">
        <v>1</v>
      </c>
      <c r="E9125" s="51">
        <f t="shared" si="142"/>
        <v>1</v>
      </c>
    </row>
    <row r="9126" spans="1:5">
      <c r="A9126" s="59">
        <v>18</v>
      </c>
      <c r="B9126" s="59">
        <v>22</v>
      </c>
      <c r="C9126" s="59">
        <v>130</v>
      </c>
      <c r="D9126" s="51">
        <v>1</v>
      </c>
      <c r="E9126" s="51">
        <f t="shared" si="142"/>
        <v>1</v>
      </c>
    </row>
    <row r="9127" spans="1:5">
      <c r="A9127" s="59">
        <v>18</v>
      </c>
      <c r="B9127" s="59">
        <v>22</v>
      </c>
      <c r="C9127" s="59">
        <v>420</v>
      </c>
      <c r="D9127" s="51">
        <v>1</v>
      </c>
      <c r="E9127" s="51">
        <f t="shared" si="142"/>
        <v>1</v>
      </c>
    </row>
    <row r="9128" spans="1:5">
      <c r="A9128" s="59">
        <v>18</v>
      </c>
      <c r="B9128" s="59">
        <v>22</v>
      </c>
      <c r="C9128" s="59">
        <v>430</v>
      </c>
      <c r="D9128" s="51">
        <v>1</v>
      </c>
      <c r="E9128" s="51">
        <f t="shared" si="142"/>
        <v>1</v>
      </c>
    </row>
    <row r="9129" spans="1:5">
      <c r="A9129" s="59">
        <v>18</v>
      </c>
      <c r="B9129" s="59">
        <v>22</v>
      </c>
      <c r="C9129" s="59">
        <v>530</v>
      </c>
      <c r="D9129" s="51">
        <v>1</v>
      </c>
      <c r="E9129" s="51">
        <f t="shared" si="142"/>
        <v>1</v>
      </c>
    </row>
    <row r="9130" spans="1:5">
      <c r="A9130" s="59">
        <v>18</v>
      </c>
      <c r="B9130" s="59">
        <v>22</v>
      </c>
      <c r="C9130" s="59">
        <v>620</v>
      </c>
      <c r="D9130" s="51">
        <v>1</v>
      </c>
      <c r="E9130" s="51">
        <f t="shared" si="142"/>
        <v>1</v>
      </c>
    </row>
    <row r="9131" spans="1:5">
      <c r="A9131" s="59">
        <v>18</v>
      </c>
      <c r="B9131" s="59">
        <v>23</v>
      </c>
      <c r="C9131" s="59">
        <v>310</v>
      </c>
      <c r="D9131" s="51">
        <v>1</v>
      </c>
      <c r="E9131" s="51">
        <f t="shared" si="142"/>
        <v>1</v>
      </c>
    </row>
    <row r="9132" spans="1:5">
      <c r="A9132" s="59">
        <v>18</v>
      </c>
      <c r="B9132" s="59">
        <v>23</v>
      </c>
      <c r="C9132" s="59">
        <v>430</v>
      </c>
      <c r="D9132" s="51">
        <v>1</v>
      </c>
      <c r="E9132" s="51">
        <f t="shared" si="142"/>
        <v>1</v>
      </c>
    </row>
    <row r="9133" spans="1:5">
      <c r="A9133" s="59">
        <v>18</v>
      </c>
      <c r="B9133" s="59">
        <v>24</v>
      </c>
      <c r="C9133" s="59">
        <v>610</v>
      </c>
      <c r="D9133" s="51">
        <v>1</v>
      </c>
      <c r="E9133" s="51">
        <f t="shared" si="142"/>
        <v>1</v>
      </c>
    </row>
    <row r="9134" spans="1:5">
      <c r="A9134" s="59">
        <v>18</v>
      </c>
      <c r="B9134" s="59">
        <v>31</v>
      </c>
      <c r="C9134" s="59">
        <v>420</v>
      </c>
      <c r="D9134" s="51">
        <v>1</v>
      </c>
      <c r="E9134" s="51">
        <f t="shared" si="142"/>
        <v>1</v>
      </c>
    </row>
    <row r="9135" spans="1:5">
      <c r="A9135" s="59">
        <v>18</v>
      </c>
      <c r="B9135" s="59">
        <v>32</v>
      </c>
      <c r="C9135" s="59">
        <v>220</v>
      </c>
      <c r="D9135" s="51">
        <v>1</v>
      </c>
      <c r="E9135" s="51">
        <f t="shared" si="142"/>
        <v>1</v>
      </c>
    </row>
    <row r="9136" spans="1:5">
      <c r="A9136" s="59">
        <v>18</v>
      </c>
      <c r="B9136" s="59">
        <v>32</v>
      </c>
      <c r="C9136" s="59">
        <v>750</v>
      </c>
      <c r="D9136" s="51">
        <v>1</v>
      </c>
      <c r="E9136" s="51">
        <f t="shared" si="142"/>
        <v>1</v>
      </c>
    </row>
    <row r="9137" spans="1:5">
      <c r="A9137" s="59">
        <v>18</v>
      </c>
      <c r="B9137" s="59">
        <v>33</v>
      </c>
      <c r="C9137" s="59">
        <v>310</v>
      </c>
      <c r="D9137" s="51">
        <v>1</v>
      </c>
      <c r="E9137" s="51">
        <f t="shared" si="142"/>
        <v>1</v>
      </c>
    </row>
    <row r="9138" spans="1:5">
      <c r="A9138" s="59">
        <v>18</v>
      </c>
      <c r="B9138" s="59">
        <v>33</v>
      </c>
      <c r="C9138" s="59">
        <v>990</v>
      </c>
      <c r="D9138" s="51">
        <v>1</v>
      </c>
      <c r="E9138" s="51">
        <f t="shared" si="142"/>
        <v>1</v>
      </c>
    </row>
    <row r="9139" spans="1:5">
      <c r="A9139" s="59">
        <v>18</v>
      </c>
      <c r="B9139" s="59">
        <v>41</v>
      </c>
      <c r="C9139" s="59">
        <v>210</v>
      </c>
      <c r="D9139" s="51">
        <v>1</v>
      </c>
      <c r="E9139" s="51">
        <f t="shared" si="142"/>
        <v>1</v>
      </c>
    </row>
    <row r="9140" spans="1:5">
      <c r="A9140" s="59">
        <v>18</v>
      </c>
      <c r="B9140" s="59">
        <v>41</v>
      </c>
      <c r="C9140" s="59">
        <v>220</v>
      </c>
      <c r="D9140" s="51">
        <v>1</v>
      </c>
      <c r="E9140" s="51">
        <f t="shared" si="142"/>
        <v>1</v>
      </c>
    </row>
    <row r="9141" spans="1:5">
      <c r="A9141" s="59">
        <v>18</v>
      </c>
      <c r="B9141" s="59">
        <v>41</v>
      </c>
      <c r="C9141" s="59">
        <v>240</v>
      </c>
      <c r="D9141" s="51">
        <v>1</v>
      </c>
      <c r="E9141" s="51">
        <f t="shared" si="142"/>
        <v>1</v>
      </c>
    </row>
    <row r="9142" spans="1:5">
      <c r="A9142" s="59">
        <v>18</v>
      </c>
      <c r="B9142" s="59">
        <v>41</v>
      </c>
      <c r="C9142" s="59">
        <v>840</v>
      </c>
      <c r="D9142" s="51">
        <v>1</v>
      </c>
      <c r="E9142" s="51">
        <f t="shared" si="142"/>
        <v>1</v>
      </c>
    </row>
    <row r="9143" spans="1:5">
      <c r="A9143" s="59">
        <v>18</v>
      </c>
      <c r="B9143" s="59">
        <v>41</v>
      </c>
      <c r="C9143" s="59">
        <v>960</v>
      </c>
      <c r="D9143" s="51">
        <v>1</v>
      </c>
      <c r="E9143" s="51">
        <f t="shared" si="142"/>
        <v>1</v>
      </c>
    </row>
    <row r="9144" spans="1:5">
      <c r="A9144" s="59">
        <v>18</v>
      </c>
      <c r="B9144" s="59">
        <v>41</v>
      </c>
      <c r="C9144" s="59">
        <v>970</v>
      </c>
      <c r="D9144" s="51">
        <v>1</v>
      </c>
      <c r="E9144" s="51">
        <f t="shared" si="142"/>
        <v>1</v>
      </c>
    </row>
    <row r="9145" spans="1:5">
      <c r="A9145" s="59">
        <v>18</v>
      </c>
      <c r="B9145" s="59">
        <v>42</v>
      </c>
      <c r="C9145" s="59">
        <v>120</v>
      </c>
      <c r="D9145" s="51">
        <v>1</v>
      </c>
      <c r="E9145" s="51">
        <f t="shared" si="142"/>
        <v>1</v>
      </c>
    </row>
    <row r="9146" spans="1:5">
      <c r="A9146" s="59">
        <v>18</v>
      </c>
      <c r="B9146" s="59">
        <v>42</v>
      </c>
      <c r="C9146" s="59">
        <v>230</v>
      </c>
      <c r="D9146" s="51">
        <v>1</v>
      </c>
      <c r="E9146" s="51">
        <f t="shared" si="142"/>
        <v>1</v>
      </c>
    </row>
    <row r="9147" spans="1:5">
      <c r="A9147" s="59">
        <v>18</v>
      </c>
      <c r="B9147" s="59">
        <v>42</v>
      </c>
      <c r="C9147" s="59">
        <v>330</v>
      </c>
      <c r="D9147" s="51">
        <v>1</v>
      </c>
      <c r="E9147" s="51">
        <f t="shared" si="142"/>
        <v>1</v>
      </c>
    </row>
    <row r="9148" spans="1:5">
      <c r="A9148" s="59">
        <v>18</v>
      </c>
      <c r="B9148" s="59">
        <v>42</v>
      </c>
      <c r="C9148" s="59">
        <v>710</v>
      </c>
      <c r="D9148" s="51">
        <v>1</v>
      </c>
      <c r="E9148" s="51">
        <f t="shared" si="142"/>
        <v>1</v>
      </c>
    </row>
    <row r="9149" spans="1:5">
      <c r="A9149" s="59">
        <v>18</v>
      </c>
      <c r="B9149" s="59">
        <v>42</v>
      </c>
      <c r="C9149" s="59">
        <v>730</v>
      </c>
      <c r="D9149" s="51">
        <v>1</v>
      </c>
      <c r="E9149" s="51">
        <f t="shared" si="142"/>
        <v>1</v>
      </c>
    </row>
    <row r="9150" spans="1:5">
      <c r="A9150" s="59">
        <v>18</v>
      </c>
      <c r="B9150" s="59">
        <v>42</v>
      </c>
      <c r="C9150" s="59">
        <v>750</v>
      </c>
      <c r="D9150" s="51">
        <v>1</v>
      </c>
      <c r="E9150" s="51">
        <f t="shared" si="142"/>
        <v>1</v>
      </c>
    </row>
    <row r="9151" spans="1:5">
      <c r="A9151" s="59">
        <v>18</v>
      </c>
      <c r="B9151" s="59">
        <v>42</v>
      </c>
      <c r="C9151" s="59">
        <v>960</v>
      </c>
      <c r="D9151" s="51">
        <v>1</v>
      </c>
      <c r="E9151" s="51">
        <f t="shared" si="142"/>
        <v>1</v>
      </c>
    </row>
    <row r="9152" spans="1:5">
      <c r="A9152" s="59">
        <v>18</v>
      </c>
      <c r="B9152" s="59">
        <v>43</v>
      </c>
      <c r="C9152" s="59">
        <v>130</v>
      </c>
      <c r="D9152" s="51">
        <v>1</v>
      </c>
      <c r="E9152" s="51">
        <f t="shared" si="142"/>
        <v>1</v>
      </c>
    </row>
    <row r="9153" spans="1:5">
      <c r="A9153" s="59">
        <v>18</v>
      </c>
      <c r="B9153" s="59">
        <v>43</v>
      </c>
      <c r="C9153" s="59">
        <v>740</v>
      </c>
      <c r="D9153" s="51">
        <v>1</v>
      </c>
      <c r="E9153" s="51">
        <f t="shared" si="142"/>
        <v>1</v>
      </c>
    </row>
    <row r="9154" spans="1:5">
      <c r="A9154" s="59">
        <v>18</v>
      </c>
      <c r="B9154" s="59">
        <v>43</v>
      </c>
      <c r="C9154" s="59">
        <v>881</v>
      </c>
      <c r="D9154" s="51">
        <v>1</v>
      </c>
      <c r="E9154" s="51">
        <f t="shared" ref="E9154:E9217" si="143">IF(OR(A9154=6,A9154=7,A9154=14,A9154=15,A9154=16,A9154=17,A9154=18,A9154=19,A9154=20,A9154=21,A9154=22,A9154=23,A9154=25,A9154=26,A9154=27,A9154=28,B9154=41,B9154=44,B9154=62),1,0)</f>
        <v>1</v>
      </c>
    </row>
    <row r="9155" spans="1:5">
      <c r="A9155" s="59">
        <v>18</v>
      </c>
      <c r="B9155" s="59">
        <v>43</v>
      </c>
      <c r="C9155" s="59">
        <v>891</v>
      </c>
      <c r="D9155" s="51">
        <v>1</v>
      </c>
      <c r="E9155" s="51">
        <f t="shared" si="143"/>
        <v>1</v>
      </c>
    </row>
    <row r="9156" spans="1:5">
      <c r="A9156" s="59">
        <v>18</v>
      </c>
      <c r="B9156" s="59">
        <v>44</v>
      </c>
      <c r="C9156" s="59">
        <v>310</v>
      </c>
      <c r="D9156" s="51">
        <v>1</v>
      </c>
      <c r="E9156" s="51">
        <f t="shared" si="143"/>
        <v>1</v>
      </c>
    </row>
    <row r="9157" spans="1:5">
      <c r="A9157" s="59">
        <v>18</v>
      </c>
      <c r="B9157" s="59">
        <v>44</v>
      </c>
      <c r="C9157" s="59">
        <v>740</v>
      </c>
      <c r="D9157" s="51">
        <v>1</v>
      </c>
      <c r="E9157" s="51">
        <f t="shared" si="143"/>
        <v>1</v>
      </c>
    </row>
    <row r="9158" spans="1:5">
      <c r="A9158" s="59">
        <v>18</v>
      </c>
      <c r="B9158" s="59">
        <v>44</v>
      </c>
      <c r="C9158" s="59">
        <v>890</v>
      </c>
      <c r="D9158" s="51">
        <v>1</v>
      </c>
      <c r="E9158" s="51">
        <f t="shared" si="143"/>
        <v>1</v>
      </c>
    </row>
    <row r="9159" spans="1:5">
      <c r="A9159" s="59">
        <v>18</v>
      </c>
      <c r="B9159" s="59">
        <v>51</v>
      </c>
      <c r="C9159" s="59">
        <v>420</v>
      </c>
      <c r="D9159" s="51">
        <v>1</v>
      </c>
      <c r="E9159" s="51">
        <f t="shared" si="143"/>
        <v>1</v>
      </c>
    </row>
    <row r="9160" spans="1:5">
      <c r="A9160" s="59">
        <v>18</v>
      </c>
      <c r="B9160" s="59">
        <v>51</v>
      </c>
      <c r="C9160" s="59">
        <v>720</v>
      </c>
      <c r="D9160" s="51">
        <v>1</v>
      </c>
      <c r="E9160" s="51">
        <f t="shared" si="143"/>
        <v>1</v>
      </c>
    </row>
    <row r="9161" spans="1:5">
      <c r="A9161" s="59">
        <v>18</v>
      </c>
      <c r="B9161" s="59">
        <v>61</v>
      </c>
      <c r="C9161" s="59">
        <v>530</v>
      </c>
      <c r="D9161" s="51">
        <v>1</v>
      </c>
      <c r="E9161" s="51">
        <f t="shared" si="143"/>
        <v>1</v>
      </c>
    </row>
    <row r="9162" spans="1:5">
      <c r="A9162" s="59">
        <v>18</v>
      </c>
      <c r="B9162" s="59">
        <v>63</v>
      </c>
      <c r="C9162" s="59">
        <v>310</v>
      </c>
      <c r="D9162" s="51">
        <v>1</v>
      </c>
      <c r="E9162" s="51">
        <f t="shared" si="143"/>
        <v>1</v>
      </c>
    </row>
    <row r="9163" spans="1:5">
      <c r="A9163" s="59">
        <v>18</v>
      </c>
      <c r="B9163" s="59">
        <v>63</v>
      </c>
      <c r="C9163" s="59">
        <v>740</v>
      </c>
      <c r="D9163" s="51">
        <v>1</v>
      </c>
      <c r="E9163" s="51">
        <f t="shared" si="143"/>
        <v>1</v>
      </c>
    </row>
    <row r="9164" spans="1:5">
      <c r="A9164" s="59">
        <v>18</v>
      </c>
      <c r="B9164" s="59">
        <v>63</v>
      </c>
      <c r="C9164" s="59">
        <v>893</v>
      </c>
      <c r="D9164" s="51">
        <v>1</v>
      </c>
      <c r="E9164" s="51">
        <f t="shared" si="143"/>
        <v>1</v>
      </c>
    </row>
    <row r="9165" spans="1:5">
      <c r="A9165" s="59">
        <v>18</v>
      </c>
      <c r="B9165" s="59">
        <v>64</v>
      </c>
      <c r="C9165" s="59">
        <v>850</v>
      </c>
      <c r="D9165" s="51">
        <v>1</v>
      </c>
      <c r="E9165" s="51">
        <f t="shared" si="143"/>
        <v>1</v>
      </c>
    </row>
    <row r="9166" spans="1:5">
      <c r="A9166" s="59">
        <v>18</v>
      </c>
      <c r="B9166" s="59">
        <v>64</v>
      </c>
      <c r="C9166" s="59">
        <v>862</v>
      </c>
      <c r="D9166" s="51">
        <v>1</v>
      </c>
      <c r="E9166" s="51">
        <f t="shared" si="143"/>
        <v>1</v>
      </c>
    </row>
    <row r="9167" spans="1:5">
      <c r="A9167" s="59">
        <v>18</v>
      </c>
      <c r="B9167" s="59">
        <v>64</v>
      </c>
      <c r="C9167" s="59">
        <v>890</v>
      </c>
      <c r="D9167" s="51">
        <v>1</v>
      </c>
      <c r="E9167" s="51">
        <f t="shared" si="143"/>
        <v>1</v>
      </c>
    </row>
    <row r="9168" spans="1:5">
      <c r="A9168" s="59">
        <v>18</v>
      </c>
      <c r="B9168" s="59">
        <v>71</v>
      </c>
      <c r="C9168" s="59">
        <v>230</v>
      </c>
      <c r="D9168" s="51">
        <v>1</v>
      </c>
      <c r="E9168" s="51">
        <f t="shared" si="143"/>
        <v>1</v>
      </c>
    </row>
    <row r="9169" spans="1:5">
      <c r="A9169" s="59">
        <v>18</v>
      </c>
      <c r="B9169" s="59">
        <v>81</v>
      </c>
      <c r="C9169" s="59">
        <v>220</v>
      </c>
      <c r="D9169" s="51">
        <v>1</v>
      </c>
      <c r="E9169" s="51">
        <f t="shared" si="143"/>
        <v>1</v>
      </c>
    </row>
    <row r="9170" spans="1:5">
      <c r="A9170" s="59">
        <v>18</v>
      </c>
      <c r="B9170" s="59">
        <v>81</v>
      </c>
      <c r="C9170" s="59">
        <v>230</v>
      </c>
      <c r="D9170" s="51">
        <v>1</v>
      </c>
      <c r="E9170" s="51">
        <f t="shared" si="143"/>
        <v>1</v>
      </c>
    </row>
    <row r="9171" spans="1:5">
      <c r="A9171" s="59">
        <v>18</v>
      </c>
      <c r="B9171" s="59">
        <v>81</v>
      </c>
      <c r="C9171" s="59">
        <v>440</v>
      </c>
      <c r="D9171" s="51">
        <v>1</v>
      </c>
      <c r="E9171" s="51">
        <f t="shared" si="143"/>
        <v>1</v>
      </c>
    </row>
    <row r="9172" spans="1:5">
      <c r="A9172" s="59">
        <v>18</v>
      </c>
      <c r="B9172" s="59">
        <v>81</v>
      </c>
      <c r="C9172" s="59">
        <v>860</v>
      </c>
      <c r="D9172" s="51">
        <v>1</v>
      </c>
      <c r="E9172" s="51">
        <f t="shared" si="143"/>
        <v>1</v>
      </c>
    </row>
    <row r="9173" spans="1:5">
      <c r="A9173" s="59">
        <v>19</v>
      </c>
      <c r="B9173" s="59">
        <v>71</v>
      </c>
      <c r="C9173" s="59">
        <v>920</v>
      </c>
      <c r="D9173" s="51">
        <v>54267</v>
      </c>
      <c r="E9173" s="51">
        <f t="shared" si="143"/>
        <v>1</v>
      </c>
    </row>
    <row r="9174" spans="1:5">
      <c r="A9174" s="59">
        <v>19</v>
      </c>
      <c r="B9174" s="59">
        <v>81</v>
      </c>
      <c r="C9174" s="59">
        <v>920</v>
      </c>
      <c r="D9174" s="51">
        <v>34491</v>
      </c>
      <c r="E9174" s="51">
        <f t="shared" si="143"/>
        <v>1</v>
      </c>
    </row>
    <row r="9175" spans="1:5">
      <c r="A9175" s="59">
        <v>19</v>
      </c>
      <c r="B9175" s="59">
        <v>62</v>
      </c>
      <c r="C9175" s="59">
        <v>920</v>
      </c>
      <c r="D9175" s="51">
        <v>29170</v>
      </c>
      <c r="E9175" s="51">
        <f t="shared" si="143"/>
        <v>1</v>
      </c>
    </row>
    <row r="9176" spans="1:5">
      <c r="A9176" s="59">
        <v>19</v>
      </c>
      <c r="B9176" s="59">
        <v>63</v>
      </c>
      <c r="C9176" s="59">
        <v>920</v>
      </c>
      <c r="D9176" s="51">
        <v>15223</v>
      </c>
      <c r="E9176" s="51">
        <f t="shared" si="143"/>
        <v>1</v>
      </c>
    </row>
    <row r="9177" spans="1:5">
      <c r="A9177" s="59">
        <v>19</v>
      </c>
      <c r="B9177" s="59">
        <v>43</v>
      </c>
      <c r="C9177" s="59">
        <v>920</v>
      </c>
      <c r="D9177" s="51">
        <v>13423</v>
      </c>
      <c r="E9177" s="51">
        <f t="shared" si="143"/>
        <v>1</v>
      </c>
    </row>
    <row r="9178" spans="1:5">
      <c r="A9178" s="59">
        <v>19</v>
      </c>
      <c r="B9178" s="59">
        <v>64</v>
      </c>
      <c r="C9178" s="59">
        <v>920</v>
      </c>
      <c r="D9178" s="51">
        <v>12849</v>
      </c>
      <c r="E9178" s="51">
        <f t="shared" si="143"/>
        <v>1</v>
      </c>
    </row>
    <row r="9179" spans="1:5">
      <c r="A9179" s="59">
        <v>19</v>
      </c>
      <c r="B9179" s="59">
        <v>71</v>
      </c>
      <c r="C9179" s="59">
        <v>610</v>
      </c>
      <c r="D9179" s="51">
        <v>5390</v>
      </c>
      <c r="E9179" s="51">
        <f t="shared" si="143"/>
        <v>1</v>
      </c>
    </row>
    <row r="9180" spans="1:5">
      <c r="A9180" s="59">
        <v>19</v>
      </c>
      <c r="B9180" s="59">
        <v>44</v>
      </c>
      <c r="C9180" s="59">
        <v>920</v>
      </c>
      <c r="D9180" s="51">
        <v>5313</v>
      </c>
      <c r="E9180" s="51">
        <f t="shared" si="143"/>
        <v>1</v>
      </c>
    </row>
    <row r="9181" spans="1:5">
      <c r="A9181" s="59">
        <v>19</v>
      </c>
      <c r="B9181" s="59">
        <v>41</v>
      </c>
      <c r="C9181" s="59">
        <v>920</v>
      </c>
      <c r="D9181" s="51">
        <v>2733</v>
      </c>
      <c r="E9181" s="51">
        <f t="shared" si="143"/>
        <v>1</v>
      </c>
    </row>
    <row r="9182" spans="1:5">
      <c r="A9182" s="59">
        <v>19</v>
      </c>
      <c r="B9182" s="59">
        <v>71</v>
      </c>
      <c r="C9182" s="59">
        <v>910</v>
      </c>
      <c r="D9182" s="51">
        <v>2690</v>
      </c>
      <c r="E9182" s="51">
        <f t="shared" si="143"/>
        <v>1</v>
      </c>
    </row>
    <row r="9183" spans="1:5">
      <c r="A9183" s="59">
        <v>19</v>
      </c>
      <c r="B9183" s="59">
        <v>71</v>
      </c>
      <c r="C9183" s="59">
        <v>510</v>
      </c>
      <c r="D9183" s="51">
        <v>2468</v>
      </c>
      <c r="E9183" s="51">
        <f t="shared" si="143"/>
        <v>1</v>
      </c>
    </row>
    <row r="9184" spans="1:5">
      <c r="A9184" s="59">
        <v>19</v>
      </c>
      <c r="B9184" s="59">
        <v>64</v>
      </c>
      <c r="C9184" s="59">
        <v>510</v>
      </c>
      <c r="D9184" s="51">
        <v>2377</v>
      </c>
      <c r="E9184" s="51">
        <f t="shared" si="143"/>
        <v>1</v>
      </c>
    </row>
    <row r="9185" spans="1:5">
      <c r="A9185" s="59">
        <v>19</v>
      </c>
      <c r="B9185" s="59">
        <v>64</v>
      </c>
      <c r="C9185" s="59">
        <v>610</v>
      </c>
      <c r="D9185" s="51">
        <v>2363</v>
      </c>
      <c r="E9185" s="51">
        <f t="shared" si="143"/>
        <v>1</v>
      </c>
    </row>
    <row r="9186" spans="1:5">
      <c r="A9186" s="59">
        <v>19</v>
      </c>
      <c r="B9186" s="59">
        <v>63</v>
      </c>
      <c r="C9186" s="59">
        <v>610</v>
      </c>
      <c r="D9186" s="51">
        <v>1743</v>
      </c>
      <c r="E9186" s="51">
        <f t="shared" si="143"/>
        <v>1</v>
      </c>
    </row>
    <row r="9187" spans="1:5">
      <c r="A9187" s="59">
        <v>19</v>
      </c>
      <c r="B9187" s="59">
        <v>64</v>
      </c>
      <c r="C9187" s="59">
        <v>910</v>
      </c>
      <c r="D9187" s="51">
        <v>1611</v>
      </c>
      <c r="E9187" s="51">
        <f t="shared" si="143"/>
        <v>1</v>
      </c>
    </row>
    <row r="9188" spans="1:5">
      <c r="A9188" s="59">
        <v>19</v>
      </c>
      <c r="B9188" s="59">
        <v>42</v>
      </c>
      <c r="C9188" s="59">
        <v>920</v>
      </c>
      <c r="D9188" s="51">
        <v>1594</v>
      </c>
      <c r="E9188" s="51">
        <f t="shared" si="143"/>
        <v>1</v>
      </c>
    </row>
    <row r="9189" spans="1:5">
      <c r="A9189" s="59">
        <v>19</v>
      </c>
      <c r="B9189" s="59">
        <v>62</v>
      </c>
      <c r="C9189" s="59">
        <v>510</v>
      </c>
      <c r="D9189" s="51">
        <v>1454</v>
      </c>
      <c r="E9189" s="51">
        <f t="shared" si="143"/>
        <v>1</v>
      </c>
    </row>
    <row r="9190" spans="1:5">
      <c r="A9190" s="59">
        <v>19</v>
      </c>
      <c r="B9190" s="59">
        <v>63</v>
      </c>
      <c r="C9190" s="59">
        <v>510</v>
      </c>
      <c r="D9190" s="51">
        <v>1298</v>
      </c>
      <c r="E9190" s="51">
        <f t="shared" si="143"/>
        <v>1</v>
      </c>
    </row>
    <row r="9191" spans="1:5">
      <c r="A9191" s="59">
        <v>19</v>
      </c>
      <c r="B9191" s="59">
        <v>62</v>
      </c>
      <c r="C9191" s="59">
        <v>910</v>
      </c>
      <c r="D9191" s="51">
        <v>1276</v>
      </c>
      <c r="E9191" s="51">
        <f t="shared" si="143"/>
        <v>1</v>
      </c>
    </row>
    <row r="9192" spans="1:5">
      <c r="A9192" s="59">
        <v>19</v>
      </c>
      <c r="B9192" s="59">
        <v>43</v>
      </c>
      <c r="C9192" s="59">
        <v>610</v>
      </c>
      <c r="D9192" s="51">
        <v>1200</v>
      </c>
      <c r="E9192" s="51">
        <f t="shared" si="143"/>
        <v>1</v>
      </c>
    </row>
    <row r="9193" spans="1:5">
      <c r="A9193" s="59">
        <v>19</v>
      </c>
      <c r="B9193" s="59">
        <v>62</v>
      </c>
      <c r="C9193" s="59">
        <v>720</v>
      </c>
      <c r="D9193" s="51">
        <v>1117</v>
      </c>
      <c r="E9193" s="51">
        <f t="shared" si="143"/>
        <v>1</v>
      </c>
    </row>
    <row r="9194" spans="1:5">
      <c r="A9194" s="59">
        <v>19</v>
      </c>
      <c r="B9194" s="59">
        <v>43</v>
      </c>
      <c r="C9194" s="59">
        <v>510</v>
      </c>
      <c r="D9194" s="51">
        <v>1080</v>
      </c>
      <c r="E9194" s="51">
        <f t="shared" si="143"/>
        <v>1</v>
      </c>
    </row>
    <row r="9195" spans="1:5">
      <c r="A9195" s="59">
        <v>19</v>
      </c>
      <c r="B9195" s="59">
        <v>43</v>
      </c>
      <c r="C9195" s="59">
        <v>910</v>
      </c>
      <c r="D9195" s="51">
        <v>1025</v>
      </c>
      <c r="E9195" s="51">
        <f t="shared" si="143"/>
        <v>1</v>
      </c>
    </row>
    <row r="9196" spans="1:5">
      <c r="A9196" s="59">
        <v>19</v>
      </c>
      <c r="B9196" s="59">
        <v>63</v>
      </c>
      <c r="C9196" s="59">
        <v>910</v>
      </c>
      <c r="D9196" s="51">
        <v>918</v>
      </c>
      <c r="E9196" s="51">
        <f t="shared" si="143"/>
        <v>1</v>
      </c>
    </row>
    <row r="9197" spans="1:5">
      <c r="A9197" s="59">
        <v>19</v>
      </c>
      <c r="B9197" s="59">
        <v>62</v>
      </c>
      <c r="C9197" s="59">
        <v>610</v>
      </c>
      <c r="D9197" s="51">
        <v>875</v>
      </c>
      <c r="E9197" s="51">
        <f t="shared" si="143"/>
        <v>1</v>
      </c>
    </row>
    <row r="9198" spans="1:5">
      <c r="A9198" s="59">
        <v>19</v>
      </c>
      <c r="B9198" s="59">
        <v>64</v>
      </c>
      <c r="C9198" s="59">
        <v>530</v>
      </c>
      <c r="D9198" s="51">
        <v>845</v>
      </c>
      <c r="E9198" s="51">
        <f t="shared" si="143"/>
        <v>1</v>
      </c>
    </row>
    <row r="9199" spans="1:5">
      <c r="A9199" s="59">
        <v>19</v>
      </c>
      <c r="B9199" s="59">
        <v>44</v>
      </c>
      <c r="C9199" s="59">
        <v>510</v>
      </c>
      <c r="D9199" s="51">
        <v>722</v>
      </c>
      <c r="E9199" s="51">
        <f t="shared" si="143"/>
        <v>1</v>
      </c>
    </row>
    <row r="9200" spans="1:5">
      <c r="A9200" s="59">
        <v>19</v>
      </c>
      <c r="B9200" s="59">
        <v>64</v>
      </c>
      <c r="C9200" s="59">
        <v>620</v>
      </c>
      <c r="D9200" s="51">
        <v>714</v>
      </c>
      <c r="E9200" s="51">
        <f t="shared" si="143"/>
        <v>1</v>
      </c>
    </row>
    <row r="9201" spans="1:5">
      <c r="A9201" s="59">
        <v>19</v>
      </c>
      <c r="B9201" s="59">
        <v>71</v>
      </c>
      <c r="C9201" s="59">
        <v>620</v>
      </c>
      <c r="D9201" s="51">
        <v>702</v>
      </c>
      <c r="E9201" s="51">
        <f t="shared" si="143"/>
        <v>1</v>
      </c>
    </row>
    <row r="9202" spans="1:5">
      <c r="A9202" s="59">
        <v>19</v>
      </c>
      <c r="B9202" s="59">
        <v>44</v>
      </c>
      <c r="C9202" s="59">
        <v>910</v>
      </c>
      <c r="D9202" s="51">
        <v>641</v>
      </c>
      <c r="E9202" s="51">
        <f t="shared" si="143"/>
        <v>1</v>
      </c>
    </row>
    <row r="9203" spans="1:5">
      <c r="A9203" s="59">
        <v>19</v>
      </c>
      <c r="B9203" s="59">
        <v>44</v>
      </c>
      <c r="C9203" s="59">
        <v>610</v>
      </c>
      <c r="D9203" s="51">
        <v>639</v>
      </c>
      <c r="E9203" s="51">
        <f t="shared" si="143"/>
        <v>1</v>
      </c>
    </row>
    <row r="9204" spans="1:5">
      <c r="A9204" s="59">
        <v>19</v>
      </c>
      <c r="B9204" s="59">
        <v>62</v>
      </c>
      <c r="C9204" s="59">
        <v>730</v>
      </c>
      <c r="D9204" s="51">
        <v>628</v>
      </c>
      <c r="E9204" s="51">
        <f t="shared" si="143"/>
        <v>1</v>
      </c>
    </row>
    <row r="9205" spans="1:5">
      <c r="A9205" s="59">
        <v>19</v>
      </c>
      <c r="B9205" s="59">
        <v>32</v>
      </c>
      <c r="C9205" s="59">
        <v>920</v>
      </c>
      <c r="D9205" s="51">
        <v>569</v>
      </c>
      <c r="E9205" s="51">
        <f t="shared" si="143"/>
        <v>1</v>
      </c>
    </row>
    <row r="9206" spans="1:5">
      <c r="A9206" s="59">
        <v>19</v>
      </c>
      <c r="B9206" s="59">
        <v>71</v>
      </c>
      <c r="C9206" s="59">
        <v>530</v>
      </c>
      <c r="D9206" s="51">
        <v>569</v>
      </c>
      <c r="E9206" s="51">
        <f t="shared" si="143"/>
        <v>1</v>
      </c>
    </row>
    <row r="9207" spans="1:5">
      <c r="A9207" s="59">
        <v>19</v>
      </c>
      <c r="B9207" s="59">
        <v>81</v>
      </c>
      <c r="C9207" s="59">
        <v>720</v>
      </c>
      <c r="D9207" s="51">
        <v>555</v>
      </c>
      <c r="E9207" s="51">
        <f t="shared" si="143"/>
        <v>1</v>
      </c>
    </row>
    <row r="9208" spans="1:5">
      <c r="A9208" s="59">
        <v>19</v>
      </c>
      <c r="B9208" s="59">
        <v>81</v>
      </c>
      <c r="C9208" s="59">
        <v>910</v>
      </c>
      <c r="D9208" s="51">
        <v>541</v>
      </c>
      <c r="E9208" s="51">
        <f t="shared" si="143"/>
        <v>1</v>
      </c>
    </row>
    <row r="9209" spans="1:5">
      <c r="A9209" s="59">
        <v>19</v>
      </c>
      <c r="B9209" s="59">
        <v>43</v>
      </c>
      <c r="C9209" s="59">
        <v>530</v>
      </c>
      <c r="D9209" s="51">
        <v>505</v>
      </c>
      <c r="E9209" s="51">
        <f t="shared" si="143"/>
        <v>1</v>
      </c>
    </row>
    <row r="9210" spans="1:5">
      <c r="A9210" s="59">
        <v>19</v>
      </c>
      <c r="B9210" s="59">
        <v>81</v>
      </c>
      <c r="C9210" s="59">
        <v>510</v>
      </c>
      <c r="D9210" s="51">
        <v>497</v>
      </c>
      <c r="E9210" s="51">
        <f t="shared" si="143"/>
        <v>1</v>
      </c>
    </row>
    <row r="9211" spans="1:5">
      <c r="A9211" s="59">
        <v>19</v>
      </c>
      <c r="B9211" s="59">
        <v>43</v>
      </c>
      <c r="C9211" s="59">
        <v>930</v>
      </c>
      <c r="D9211" s="51">
        <v>482</v>
      </c>
      <c r="E9211" s="51">
        <f t="shared" si="143"/>
        <v>1</v>
      </c>
    </row>
    <row r="9212" spans="1:5">
      <c r="A9212" s="59">
        <v>19</v>
      </c>
      <c r="B9212" s="59">
        <v>64</v>
      </c>
      <c r="C9212" s="59">
        <v>110</v>
      </c>
      <c r="D9212" s="51">
        <v>481</v>
      </c>
      <c r="E9212" s="51">
        <f t="shared" si="143"/>
        <v>1</v>
      </c>
    </row>
    <row r="9213" spans="1:5">
      <c r="A9213" s="59">
        <v>19</v>
      </c>
      <c r="B9213" s="59">
        <v>71</v>
      </c>
      <c r="C9213" s="59">
        <v>720</v>
      </c>
      <c r="D9213" s="51">
        <v>449</v>
      </c>
      <c r="E9213" s="51">
        <f t="shared" si="143"/>
        <v>1</v>
      </c>
    </row>
    <row r="9214" spans="1:5">
      <c r="A9214" s="59">
        <v>19</v>
      </c>
      <c r="B9214" s="59">
        <v>81</v>
      </c>
      <c r="C9214" s="59">
        <v>610</v>
      </c>
      <c r="D9214" s="51">
        <v>440</v>
      </c>
      <c r="E9214" s="51">
        <f t="shared" si="143"/>
        <v>1</v>
      </c>
    </row>
    <row r="9215" spans="1:5">
      <c r="A9215" s="59">
        <v>19</v>
      </c>
      <c r="B9215" s="59">
        <v>13</v>
      </c>
      <c r="C9215" s="59">
        <v>920</v>
      </c>
      <c r="D9215" s="51">
        <v>421</v>
      </c>
      <c r="E9215" s="51">
        <f t="shared" si="143"/>
        <v>1</v>
      </c>
    </row>
    <row r="9216" spans="1:5">
      <c r="A9216" s="59">
        <v>19</v>
      </c>
      <c r="B9216" s="59">
        <v>63</v>
      </c>
      <c r="C9216" s="59">
        <v>620</v>
      </c>
      <c r="D9216" s="51">
        <v>392</v>
      </c>
      <c r="E9216" s="51">
        <f t="shared" si="143"/>
        <v>1</v>
      </c>
    </row>
    <row r="9217" spans="1:5">
      <c r="A9217" s="59">
        <v>19</v>
      </c>
      <c r="B9217" s="59">
        <v>14</v>
      </c>
      <c r="C9217" s="59">
        <v>920</v>
      </c>
      <c r="D9217" s="51">
        <v>370</v>
      </c>
      <c r="E9217" s="51">
        <f t="shared" si="143"/>
        <v>1</v>
      </c>
    </row>
    <row r="9218" spans="1:5">
      <c r="A9218" s="59">
        <v>19</v>
      </c>
      <c r="B9218" s="59">
        <v>62</v>
      </c>
      <c r="C9218" s="59">
        <v>530</v>
      </c>
      <c r="D9218" s="51">
        <v>356</v>
      </c>
      <c r="E9218" s="51">
        <f t="shared" ref="E9218:E9281" si="144">IF(OR(A9218=6,A9218=7,A9218=14,A9218=15,A9218=16,A9218=17,A9218=18,A9218=19,A9218=20,A9218=21,A9218=22,A9218=23,A9218=25,A9218=26,A9218=27,A9218=28,B9218=41,B9218=44,B9218=62),1,0)</f>
        <v>1</v>
      </c>
    </row>
    <row r="9219" spans="1:5">
      <c r="A9219" s="59">
        <v>19</v>
      </c>
      <c r="B9219" s="59">
        <v>64</v>
      </c>
      <c r="C9219" s="59">
        <v>150</v>
      </c>
      <c r="D9219" s="51">
        <v>351</v>
      </c>
      <c r="E9219" s="51">
        <f t="shared" si="144"/>
        <v>1</v>
      </c>
    </row>
    <row r="9220" spans="1:5">
      <c r="A9220" s="59">
        <v>19</v>
      </c>
      <c r="B9220" s="59">
        <v>64</v>
      </c>
      <c r="C9220" s="59">
        <v>720</v>
      </c>
      <c r="D9220" s="51">
        <v>346</v>
      </c>
      <c r="E9220" s="51">
        <f t="shared" si="144"/>
        <v>1</v>
      </c>
    </row>
    <row r="9221" spans="1:5">
      <c r="A9221" s="59">
        <v>19</v>
      </c>
      <c r="B9221" s="59">
        <v>64</v>
      </c>
      <c r="C9221" s="59">
        <v>160</v>
      </c>
      <c r="D9221" s="51">
        <v>340</v>
      </c>
      <c r="E9221" s="51">
        <f t="shared" si="144"/>
        <v>1</v>
      </c>
    </row>
    <row r="9222" spans="1:5">
      <c r="A9222" s="59">
        <v>19</v>
      </c>
      <c r="B9222" s="59">
        <v>63</v>
      </c>
      <c r="C9222" s="59">
        <v>530</v>
      </c>
      <c r="D9222" s="51">
        <v>326</v>
      </c>
      <c r="E9222" s="51">
        <f t="shared" si="144"/>
        <v>1</v>
      </c>
    </row>
    <row r="9223" spans="1:5">
      <c r="A9223" s="59">
        <v>19</v>
      </c>
      <c r="B9223" s="59">
        <v>43</v>
      </c>
      <c r="C9223" s="59">
        <v>620</v>
      </c>
      <c r="D9223" s="51">
        <v>324</v>
      </c>
      <c r="E9223" s="51">
        <f t="shared" si="144"/>
        <v>1</v>
      </c>
    </row>
    <row r="9224" spans="1:5">
      <c r="A9224" s="59">
        <v>19</v>
      </c>
      <c r="B9224" s="59">
        <v>42</v>
      </c>
      <c r="C9224" s="59">
        <v>610</v>
      </c>
      <c r="D9224" s="51">
        <v>282</v>
      </c>
      <c r="E9224" s="51">
        <f t="shared" si="144"/>
        <v>1</v>
      </c>
    </row>
    <row r="9225" spans="1:5">
      <c r="A9225" s="59">
        <v>19</v>
      </c>
      <c r="B9225" s="59">
        <v>63</v>
      </c>
      <c r="C9225" s="59">
        <v>720</v>
      </c>
      <c r="D9225" s="51">
        <v>279</v>
      </c>
      <c r="E9225" s="51">
        <f t="shared" si="144"/>
        <v>1</v>
      </c>
    </row>
    <row r="9226" spans="1:5">
      <c r="A9226" s="59">
        <v>19</v>
      </c>
      <c r="B9226" s="59">
        <v>13</v>
      </c>
      <c r="C9226" s="59">
        <v>910</v>
      </c>
      <c r="D9226" s="51">
        <v>254</v>
      </c>
      <c r="E9226" s="51">
        <f t="shared" si="144"/>
        <v>1</v>
      </c>
    </row>
    <row r="9227" spans="1:5">
      <c r="A9227" s="59">
        <v>19</v>
      </c>
      <c r="B9227" s="59">
        <v>13</v>
      </c>
      <c r="C9227" s="59">
        <v>150</v>
      </c>
      <c r="D9227" s="51">
        <v>248</v>
      </c>
      <c r="E9227" s="51">
        <f t="shared" si="144"/>
        <v>1</v>
      </c>
    </row>
    <row r="9228" spans="1:5">
      <c r="A9228" s="59">
        <v>19</v>
      </c>
      <c r="B9228" s="59">
        <v>44</v>
      </c>
      <c r="C9228" s="59">
        <v>530</v>
      </c>
      <c r="D9228" s="51">
        <v>246</v>
      </c>
      <c r="E9228" s="51">
        <f t="shared" si="144"/>
        <v>1</v>
      </c>
    </row>
    <row r="9229" spans="1:5">
      <c r="A9229" s="59">
        <v>19</v>
      </c>
      <c r="B9229" s="59">
        <v>71</v>
      </c>
      <c r="C9229" s="59">
        <v>520</v>
      </c>
      <c r="D9229" s="51">
        <v>228</v>
      </c>
      <c r="E9229" s="51">
        <f t="shared" si="144"/>
        <v>1</v>
      </c>
    </row>
    <row r="9230" spans="1:5">
      <c r="A9230" s="59">
        <v>19</v>
      </c>
      <c r="B9230" s="59">
        <v>14</v>
      </c>
      <c r="C9230" s="59">
        <v>910</v>
      </c>
      <c r="D9230" s="51">
        <v>219</v>
      </c>
      <c r="E9230" s="51">
        <f t="shared" si="144"/>
        <v>1</v>
      </c>
    </row>
    <row r="9231" spans="1:5">
      <c r="A9231" s="59">
        <v>19</v>
      </c>
      <c r="B9231" s="59">
        <v>14</v>
      </c>
      <c r="C9231" s="59">
        <v>150</v>
      </c>
      <c r="D9231" s="51">
        <v>204</v>
      </c>
      <c r="E9231" s="51">
        <f t="shared" si="144"/>
        <v>1</v>
      </c>
    </row>
    <row r="9232" spans="1:5">
      <c r="A9232" s="59">
        <v>19</v>
      </c>
      <c r="B9232" s="59">
        <v>64</v>
      </c>
      <c r="C9232" s="59">
        <v>730</v>
      </c>
      <c r="D9232" s="51">
        <v>193</v>
      </c>
      <c r="E9232" s="51">
        <f t="shared" si="144"/>
        <v>1</v>
      </c>
    </row>
    <row r="9233" spans="1:5">
      <c r="A9233" s="59">
        <v>19</v>
      </c>
      <c r="B9233" s="59">
        <v>81</v>
      </c>
      <c r="C9233" s="59">
        <v>730</v>
      </c>
      <c r="D9233" s="51">
        <v>174</v>
      </c>
      <c r="E9233" s="51">
        <f t="shared" si="144"/>
        <v>1</v>
      </c>
    </row>
    <row r="9234" spans="1:5">
      <c r="A9234" s="59">
        <v>19</v>
      </c>
      <c r="B9234" s="59">
        <v>42</v>
      </c>
      <c r="C9234" s="59">
        <v>910</v>
      </c>
      <c r="D9234" s="51">
        <v>168</v>
      </c>
      <c r="E9234" s="51">
        <f t="shared" si="144"/>
        <v>1</v>
      </c>
    </row>
    <row r="9235" spans="1:5">
      <c r="A9235" s="59">
        <v>19</v>
      </c>
      <c r="B9235" s="59">
        <v>43</v>
      </c>
      <c r="C9235" s="59">
        <v>720</v>
      </c>
      <c r="D9235" s="51">
        <v>163</v>
      </c>
      <c r="E9235" s="51">
        <f t="shared" si="144"/>
        <v>1</v>
      </c>
    </row>
    <row r="9236" spans="1:5">
      <c r="A9236" s="59">
        <v>19</v>
      </c>
      <c r="B9236" s="59">
        <v>71</v>
      </c>
      <c r="C9236" s="59">
        <v>730</v>
      </c>
      <c r="D9236" s="51">
        <v>159</v>
      </c>
      <c r="E9236" s="51">
        <f t="shared" si="144"/>
        <v>1</v>
      </c>
    </row>
    <row r="9237" spans="1:5">
      <c r="A9237" s="59">
        <v>19</v>
      </c>
      <c r="B9237" s="59">
        <v>62</v>
      </c>
      <c r="C9237" s="59">
        <v>620</v>
      </c>
      <c r="D9237" s="51">
        <v>157</v>
      </c>
      <c r="E9237" s="51">
        <f t="shared" si="144"/>
        <v>1</v>
      </c>
    </row>
    <row r="9238" spans="1:5">
      <c r="A9238" s="59">
        <v>19</v>
      </c>
      <c r="B9238" s="59">
        <v>64</v>
      </c>
      <c r="C9238" s="59">
        <v>520</v>
      </c>
      <c r="D9238" s="51">
        <v>156</v>
      </c>
      <c r="E9238" s="51">
        <f t="shared" si="144"/>
        <v>1</v>
      </c>
    </row>
    <row r="9239" spans="1:5">
      <c r="A9239" s="59">
        <v>19</v>
      </c>
      <c r="B9239" s="59">
        <v>42</v>
      </c>
      <c r="C9239" s="59">
        <v>530</v>
      </c>
      <c r="D9239" s="51">
        <v>152</v>
      </c>
      <c r="E9239" s="51">
        <f t="shared" si="144"/>
        <v>1</v>
      </c>
    </row>
    <row r="9240" spans="1:5">
      <c r="A9240" s="59">
        <v>19</v>
      </c>
      <c r="B9240" s="59">
        <v>41</v>
      </c>
      <c r="C9240" s="59">
        <v>910</v>
      </c>
      <c r="D9240" s="51">
        <v>147</v>
      </c>
      <c r="E9240" s="51">
        <f t="shared" si="144"/>
        <v>1</v>
      </c>
    </row>
    <row r="9241" spans="1:5">
      <c r="A9241" s="59">
        <v>19</v>
      </c>
      <c r="B9241" s="59">
        <v>71</v>
      </c>
      <c r="C9241" s="59">
        <v>840</v>
      </c>
      <c r="D9241" s="51">
        <v>145</v>
      </c>
      <c r="E9241" s="51">
        <f t="shared" si="144"/>
        <v>1</v>
      </c>
    </row>
    <row r="9242" spans="1:5">
      <c r="A9242" s="59">
        <v>19</v>
      </c>
      <c r="B9242" s="59">
        <v>43</v>
      </c>
      <c r="C9242" s="59">
        <v>160</v>
      </c>
      <c r="D9242" s="51">
        <v>142</v>
      </c>
      <c r="E9242" s="51">
        <f t="shared" si="144"/>
        <v>1</v>
      </c>
    </row>
    <row r="9243" spans="1:5">
      <c r="A9243" s="59">
        <v>19</v>
      </c>
      <c r="B9243" s="59">
        <v>63</v>
      </c>
      <c r="C9243" s="59">
        <v>730</v>
      </c>
      <c r="D9243" s="51">
        <v>137</v>
      </c>
      <c r="E9243" s="51">
        <f t="shared" si="144"/>
        <v>1</v>
      </c>
    </row>
    <row r="9244" spans="1:5">
      <c r="A9244" s="59">
        <v>19</v>
      </c>
      <c r="B9244" s="59">
        <v>71</v>
      </c>
      <c r="C9244" s="59">
        <v>110</v>
      </c>
      <c r="D9244" s="51">
        <v>129</v>
      </c>
      <c r="E9244" s="51">
        <f t="shared" si="144"/>
        <v>1</v>
      </c>
    </row>
    <row r="9245" spans="1:5">
      <c r="A9245" s="59">
        <v>19</v>
      </c>
      <c r="B9245" s="59">
        <v>81</v>
      </c>
      <c r="C9245" s="59">
        <v>530</v>
      </c>
      <c r="D9245" s="51">
        <v>120</v>
      </c>
      <c r="E9245" s="51">
        <f t="shared" si="144"/>
        <v>1</v>
      </c>
    </row>
    <row r="9246" spans="1:5">
      <c r="A9246" s="59">
        <v>19</v>
      </c>
      <c r="B9246" s="59">
        <v>44</v>
      </c>
      <c r="C9246" s="59">
        <v>840</v>
      </c>
      <c r="D9246" s="51">
        <v>116</v>
      </c>
      <c r="E9246" s="51">
        <f t="shared" si="144"/>
        <v>1</v>
      </c>
    </row>
    <row r="9247" spans="1:5">
      <c r="A9247" s="59">
        <v>19</v>
      </c>
      <c r="B9247" s="59">
        <v>13</v>
      </c>
      <c r="C9247" s="59">
        <v>510</v>
      </c>
      <c r="D9247" s="51">
        <v>115</v>
      </c>
      <c r="E9247" s="51">
        <f t="shared" si="144"/>
        <v>1</v>
      </c>
    </row>
    <row r="9248" spans="1:5">
      <c r="A9248" s="59">
        <v>19</v>
      </c>
      <c r="B9248" s="59">
        <v>62</v>
      </c>
      <c r="C9248" s="59">
        <v>750</v>
      </c>
      <c r="D9248" s="51">
        <v>115</v>
      </c>
      <c r="E9248" s="51">
        <f t="shared" si="144"/>
        <v>1</v>
      </c>
    </row>
    <row r="9249" spans="1:5">
      <c r="A9249" s="59">
        <v>19</v>
      </c>
      <c r="B9249" s="59">
        <v>33</v>
      </c>
      <c r="C9249" s="59">
        <v>920</v>
      </c>
      <c r="D9249" s="51">
        <v>114</v>
      </c>
      <c r="E9249" s="51">
        <f t="shared" si="144"/>
        <v>1</v>
      </c>
    </row>
    <row r="9250" spans="1:5">
      <c r="A9250" s="59">
        <v>19</v>
      </c>
      <c r="B9250" s="59">
        <v>32</v>
      </c>
      <c r="C9250" s="59">
        <v>420</v>
      </c>
      <c r="D9250" s="51">
        <v>113</v>
      </c>
      <c r="E9250" s="51">
        <f t="shared" si="144"/>
        <v>1</v>
      </c>
    </row>
    <row r="9251" spans="1:5">
      <c r="A9251" s="59">
        <v>19</v>
      </c>
      <c r="B9251" s="59">
        <v>42</v>
      </c>
      <c r="C9251" s="59">
        <v>510</v>
      </c>
      <c r="D9251" s="51">
        <v>113</v>
      </c>
      <c r="E9251" s="51">
        <f t="shared" si="144"/>
        <v>1</v>
      </c>
    </row>
    <row r="9252" spans="1:5">
      <c r="A9252" s="59">
        <v>19</v>
      </c>
      <c r="B9252" s="59">
        <v>64</v>
      </c>
      <c r="C9252" s="59">
        <v>230</v>
      </c>
      <c r="D9252" s="51">
        <v>111</v>
      </c>
      <c r="E9252" s="51">
        <f t="shared" si="144"/>
        <v>1</v>
      </c>
    </row>
    <row r="9253" spans="1:5">
      <c r="A9253" s="59">
        <v>19</v>
      </c>
      <c r="B9253" s="59">
        <v>41</v>
      </c>
      <c r="C9253" s="59">
        <v>510</v>
      </c>
      <c r="D9253" s="51">
        <v>110</v>
      </c>
      <c r="E9253" s="51">
        <f t="shared" si="144"/>
        <v>1</v>
      </c>
    </row>
    <row r="9254" spans="1:5">
      <c r="A9254" s="59">
        <v>19</v>
      </c>
      <c r="B9254" s="59">
        <v>64</v>
      </c>
      <c r="C9254" s="59">
        <v>750</v>
      </c>
      <c r="D9254" s="51">
        <v>108</v>
      </c>
      <c r="E9254" s="51">
        <f t="shared" si="144"/>
        <v>1</v>
      </c>
    </row>
    <row r="9255" spans="1:5">
      <c r="A9255" s="59">
        <v>19</v>
      </c>
      <c r="B9255" s="59">
        <v>64</v>
      </c>
      <c r="C9255" s="59">
        <v>831</v>
      </c>
      <c r="D9255" s="51">
        <v>102</v>
      </c>
      <c r="E9255" s="51">
        <f t="shared" si="144"/>
        <v>1</v>
      </c>
    </row>
    <row r="9256" spans="1:5">
      <c r="A9256" s="59">
        <v>19</v>
      </c>
      <c r="B9256" s="59">
        <v>63</v>
      </c>
      <c r="C9256" s="59">
        <v>831</v>
      </c>
      <c r="D9256" s="51">
        <v>101</v>
      </c>
      <c r="E9256" s="51">
        <f t="shared" si="144"/>
        <v>1</v>
      </c>
    </row>
    <row r="9257" spans="1:5">
      <c r="A9257" s="59">
        <v>19</v>
      </c>
      <c r="B9257" s="59">
        <v>44</v>
      </c>
      <c r="C9257" s="59">
        <v>930</v>
      </c>
      <c r="D9257" s="51">
        <v>100</v>
      </c>
      <c r="E9257" s="51">
        <f t="shared" si="144"/>
        <v>1</v>
      </c>
    </row>
    <row r="9258" spans="1:5">
      <c r="A9258" s="59">
        <v>19</v>
      </c>
      <c r="B9258" s="59">
        <v>71</v>
      </c>
      <c r="C9258" s="59">
        <v>160</v>
      </c>
      <c r="D9258" s="51">
        <v>99</v>
      </c>
      <c r="E9258" s="51">
        <f t="shared" si="144"/>
        <v>1</v>
      </c>
    </row>
    <row r="9259" spans="1:5">
      <c r="A9259" s="59">
        <v>19</v>
      </c>
      <c r="B9259" s="59">
        <v>43</v>
      </c>
      <c r="C9259" s="59">
        <v>150</v>
      </c>
      <c r="D9259" s="51">
        <v>96</v>
      </c>
      <c r="E9259" s="51">
        <f t="shared" si="144"/>
        <v>1</v>
      </c>
    </row>
    <row r="9260" spans="1:5">
      <c r="A9260" s="59">
        <v>19</v>
      </c>
      <c r="B9260" s="59">
        <v>63</v>
      </c>
      <c r="C9260" s="59">
        <v>830</v>
      </c>
      <c r="D9260" s="51">
        <v>93</v>
      </c>
      <c r="E9260" s="51">
        <f t="shared" si="144"/>
        <v>1</v>
      </c>
    </row>
    <row r="9261" spans="1:5">
      <c r="A9261" s="59">
        <v>19</v>
      </c>
      <c r="B9261" s="59">
        <v>64</v>
      </c>
      <c r="C9261" s="59">
        <v>830</v>
      </c>
      <c r="D9261" s="51">
        <v>89</v>
      </c>
      <c r="E9261" s="51">
        <f t="shared" si="144"/>
        <v>1</v>
      </c>
    </row>
    <row r="9262" spans="1:5">
      <c r="A9262" s="59">
        <v>19</v>
      </c>
      <c r="B9262" s="59">
        <v>44</v>
      </c>
      <c r="C9262" s="59">
        <v>620</v>
      </c>
      <c r="D9262" s="51">
        <v>88</v>
      </c>
      <c r="E9262" s="51">
        <f t="shared" si="144"/>
        <v>1</v>
      </c>
    </row>
    <row r="9263" spans="1:5">
      <c r="A9263" s="59">
        <v>19</v>
      </c>
      <c r="B9263" s="59">
        <v>43</v>
      </c>
      <c r="C9263" s="59">
        <v>520</v>
      </c>
      <c r="D9263" s="51">
        <v>86</v>
      </c>
      <c r="E9263" s="51">
        <f t="shared" si="144"/>
        <v>1</v>
      </c>
    </row>
    <row r="9264" spans="1:5">
      <c r="A9264" s="59">
        <v>19</v>
      </c>
      <c r="B9264" s="59">
        <v>14</v>
      </c>
      <c r="C9264" s="59">
        <v>510</v>
      </c>
      <c r="D9264" s="51">
        <v>85</v>
      </c>
      <c r="E9264" s="51">
        <f t="shared" si="144"/>
        <v>1</v>
      </c>
    </row>
    <row r="9265" spans="1:5">
      <c r="A9265" s="59">
        <v>19</v>
      </c>
      <c r="B9265" s="59">
        <v>64</v>
      </c>
      <c r="C9265" s="59">
        <v>861</v>
      </c>
      <c r="D9265" s="51">
        <v>84</v>
      </c>
      <c r="E9265" s="51">
        <f t="shared" si="144"/>
        <v>1</v>
      </c>
    </row>
    <row r="9266" spans="1:5">
      <c r="A9266" s="59">
        <v>19</v>
      </c>
      <c r="B9266" s="59">
        <v>41</v>
      </c>
      <c r="C9266" s="59">
        <v>610</v>
      </c>
      <c r="D9266" s="51">
        <v>83</v>
      </c>
      <c r="E9266" s="51">
        <f t="shared" si="144"/>
        <v>1</v>
      </c>
    </row>
    <row r="9267" spans="1:5">
      <c r="A9267" s="59">
        <v>19</v>
      </c>
      <c r="B9267" s="59">
        <v>71</v>
      </c>
      <c r="C9267" s="59">
        <v>750</v>
      </c>
      <c r="D9267" s="51">
        <v>80</v>
      </c>
      <c r="E9267" s="51">
        <f t="shared" si="144"/>
        <v>1</v>
      </c>
    </row>
    <row r="9268" spans="1:5">
      <c r="A9268" s="59">
        <v>19</v>
      </c>
      <c r="B9268" s="59">
        <v>63</v>
      </c>
      <c r="C9268" s="59">
        <v>750</v>
      </c>
      <c r="D9268" s="51">
        <v>79</v>
      </c>
      <c r="E9268" s="51">
        <f t="shared" si="144"/>
        <v>1</v>
      </c>
    </row>
    <row r="9269" spans="1:5">
      <c r="A9269" s="59">
        <v>19</v>
      </c>
      <c r="B9269" s="59">
        <v>64</v>
      </c>
      <c r="C9269" s="59">
        <v>990</v>
      </c>
      <c r="D9269" s="51">
        <v>77</v>
      </c>
      <c r="E9269" s="51">
        <f t="shared" si="144"/>
        <v>1</v>
      </c>
    </row>
    <row r="9270" spans="1:5">
      <c r="A9270" s="59">
        <v>19</v>
      </c>
      <c r="B9270" s="59">
        <v>13</v>
      </c>
      <c r="C9270" s="59">
        <v>610</v>
      </c>
      <c r="D9270" s="51">
        <v>76</v>
      </c>
      <c r="E9270" s="51">
        <f t="shared" si="144"/>
        <v>1</v>
      </c>
    </row>
    <row r="9271" spans="1:5">
      <c r="A9271" s="59">
        <v>19</v>
      </c>
      <c r="B9271" s="59">
        <v>43</v>
      </c>
      <c r="C9271" s="59">
        <v>110</v>
      </c>
      <c r="D9271" s="51">
        <v>76</v>
      </c>
      <c r="E9271" s="51">
        <f t="shared" si="144"/>
        <v>1</v>
      </c>
    </row>
    <row r="9272" spans="1:5">
      <c r="A9272" s="59">
        <v>19</v>
      </c>
      <c r="B9272" s="59">
        <v>44</v>
      </c>
      <c r="C9272" s="59">
        <v>720</v>
      </c>
      <c r="D9272" s="51">
        <v>74</v>
      </c>
      <c r="E9272" s="51">
        <f t="shared" si="144"/>
        <v>1</v>
      </c>
    </row>
    <row r="9273" spans="1:5">
      <c r="A9273" s="59">
        <v>19</v>
      </c>
      <c r="B9273" s="59">
        <v>63</v>
      </c>
      <c r="C9273" s="59">
        <v>990</v>
      </c>
      <c r="D9273" s="51">
        <v>74</v>
      </c>
      <c r="E9273" s="51">
        <f t="shared" si="144"/>
        <v>1</v>
      </c>
    </row>
    <row r="9274" spans="1:5">
      <c r="A9274" s="59">
        <v>19</v>
      </c>
      <c r="B9274" s="59">
        <v>63</v>
      </c>
      <c r="C9274" s="59">
        <v>520</v>
      </c>
      <c r="D9274" s="51">
        <v>73</v>
      </c>
      <c r="E9274" s="51">
        <f t="shared" si="144"/>
        <v>1</v>
      </c>
    </row>
    <row r="9275" spans="1:5">
      <c r="A9275" s="59">
        <v>19</v>
      </c>
      <c r="B9275" s="59">
        <v>43</v>
      </c>
      <c r="C9275" s="59">
        <v>730</v>
      </c>
      <c r="D9275" s="51">
        <v>71</v>
      </c>
      <c r="E9275" s="51">
        <f t="shared" si="144"/>
        <v>1</v>
      </c>
    </row>
    <row r="9276" spans="1:5">
      <c r="A9276" s="59">
        <v>19</v>
      </c>
      <c r="B9276" s="59">
        <v>13</v>
      </c>
      <c r="C9276" s="59">
        <v>160</v>
      </c>
      <c r="D9276" s="51">
        <v>69</v>
      </c>
      <c r="E9276" s="51">
        <f t="shared" si="144"/>
        <v>1</v>
      </c>
    </row>
    <row r="9277" spans="1:5">
      <c r="A9277" s="59">
        <v>19</v>
      </c>
      <c r="B9277" s="59">
        <v>42</v>
      </c>
      <c r="C9277" s="59">
        <v>620</v>
      </c>
      <c r="D9277" s="51">
        <v>68</v>
      </c>
      <c r="E9277" s="51">
        <f t="shared" si="144"/>
        <v>1</v>
      </c>
    </row>
    <row r="9278" spans="1:5">
      <c r="A9278" s="59">
        <v>19</v>
      </c>
      <c r="B9278" s="59">
        <v>51</v>
      </c>
      <c r="C9278" s="59">
        <v>920</v>
      </c>
      <c r="D9278" s="51">
        <v>68</v>
      </c>
      <c r="E9278" s="51">
        <f t="shared" si="144"/>
        <v>1</v>
      </c>
    </row>
    <row r="9279" spans="1:5">
      <c r="A9279" s="59">
        <v>19</v>
      </c>
      <c r="B9279" s="59">
        <v>64</v>
      </c>
      <c r="C9279" s="59">
        <v>210</v>
      </c>
      <c r="D9279" s="51">
        <v>68</v>
      </c>
      <c r="E9279" s="51">
        <f t="shared" si="144"/>
        <v>1</v>
      </c>
    </row>
    <row r="9280" spans="1:5">
      <c r="A9280" s="59">
        <v>19</v>
      </c>
      <c r="B9280" s="59">
        <v>71</v>
      </c>
      <c r="C9280" s="59">
        <v>930</v>
      </c>
      <c r="D9280" s="51">
        <v>68</v>
      </c>
      <c r="E9280" s="51">
        <f t="shared" si="144"/>
        <v>1</v>
      </c>
    </row>
    <row r="9281" spans="1:5">
      <c r="A9281" s="59">
        <v>19</v>
      </c>
      <c r="B9281" s="59">
        <v>64</v>
      </c>
      <c r="C9281" s="59">
        <v>430</v>
      </c>
      <c r="D9281" s="51">
        <v>66</v>
      </c>
      <c r="E9281" s="51">
        <f t="shared" si="144"/>
        <v>1</v>
      </c>
    </row>
    <row r="9282" spans="1:5">
      <c r="A9282" s="59">
        <v>19</v>
      </c>
      <c r="B9282" s="59">
        <v>71</v>
      </c>
      <c r="C9282" s="59">
        <v>990</v>
      </c>
      <c r="D9282" s="51">
        <v>64</v>
      </c>
      <c r="E9282" s="51">
        <f t="shared" ref="E9282:E9345" si="145">IF(OR(A9282=6,A9282=7,A9282=14,A9282=15,A9282=16,A9282=17,A9282=18,A9282=19,A9282=20,A9282=21,A9282=22,A9282=23,A9282=25,A9282=26,A9282=27,A9282=28,B9282=41,B9282=44,B9282=62),1,0)</f>
        <v>1</v>
      </c>
    </row>
    <row r="9283" spans="1:5">
      <c r="A9283" s="59">
        <v>19</v>
      </c>
      <c r="B9283" s="59">
        <v>43</v>
      </c>
      <c r="C9283" s="59">
        <v>940</v>
      </c>
      <c r="D9283" s="51">
        <v>62</v>
      </c>
      <c r="E9283" s="51">
        <f t="shared" si="145"/>
        <v>1</v>
      </c>
    </row>
    <row r="9284" spans="1:5">
      <c r="A9284" s="59">
        <v>19</v>
      </c>
      <c r="B9284" s="59">
        <v>62</v>
      </c>
      <c r="C9284" s="59">
        <v>160</v>
      </c>
      <c r="D9284" s="51">
        <v>61</v>
      </c>
      <c r="E9284" s="51">
        <f t="shared" si="145"/>
        <v>1</v>
      </c>
    </row>
    <row r="9285" spans="1:5">
      <c r="A9285" s="59">
        <v>19</v>
      </c>
      <c r="B9285" s="59">
        <v>64</v>
      </c>
      <c r="C9285" s="59">
        <v>410</v>
      </c>
      <c r="D9285" s="51">
        <v>60</v>
      </c>
      <c r="E9285" s="51">
        <f t="shared" si="145"/>
        <v>1</v>
      </c>
    </row>
    <row r="9286" spans="1:5">
      <c r="A9286" s="59">
        <v>19</v>
      </c>
      <c r="B9286" s="59">
        <v>13</v>
      </c>
      <c r="C9286" s="59">
        <v>110</v>
      </c>
      <c r="D9286" s="51">
        <v>58</v>
      </c>
      <c r="E9286" s="51">
        <f t="shared" si="145"/>
        <v>1</v>
      </c>
    </row>
    <row r="9287" spans="1:5">
      <c r="A9287" s="59">
        <v>19</v>
      </c>
      <c r="B9287" s="59">
        <v>44</v>
      </c>
      <c r="C9287" s="59">
        <v>990</v>
      </c>
      <c r="D9287" s="51">
        <v>57</v>
      </c>
      <c r="E9287" s="51">
        <f t="shared" si="145"/>
        <v>1</v>
      </c>
    </row>
    <row r="9288" spans="1:5">
      <c r="A9288" s="59">
        <v>19</v>
      </c>
      <c r="B9288" s="59">
        <v>63</v>
      </c>
      <c r="C9288" s="59">
        <v>110</v>
      </c>
      <c r="D9288" s="51">
        <v>57</v>
      </c>
      <c r="E9288" s="51">
        <f t="shared" si="145"/>
        <v>1</v>
      </c>
    </row>
    <row r="9289" spans="1:5">
      <c r="A9289" s="59">
        <v>19</v>
      </c>
      <c r="B9289" s="59">
        <v>81</v>
      </c>
      <c r="C9289" s="59">
        <v>831</v>
      </c>
      <c r="D9289" s="51">
        <v>57</v>
      </c>
      <c r="E9289" s="51">
        <f t="shared" si="145"/>
        <v>1</v>
      </c>
    </row>
    <row r="9290" spans="1:5">
      <c r="A9290" s="59">
        <v>19</v>
      </c>
      <c r="B9290" s="59">
        <v>14</v>
      </c>
      <c r="C9290" s="59">
        <v>160</v>
      </c>
      <c r="D9290" s="51">
        <v>55</v>
      </c>
      <c r="E9290" s="51">
        <f t="shared" si="145"/>
        <v>1</v>
      </c>
    </row>
    <row r="9291" spans="1:5">
      <c r="A9291" s="59">
        <v>19</v>
      </c>
      <c r="B9291" s="59">
        <v>64</v>
      </c>
      <c r="C9291" s="59">
        <v>930</v>
      </c>
      <c r="D9291" s="51">
        <v>55</v>
      </c>
      <c r="E9291" s="51">
        <f t="shared" si="145"/>
        <v>1</v>
      </c>
    </row>
    <row r="9292" spans="1:5">
      <c r="A9292" s="59">
        <v>19</v>
      </c>
      <c r="B9292" s="59">
        <v>62</v>
      </c>
      <c r="C9292" s="59">
        <v>110</v>
      </c>
      <c r="D9292" s="51">
        <v>53</v>
      </c>
      <c r="E9292" s="51">
        <f t="shared" si="145"/>
        <v>1</v>
      </c>
    </row>
    <row r="9293" spans="1:5">
      <c r="A9293" s="59">
        <v>19</v>
      </c>
      <c r="B9293" s="59">
        <v>63</v>
      </c>
      <c r="C9293" s="59">
        <v>440</v>
      </c>
      <c r="D9293" s="51">
        <v>53</v>
      </c>
      <c r="E9293" s="51">
        <f t="shared" si="145"/>
        <v>1</v>
      </c>
    </row>
    <row r="9294" spans="1:5">
      <c r="A9294" s="59">
        <v>19</v>
      </c>
      <c r="B9294" s="59">
        <v>81</v>
      </c>
      <c r="C9294" s="59">
        <v>930</v>
      </c>
      <c r="D9294" s="51">
        <v>53</v>
      </c>
      <c r="E9294" s="51">
        <f t="shared" si="145"/>
        <v>1</v>
      </c>
    </row>
    <row r="9295" spans="1:5">
      <c r="A9295" s="59">
        <v>19</v>
      </c>
      <c r="B9295" s="59">
        <v>42</v>
      </c>
      <c r="C9295" s="59">
        <v>150</v>
      </c>
      <c r="D9295" s="51">
        <v>51</v>
      </c>
      <c r="E9295" s="51">
        <f t="shared" si="145"/>
        <v>1</v>
      </c>
    </row>
    <row r="9296" spans="1:5">
      <c r="A9296" s="59">
        <v>19</v>
      </c>
      <c r="B9296" s="59">
        <v>43</v>
      </c>
      <c r="C9296" s="59">
        <v>990</v>
      </c>
      <c r="D9296" s="51">
        <v>51</v>
      </c>
      <c r="E9296" s="51">
        <f t="shared" si="145"/>
        <v>1</v>
      </c>
    </row>
    <row r="9297" spans="1:5">
      <c r="A9297" s="59">
        <v>19</v>
      </c>
      <c r="B9297" s="59">
        <v>32</v>
      </c>
      <c r="C9297" s="59">
        <v>910</v>
      </c>
      <c r="D9297" s="51">
        <v>50</v>
      </c>
      <c r="E9297" s="51">
        <f t="shared" si="145"/>
        <v>1</v>
      </c>
    </row>
    <row r="9298" spans="1:5">
      <c r="A9298" s="59">
        <v>19</v>
      </c>
      <c r="B9298" s="59">
        <v>43</v>
      </c>
      <c r="C9298" s="59">
        <v>861</v>
      </c>
      <c r="D9298" s="51">
        <v>50</v>
      </c>
      <c r="E9298" s="51">
        <f t="shared" si="145"/>
        <v>1</v>
      </c>
    </row>
    <row r="9299" spans="1:5">
      <c r="A9299" s="59">
        <v>19</v>
      </c>
      <c r="B9299" s="59">
        <v>14</v>
      </c>
      <c r="C9299" s="59">
        <v>610</v>
      </c>
      <c r="D9299" s="51">
        <v>49</v>
      </c>
      <c r="E9299" s="51">
        <f t="shared" si="145"/>
        <v>1</v>
      </c>
    </row>
    <row r="9300" spans="1:5">
      <c r="A9300" s="59">
        <v>19</v>
      </c>
      <c r="B9300" s="59">
        <v>63</v>
      </c>
      <c r="C9300" s="59">
        <v>160</v>
      </c>
      <c r="D9300" s="51">
        <v>49</v>
      </c>
      <c r="E9300" s="51">
        <f t="shared" si="145"/>
        <v>1</v>
      </c>
    </row>
    <row r="9301" spans="1:5">
      <c r="A9301" s="59">
        <v>19</v>
      </c>
      <c r="B9301" s="59">
        <v>62</v>
      </c>
      <c r="C9301" s="59">
        <v>520</v>
      </c>
      <c r="D9301" s="51">
        <v>47</v>
      </c>
      <c r="E9301" s="51">
        <f t="shared" si="145"/>
        <v>1</v>
      </c>
    </row>
    <row r="9302" spans="1:5">
      <c r="A9302" s="59">
        <v>19</v>
      </c>
      <c r="B9302" s="59">
        <v>62</v>
      </c>
      <c r="C9302" s="59">
        <v>990</v>
      </c>
      <c r="D9302" s="51">
        <v>46</v>
      </c>
      <c r="E9302" s="51">
        <f t="shared" si="145"/>
        <v>1</v>
      </c>
    </row>
    <row r="9303" spans="1:5">
      <c r="A9303" s="59">
        <v>19</v>
      </c>
      <c r="B9303" s="59">
        <v>14</v>
      </c>
      <c r="C9303" s="59">
        <v>110</v>
      </c>
      <c r="D9303" s="51">
        <v>44</v>
      </c>
      <c r="E9303" s="51">
        <f t="shared" si="145"/>
        <v>1</v>
      </c>
    </row>
    <row r="9304" spans="1:5">
      <c r="A9304" s="59">
        <v>19</v>
      </c>
      <c r="B9304" s="59">
        <v>14</v>
      </c>
      <c r="C9304" s="59">
        <v>620</v>
      </c>
      <c r="D9304" s="51">
        <v>44</v>
      </c>
      <c r="E9304" s="51">
        <f t="shared" si="145"/>
        <v>1</v>
      </c>
    </row>
    <row r="9305" spans="1:5">
      <c r="A9305" s="59">
        <v>19</v>
      </c>
      <c r="B9305" s="59">
        <v>33</v>
      </c>
      <c r="C9305" s="59">
        <v>910</v>
      </c>
      <c r="D9305" s="51">
        <v>44</v>
      </c>
      <c r="E9305" s="51">
        <f t="shared" si="145"/>
        <v>1</v>
      </c>
    </row>
    <row r="9306" spans="1:5">
      <c r="A9306" s="59">
        <v>19</v>
      </c>
      <c r="B9306" s="59">
        <v>41</v>
      </c>
      <c r="C9306" s="59">
        <v>530</v>
      </c>
      <c r="D9306" s="51">
        <v>44</v>
      </c>
      <c r="E9306" s="51">
        <f t="shared" si="145"/>
        <v>1</v>
      </c>
    </row>
    <row r="9307" spans="1:5">
      <c r="A9307" s="59">
        <v>19</v>
      </c>
      <c r="B9307" s="59">
        <v>41</v>
      </c>
      <c r="C9307" s="59">
        <v>720</v>
      </c>
      <c r="D9307" s="51">
        <v>43</v>
      </c>
      <c r="E9307" s="51">
        <f t="shared" si="145"/>
        <v>1</v>
      </c>
    </row>
    <row r="9308" spans="1:5">
      <c r="A9308" s="59">
        <v>19</v>
      </c>
      <c r="B9308" s="59">
        <v>71</v>
      </c>
      <c r="C9308" s="59">
        <v>150</v>
      </c>
      <c r="D9308" s="51">
        <v>43</v>
      </c>
      <c r="E9308" s="51">
        <f t="shared" si="145"/>
        <v>1</v>
      </c>
    </row>
    <row r="9309" spans="1:5">
      <c r="A9309" s="59">
        <v>19</v>
      </c>
      <c r="B9309" s="59">
        <v>22</v>
      </c>
      <c r="C9309" s="59">
        <v>920</v>
      </c>
      <c r="D9309" s="51">
        <v>41</v>
      </c>
      <c r="E9309" s="51">
        <f t="shared" si="145"/>
        <v>1</v>
      </c>
    </row>
    <row r="9310" spans="1:5">
      <c r="A9310" s="59">
        <v>19</v>
      </c>
      <c r="B9310" s="59">
        <v>43</v>
      </c>
      <c r="C9310" s="59">
        <v>830</v>
      </c>
      <c r="D9310" s="51">
        <v>41</v>
      </c>
      <c r="E9310" s="51">
        <f t="shared" si="145"/>
        <v>1</v>
      </c>
    </row>
    <row r="9311" spans="1:5">
      <c r="A9311" s="59">
        <v>19</v>
      </c>
      <c r="B9311" s="59">
        <v>81</v>
      </c>
      <c r="C9311" s="59">
        <v>620</v>
      </c>
      <c r="D9311" s="51">
        <v>41</v>
      </c>
      <c r="E9311" s="51">
        <f t="shared" si="145"/>
        <v>1</v>
      </c>
    </row>
    <row r="9312" spans="1:5">
      <c r="A9312" s="59">
        <v>19</v>
      </c>
      <c r="B9312" s="59">
        <v>16</v>
      </c>
      <c r="C9312" s="59">
        <v>920</v>
      </c>
      <c r="D9312" s="51">
        <v>40</v>
      </c>
      <c r="E9312" s="51">
        <f t="shared" si="145"/>
        <v>1</v>
      </c>
    </row>
    <row r="9313" spans="1:5">
      <c r="A9313" s="59">
        <v>19</v>
      </c>
      <c r="B9313" s="59">
        <v>43</v>
      </c>
      <c r="C9313" s="59">
        <v>840</v>
      </c>
      <c r="D9313" s="51">
        <v>40</v>
      </c>
      <c r="E9313" s="51">
        <f t="shared" si="145"/>
        <v>1</v>
      </c>
    </row>
    <row r="9314" spans="1:5">
      <c r="A9314" s="59">
        <v>19</v>
      </c>
      <c r="B9314" s="59">
        <v>64</v>
      </c>
      <c r="C9314" s="59">
        <v>840</v>
      </c>
      <c r="D9314" s="51">
        <v>40</v>
      </c>
      <c r="E9314" s="51">
        <f t="shared" si="145"/>
        <v>1</v>
      </c>
    </row>
    <row r="9315" spans="1:5">
      <c r="A9315" s="59">
        <v>19</v>
      </c>
      <c r="B9315" s="59">
        <v>81</v>
      </c>
      <c r="C9315" s="59">
        <v>160</v>
      </c>
      <c r="D9315" s="51">
        <v>40</v>
      </c>
      <c r="E9315" s="51">
        <f t="shared" si="145"/>
        <v>1</v>
      </c>
    </row>
    <row r="9316" spans="1:5">
      <c r="A9316" s="59">
        <v>19</v>
      </c>
      <c r="B9316" s="59">
        <v>14</v>
      </c>
      <c r="C9316" s="59">
        <v>530</v>
      </c>
      <c r="D9316" s="51">
        <v>38</v>
      </c>
      <c r="E9316" s="51">
        <f t="shared" si="145"/>
        <v>1</v>
      </c>
    </row>
    <row r="9317" spans="1:5">
      <c r="A9317" s="59">
        <v>19</v>
      </c>
      <c r="B9317" s="59">
        <v>64</v>
      </c>
      <c r="C9317" s="59">
        <v>420</v>
      </c>
      <c r="D9317" s="51">
        <v>38</v>
      </c>
      <c r="E9317" s="51">
        <f t="shared" si="145"/>
        <v>1</v>
      </c>
    </row>
    <row r="9318" spans="1:5">
      <c r="A9318" s="59">
        <v>19</v>
      </c>
      <c r="B9318" s="59">
        <v>32</v>
      </c>
      <c r="C9318" s="59">
        <v>610</v>
      </c>
      <c r="D9318" s="51">
        <v>37</v>
      </c>
      <c r="E9318" s="51">
        <f t="shared" si="145"/>
        <v>1</v>
      </c>
    </row>
    <row r="9319" spans="1:5">
      <c r="A9319" s="59">
        <v>19</v>
      </c>
      <c r="B9319" s="59">
        <v>62</v>
      </c>
      <c r="C9319" s="59">
        <v>710</v>
      </c>
      <c r="D9319" s="51">
        <v>36</v>
      </c>
      <c r="E9319" s="51">
        <f t="shared" si="145"/>
        <v>1</v>
      </c>
    </row>
    <row r="9320" spans="1:5">
      <c r="A9320" s="59">
        <v>19</v>
      </c>
      <c r="B9320" s="59">
        <v>64</v>
      </c>
      <c r="C9320" s="59">
        <v>440</v>
      </c>
      <c r="D9320" s="51">
        <v>36</v>
      </c>
      <c r="E9320" s="51">
        <f t="shared" si="145"/>
        <v>1</v>
      </c>
    </row>
    <row r="9321" spans="1:5">
      <c r="A9321" s="59">
        <v>19</v>
      </c>
      <c r="B9321" s="59">
        <v>71</v>
      </c>
      <c r="C9321" s="59">
        <v>831</v>
      </c>
      <c r="D9321" s="51">
        <v>36</v>
      </c>
      <c r="E9321" s="51">
        <f t="shared" si="145"/>
        <v>1</v>
      </c>
    </row>
    <row r="9322" spans="1:5">
      <c r="A9322" s="59">
        <v>19</v>
      </c>
      <c r="B9322" s="59">
        <v>33</v>
      </c>
      <c r="C9322" s="59">
        <v>970</v>
      </c>
      <c r="D9322" s="51">
        <v>35</v>
      </c>
      <c r="E9322" s="51">
        <f t="shared" si="145"/>
        <v>1</v>
      </c>
    </row>
    <row r="9323" spans="1:5">
      <c r="A9323" s="59">
        <v>19</v>
      </c>
      <c r="B9323" s="59">
        <v>13</v>
      </c>
      <c r="C9323" s="59">
        <v>530</v>
      </c>
      <c r="D9323" s="51">
        <v>34</v>
      </c>
      <c r="E9323" s="51">
        <f t="shared" si="145"/>
        <v>1</v>
      </c>
    </row>
    <row r="9324" spans="1:5">
      <c r="A9324" s="59">
        <v>19</v>
      </c>
      <c r="B9324" s="59">
        <v>44</v>
      </c>
      <c r="C9324" s="59">
        <v>520</v>
      </c>
      <c r="D9324" s="51">
        <v>34</v>
      </c>
      <c r="E9324" s="51">
        <f t="shared" si="145"/>
        <v>1</v>
      </c>
    </row>
    <row r="9325" spans="1:5">
      <c r="A9325" s="59">
        <v>19</v>
      </c>
      <c r="B9325" s="59">
        <v>64</v>
      </c>
      <c r="C9325" s="59">
        <v>310</v>
      </c>
      <c r="D9325" s="51">
        <v>34</v>
      </c>
      <c r="E9325" s="51">
        <f t="shared" si="145"/>
        <v>1</v>
      </c>
    </row>
    <row r="9326" spans="1:5">
      <c r="A9326" s="59">
        <v>19</v>
      </c>
      <c r="B9326" s="59">
        <v>64</v>
      </c>
      <c r="C9326" s="59">
        <v>950</v>
      </c>
      <c r="D9326" s="51">
        <v>34</v>
      </c>
      <c r="E9326" s="51">
        <f t="shared" si="145"/>
        <v>1</v>
      </c>
    </row>
    <row r="9327" spans="1:5">
      <c r="A9327" s="59">
        <v>19</v>
      </c>
      <c r="B9327" s="59">
        <v>15</v>
      </c>
      <c r="C9327" s="59">
        <v>910</v>
      </c>
      <c r="D9327" s="51">
        <v>33</v>
      </c>
      <c r="E9327" s="51">
        <f t="shared" si="145"/>
        <v>1</v>
      </c>
    </row>
    <row r="9328" spans="1:5">
      <c r="A9328" s="59">
        <v>19</v>
      </c>
      <c r="B9328" s="59">
        <v>64</v>
      </c>
      <c r="C9328" s="59">
        <v>860</v>
      </c>
      <c r="D9328" s="51">
        <v>33</v>
      </c>
      <c r="E9328" s="51">
        <f t="shared" si="145"/>
        <v>1</v>
      </c>
    </row>
    <row r="9329" spans="1:5">
      <c r="A9329" s="59">
        <v>19</v>
      </c>
      <c r="B9329" s="59">
        <v>81</v>
      </c>
      <c r="C9329" s="59">
        <v>990</v>
      </c>
      <c r="D9329" s="51">
        <v>33</v>
      </c>
      <c r="E9329" s="51">
        <f t="shared" si="145"/>
        <v>1</v>
      </c>
    </row>
    <row r="9330" spans="1:5">
      <c r="A9330" s="59">
        <v>19</v>
      </c>
      <c r="B9330" s="59">
        <v>41</v>
      </c>
      <c r="C9330" s="59">
        <v>160</v>
      </c>
      <c r="D9330" s="51">
        <v>32</v>
      </c>
      <c r="E9330" s="51">
        <f t="shared" si="145"/>
        <v>1</v>
      </c>
    </row>
    <row r="9331" spans="1:5">
      <c r="A9331" s="59">
        <v>19</v>
      </c>
      <c r="B9331" s="59">
        <v>43</v>
      </c>
      <c r="C9331" s="59">
        <v>950</v>
      </c>
      <c r="D9331" s="51">
        <v>32</v>
      </c>
      <c r="E9331" s="51">
        <f t="shared" si="145"/>
        <v>1</v>
      </c>
    </row>
    <row r="9332" spans="1:5">
      <c r="A9332" s="59">
        <v>19</v>
      </c>
      <c r="B9332" s="59">
        <v>15</v>
      </c>
      <c r="C9332" s="59">
        <v>920</v>
      </c>
      <c r="D9332" s="51">
        <v>31</v>
      </c>
      <c r="E9332" s="51">
        <f t="shared" si="145"/>
        <v>1</v>
      </c>
    </row>
    <row r="9333" spans="1:5">
      <c r="A9333" s="59">
        <v>19</v>
      </c>
      <c r="B9333" s="59">
        <v>43</v>
      </c>
      <c r="C9333" s="59">
        <v>440</v>
      </c>
      <c r="D9333" s="51">
        <v>31</v>
      </c>
      <c r="E9333" s="51">
        <f t="shared" si="145"/>
        <v>1</v>
      </c>
    </row>
    <row r="9334" spans="1:5">
      <c r="A9334" s="59">
        <v>19</v>
      </c>
      <c r="B9334" s="59">
        <v>32</v>
      </c>
      <c r="C9334" s="59">
        <v>410</v>
      </c>
      <c r="D9334" s="51">
        <v>30</v>
      </c>
      <c r="E9334" s="51">
        <f t="shared" si="145"/>
        <v>1</v>
      </c>
    </row>
    <row r="9335" spans="1:5">
      <c r="A9335" s="59">
        <v>19</v>
      </c>
      <c r="B9335" s="59">
        <v>63</v>
      </c>
      <c r="C9335" s="59">
        <v>150</v>
      </c>
      <c r="D9335" s="51">
        <v>30</v>
      </c>
      <c r="E9335" s="51">
        <f t="shared" si="145"/>
        <v>1</v>
      </c>
    </row>
    <row r="9336" spans="1:5">
      <c r="A9336" s="59">
        <v>19</v>
      </c>
      <c r="B9336" s="59">
        <v>14</v>
      </c>
      <c r="C9336" s="59">
        <v>140</v>
      </c>
      <c r="D9336" s="51">
        <v>28</v>
      </c>
      <c r="E9336" s="51">
        <f t="shared" si="145"/>
        <v>1</v>
      </c>
    </row>
    <row r="9337" spans="1:5">
      <c r="A9337" s="59">
        <v>19</v>
      </c>
      <c r="B9337" s="59">
        <v>15</v>
      </c>
      <c r="C9337" s="59">
        <v>110</v>
      </c>
      <c r="D9337" s="51">
        <v>28</v>
      </c>
      <c r="E9337" s="51">
        <f t="shared" si="145"/>
        <v>1</v>
      </c>
    </row>
    <row r="9338" spans="1:5">
      <c r="A9338" s="59">
        <v>19</v>
      </c>
      <c r="B9338" s="59">
        <v>16</v>
      </c>
      <c r="C9338" s="59">
        <v>910</v>
      </c>
      <c r="D9338" s="51">
        <v>28</v>
      </c>
      <c r="E9338" s="51">
        <f t="shared" si="145"/>
        <v>1</v>
      </c>
    </row>
    <row r="9339" spans="1:5">
      <c r="A9339" s="59">
        <v>19</v>
      </c>
      <c r="B9339" s="59">
        <v>32</v>
      </c>
      <c r="C9339" s="59">
        <v>430</v>
      </c>
      <c r="D9339" s="51">
        <v>28</v>
      </c>
      <c r="E9339" s="51">
        <f t="shared" si="145"/>
        <v>1</v>
      </c>
    </row>
    <row r="9340" spans="1:5">
      <c r="A9340" s="59">
        <v>19</v>
      </c>
      <c r="B9340" s="59">
        <v>43</v>
      </c>
      <c r="C9340" s="59">
        <v>210</v>
      </c>
      <c r="D9340" s="51">
        <v>28</v>
      </c>
      <c r="E9340" s="51">
        <f t="shared" si="145"/>
        <v>1</v>
      </c>
    </row>
    <row r="9341" spans="1:5">
      <c r="A9341" s="59">
        <v>19</v>
      </c>
      <c r="B9341" s="59">
        <v>43</v>
      </c>
      <c r="C9341" s="59">
        <v>750</v>
      </c>
      <c r="D9341" s="51">
        <v>28</v>
      </c>
      <c r="E9341" s="51">
        <f t="shared" si="145"/>
        <v>1</v>
      </c>
    </row>
    <row r="9342" spans="1:5">
      <c r="A9342" s="59">
        <v>19</v>
      </c>
      <c r="B9342" s="59">
        <v>71</v>
      </c>
      <c r="C9342" s="59">
        <v>550</v>
      </c>
      <c r="D9342" s="51">
        <v>28</v>
      </c>
      <c r="E9342" s="51">
        <f t="shared" si="145"/>
        <v>1</v>
      </c>
    </row>
    <row r="9343" spans="1:5">
      <c r="A9343" s="59">
        <v>19</v>
      </c>
      <c r="B9343" s="59">
        <v>43</v>
      </c>
      <c r="C9343" s="59">
        <v>831</v>
      </c>
      <c r="D9343" s="51">
        <v>27</v>
      </c>
      <c r="E9343" s="51">
        <f t="shared" si="145"/>
        <v>1</v>
      </c>
    </row>
    <row r="9344" spans="1:5">
      <c r="A9344" s="59">
        <v>19</v>
      </c>
      <c r="B9344" s="59">
        <v>43</v>
      </c>
      <c r="C9344" s="59">
        <v>970</v>
      </c>
      <c r="D9344" s="51">
        <v>27</v>
      </c>
      <c r="E9344" s="51">
        <f t="shared" si="145"/>
        <v>1</v>
      </c>
    </row>
    <row r="9345" spans="1:5">
      <c r="A9345" s="59">
        <v>19</v>
      </c>
      <c r="B9345" s="59">
        <v>71</v>
      </c>
      <c r="C9345" s="59">
        <v>630</v>
      </c>
      <c r="D9345" s="51">
        <v>27</v>
      </c>
      <c r="E9345" s="51">
        <f t="shared" si="145"/>
        <v>1</v>
      </c>
    </row>
    <row r="9346" spans="1:5">
      <c r="A9346" s="59">
        <v>19</v>
      </c>
      <c r="B9346" s="59">
        <v>16</v>
      </c>
      <c r="C9346" s="59">
        <v>150</v>
      </c>
      <c r="D9346" s="51">
        <v>26</v>
      </c>
      <c r="E9346" s="51">
        <f t="shared" ref="E9346:E9409" si="146">IF(OR(A9346=6,A9346=7,A9346=14,A9346=15,A9346=16,A9346=17,A9346=18,A9346=19,A9346=20,A9346=21,A9346=22,A9346=23,A9346=25,A9346=26,A9346=27,A9346=28,B9346=41,B9346=44,B9346=62),1,0)</f>
        <v>1</v>
      </c>
    </row>
    <row r="9347" spans="1:5">
      <c r="A9347" s="59">
        <v>19</v>
      </c>
      <c r="B9347" s="59">
        <v>42</v>
      </c>
      <c r="C9347" s="59">
        <v>110</v>
      </c>
      <c r="D9347" s="51">
        <v>26</v>
      </c>
      <c r="E9347" s="51">
        <f t="shared" si="146"/>
        <v>1</v>
      </c>
    </row>
    <row r="9348" spans="1:5">
      <c r="A9348" s="59">
        <v>19</v>
      </c>
      <c r="B9348" s="59">
        <v>42</v>
      </c>
      <c r="C9348" s="59">
        <v>940</v>
      </c>
      <c r="D9348" s="51">
        <v>26</v>
      </c>
      <c r="E9348" s="51">
        <f t="shared" si="146"/>
        <v>1</v>
      </c>
    </row>
    <row r="9349" spans="1:5">
      <c r="A9349" s="59">
        <v>19</v>
      </c>
      <c r="B9349" s="59">
        <v>62</v>
      </c>
      <c r="C9349" s="59">
        <v>150</v>
      </c>
      <c r="D9349" s="51">
        <v>26</v>
      </c>
      <c r="E9349" s="51">
        <f t="shared" si="146"/>
        <v>1</v>
      </c>
    </row>
    <row r="9350" spans="1:5">
      <c r="A9350" s="59">
        <v>19</v>
      </c>
      <c r="B9350" s="59">
        <v>64</v>
      </c>
      <c r="C9350" s="59">
        <v>550</v>
      </c>
      <c r="D9350" s="51">
        <v>25</v>
      </c>
      <c r="E9350" s="51">
        <f t="shared" si="146"/>
        <v>1</v>
      </c>
    </row>
    <row r="9351" spans="1:5">
      <c r="A9351" s="59">
        <v>19</v>
      </c>
      <c r="B9351" s="59">
        <v>71</v>
      </c>
      <c r="C9351" s="59">
        <v>540</v>
      </c>
      <c r="D9351" s="51">
        <v>25</v>
      </c>
      <c r="E9351" s="51">
        <f t="shared" si="146"/>
        <v>1</v>
      </c>
    </row>
    <row r="9352" spans="1:5">
      <c r="A9352" s="59">
        <v>19</v>
      </c>
      <c r="B9352" s="59">
        <v>81</v>
      </c>
      <c r="C9352" s="59">
        <v>750</v>
      </c>
      <c r="D9352" s="51">
        <v>25</v>
      </c>
      <c r="E9352" s="51">
        <f t="shared" si="146"/>
        <v>1</v>
      </c>
    </row>
    <row r="9353" spans="1:5">
      <c r="A9353" s="59">
        <v>19</v>
      </c>
      <c r="B9353" s="59">
        <v>13</v>
      </c>
      <c r="C9353" s="59">
        <v>620</v>
      </c>
      <c r="D9353" s="51">
        <v>24</v>
      </c>
      <c r="E9353" s="51">
        <f t="shared" si="146"/>
        <v>1</v>
      </c>
    </row>
    <row r="9354" spans="1:5">
      <c r="A9354" s="59">
        <v>19</v>
      </c>
      <c r="B9354" s="59">
        <v>22</v>
      </c>
      <c r="C9354" s="59">
        <v>910</v>
      </c>
      <c r="D9354" s="51">
        <v>24</v>
      </c>
      <c r="E9354" s="51">
        <f t="shared" si="146"/>
        <v>1</v>
      </c>
    </row>
    <row r="9355" spans="1:5">
      <c r="A9355" s="59">
        <v>19</v>
      </c>
      <c r="B9355" s="59">
        <v>71</v>
      </c>
      <c r="C9355" s="59">
        <v>640</v>
      </c>
      <c r="D9355" s="51">
        <v>23</v>
      </c>
      <c r="E9355" s="51">
        <f t="shared" si="146"/>
        <v>1</v>
      </c>
    </row>
    <row r="9356" spans="1:5">
      <c r="A9356" s="59">
        <v>19</v>
      </c>
      <c r="B9356" s="59">
        <v>42</v>
      </c>
      <c r="C9356" s="59">
        <v>160</v>
      </c>
      <c r="D9356" s="51">
        <v>22</v>
      </c>
      <c r="E9356" s="51">
        <f t="shared" si="146"/>
        <v>1</v>
      </c>
    </row>
    <row r="9357" spans="1:5">
      <c r="A9357" s="59">
        <v>19</v>
      </c>
      <c r="B9357" s="59">
        <v>43</v>
      </c>
      <c r="C9357" s="59">
        <v>899</v>
      </c>
      <c r="D9357" s="51">
        <v>22</v>
      </c>
      <c r="E9357" s="51">
        <f t="shared" si="146"/>
        <v>1</v>
      </c>
    </row>
    <row r="9358" spans="1:5">
      <c r="A9358" s="59">
        <v>19</v>
      </c>
      <c r="B9358" s="59">
        <v>44</v>
      </c>
      <c r="C9358" s="59">
        <v>970</v>
      </c>
      <c r="D9358" s="51">
        <v>22</v>
      </c>
      <c r="E9358" s="51">
        <f t="shared" si="146"/>
        <v>1</v>
      </c>
    </row>
    <row r="9359" spans="1:5">
      <c r="A9359" s="59">
        <v>19</v>
      </c>
      <c r="B9359" s="59">
        <v>62</v>
      </c>
      <c r="C9359" s="59">
        <v>210</v>
      </c>
      <c r="D9359" s="51">
        <v>22</v>
      </c>
      <c r="E9359" s="51">
        <f t="shared" si="146"/>
        <v>1</v>
      </c>
    </row>
    <row r="9360" spans="1:5">
      <c r="A9360" s="59">
        <v>19</v>
      </c>
      <c r="B9360" s="59">
        <v>44</v>
      </c>
      <c r="C9360" s="59">
        <v>160</v>
      </c>
      <c r="D9360" s="51">
        <v>21</v>
      </c>
      <c r="E9360" s="51">
        <f t="shared" si="146"/>
        <v>1</v>
      </c>
    </row>
    <row r="9361" spans="1:5">
      <c r="A9361" s="59">
        <v>19</v>
      </c>
      <c r="B9361" s="59">
        <v>32</v>
      </c>
      <c r="C9361" s="59">
        <v>510</v>
      </c>
      <c r="D9361" s="51">
        <v>20</v>
      </c>
      <c r="E9361" s="51">
        <f t="shared" si="146"/>
        <v>1</v>
      </c>
    </row>
    <row r="9362" spans="1:5">
      <c r="A9362" s="59">
        <v>19</v>
      </c>
      <c r="B9362" s="59">
        <v>43</v>
      </c>
      <c r="C9362" s="59">
        <v>420</v>
      </c>
      <c r="D9362" s="51">
        <v>20</v>
      </c>
      <c r="E9362" s="51">
        <f t="shared" si="146"/>
        <v>1</v>
      </c>
    </row>
    <row r="9363" spans="1:5">
      <c r="A9363" s="59">
        <v>19</v>
      </c>
      <c r="B9363" s="59">
        <v>64</v>
      </c>
      <c r="C9363" s="59">
        <v>240</v>
      </c>
      <c r="D9363" s="51">
        <v>20</v>
      </c>
      <c r="E9363" s="51">
        <f t="shared" si="146"/>
        <v>1</v>
      </c>
    </row>
    <row r="9364" spans="1:5">
      <c r="A9364" s="59">
        <v>19</v>
      </c>
      <c r="B9364" s="59">
        <v>64</v>
      </c>
      <c r="C9364" s="59">
        <v>330</v>
      </c>
      <c r="D9364" s="51">
        <v>20</v>
      </c>
      <c r="E9364" s="51">
        <f t="shared" si="146"/>
        <v>1</v>
      </c>
    </row>
    <row r="9365" spans="1:5">
      <c r="A9365" s="59">
        <v>19</v>
      </c>
      <c r="B9365" s="59">
        <v>81</v>
      </c>
      <c r="C9365" s="59">
        <v>110</v>
      </c>
      <c r="D9365" s="51">
        <v>20</v>
      </c>
      <c r="E9365" s="51">
        <f t="shared" si="146"/>
        <v>1</v>
      </c>
    </row>
    <row r="9366" spans="1:5">
      <c r="A9366" s="59">
        <v>19</v>
      </c>
      <c r="B9366" s="59">
        <v>81</v>
      </c>
      <c r="C9366" s="59">
        <v>950</v>
      </c>
      <c r="D9366" s="51">
        <v>20</v>
      </c>
      <c r="E9366" s="51">
        <f t="shared" si="146"/>
        <v>1</v>
      </c>
    </row>
    <row r="9367" spans="1:5">
      <c r="A9367" s="59">
        <v>19</v>
      </c>
      <c r="B9367" s="59">
        <v>22</v>
      </c>
      <c r="C9367" s="59">
        <v>210</v>
      </c>
      <c r="D9367" s="51">
        <v>18</v>
      </c>
      <c r="E9367" s="51">
        <f t="shared" si="146"/>
        <v>1</v>
      </c>
    </row>
    <row r="9368" spans="1:5">
      <c r="A9368" s="59">
        <v>19</v>
      </c>
      <c r="B9368" s="59">
        <v>42</v>
      </c>
      <c r="C9368" s="59">
        <v>831</v>
      </c>
      <c r="D9368" s="51">
        <v>18</v>
      </c>
      <c r="E9368" s="51">
        <f t="shared" si="146"/>
        <v>1</v>
      </c>
    </row>
    <row r="9369" spans="1:5">
      <c r="A9369" s="59">
        <v>19</v>
      </c>
      <c r="B9369" s="59">
        <v>14</v>
      </c>
      <c r="C9369" s="59">
        <v>930</v>
      </c>
      <c r="D9369" s="51">
        <v>17</v>
      </c>
      <c r="E9369" s="51">
        <f t="shared" si="146"/>
        <v>1</v>
      </c>
    </row>
    <row r="9370" spans="1:5">
      <c r="A9370" s="59">
        <v>19</v>
      </c>
      <c r="B9370" s="59">
        <v>22</v>
      </c>
      <c r="C9370" s="59">
        <v>510</v>
      </c>
      <c r="D9370" s="51">
        <v>17</v>
      </c>
      <c r="E9370" s="51">
        <f t="shared" si="146"/>
        <v>1</v>
      </c>
    </row>
    <row r="9371" spans="1:5">
      <c r="A9371" s="59">
        <v>19</v>
      </c>
      <c r="B9371" s="59">
        <v>41</v>
      </c>
      <c r="C9371" s="59">
        <v>730</v>
      </c>
      <c r="D9371" s="51">
        <v>17</v>
      </c>
      <c r="E9371" s="51">
        <f t="shared" si="146"/>
        <v>1</v>
      </c>
    </row>
    <row r="9372" spans="1:5">
      <c r="A9372" s="59">
        <v>19</v>
      </c>
      <c r="B9372" s="59">
        <v>43</v>
      </c>
      <c r="C9372" s="59">
        <v>430</v>
      </c>
      <c r="D9372" s="51">
        <v>17</v>
      </c>
      <c r="E9372" s="51">
        <f t="shared" si="146"/>
        <v>1</v>
      </c>
    </row>
    <row r="9373" spans="1:5">
      <c r="A9373" s="59">
        <v>19</v>
      </c>
      <c r="B9373" s="59">
        <v>62</v>
      </c>
      <c r="C9373" s="59">
        <v>970</v>
      </c>
      <c r="D9373" s="51">
        <v>17</v>
      </c>
      <c r="E9373" s="51">
        <f t="shared" si="146"/>
        <v>1</v>
      </c>
    </row>
    <row r="9374" spans="1:5">
      <c r="A9374" s="59">
        <v>19</v>
      </c>
      <c r="B9374" s="59">
        <v>63</v>
      </c>
      <c r="C9374" s="59">
        <v>710</v>
      </c>
      <c r="D9374" s="51">
        <v>17</v>
      </c>
      <c r="E9374" s="51">
        <f t="shared" si="146"/>
        <v>1</v>
      </c>
    </row>
    <row r="9375" spans="1:5">
      <c r="A9375" s="59">
        <v>19</v>
      </c>
      <c r="B9375" s="59">
        <v>15</v>
      </c>
      <c r="C9375" s="59">
        <v>150</v>
      </c>
      <c r="D9375" s="51">
        <v>16</v>
      </c>
      <c r="E9375" s="51">
        <f t="shared" si="146"/>
        <v>1</v>
      </c>
    </row>
    <row r="9376" spans="1:5">
      <c r="A9376" s="59">
        <v>19</v>
      </c>
      <c r="B9376" s="59">
        <v>15</v>
      </c>
      <c r="C9376" s="59">
        <v>970</v>
      </c>
      <c r="D9376" s="51">
        <v>16</v>
      </c>
      <c r="E9376" s="51">
        <f t="shared" si="146"/>
        <v>1</v>
      </c>
    </row>
    <row r="9377" spans="1:5">
      <c r="A9377" s="59">
        <v>19</v>
      </c>
      <c r="B9377" s="59">
        <v>22</v>
      </c>
      <c r="C9377" s="59">
        <v>620</v>
      </c>
      <c r="D9377" s="51">
        <v>16</v>
      </c>
      <c r="E9377" s="51">
        <f t="shared" si="146"/>
        <v>1</v>
      </c>
    </row>
    <row r="9378" spans="1:5">
      <c r="A9378" s="59">
        <v>19</v>
      </c>
      <c r="B9378" s="59">
        <v>41</v>
      </c>
      <c r="C9378" s="59">
        <v>930</v>
      </c>
      <c r="D9378" s="51">
        <v>16</v>
      </c>
      <c r="E9378" s="51">
        <f t="shared" si="146"/>
        <v>1</v>
      </c>
    </row>
    <row r="9379" spans="1:5">
      <c r="A9379" s="59">
        <v>19</v>
      </c>
      <c r="B9379" s="59">
        <v>41</v>
      </c>
      <c r="C9379" s="59">
        <v>990</v>
      </c>
      <c r="D9379" s="51">
        <v>16</v>
      </c>
      <c r="E9379" s="51">
        <f t="shared" si="146"/>
        <v>1</v>
      </c>
    </row>
    <row r="9380" spans="1:5">
      <c r="A9380" s="59">
        <v>19</v>
      </c>
      <c r="B9380" s="59">
        <v>64</v>
      </c>
      <c r="C9380" s="59">
        <v>640</v>
      </c>
      <c r="D9380" s="51">
        <v>16</v>
      </c>
      <c r="E9380" s="51">
        <f t="shared" si="146"/>
        <v>1</v>
      </c>
    </row>
    <row r="9381" spans="1:5">
      <c r="A9381" s="59">
        <v>19</v>
      </c>
      <c r="B9381" s="59">
        <v>64</v>
      </c>
      <c r="C9381" s="59">
        <v>970</v>
      </c>
      <c r="D9381" s="51">
        <v>16</v>
      </c>
      <c r="E9381" s="51">
        <f t="shared" si="146"/>
        <v>1</v>
      </c>
    </row>
    <row r="9382" spans="1:5">
      <c r="A9382" s="59">
        <v>19</v>
      </c>
      <c r="B9382" s="59">
        <v>13</v>
      </c>
      <c r="C9382" s="59">
        <v>940</v>
      </c>
      <c r="D9382" s="51">
        <v>15</v>
      </c>
      <c r="E9382" s="51">
        <f t="shared" si="146"/>
        <v>1</v>
      </c>
    </row>
    <row r="9383" spans="1:5">
      <c r="A9383" s="59">
        <v>19</v>
      </c>
      <c r="B9383" s="59">
        <v>33</v>
      </c>
      <c r="C9383" s="59">
        <v>420</v>
      </c>
      <c r="D9383" s="51">
        <v>15</v>
      </c>
      <c r="E9383" s="51">
        <f t="shared" si="146"/>
        <v>1</v>
      </c>
    </row>
    <row r="9384" spans="1:5">
      <c r="A9384" s="59">
        <v>19</v>
      </c>
      <c r="B9384" s="59">
        <v>41</v>
      </c>
      <c r="C9384" s="59">
        <v>620</v>
      </c>
      <c r="D9384" s="51">
        <v>15</v>
      </c>
      <c r="E9384" s="51">
        <f t="shared" si="146"/>
        <v>1</v>
      </c>
    </row>
    <row r="9385" spans="1:5">
      <c r="A9385" s="59">
        <v>19</v>
      </c>
      <c r="B9385" s="59">
        <v>43</v>
      </c>
      <c r="C9385" s="59">
        <v>310</v>
      </c>
      <c r="D9385" s="51">
        <v>15</v>
      </c>
      <c r="E9385" s="51">
        <f t="shared" si="146"/>
        <v>1</v>
      </c>
    </row>
    <row r="9386" spans="1:5">
      <c r="A9386" s="59">
        <v>19</v>
      </c>
      <c r="B9386" s="59">
        <v>44</v>
      </c>
      <c r="C9386" s="59">
        <v>730</v>
      </c>
      <c r="D9386" s="51">
        <v>15</v>
      </c>
      <c r="E9386" s="51">
        <f t="shared" si="146"/>
        <v>1</v>
      </c>
    </row>
    <row r="9387" spans="1:5">
      <c r="A9387" s="59">
        <v>19</v>
      </c>
      <c r="B9387" s="59">
        <v>62</v>
      </c>
      <c r="C9387" s="59">
        <v>930</v>
      </c>
      <c r="D9387" s="51">
        <v>15</v>
      </c>
      <c r="E9387" s="51">
        <f t="shared" si="146"/>
        <v>1</v>
      </c>
    </row>
    <row r="9388" spans="1:5">
      <c r="A9388" s="59">
        <v>19</v>
      </c>
      <c r="B9388" s="59">
        <v>16</v>
      </c>
      <c r="C9388" s="59">
        <v>610</v>
      </c>
      <c r="D9388" s="51">
        <v>14</v>
      </c>
      <c r="E9388" s="51">
        <f t="shared" si="146"/>
        <v>1</v>
      </c>
    </row>
    <row r="9389" spans="1:5">
      <c r="A9389" s="59">
        <v>19</v>
      </c>
      <c r="B9389" s="59">
        <v>22</v>
      </c>
      <c r="C9389" s="59">
        <v>230</v>
      </c>
      <c r="D9389" s="51">
        <v>14</v>
      </c>
      <c r="E9389" s="51">
        <f t="shared" si="146"/>
        <v>1</v>
      </c>
    </row>
    <row r="9390" spans="1:5">
      <c r="A9390" s="59">
        <v>19</v>
      </c>
      <c r="B9390" s="59">
        <v>31</v>
      </c>
      <c r="C9390" s="59">
        <v>420</v>
      </c>
      <c r="D9390" s="51">
        <v>14</v>
      </c>
      <c r="E9390" s="51">
        <f t="shared" si="146"/>
        <v>1</v>
      </c>
    </row>
    <row r="9391" spans="1:5">
      <c r="A9391" s="59">
        <v>19</v>
      </c>
      <c r="B9391" s="59">
        <v>32</v>
      </c>
      <c r="C9391" s="59">
        <v>930</v>
      </c>
      <c r="D9391" s="51">
        <v>14</v>
      </c>
      <c r="E9391" s="51">
        <f t="shared" si="146"/>
        <v>1</v>
      </c>
    </row>
    <row r="9392" spans="1:5">
      <c r="A9392" s="59">
        <v>19</v>
      </c>
      <c r="B9392" s="59">
        <v>42</v>
      </c>
      <c r="C9392" s="59">
        <v>930</v>
      </c>
      <c r="D9392" s="51">
        <v>14</v>
      </c>
      <c r="E9392" s="51">
        <f t="shared" si="146"/>
        <v>1</v>
      </c>
    </row>
    <row r="9393" spans="1:5">
      <c r="A9393" s="59">
        <v>19</v>
      </c>
      <c r="B9393" s="59">
        <v>61</v>
      </c>
      <c r="C9393" s="59">
        <v>920</v>
      </c>
      <c r="D9393" s="51">
        <v>14</v>
      </c>
      <c r="E9393" s="51">
        <f t="shared" si="146"/>
        <v>1</v>
      </c>
    </row>
    <row r="9394" spans="1:5">
      <c r="A9394" s="59">
        <v>19</v>
      </c>
      <c r="B9394" s="59">
        <v>64</v>
      </c>
      <c r="C9394" s="59">
        <v>710</v>
      </c>
      <c r="D9394" s="51">
        <v>14</v>
      </c>
      <c r="E9394" s="51">
        <f t="shared" si="146"/>
        <v>1</v>
      </c>
    </row>
    <row r="9395" spans="1:5">
      <c r="A9395" s="59">
        <v>19</v>
      </c>
      <c r="B9395" s="59">
        <v>13</v>
      </c>
      <c r="C9395" s="59">
        <v>520</v>
      </c>
      <c r="D9395" s="51">
        <v>13</v>
      </c>
      <c r="E9395" s="51">
        <f t="shared" si="146"/>
        <v>1</v>
      </c>
    </row>
    <row r="9396" spans="1:5">
      <c r="A9396" s="59">
        <v>19</v>
      </c>
      <c r="B9396" s="59">
        <v>22</v>
      </c>
      <c r="C9396" s="59">
        <v>110</v>
      </c>
      <c r="D9396" s="51">
        <v>13</v>
      </c>
      <c r="E9396" s="51">
        <f t="shared" si="146"/>
        <v>1</v>
      </c>
    </row>
    <row r="9397" spans="1:5">
      <c r="A9397" s="59">
        <v>19</v>
      </c>
      <c r="B9397" s="59">
        <v>32</v>
      </c>
      <c r="C9397" s="59">
        <v>620</v>
      </c>
      <c r="D9397" s="51">
        <v>13</v>
      </c>
      <c r="E9397" s="51">
        <f t="shared" si="146"/>
        <v>1</v>
      </c>
    </row>
    <row r="9398" spans="1:5">
      <c r="A9398" s="59">
        <v>19</v>
      </c>
      <c r="B9398" s="59">
        <v>43</v>
      </c>
      <c r="C9398" s="59">
        <v>220</v>
      </c>
      <c r="D9398" s="51">
        <v>13</v>
      </c>
      <c r="E9398" s="51">
        <f t="shared" si="146"/>
        <v>1</v>
      </c>
    </row>
    <row r="9399" spans="1:5">
      <c r="A9399" s="59">
        <v>19</v>
      </c>
      <c r="B9399" s="59">
        <v>43</v>
      </c>
      <c r="C9399" s="59">
        <v>230</v>
      </c>
      <c r="D9399" s="51">
        <v>13</v>
      </c>
      <c r="E9399" s="51">
        <f t="shared" si="146"/>
        <v>1</v>
      </c>
    </row>
    <row r="9400" spans="1:5">
      <c r="A9400" s="59">
        <v>19</v>
      </c>
      <c r="B9400" s="59">
        <v>62</v>
      </c>
      <c r="C9400" s="59">
        <v>440</v>
      </c>
      <c r="D9400" s="51">
        <v>13</v>
      </c>
      <c r="E9400" s="51">
        <f t="shared" si="146"/>
        <v>1</v>
      </c>
    </row>
    <row r="9401" spans="1:5">
      <c r="A9401" s="59">
        <v>19</v>
      </c>
      <c r="B9401" s="59">
        <v>64</v>
      </c>
      <c r="C9401" s="59">
        <v>540</v>
      </c>
      <c r="D9401" s="51">
        <v>13</v>
      </c>
      <c r="E9401" s="51">
        <f t="shared" si="146"/>
        <v>1</v>
      </c>
    </row>
    <row r="9402" spans="1:5">
      <c r="A9402" s="59">
        <v>19</v>
      </c>
      <c r="B9402" s="59">
        <v>64</v>
      </c>
      <c r="C9402" s="59">
        <v>940</v>
      </c>
      <c r="D9402" s="51">
        <v>13</v>
      </c>
      <c r="E9402" s="51">
        <f t="shared" si="146"/>
        <v>1</v>
      </c>
    </row>
    <row r="9403" spans="1:5">
      <c r="A9403" s="59">
        <v>19</v>
      </c>
      <c r="B9403" s="59">
        <v>71</v>
      </c>
      <c r="C9403" s="59">
        <v>410</v>
      </c>
      <c r="D9403" s="51">
        <v>13</v>
      </c>
      <c r="E9403" s="51">
        <f t="shared" si="146"/>
        <v>1</v>
      </c>
    </row>
    <row r="9404" spans="1:5">
      <c r="A9404" s="59">
        <v>19</v>
      </c>
      <c r="B9404" s="59">
        <v>71</v>
      </c>
      <c r="C9404" s="59">
        <v>440</v>
      </c>
      <c r="D9404" s="51">
        <v>13</v>
      </c>
      <c r="E9404" s="51">
        <f t="shared" si="146"/>
        <v>1</v>
      </c>
    </row>
    <row r="9405" spans="1:5">
      <c r="A9405" s="59">
        <v>19</v>
      </c>
      <c r="B9405" s="59">
        <v>14</v>
      </c>
      <c r="C9405" s="59">
        <v>230</v>
      </c>
      <c r="D9405" s="51">
        <v>12</v>
      </c>
      <c r="E9405" s="51">
        <f t="shared" si="146"/>
        <v>1</v>
      </c>
    </row>
    <row r="9406" spans="1:5">
      <c r="A9406" s="59">
        <v>19</v>
      </c>
      <c r="B9406" s="59">
        <v>16</v>
      </c>
      <c r="C9406" s="59">
        <v>160</v>
      </c>
      <c r="D9406" s="51">
        <v>12</v>
      </c>
      <c r="E9406" s="51">
        <f t="shared" si="146"/>
        <v>1</v>
      </c>
    </row>
    <row r="9407" spans="1:5">
      <c r="A9407" s="59">
        <v>19</v>
      </c>
      <c r="B9407" s="59">
        <v>41</v>
      </c>
      <c r="C9407" s="59">
        <v>750</v>
      </c>
      <c r="D9407" s="51">
        <v>12</v>
      </c>
      <c r="E9407" s="51">
        <f t="shared" si="146"/>
        <v>1</v>
      </c>
    </row>
    <row r="9408" spans="1:5">
      <c r="A9408" s="59">
        <v>19</v>
      </c>
      <c r="B9408" s="59">
        <v>42</v>
      </c>
      <c r="C9408" s="59">
        <v>520</v>
      </c>
      <c r="D9408" s="51">
        <v>12</v>
      </c>
      <c r="E9408" s="51">
        <f t="shared" si="146"/>
        <v>1</v>
      </c>
    </row>
    <row r="9409" spans="1:5">
      <c r="A9409" s="59">
        <v>19</v>
      </c>
      <c r="B9409" s="59">
        <v>62</v>
      </c>
      <c r="C9409" s="59">
        <v>540</v>
      </c>
      <c r="D9409" s="51">
        <v>12</v>
      </c>
      <c r="E9409" s="51">
        <f t="shared" si="146"/>
        <v>1</v>
      </c>
    </row>
    <row r="9410" spans="1:5">
      <c r="A9410" s="59">
        <v>19</v>
      </c>
      <c r="B9410" s="59">
        <v>13</v>
      </c>
      <c r="C9410" s="59">
        <v>970</v>
      </c>
      <c r="D9410" s="51">
        <v>11</v>
      </c>
      <c r="E9410" s="51">
        <f t="shared" ref="E9410:E9473" si="147">IF(OR(A9410=6,A9410=7,A9410=14,A9410=15,A9410=16,A9410=17,A9410=18,A9410=19,A9410=20,A9410=21,A9410=22,A9410=23,A9410=25,A9410=26,A9410=27,A9410=28,B9410=41,B9410=44,B9410=62),1,0)</f>
        <v>1</v>
      </c>
    </row>
    <row r="9411" spans="1:5">
      <c r="A9411" s="59">
        <v>19</v>
      </c>
      <c r="B9411" s="59">
        <v>14</v>
      </c>
      <c r="C9411" s="59">
        <v>520</v>
      </c>
      <c r="D9411" s="51">
        <v>11</v>
      </c>
      <c r="E9411" s="51">
        <f t="shared" si="147"/>
        <v>1</v>
      </c>
    </row>
    <row r="9412" spans="1:5">
      <c r="A9412" s="59">
        <v>19</v>
      </c>
      <c r="B9412" s="59">
        <v>43</v>
      </c>
      <c r="C9412" s="59">
        <v>410</v>
      </c>
      <c r="D9412" s="51">
        <v>11</v>
      </c>
      <c r="E9412" s="51">
        <f t="shared" si="147"/>
        <v>1</v>
      </c>
    </row>
    <row r="9413" spans="1:5">
      <c r="A9413" s="59">
        <v>19</v>
      </c>
      <c r="B9413" s="59">
        <v>63</v>
      </c>
      <c r="C9413" s="59">
        <v>540</v>
      </c>
      <c r="D9413" s="51">
        <v>11</v>
      </c>
      <c r="E9413" s="51">
        <f t="shared" si="147"/>
        <v>1</v>
      </c>
    </row>
    <row r="9414" spans="1:5">
      <c r="A9414" s="59">
        <v>19</v>
      </c>
      <c r="B9414" s="59">
        <v>13</v>
      </c>
      <c r="C9414" s="59">
        <v>950</v>
      </c>
      <c r="D9414" s="51">
        <v>10</v>
      </c>
      <c r="E9414" s="51">
        <f t="shared" si="147"/>
        <v>1</v>
      </c>
    </row>
    <row r="9415" spans="1:5">
      <c r="A9415" s="59">
        <v>19</v>
      </c>
      <c r="B9415" s="59">
        <v>32</v>
      </c>
      <c r="C9415" s="59">
        <v>530</v>
      </c>
      <c r="D9415" s="51">
        <v>10</v>
      </c>
      <c r="E9415" s="51">
        <f t="shared" si="147"/>
        <v>1</v>
      </c>
    </row>
    <row r="9416" spans="1:5">
      <c r="A9416" s="59">
        <v>19</v>
      </c>
      <c r="B9416" s="59">
        <v>62</v>
      </c>
      <c r="C9416" s="59">
        <v>831</v>
      </c>
      <c r="D9416" s="51">
        <v>10</v>
      </c>
      <c r="E9416" s="51">
        <f t="shared" si="147"/>
        <v>1</v>
      </c>
    </row>
    <row r="9417" spans="1:5">
      <c r="A9417" s="59">
        <v>19</v>
      </c>
      <c r="B9417" s="59">
        <v>62</v>
      </c>
      <c r="C9417" s="59">
        <v>940</v>
      </c>
      <c r="D9417" s="51">
        <v>10</v>
      </c>
      <c r="E9417" s="51">
        <f t="shared" si="147"/>
        <v>1</v>
      </c>
    </row>
    <row r="9418" spans="1:5">
      <c r="A9418" s="59">
        <v>19</v>
      </c>
      <c r="B9418" s="59">
        <v>71</v>
      </c>
      <c r="C9418" s="59">
        <v>210</v>
      </c>
      <c r="D9418" s="51">
        <v>10</v>
      </c>
      <c r="E9418" s="51">
        <f t="shared" si="147"/>
        <v>1</v>
      </c>
    </row>
    <row r="9419" spans="1:5">
      <c r="A9419" s="59">
        <v>19</v>
      </c>
      <c r="B9419" s="59">
        <v>71</v>
      </c>
      <c r="C9419" s="59">
        <v>310</v>
      </c>
      <c r="D9419" s="51">
        <v>10</v>
      </c>
      <c r="E9419" s="51">
        <f t="shared" si="147"/>
        <v>1</v>
      </c>
    </row>
    <row r="9420" spans="1:5">
      <c r="A9420" s="59">
        <v>19</v>
      </c>
      <c r="B9420" s="59">
        <v>71</v>
      </c>
      <c r="C9420" s="59">
        <v>710</v>
      </c>
      <c r="D9420" s="51">
        <v>10</v>
      </c>
      <c r="E9420" s="51">
        <f t="shared" si="147"/>
        <v>1</v>
      </c>
    </row>
    <row r="9421" spans="1:5">
      <c r="A9421" s="59">
        <v>19</v>
      </c>
      <c r="B9421" s="59">
        <v>13</v>
      </c>
      <c r="C9421" s="59">
        <v>320</v>
      </c>
      <c r="D9421" s="51">
        <v>9</v>
      </c>
      <c r="E9421" s="51">
        <f t="shared" si="147"/>
        <v>1</v>
      </c>
    </row>
    <row r="9422" spans="1:5">
      <c r="A9422" s="59">
        <v>19</v>
      </c>
      <c r="B9422" s="59">
        <v>13</v>
      </c>
      <c r="C9422" s="59">
        <v>930</v>
      </c>
      <c r="D9422" s="51">
        <v>9</v>
      </c>
      <c r="E9422" s="51">
        <f t="shared" si="147"/>
        <v>1</v>
      </c>
    </row>
    <row r="9423" spans="1:5">
      <c r="A9423" s="59">
        <v>19</v>
      </c>
      <c r="B9423" s="59">
        <v>14</v>
      </c>
      <c r="C9423" s="59">
        <v>330</v>
      </c>
      <c r="D9423" s="51">
        <v>9</v>
      </c>
      <c r="E9423" s="51">
        <f t="shared" si="147"/>
        <v>1</v>
      </c>
    </row>
    <row r="9424" spans="1:5">
      <c r="A9424" s="59">
        <v>19</v>
      </c>
      <c r="B9424" s="59">
        <v>16</v>
      </c>
      <c r="C9424" s="59">
        <v>510</v>
      </c>
      <c r="D9424" s="51">
        <v>9</v>
      </c>
      <c r="E9424" s="51">
        <f t="shared" si="147"/>
        <v>1</v>
      </c>
    </row>
    <row r="9425" spans="1:5">
      <c r="A9425" s="59">
        <v>19</v>
      </c>
      <c r="B9425" s="59">
        <v>22</v>
      </c>
      <c r="C9425" s="59">
        <v>330</v>
      </c>
      <c r="D9425" s="51">
        <v>9</v>
      </c>
      <c r="E9425" s="51">
        <f t="shared" si="147"/>
        <v>1</v>
      </c>
    </row>
    <row r="9426" spans="1:5">
      <c r="A9426" s="59">
        <v>19</v>
      </c>
      <c r="B9426" s="59">
        <v>32</v>
      </c>
      <c r="C9426" s="59">
        <v>990</v>
      </c>
      <c r="D9426" s="51">
        <v>9</v>
      </c>
      <c r="E9426" s="51">
        <f t="shared" si="147"/>
        <v>1</v>
      </c>
    </row>
    <row r="9427" spans="1:5">
      <c r="A9427" s="59">
        <v>19</v>
      </c>
      <c r="B9427" s="59">
        <v>43</v>
      </c>
      <c r="C9427" s="59">
        <v>240</v>
      </c>
      <c r="D9427" s="51">
        <v>9</v>
      </c>
      <c r="E9427" s="51">
        <f t="shared" si="147"/>
        <v>1</v>
      </c>
    </row>
    <row r="9428" spans="1:5">
      <c r="A9428" s="59">
        <v>19</v>
      </c>
      <c r="B9428" s="59">
        <v>63</v>
      </c>
      <c r="C9428" s="59">
        <v>210</v>
      </c>
      <c r="D9428" s="51">
        <v>9</v>
      </c>
      <c r="E9428" s="51">
        <f t="shared" si="147"/>
        <v>1</v>
      </c>
    </row>
    <row r="9429" spans="1:5">
      <c r="A9429" s="59">
        <v>19</v>
      </c>
      <c r="B9429" s="59">
        <v>11</v>
      </c>
      <c r="C9429" s="59">
        <v>920</v>
      </c>
      <c r="D9429" s="51">
        <v>8</v>
      </c>
      <c r="E9429" s="51">
        <f t="shared" si="147"/>
        <v>1</v>
      </c>
    </row>
    <row r="9430" spans="1:5">
      <c r="A9430" s="59">
        <v>19</v>
      </c>
      <c r="B9430" s="59">
        <v>14</v>
      </c>
      <c r="C9430" s="59">
        <v>320</v>
      </c>
      <c r="D9430" s="51">
        <v>8</v>
      </c>
      <c r="E9430" s="51">
        <f t="shared" si="147"/>
        <v>1</v>
      </c>
    </row>
    <row r="9431" spans="1:5">
      <c r="A9431" s="59">
        <v>19</v>
      </c>
      <c r="B9431" s="59">
        <v>14</v>
      </c>
      <c r="C9431" s="59">
        <v>860</v>
      </c>
      <c r="D9431" s="51">
        <v>8</v>
      </c>
      <c r="E9431" s="51">
        <f t="shared" si="147"/>
        <v>1</v>
      </c>
    </row>
    <row r="9432" spans="1:5">
      <c r="A9432" s="59">
        <v>19</v>
      </c>
      <c r="B9432" s="59">
        <v>14</v>
      </c>
      <c r="C9432" s="59">
        <v>940</v>
      </c>
      <c r="D9432" s="51">
        <v>8</v>
      </c>
      <c r="E9432" s="51">
        <f t="shared" si="147"/>
        <v>1</v>
      </c>
    </row>
    <row r="9433" spans="1:5">
      <c r="A9433" s="59">
        <v>19</v>
      </c>
      <c r="B9433" s="59">
        <v>31</v>
      </c>
      <c r="C9433" s="59">
        <v>620</v>
      </c>
      <c r="D9433" s="51">
        <v>8</v>
      </c>
      <c r="E9433" s="51">
        <f t="shared" si="147"/>
        <v>1</v>
      </c>
    </row>
    <row r="9434" spans="1:5">
      <c r="A9434" s="59">
        <v>19</v>
      </c>
      <c r="B9434" s="59">
        <v>33</v>
      </c>
      <c r="C9434" s="59">
        <v>510</v>
      </c>
      <c r="D9434" s="51">
        <v>8</v>
      </c>
      <c r="E9434" s="51">
        <f t="shared" si="147"/>
        <v>1</v>
      </c>
    </row>
    <row r="9435" spans="1:5">
      <c r="A9435" s="59">
        <v>19</v>
      </c>
      <c r="B9435" s="59">
        <v>41</v>
      </c>
      <c r="C9435" s="59">
        <v>950</v>
      </c>
      <c r="D9435" s="51">
        <v>8</v>
      </c>
      <c r="E9435" s="51">
        <f t="shared" si="147"/>
        <v>1</v>
      </c>
    </row>
    <row r="9436" spans="1:5">
      <c r="A9436" s="59">
        <v>19</v>
      </c>
      <c r="B9436" s="59">
        <v>44</v>
      </c>
      <c r="C9436" s="59">
        <v>750</v>
      </c>
      <c r="D9436" s="51">
        <v>8</v>
      </c>
      <c r="E9436" s="51">
        <f t="shared" si="147"/>
        <v>1</v>
      </c>
    </row>
    <row r="9437" spans="1:5">
      <c r="A9437" s="59">
        <v>19</v>
      </c>
      <c r="B9437" s="59">
        <v>44</v>
      </c>
      <c r="C9437" s="59">
        <v>950</v>
      </c>
      <c r="D9437" s="51">
        <v>8</v>
      </c>
      <c r="E9437" s="51">
        <f t="shared" si="147"/>
        <v>1</v>
      </c>
    </row>
    <row r="9438" spans="1:5">
      <c r="A9438" s="59">
        <v>19</v>
      </c>
      <c r="B9438" s="59">
        <v>51</v>
      </c>
      <c r="C9438" s="59">
        <v>610</v>
      </c>
      <c r="D9438" s="51">
        <v>8</v>
      </c>
      <c r="E9438" s="51">
        <f t="shared" si="147"/>
        <v>1</v>
      </c>
    </row>
    <row r="9439" spans="1:5">
      <c r="A9439" s="59">
        <v>19</v>
      </c>
      <c r="B9439" s="59">
        <v>62</v>
      </c>
      <c r="C9439" s="59">
        <v>950</v>
      </c>
      <c r="D9439" s="51">
        <v>8</v>
      </c>
      <c r="E9439" s="51">
        <f t="shared" si="147"/>
        <v>1</v>
      </c>
    </row>
    <row r="9440" spans="1:5">
      <c r="A9440" s="59">
        <v>19</v>
      </c>
      <c r="B9440" s="59">
        <v>64</v>
      </c>
      <c r="C9440" s="59">
        <v>130</v>
      </c>
      <c r="D9440" s="51">
        <v>8</v>
      </c>
      <c r="E9440" s="51">
        <f t="shared" si="147"/>
        <v>1</v>
      </c>
    </row>
    <row r="9441" spans="1:5">
      <c r="A9441" s="59">
        <v>19</v>
      </c>
      <c r="B9441" s="59">
        <v>64</v>
      </c>
      <c r="C9441" s="59">
        <v>320</v>
      </c>
      <c r="D9441" s="51">
        <v>8</v>
      </c>
      <c r="E9441" s="51">
        <f t="shared" si="147"/>
        <v>1</v>
      </c>
    </row>
    <row r="9442" spans="1:5">
      <c r="A9442" s="59">
        <v>19</v>
      </c>
      <c r="B9442" s="59">
        <v>64</v>
      </c>
      <c r="C9442" s="59">
        <v>630</v>
      </c>
      <c r="D9442" s="51">
        <v>8</v>
      </c>
      <c r="E9442" s="51">
        <f t="shared" si="147"/>
        <v>1</v>
      </c>
    </row>
    <row r="9443" spans="1:5">
      <c r="A9443" s="59">
        <v>19</v>
      </c>
      <c r="B9443" s="59">
        <v>64</v>
      </c>
      <c r="C9443" s="59">
        <v>870</v>
      </c>
      <c r="D9443" s="51">
        <v>8</v>
      </c>
      <c r="E9443" s="51">
        <f t="shared" si="147"/>
        <v>1</v>
      </c>
    </row>
    <row r="9444" spans="1:5">
      <c r="A9444" s="59">
        <v>19</v>
      </c>
      <c r="B9444" s="59">
        <v>71</v>
      </c>
      <c r="C9444" s="59">
        <v>950</v>
      </c>
      <c r="D9444" s="51">
        <v>8</v>
      </c>
      <c r="E9444" s="51">
        <f t="shared" si="147"/>
        <v>1</v>
      </c>
    </row>
    <row r="9445" spans="1:5">
      <c r="A9445" s="59">
        <v>19</v>
      </c>
      <c r="B9445" s="59">
        <v>81</v>
      </c>
      <c r="C9445" s="59">
        <v>520</v>
      </c>
      <c r="D9445" s="51">
        <v>8</v>
      </c>
      <c r="E9445" s="51">
        <f t="shared" si="147"/>
        <v>1</v>
      </c>
    </row>
    <row r="9446" spans="1:5">
      <c r="A9446" s="59">
        <v>19</v>
      </c>
      <c r="B9446" s="59">
        <v>13</v>
      </c>
      <c r="C9446" s="59">
        <v>230</v>
      </c>
      <c r="D9446" s="51">
        <v>7</v>
      </c>
      <c r="E9446" s="51">
        <f t="shared" si="147"/>
        <v>1</v>
      </c>
    </row>
    <row r="9447" spans="1:5">
      <c r="A9447" s="59">
        <v>19</v>
      </c>
      <c r="B9447" s="59">
        <v>13</v>
      </c>
      <c r="C9447" s="59">
        <v>330</v>
      </c>
      <c r="D9447" s="51">
        <v>7</v>
      </c>
      <c r="E9447" s="51">
        <f t="shared" si="147"/>
        <v>1</v>
      </c>
    </row>
    <row r="9448" spans="1:5">
      <c r="A9448" s="59">
        <v>19</v>
      </c>
      <c r="B9448" s="59">
        <v>14</v>
      </c>
      <c r="C9448" s="59">
        <v>210</v>
      </c>
      <c r="D9448" s="51">
        <v>7</v>
      </c>
      <c r="E9448" s="51">
        <f t="shared" si="147"/>
        <v>1</v>
      </c>
    </row>
    <row r="9449" spans="1:5">
      <c r="A9449" s="59">
        <v>19</v>
      </c>
      <c r="B9449" s="59">
        <v>14</v>
      </c>
      <c r="C9449" s="59">
        <v>310</v>
      </c>
      <c r="D9449" s="51">
        <v>7</v>
      </c>
      <c r="E9449" s="51">
        <f t="shared" si="147"/>
        <v>1</v>
      </c>
    </row>
    <row r="9450" spans="1:5">
      <c r="A9450" s="59">
        <v>19</v>
      </c>
      <c r="B9450" s="59">
        <v>43</v>
      </c>
      <c r="C9450" s="59">
        <v>540</v>
      </c>
      <c r="D9450" s="51">
        <v>7</v>
      </c>
      <c r="E9450" s="51">
        <f t="shared" si="147"/>
        <v>1</v>
      </c>
    </row>
    <row r="9451" spans="1:5">
      <c r="A9451" s="59">
        <v>19</v>
      </c>
      <c r="B9451" s="59">
        <v>43</v>
      </c>
      <c r="C9451" s="59">
        <v>850</v>
      </c>
      <c r="D9451" s="51">
        <v>7</v>
      </c>
      <c r="E9451" s="51">
        <f t="shared" si="147"/>
        <v>1</v>
      </c>
    </row>
    <row r="9452" spans="1:5">
      <c r="A9452" s="59">
        <v>19</v>
      </c>
      <c r="B9452" s="59">
        <v>43</v>
      </c>
      <c r="C9452" s="59">
        <v>860</v>
      </c>
      <c r="D9452" s="51">
        <v>7</v>
      </c>
      <c r="E9452" s="51">
        <f t="shared" si="147"/>
        <v>1</v>
      </c>
    </row>
    <row r="9453" spans="1:5">
      <c r="A9453" s="59">
        <v>19</v>
      </c>
      <c r="B9453" s="59">
        <v>43</v>
      </c>
      <c r="C9453" s="59">
        <v>862</v>
      </c>
      <c r="D9453" s="51">
        <v>7</v>
      </c>
      <c r="E9453" s="51">
        <f t="shared" si="147"/>
        <v>1</v>
      </c>
    </row>
    <row r="9454" spans="1:5">
      <c r="A9454" s="59">
        <v>19</v>
      </c>
      <c r="B9454" s="59">
        <v>62</v>
      </c>
      <c r="C9454" s="59">
        <v>310</v>
      </c>
      <c r="D9454" s="51">
        <v>7</v>
      </c>
      <c r="E9454" s="51">
        <f t="shared" si="147"/>
        <v>1</v>
      </c>
    </row>
    <row r="9455" spans="1:5">
      <c r="A9455" s="59">
        <v>19</v>
      </c>
      <c r="B9455" s="59">
        <v>63</v>
      </c>
      <c r="C9455" s="59">
        <v>430</v>
      </c>
      <c r="D9455" s="51">
        <v>7</v>
      </c>
      <c r="E9455" s="51">
        <f t="shared" si="147"/>
        <v>1</v>
      </c>
    </row>
    <row r="9456" spans="1:5">
      <c r="A9456" s="59">
        <v>19</v>
      </c>
      <c r="B9456" s="59">
        <v>63</v>
      </c>
      <c r="C9456" s="59">
        <v>550</v>
      </c>
      <c r="D9456" s="51">
        <v>7</v>
      </c>
      <c r="E9456" s="51">
        <f t="shared" si="147"/>
        <v>1</v>
      </c>
    </row>
    <row r="9457" spans="1:5">
      <c r="A9457" s="59">
        <v>19</v>
      </c>
      <c r="B9457" s="59">
        <v>71</v>
      </c>
      <c r="C9457" s="59">
        <v>330</v>
      </c>
      <c r="D9457" s="51">
        <v>7</v>
      </c>
      <c r="E9457" s="51">
        <f t="shared" si="147"/>
        <v>1</v>
      </c>
    </row>
    <row r="9458" spans="1:5">
      <c r="A9458" s="59">
        <v>19</v>
      </c>
      <c r="B9458" s="59">
        <v>71</v>
      </c>
      <c r="C9458" s="59">
        <v>970</v>
      </c>
      <c r="D9458" s="51">
        <v>7</v>
      </c>
      <c r="E9458" s="51">
        <f t="shared" si="147"/>
        <v>1</v>
      </c>
    </row>
    <row r="9459" spans="1:5">
      <c r="A9459" s="59">
        <v>19</v>
      </c>
      <c r="B9459" s="59">
        <v>81</v>
      </c>
      <c r="C9459" s="59">
        <v>150</v>
      </c>
      <c r="D9459" s="51">
        <v>7</v>
      </c>
      <c r="E9459" s="51">
        <f t="shared" si="147"/>
        <v>1</v>
      </c>
    </row>
    <row r="9460" spans="1:5">
      <c r="A9460" s="59">
        <v>19</v>
      </c>
      <c r="B9460" s="59">
        <v>13</v>
      </c>
      <c r="C9460" s="59">
        <v>310</v>
      </c>
      <c r="D9460" s="51">
        <v>6</v>
      </c>
      <c r="E9460" s="51">
        <f t="shared" si="147"/>
        <v>1</v>
      </c>
    </row>
    <row r="9461" spans="1:5">
      <c r="A9461" s="59">
        <v>19</v>
      </c>
      <c r="B9461" s="59">
        <v>14</v>
      </c>
      <c r="C9461" s="59">
        <v>950</v>
      </c>
      <c r="D9461" s="51">
        <v>6</v>
      </c>
      <c r="E9461" s="51">
        <f t="shared" si="147"/>
        <v>1</v>
      </c>
    </row>
    <row r="9462" spans="1:5">
      <c r="A9462" s="59">
        <v>19</v>
      </c>
      <c r="B9462" s="59">
        <v>22</v>
      </c>
      <c r="C9462" s="59">
        <v>150</v>
      </c>
      <c r="D9462" s="51">
        <v>6</v>
      </c>
      <c r="E9462" s="51">
        <f t="shared" si="147"/>
        <v>1</v>
      </c>
    </row>
    <row r="9463" spans="1:5">
      <c r="A9463" s="59">
        <v>19</v>
      </c>
      <c r="B9463" s="59">
        <v>31</v>
      </c>
      <c r="C9463" s="59">
        <v>920</v>
      </c>
      <c r="D9463" s="51">
        <v>6</v>
      </c>
      <c r="E9463" s="51">
        <f t="shared" si="147"/>
        <v>1</v>
      </c>
    </row>
    <row r="9464" spans="1:5">
      <c r="A9464" s="59">
        <v>19</v>
      </c>
      <c r="B9464" s="59">
        <v>32</v>
      </c>
      <c r="C9464" s="59">
        <v>520</v>
      </c>
      <c r="D9464" s="51">
        <v>6</v>
      </c>
      <c r="E9464" s="51">
        <f t="shared" si="147"/>
        <v>1</v>
      </c>
    </row>
    <row r="9465" spans="1:5">
      <c r="A9465" s="59">
        <v>19</v>
      </c>
      <c r="B9465" s="59">
        <v>42</v>
      </c>
      <c r="C9465" s="59">
        <v>830</v>
      </c>
      <c r="D9465" s="51">
        <v>6</v>
      </c>
      <c r="E9465" s="51">
        <f t="shared" si="147"/>
        <v>1</v>
      </c>
    </row>
    <row r="9466" spans="1:5">
      <c r="A9466" s="59">
        <v>19</v>
      </c>
      <c r="B9466" s="59">
        <v>43</v>
      </c>
      <c r="C9466" s="59">
        <v>330</v>
      </c>
      <c r="D9466" s="51">
        <v>6</v>
      </c>
      <c r="E9466" s="51">
        <f t="shared" si="147"/>
        <v>1</v>
      </c>
    </row>
    <row r="9467" spans="1:5">
      <c r="A9467" s="59">
        <v>19</v>
      </c>
      <c r="B9467" s="59">
        <v>43</v>
      </c>
      <c r="C9467" s="59">
        <v>640</v>
      </c>
      <c r="D9467" s="51">
        <v>6</v>
      </c>
      <c r="E9467" s="51">
        <f t="shared" si="147"/>
        <v>1</v>
      </c>
    </row>
    <row r="9468" spans="1:5">
      <c r="A9468" s="59">
        <v>19</v>
      </c>
      <c r="B9468" s="59">
        <v>44</v>
      </c>
      <c r="C9468" s="59">
        <v>940</v>
      </c>
      <c r="D9468" s="51">
        <v>6</v>
      </c>
      <c r="E9468" s="51">
        <f t="shared" si="147"/>
        <v>1</v>
      </c>
    </row>
    <row r="9469" spans="1:5">
      <c r="A9469" s="59">
        <v>19</v>
      </c>
      <c r="B9469" s="59">
        <v>51</v>
      </c>
      <c r="C9469" s="59">
        <v>910</v>
      </c>
      <c r="D9469" s="51">
        <v>6</v>
      </c>
      <c r="E9469" s="51">
        <f t="shared" si="147"/>
        <v>1</v>
      </c>
    </row>
    <row r="9470" spans="1:5">
      <c r="A9470" s="59">
        <v>19</v>
      </c>
      <c r="B9470" s="59">
        <v>62</v>
      </c>
      <c r="C9470" s="59">
        <v>230</v>
      </c>
      <c r="D9470" s="51">
        <v>6</v>
      </c>
      <c r="E9470" s="51">
        <f t="shared" si="147"/>
        <v>1</v>
      </c>
    </row>
    <row r="9471" spans="1:5">
      <c r="A9471" s="59">
        <v>19</v>
      </c>
      <c r="B9471" s="59">
        <v>63</v>
      </c>
      <c r="C9471" s="59">
        <v>410</v>
      </c>
      <c r="D9471" s="51">
        <v>6</v>
      </c>
      <c r="E9471" s="51">
        <f t="shared" si="147"/>
        <v>1</v>
      </c>
    </row>
    <row r="9472" spans="1:5">
      <c r="A9472" s="59">
        <v>19</v>
      </c>
      <c r="B9472" s="59">
        <v>71</v>
      </c>
      <c r="C9472" s="59">
        <v>230</v>
      </c>
      <c r="D9472" s="51">
        <v>6</v>
      </c>
      <c r="E9472" s="51">
        <f t="shared" si="147"/>
        <v>1</v>
      </c>
    </row>
    <row r="9473" spans="1:5">
      <c r="A9473" s="59">
        <v>19</v>
      </c>
      <c r="B9473" s="59">
        <v>13</v>
      </c>
      <c r="C9473" s="59">
        <v>990</v>
      </c>
      <c r="D9473" s="51">
        <v>5</v>
      </c>
      <c r="E9473" s="51">
        <f t="shared" si="147"/>
        <v>1</v>
      </c>
    </row>
    <row r="9474" spans="1:5">
      <c r="A9474" s="59">
        <v>19</v>
      </c>
      <c r="B9474" s="59">
        <v>14</v>
      </c>
      <c r="C9474" s="59">
        <v>990</v>
      </c>
      <c r="D9474" s="51">
        <v>5</v>
      </c>
      <c r="E9474" s="51">
        <f t="shared" ref="E9474:E9537" si="148">IF(OR(A9474=6,A9474=7,A9474=14,A9474=15,A9474=16,A9474=17,A9474=18,A9474=19,A9474=20,A9474=21,A9474=22,A9474=23,A9474=25,A9474=26,A9474=27,A9474=28,B9474=41,B9474=44,B9474=62),1,0)</f>
        <v>1</v>
      </c>
    </row>
    <row r="9475" spans="1:5">
      <c r="A9475" s="59">
        <v>19</v>
      </c>
      <c r="B9475" s="59">
        <v>15</v>
      </c>
      <c r="C9475" s="59">
        <v>510</v>
      </c>
      <c r="D9475" s="51">
        <v>5</v>
      </c>
      <c r="E9475" s="51">
        <f t="shared" si="148"/>
        <v>1</v>
      </c>
    </row>
    <row r="9476" spans="1:5">
      <c r="A9476" s="59">
        <v>19</v>
      </c>
      <c r="B9476" s="59">
        <v>15</v>
      </c>
      <c r="C9476" s="59">
        <v>610</v>
      </c>
      <c r="D9476" s="51">
        <v>5</v>
      </c>
      <c r="E9476" s="51">
        <f t="shared" si="148"/>
        <v>1</v>
      </c>
    </row>
    <row r="9477" spans="1:5">
      <c r="A9477" s="59">
        <v>19</v>
      </c>
      <c r="B9477" s="59">
        <v>15</v>
      </c>
      <c r="C9477" s="59">
        <v>930</v>
      </c>
      <c r="D9477" s="51">
        <v>5</v>
      </c>
      <c r="E9477" s="51">
        <f t="shared" si="148"/>
        <v>1</v>
      </c>
    </row>
    <row r="9478" spans="1:5">
      <c r="A9478" s="59">
        <v>19</v>
      </c>
      <c r="B9478" s="59">
        <v>22</v>
      </c>
      <c r="C9478" s="59">
        <v>220</v>
      </c>
      <c r="D9478" s="51">
        <v>5</v>
      </c>
      <c r="E9478" s="51">
        <f t="shared" si="148"/>
        <v>1</v>
      </c>
    </row>
    <row r="9479" spans="1:5">
      <c r="A9479" s="59">
        <v>19</v>
      </c>
      <c r="B9479" s="59">
        <v>22</v>
      </c>
      <c r="C9479" s="59">
        <v>720</v>
      </c>
      <c r="D9479" s="51">
        <v>5</v>
      </c>
      <c r="E9479" s="51">
        <f t="shared" si="148"/>
        <v>1</v>
      </c>
    </row>
    <row r="9480" spans="1:5">
      <c r="A9480" s="59">
        <v>19</v>
      </c>
      <c r="B9480" s="59">
        <v>33</v>
      </c>
      <c r="C9480" s="59">
        <v>410</v>
      </c>
      <c r="D9480" s="51">
        <v>5</v>
      </c>
      <c r="E9480" s="51">
        <f t="shared" si="148"/>
        <v>1</v>
      </c>
    </row>
    <row r="9481" spans="1:5">
      <c r="A9481" s="59">
        <v>19</v>
      </c>
      <c r="B9481" s="59">
        <v>33</v>
      </c>
      <c r="C9481" s="59">
        <v>610</v>
      </c>
      <c r="D9481" s="51">
        <v>5</v>
      </c>
      <c r="E9481" s="51">
        <f t="shared" si="148"/>
        <v>1</v>
      </c>
    </row>
    <row r="9482" spans="1:5">
      <c r="A9482" s="59">
        <v>19</v>
      </c>
      <c r="B9482" s="59">
        <v>42</v>
      </c>
      <c r="C9482" s="59">
        <v>640</v>
      </c>
      <c r="D9482" s="51">
        <v>5</v>
      </c>
      <c r="E9482" s="51">
        <f t="shared" si="148"/>
        <v>1</v>
      </c>
    </row>
    <row r="9483" spans="1:5">
      <c r="A9483" s="59">
        <v>19</v>
      </c>
      <c r="B9483" s="59">
        <v>43</v>
      </c>
      <c r="C9483" s="59">
        <v>320</v>
      </c>
      <c r="D9483" s="51">
        <v>5</v>
      </c>
      <c r="E9483" s="51">
        <f t="shared" si="148"/>
        <v>1</v>
      </c>
    </row>
    <row r="9484" spans="1:5">
      <c r="A9484" s="59">
        <v>19</v>
      </c>
      <c r="B9484" s="59">
        <v>44</v>
      </c>
      <c r="C9484" s="59">
        <v>110</v>
      </c>
      <c r="D9484" s="51">
        <v>5</v>
      </c>
      <c r="E9484" s="51">
        <f t="shared" si="148"/>
        <v>1</v>
      </c>
    </row>
    <row r="9485" spans="1:5">
      <c r="A9485" s="59">
        <v>19</v>
      </c>
      <c r="B9485" s="59">
        <v>62</v>
      </c>
      <c r="C9485" s="59">
        <v>640</v>
      </c>
      <c r="D9485" s="51">
        <v>5</v>
      </c>
      <c r="E9485" s="51">
        <f t="shared" si="148"/>
        <v>1</v>
      </c>
    </row>
    <row r="9486" spans="1:5">
      <c r="A9486" s="59">
        <v>19</v>
      </c>
      <c r="B9486" s="59">
        <v>63</v>
      </c>
      <c r="C9486" s="59">
        <v>230</v>
      </c>
      <c r="D9486" s="51">
        <v>5</v>
      </c>
      <c r="E9486" s="51">
        <f t="shared" si="148"/>
        <v>1</v>
      </c>
    </row>
    <row r="9487" spans="1:5">
      <c r="A9487" s="59">
        <v>19</v>
      </c>
      <c r="B9487" s="59">
        <v>63</v>
      </c>
      <c r="C9487" s="59">
        <v>320</v>
      </c>
      <c r="D9487" s="51">
        <v>5</v>
      </c>
      <c r="E9487" s="51">
        <f t="shared" si="148"/>
        <v>1</v>
      </c>
    </row>
    <row r="9488" spans="1:5">
      <c r="A9488" s="59">
        <v>19</v>
      </c>
      <c r="B9488" s="59">
        <v>64</v>
      </c>
      <c r="C9488" s="59">
        <v>220</v>
      </c>
      <c r="D9488" s="51">
        <v>5</v>
      </c>
      <c r="E9488" s="51">
        <f t="shared" si="148"/>
        <v>1</v>
      </c>
    </row>
    <row r="9489" spans="1:5">
      <c r="A9489" s="59">
        <v>19</v>
      </c>
      <c r="B9489" s="59">
        <v>64</v>
      </c>
      <c r="C9489" s="59">
        <v>899</v>
      </c>
      <c r="D9489" s="51">
        <v>5</v>
      </c>
      <c r="E9489" s="51">
        <f t="shared" si="148"/>
        <v>1</v>
      </c>
    </row>
    <row r="9490" spans="1:5">
      <c r="A9490" s="59">
        <v>19</v>
      </c>
      <c r="B9490" s="59">
        <v>81</v>
      </c>
      <c r="C9490" s="59">
        <v>210</v>
      </c>
      <c r="D9490" s="51">
        <v>5</v>
      </c>
      <c r="E9490" s="51">
        <f t="shared" si="148"/>
        <v>1</v>
      </c>
    </row>
    <row r="9491" spans="1:5">
      <c r="A9491" s="59">
        <v>19</v>
      </c>
      <c r="B9491" s="59">
        <v>12</v>
      </c>
      <c r="C9491" s="59">
        <v>620</v>
      </c>
      <c r="D9491" s="51">
        <v>4</v>
      </c>
      <c r="E9491" s="51">
        <f t="shared" si="148"/>
        <v>1</v>
      </c>
    </row>
    <row r="9492" spans="1:5">
      <c r="A9492" s="59">
        <v>19</v>
      </c>
      <c r="B9492" s="59">
        <v>13</v>
      </c>
      <c r="C9492" s="59">
        <v>210</v>
      </c>
      <c r="D9492" s="51">
        <v>4</v>
      </c>
      <c r="E9492" s="51">
        <f t="shared" si="148"/>
        <v>1</v>
      </c>
    </row>
    <row r="9493" spans="1:5">
      <c r="A9493" s="59">
        <v>19</v>
      </c>
      <c r="B9493" s="59">
        <v>13</v>
      </c>
      <c r="C9493" s="59">
        <v>720</v>
      </c>
      <c r="D9493" s="51">
        <v>4</v>
      </c>
      <c r="E9493" s="51">
        <f t="shared" si="148"/>
        <v>1</v>
      </c>
    </row>
    <row r="9494" spans="1:5">
      <c r="A9494" s="59">
        <v>19</v>
      </c>
      <c r="B9494" s="59">
        <v>14</v>
      </c>
      <c r="C9494" s="59">
        <v>410</v>
      </c>
      <c r="D9494" s="51">
        <v>4</v>
      </c>
      <c r="E9494" s="51">
        <f t="shared" si="148"/>
        <v>1</v>
      </c>
    </row>
    <row r="9495" spans="1:5">
      <c r="A9495" s="59">
        <v>19</v>
      </c>
      <c r="B9495" s="59">
        <v>14</v>
      </c>
      <c r="C9495" s="59">
        <v>420</v>
      </c>
      <c r="D9495" s="51">
        <v>4</v>
      </c>
      <c r="E9495" s="51">
        <f t="shared" si="148"/>
        <v>1</v>
      </c>
    </row>
    <row r="9496" spans="1:5">
      <c r="A9496" s="59">
        <v>19</v>
      </c>
      <c r="B9496" s="59">
        <v>14</v>
      </c>
      <c r="C9496" s="59">
        <v>720</v>
      </c>
      <c r="D9496" s="51">
        <v>4</v>
      </c>
      <c r="E9496" s="51">
        <f t="shared" si="148"/>
        <v>1</v>
      </c>
    </row>
    <row r="9497" spans="1:5">
      <c r="A9497" s="59">
        <v>19</v>
      </c>
      <c r="B9497" s="59">
        <v>14</v>
      </c>
      <c r="C9497" s="59">
        <v>970</v>
      </c>
      <c r="D9497" s="51">
        <v>4</v>
      </c>
      <c r="E9497" s="51">
        <f t="shared" si="148"/>
        <v>1</v>
      </c>
    </row>
    <row r="9498" spans="1:5">
      <c r="A9498" s="59">
        <v>19</v>
      </c>
      <c r="B9498" s="59">
        <v>16</v>
      </c>
      <c r="C9498" s="59">
        <v>230</v>
      </c>
      <c r="D9498" s="51">
        <v>4</v>
      </c>
      <c r="E9498" s="51">
        <f t="shared" si="148"/>
        <v>1</v>
      </c>
    </row>
    <row r="9499" spans="1:5">
      <c r="A9499" s="59">
        <v>19</v>
      </c>
      <c r="B9499" s="59">
        <v>16</v>
      </c>
      <c r="C9499" s="59">
        <v>420</v>
      </c>
      <c r="D9499" s="51">
        <v>4</v>
      </c>
      <c r="E9499" s="51">
        <f t="shared" si="148"/>
        <v>1</v>
      </c>
    </row>
    <row r="9500" spans="1:5">
      <c r="A9500" s="59">
        <v>19</v>
      </c>
      <c r="B9500" s="59">
        <v>16</v>
      </c>
      <c r="C9500" s="59">
        <v>520</v>
      </c>
      <c r="D9500" s="51">
        <v>4</v>
      </c>
      <c r="E9500" s="51">
        <f t="shared" si="148"/>
        <v>1</v>
      </c>
    </row>
    <row r="9501" spans="1:5">
      <c r="A9501" s="59">
        <v>19</v>
      </c>
      <c r="B9501" s="59">
        <v>22</v>
      </c>
      <c r="C9501" s="59">
        <v>320</v>
      </c>
      <c r="D9501" s="51">
        <v>4</v>
      </c>
      <c r="E9501" s="51">
        <f t="shared" si="148"/>
        <v>1</v>
      </c>
    </row>
    <row r="9502" spans="1:5">
      <c r="A9502" s="59">
        <v>19</v>
      </c>
      <c r="B9502" s="59">
        <v>24</v>
      </c>
      <c r="C9502" s="59">
        <v>920</v>
      </c>
      <c r="D9502" s="51">
        <v>4</v>
      </c>
      <c r="E9502" s="51">
        <f t="shared" si="148"/>
        <v>1</v>
      </c>
    </row>
    <row r="9503" spans="1:5">
      <c r="A9503" s="59">
        <v>19</v>
      </c>
      <c r="B9503" s="59">
        <v>31</v>
      </c>
      <c r="C9503" s="59">
        <v>410</v>
      </c>
      <c r="D9503" s="51">
        <v>4</v>
      </c>
      <c r="E9503" s="51">
        <f t="shared" si="148"/>
        <v>1</v>
      </c>
    </row>
    <row r="9504" spans="1:5">
      <c r="A9504" s="59">
        <v>19</v>
      </c>
      <c r="B9504" s="59">
        <v>31</v>
      </c>
      <c r="C9504" s="59">
        <v>430</v>
      </c>
      <c r="D9504" s="51">
        <v>4</v>
      </c>
      <c r="E9504" s="51">
        <f t="shared" si="148"/>
        <v>1</v>
      </c>
    </row>
    <row r="9505" spans="1:5">
      <c r="A9505" s="59">
        <v>19</v>
      </c>
      <c r="B9505" s="59">
        <v>32</v>
      </c>
      <c r="C9505" s="59">
        <v>150</v>
      </c>
      <c r="D9505" s="51">
        <v>4</v>
      </c>
      <c r="E9505" s="51">
        <f t="shared" si="148"/>
        <v>1</v>
      </c>
    </row>
    <row r="9506" spans="1:5">
      <c r="A9506" s="59">
        <v>19</v>
      </c>
      <c r="B9506" s="59">
        <v>32</v>
      </c>
      <c r="C9506" s="59">
        <v>960</v>
      </c>
      <c r="D9506" s="51">
        <v>4</v>
      </c>
      <c r="E9506" s="51">
        <f t="shared" si="148"/>
        <v>1</v>
      </c>
    </row>
    <row r="9507" spans="1:5">
      <c r="A9507" s="59">
        <v>19</v>
      </c>
      <c r="B9507" s="59">
        <v>33</v>
      </c>
      <c r="C9507" s="59">
        <v>230</v>
      </c>
      <c r="D9507" s="51">
        <v>4</v>
      </c>
      <c r="E9507" s="51">
        <f t="shared" si="148"/>
        <v>1</v>
      </c>
    </row>
    <row r="9508" spans="1:5">
      <c r="A9508" s="59">
        <v>19</v>
      </c>
      <c r="B9508" s="59">
        <v>42</v>
      </c>
      <c r="C9508" s="59">
        <v>230</v>
      </c>
      <c r="D9508" s="51">
        <v>4</v>
      </c>
      <c r="E9508" s="51">
        <f t="shared" si="148"/>
        <v>1</v>
      </c>
    </row>
    <row r="9509" spans="1:5">
      <c r="A9509" s="59">
        <v>19</v>
      </c>
      <c r="B9509" s="59">
        <v>42</v>
      </c>
      <c r="C9509" s="59">
        <v>720</v>
      </c>
      <c r="D9509" s="51">
        <v>4</v>
      </c>
      <c r="E9509" s="51">
        <f t="shared" si="148"/>
        <v>1</v>
      </c>
    </row>
    <row r="9510" spans="1:5">
      <c r="A9510" s="59">
        <v>19</v>
      </c>
      <c r="B9510" s="59">
        <v>43</v>
      </c>
      <c r="C9510" s="59">
        <v>895</v>
      </c>
      <c r="D9510" s="51">
        <v>4</v>
      </c>
      <c r="E9510" s="51">
        <f t="shared" si="148"/>
        <v>1</v>
      </c>
    </row>
    <row r="9511" spans="1:5">
      <c r="A9511" s="59">
        <v>19</v>
      </c>
      <c r="B9511" s="59">
        <v>44</v>
      </c>
      <c r="C9511" s="59">
        <v>150</v>
      </c>
      <c r="D9511" s="51">
        <v>4</v>
      </c>
      <c r="E9511" s="51">
        <f t="shared" si="148"/>
        <v>1</v>
      </c>
    </row>
    <row r="9512" spans="1:5">
      <c r="A9512" s="59">
        <v>19</v>
      </c>
      <c r="B9512" s="59">
        <v>44</v>
      </c>
      <c r="C9512" s="59">
        <v>892</v>
      </c>
      <c r="D9512" s="51">
        <v>4</v>
      </c>
      <c r="E9512" s="51">
        <f t="shared" si="148"/>
        <v>1</v>
      </c>
    </row>
    <row r="9513" spans="1:5">
      <c r="A9513" s="59">
        <v>19</v>
      </c>
      <c r="B9513" s="59">
        <v>62</v>
      </c>
      <c r="C9513" s="59">
        <v>330</v>
      </c>
      <c r="D9513" s="51">
        <v>4</v>
      </c>
      <c r="E9513" s="51">
        <f t="shared" si="148"/>
        <v>1</v>
      </c>
    </row>
    <row r="9514" spans="1:5">
      <c r="A9514" s="59">
        <v>19</v>
      </c>
      <c r="B9514" s="59">
        <v>62</v>
      </c>
      <c r="C9514" s="59">
        <v>550</v>
      </c>
      <c r="D9514" s="51">
        <v>4</v>
      </c>
      <c r="E9514" s="51">
        <f t="shared" si="148"/>
        <v>1</v>
      </c>
    </row>
    <row r="9515" spans="1:5">
      <c r="A9515" s="59">
        <v>19</v>
      </c>
      <c r="B9515" s="59">
        <v>62</v>
      </c>
      <c r="C9515" s="59">
        <v>830</v>
      </c>
      <c r="D9515" s="51">
        <v>4</v>
      </c>
      <c r="E9515" s="51">
        <f t="shared" si="148"/>
        <v>1</v>
      </c>
    </row>
    <row r="9516" spans="1:5">
      <c r="A9516" s="59">
        <v>19</v>
      </c>
      <c r="B9516" s="59">
        <v>63</v>
      </c>
      <c r="C9516" s="59">
        <v>310</v>
      </c>
      <c r="D9516" s="51">
        <v>4</v>
      </c>
      <c r="E9516" s="51">
        <f t="shared" si="148"/>
        <v>1</v>
      </c>
    </row>
    <row r="9517" spans="1:5">
      <c r="A9517" s="59">
        <v>19</v>
      </c>
      <c r="B9517" s="59">
        <v>63</v>
      </c>
      <c r="C9517" s="59">
        <v>899</v>
      </c>
      <c r="D9517" s="51">
        <v>4</v>
      </c>
      <c r="E9517" s="51">
        <f t="shared" si="148"/>
        <v>1</v>
      </c>
    </row>
    <row r="9518" spans="1:5">
      <c r="A9518" s="59">
        <v>19</v>
      </c>
      <c r="B9518" s="59">
        <v>71</v>
      </c>
      <c r="C9518" s="59">
        <v>240</v>
      </c>
      <c r="D9518" s="51">
        <v>4</v>
      </c>
      <c r="E9518" s="51">
        <f t="shared" si="148"/>
        <v>1</v>
      </c>
    </row>
    <row r="9519" spans="1:5">
      <c r="A9519" s="59">
        <v>19</v>
      </c>
      <c r="B9519" s="59">
        <v>71</v>
      </c>
      <c r="C9519" s="59">
        <v>420</v>
      </c>
      <c r="D9519" s="51">
        <v>4</v>
      </c>
      <c r="E9519" s="51">
        <f t="shared" si="148"/>
        <v>1</v>
      </c>
    </row>
    <row r="9520" spans="1:5">
      <c r="A9520" s="59">
        <v>19</v>
      </c>
      <c r="B9520" s="59">
        <v>81</v>
      </c>
      <c r="C9520" s="59">
        <v>710</v>
      </c>
      <c r="D9520" s="51">
        <v>4</v>
      </c>
      <c r="E9520" s="51">
        <f t="shared" si="148"/>
        <v>1</v>
      </c>
    </row>
    <row r="9521" spans="1:5">
      <c r="A9521" s="59">
        <v>19</v>
      </c>
      <c r="B9521" s="59">
        <v>81</v>
      </c>
      <c r="C9521" s="59">
        <v>830</v>
      </c>
      <c r="D9521" s="51">
        <v>4</v>
      </c>
      <c r="E9521" s="51">
        <f t="shared" si="148"/>
        <v>1</v>
      </c>
    </row>
    <row r="9522" spans="1:5">
      <c r="A9522" s="59">
        <v>19</v>
      </c>
      <c r="B9522" s="59">
        <v>11</v>
      </c>
      <c r="C9522" s="59">
        <v>610</v>
      </c>
      <c r="D9522" s="51">
        <v>3</v>
      </c>
      <c r="E9522" s="51">
        <f t="shared" si="148"/>
        <v>1</v>
      </c>
    </row>
    <row r="9523" spans="1:5">
      <c r="A9523" s="59">
        <v>19</v>
      </c>
      <c r="B9523" s="59">
        <v>13</v>
      </c>
      <c r="C9523" s="59">
        <v>130</v>
      </c>
      <c r="D9523" s="51">
        <v>3</v>
      </c>
      <c r="E9523" s="51">
        <f t="shared" si="148"/>
        <v>1</v>
      </c>
    </row>
    <row r="9524" spans="1:5">
      <c r="A9524" s="59">
        <v>19</v>
      </c>
      <c r="B9524" s="59">
        <v>14</v>
      </c>
      <c r="C9524" s="59">
        <v>130</v>
      </c>
      <c r="D9524" s="51">
        <v>3</v>
      </c>
      <c r="E9524" s="51">
        <f t="shared" si="148"/>
        <v>1</v>
      </c>
    </row>
    <row r="9525" spans="1:5">
      <c r="A9525" s="59">
        <v>19</v>
      </c>
      <c r="B9525" s="59">
        <v>14</v>
      </c>
      <c r="C9525" s="59">
        <v>240</v>
      </c>
      <c r="D9525" s="51">
        <v>3</v>
      </c>
      <c r="E9525" s="51">
        <f t="shared" si="148"/>
        <v>1</v>
      </c>
    </row>
    <row r="9526" spans="1:5">
      <c r="A9526" s="59">
        <v>19</v>
      </c>
      <c r="B9526" s="59">
        <v>14</v>
      </c>
      <c r="C9526" s="59">
        <v>430</v>
      </c>
      <c r="D9526" s="51">
        <v>3</v>
      </c>
      <c r="E9526" s="51">
        <f t="shared" si="148"/>
        <v>1</v>
      </c>
    </row>
    <row r="9527" spans="1:5">
      <c r="A9527" s="59">
        <v>19</v>
      </c>
      <c r="B9527" s="59">
        <v>15</v>
      </c>
      <c r="C9527" s="59">
        <v>140</v>
      </c>
      <c r="D9527" s="51">
        <v>3</v>
      </c>
      <c r="E9527" s="51">
        <f t="shared" si="148"/>
        <v>1</v>
      </c>
    </row>
    <row r="9528" spans="1:5">
      <c r="A9528" s="59">
        <v>19</v>
      </c>
      <c r="B9528" s="59">
        <v>15</v>
      </c>
      <c r="C9528" s="59">
        <v>210</v>
      </c>
      <c r="D9528" s="51">
        <v>3</v>
      </c>
      <c r="E9528" s="51">
        <f t="shared" si="148"/>
        <v>1</v>
      </c>
    </row>
    <row r="9529" spans="1:5">
      <c r="A9529" s="59">
        <v>19</v>
      </c>
      <c r="B9529" s="59">
        <v>15</v>
      </c>
      <c r="C9529" s="59">
        <v>310</v>
      </c>
      <c r="D9529" s="51">
        <v>3</v>
      </c>
      <c r="E9529" s="51">
        <f t="shared" si="148"/>
        <v>1</v>
      </c>
    </row>
    <row r="9530" spans="1:5">
      <c r="A9530" s="59">
        <v>19</v>
      </c>
      <c r="B9530" s="59">
        <v>15</v>
      </c>
      <c r="C9530" s="59">
        <v>320</v>
      </c>
      <c r="D9530" s="51">
        <v>3</v>
      </c>
      <c r="E9530" s="51">
        <f t="shared" si="148"/>
        <v>1</v>
      </c>
    </row>
    <row r="9531" spans="1:5">
      <c r="A9531" s="59">
        <v>19</v>
      </c>
      <c r="B9531" s="59">
        <v>16</v>
      </c>
      <c r="C9531" s="59">
        <v>110</v>
      </c>
      <c r="D9531" s="51">
        <v>3</v>
      </c>
      <c r="E9531" s="51">
        <f t="shared" si="148"/>
        <v>1</v>
      </c>
    </row>
    <row r="9532" spans="1:5">
      <c r="A9532" s="59">
        <v>19</v>
      </c>
      <c r="B9532" s="59">
        <v>16</v>
      </c>
      <c r="C9532" s="59">
        <v>410</v>
      </c>
      <c r="D9532" s="51">
        <v>3</v>
      </c>
      <c r="E9532" s="51">
        <f t="shared" si="148"/>
        <v>1</v>
      </c>
    </row>
    <row r="9533" spans="1:5">
      <c r="A9533" s="59">
        <v>19</v>
      </c>
      <c r="B9533" s="59">
        <v>22</v>
      </c>
      <c r="C9533" s="59">
        <v>160</v>
      </c>
      <c r="D9533" s="51">
        <v>3</v>
      </c>
      <c r="E9533" s="51">
        <f t="shared" si="148"/>
        <v>1</v>
      </c>
    </row>
    <row r="9534" spans="1:5">
      <c r="A9534" s="59">
        <v>19</v>
      </c>
      <c r="B9534" s="59">
        <v>22</v>
      </c>
      <c r="C9534" s="59">
        <v>240</v>
      </c>
      <c r="D9534" s="51">
        <v>3</v>
      </c>
      <c r="E9534" s="51">
        <f t="shared" si="148"/>
        <v>1</v>
      </c>
    </row>
    <row r="9535" spans="1:5">
      <c r="A9535" s="59">
        <v>19</v>
      </c>
      <c r="B9535" s="59">
        <v>31</v>
      </c>
      <c r="C9535" s="59">
        <v>895</v>
      </c>
      <c r="D9535" s="51">
        <v>3</v>
      </c>
      <c r="E9535" s="51">
        <f t="shared" si="148"/>
        <v>1</v>
      </c>
    </row>
    <row r="9536" spans="1:5">
      <c r="A9536" s="59">
        <v>19</v>
      </c>
      <c r="B9536" s="59">
        <v>33</v>
      </c>
      <c r="C9536" s="59">
        <v>430</v>
      </c>
      <c r="D9536" s="51">
        <v>3</v>
      </c>
      <c r="E9536" s="51">
        <f t="shared" si="148"/>
        <v>1</v>
      </c>
    </row>
    <row r="9537" spans="1:5">
      <c r="A9537" s="59">
        <v>19</v>
      </c>
      <c r="B9537" s="59">
        <v>33</v>
      </c>
      <c r="C9537" s="59">
        <v>530</v>
      </c>
      <c r="D9537" s="51">
        <v>3</v>
      </c>
      <c r="E9537" s="51">
        <f t="shared" si="148"/>
        <v>1</v>
      </c>
    </row>
    <row r="9538" spans="1:5">
      <c r="A9538" s="59">
        <v>19</v>
      </c>
      <c r="B9538" s="59">
        <v>41</v>
      </c>
      <c r="C9538" s="59">
        <v>710</v>
      </c>
      <c r="D9538" s="51">
        <v>3</v>
      </c>
      <c r="E9538" s="51">
        <f t="shared" ref="E9538:E9601" si="149">IF(OR(A9538=6,A9538=7,A9538=14,A9538=15,A9538=16,A9538=17,A9538=18,A9538=19,A9538=20,A9538=21,A9538=22,A9538=23,A9538=25,A9538=26,A9538=27,A9538=28,B9538=41,B9538=44,B9538=62),1,0)</f>
        <v>1</v>
      </c>
    </row>
    <row r="9539" spans="1:5">
      <c r="A9539" s="59">
        <v>19</v>
      </c>
      <c r="B9539" s="59">
        <v>41</v>
      </c>
      <c r="C9539" s="59">
        <v>831</v>
      </c>
      <c r="D9539" s="51">
        <v>3</v>
      </c>
      <c r="E9539" s="51">
        <f t="shared" si="149"/>
        <v>1</v>
      </c>
    </row>
    <row r="9540" spans="1:5">
      <c r="A9540" s="59">
        <v>19</v>
      </c>
      <c r="B9540" s="59">
        <v>42</v>
      </c>
      <c r="C9540" s="59">
        <v>310</v>
      </c>
      <c r="D9540" s="51">
        <v>3</v>
      </c>
      <c r="E9540" s="51">
        <f t="shared" si="149"/>
        <v>1</v>
      </c>
    </row>
    <row r="9541" spans="1:5">
      <c r="A9541" s="59">
        <v>19</v>
      </c>
      <c r="B9541" s="59">
        <v>42</v>
      </c>
      <c r="C9541" s="59">
        <v>990</v>
      </c>
      <c r="D9541" s="51">
        <v>3</v>
      </c>
      <c r="E9541" s="51">
        <f t="shared" si="149"/>
        <v>1</v>
      </c>
    </row>
    <row r="9542" spans="1:5">
      <c r="A9542" s="59">
        <v>19</v>
      </c>
      <c r="B9542" s="59">
        <v>43</v>
      </c>
      <c r="C9542" s="59">
        <v>710</v>
      </c>
      <c r="D9542" s="51">
        <v>3</v>
      </c>
      <c r="E9542" s="51">
        <f t="shared" si="149"/>
        <v>1</v>
      </c>
    </row>
    <row r="9543" spans="1:5">
      <c r="A9543" s="59">
        <v>19</v>
      </c>
      <c r="B9543" s="59">
        <v>44</v>
      </c>
      <c r="C9543" s="59">
        <v>861</v>
      </c>
      <c r="D9543" s="51">
        <v>3</v>
      </c>
      <c r="E9543" s="51">
        <f t="shared" si="149"/>
        <v>1</v>
      </c>
    </row>
    <row r="9544" spans="1:5">
      <c r="A9544" s="59">
        <v>19</v>
      </c>
      <c r="B9544" s="59">
        <v>51</v>
      </c>
      <c r="C9544" s="59">
        <v>150</v>
      </c>
      <c r="D9544" s="51">
        <v>3</v>
      </c>
      <c r="E9544" s="51">
        <f t="shared" si="149"/>
        <v>1</v>
      </c>
    </row>
    <row r="9545" spans="1:5">
      <c r="A9545" s="59">
        <v>19</v>
      </c>
      <c r="B9545" s="59">
        <v>62</v>
      </c>
      <c r="C9545" s="59">
        <v>740</v>
      </c>
      <c r="D9545" s="51">
        <v>3</v>
      </c>
      <c r="E9545" s="51">
        <f t="shared" si="149"/>
        <v>1</v>
      </c>
    </row>
    <row r="9546" spans="1:5">
      <c r="A9546" s="59">
        <v>19</v>
      </c>
      <c r="B9546" s="59">
        <v>63</v>
      </c>
      <c r="C9546" s="59">
        <v>640</v>
      </c>
      <c r="D9546" s="51">
        <v>3</v>
      </c>
      <c r="E9546" s="51">
        <f t="shared" si="149"/>
        <v>1</v>
      </c>
    </row>
    <row r="9547" spans="1:5">
      <c r="A9547" s="59">
        <v>19</v>
      </c>
      <c r="B9547" s="59">
        <v>63</v>
      </c>
      <c r="C9547" s="59">
        <v>950</v>
      </c>
      <c r="D9547" s="51">
        <v>3</v>
      </c>
      <c r="E9547" s="51">
        <f t="shared" si="149"/>
        <v>1</v>
      </c>
    </row>
    <row r="9548" spans="1:5">
      <c r="A9548" s="59">
        <v>19</v>
      </c>
      <c r="B9548" s="59">
        <v>63</v>
      </c>
      <c r="C9548" s="59">
        <v>960</v>
      </c>
      <c r="D9548" s="51">
        <v>3</v>
      </c>
      <c r="E9548" s="51">
        <f t="shared" si="149"/>
        <v>1</v>
      </c>
    </row>
    <row r="9549" spans="1:5">
      <c r="A9549" s="59">
        <v>19</v>
      </c>
      <c r="B9549" s="59">
        <v>64</v>
      </c>
      <c r="C9549" s="59">
        <v>740</v>
      </c>
      <c r="D9549" s="51">
        <v>3</v>
      </c>
      <c r="E9549" s="51">
        <f t="shared" si="149"/>
        <v>1</v>
      </c>
    </row>
    <row r="9550" spans="1:5">
      <c r="A9550" s="59">
        <v>19</v>
      </c>
      <c r="B9550" s="59">
        <v>64</v>
      </c>
      <c r="C9550" s="59">
        <v>960</v>
      </c>
      <c r="D9550" s="51">
        <v>3</v>
      </c>
      <c r="E9550" s="51">
        <f t="shared" si="149"/>
        <v>1</v>
      </c>
    </row>
    <row r="9551" spans="1:5">
      <c r="A9551" s="59">
        <v>19</v>
      </c>
      <c r="B9551" s="59">
        <v>71</v>
      </c>
      <c r="C9551" s="59">
        <v>430</v>
      </c>
      <c r="D9551" s="51">
        <v>3</v>
      </c>
      <c r="E9551" s="51">
        <f t="shared" si="149"/>
        <v>1</v>
      </c>
    </row>
    <row r="9552" spans="1:5">
      <c r="A9552" s="59">
        <v>19</v>
      </c>
      <c r="B9552" s="59">
        <v>71</v>
      </c>
      <c r="C9552" s="59">
        <v>830</v>
      </c>
      <c r="D9552" s="51">
        <v>3</v>
      </c>
      <c r="E9552" s="51">
        <f t="shared" si="149"/>
        <v>1</v>
      </c>
    </row>
    <row r="9553" spans="1:5">
      <c r="A9553" s="59">
        <v>19</v>
      </c>
      <c r="B9553" s="59">
        <v>81</v>
      </c>
      <c r="C9553" s="59">
        <v>240</v>
      </c>
      <c r="D9553" s="51">
        <v>3</v>
      </c>
      <c r="E9553" s="51">
        <f t="shared" si="149"/>
        <v>1</v>
      </c>
    </row>
    <row r="9554" spans="1:5">
      <c r="A9554" s="59">
        <v>19</v>
      </c>
      <c r="B9554" s="59">
        <v>11</v>
      </c>
      <c r="C9554" s="59">
        <v>160</v>
      </c>
      <c r="D9554" s="51">
        <v>2</v>
      </c>
      <c r="E9554" s="51">
        <f t="shared" si="149"/>
        <v>1</v>
      </c>
    </row>
    <row r="9555" spans="1:5">
      <c r="A9555" s="59">
        <v>19</v>
      </c>
      <c r="B9555" s="59">
        <v>11</v>
      </c>
      <c r="C9555" s="59">
        <v>530</v>
      </c>
      <c r="D9555" s="51">
        <v>2</v>
      </c>
      <c r="E9555" s="51">
        <f t="shared" si="149"/>
        <v>1</v>
      </c>
    </row>
    <row r="9556" spans="1:5">
      <c r="A9556" s="59">
        <v>19</v>
      </c>
      <c r="B9556" s="59">
        <v>13</v>
      </c>
      <c r="C9556" s="59">
        <v>220</v>
      </c>
      <c r="D9556" s="51">
        <v>2</v>
      </c>
      <c r="E9556" s="51">
        <f t="shared" si="149"/>
        <v>1</v>
      </c>
    </row>
    <row r="9557" spans="1:5">
      <c r="A9557" s="59">
        <v>19</v>
      </c>
      <c r="B9557" s="59">
        <v>13</v>
      </c>
      <c r="C9557" s="59">
        <v>730</v>
      </c>
      <c r="D9557" s="51">
        <v>2</v>
      </c>
      <c r="E9557" s="51">
        <f t="shared" si="149"/>
        <v>1</v>
      </c>
    </row>
    <row r="9558" spans="1:5">
      <c r="A9558" s="59">
        <v>19</v>
      </c>
      <c r="B9558" s="59">
        <v>13</v>
      </c>
      <c r="C9558" s="59">
        <v>831</v>
      </c>
      <c r="D9558" s="51">
        <v>2</v>
      </c>
      <c r="E9558" s="51">
        <f t="shared" si="149"/>
        <v>1</v>
      </c>
    </row>
    <row r="9559" spans="1:5">
      <c r="A9559" s="59">
        <v>19</v>
      </c>
      <c r="B9559" s="59">
        <v>14</v>
      </c>
      <c r="C9559" s="59">
        <v>120</v>
      </c>
      <c r="D9559" s="51">
        <v>2</v>
      </c>
      <c r="E9559" s="51">
        <f t="shared" si="149"/>
        <v>1</v>
      </c>
    </row>
    <row r="9560" spans="1:5">
      <c r="A9560" s="59">
        <v>19</v>
      </c>
      <c r="B9560" s="59">
        <v>14</v>
      </c>
      <c r="C9560" s="59">
        <v>220</v>
      </c>
      <c r="D9560" s="51">
        <v>2</v>
      </c>
      <c r="E9560" s="51">
        <f t="shared" si="149"/>
        <v>1</v>
      </c>
    </row>
    <row r="9561" spans="1:5">
      <c r="A9561" s="59">
        <v>19</v>
      </c>
      <c r="B9561" s="59">
        <v>15</v>
      </c>
      <c r="C9561" s="59">
        <v>530</v>
      </c>
      <c r="D9561" s="51">
        <v>2</v>
      </c>
      <c r="E9561" s="51">
        <f t="shared" si="149"/>
        <v>1</v>
      </c>
    </row>
    <row r="9562" spans="1:5">
      <c r="A9562" s="59">
        <v>19</v>
      </c>
      <c r="B9562" s="59">
        <v>16</v>
      </c>
      <c r="C9562" s="59">
        <v>210</v>
      </c>
      <c r="D9562" s="51">
        <v>2</v>
      </c>
      <c r="E9562" s="51">
        <f t="shared" si="149"/>
        <v>1</v>
      </c>
    </row>
    <row r="9563" spans="1:5">
      <c r="A9563" s="59">
        <v>19</v>
      </c>
      <c r="B9563" s="59">
        <v>16</v>
      </c>
      <c r="C9563" s="59">
        <v>320</v>
      </c>
      <c r="D9563" s="51">
        <v>2</v>
      </c>
      <c r="E9563" s="51">
        <f t="shared" si="149"/>
        <v>1</v>
      </c>
    </row>
    <row r="9564" spans="1:5">
      <c r="A9564" s="59">
        <v>19</v>
      </c>
      <c r="B9564" s="59">
        <v>22</v>
      </c>
      <c r="C9564" s="59">
        <v>610</v>
      </c>
      <c r="D9564" s="51">
        <v>2</v>
      </c>
      <c r="E9564" s="51">
        <f t="shared" si="149"/>
        <v>1</v>
      </c>
    </row>
    <row r="9565" spans="1:5">
      <c r="A9565" s="59">
        <v>19</v>
      </c>
      <c r="B9565" s="59">
        <v>22</v>
      </c>
      <c r="C9565" s="59">
        <v>970</v>
      </c>
      <c r="D9565" s="51">
        <v>2</v>
      </c>
      <c r="E9565" s="51">
        <f t="shared" si="149"/>
        <v>1</v>
      </c>
    </row>
    <row r="9566" spans="1:5">
      <c r="A9566" s="59">
        <v>19</v>
      </c>
      <c r="B9566" s="59">
        <v>24</v>
      </c>
      <c r="C9566" s="59">
        <v>240</v>
      </c>
      <c r="D9566" s="51">
        <v>2</v>
      </c>
      <c r="E9566" s="51">
        <f t="shared" si="149"/>
        <v>1</v>
      </c>
    </row>
    <row r="9567" spans="1:5">
      <c r="A9567" s="59">
        <v>19</v>
      </c>
      <c r="B9567" s="59">
        <v>33</v>
      </c>
      <c r="C9567" s="59">
        <v>110</v>
      </c>
      <c r="D9567" s="51">
        <v>2</v>
      </c>
      <c r="E9567" s="51">
        <f t="shared" si="149"/>
        <v>1</v>
      </c>
    </row>
    <row r="9568" spans="1:5">
      <c r="A9568" s="59">
        <v>19</v>
      </c>
      <c r="B9568" s="59">
        <v>33</v>
      </c>
      <c r="C9568" s="59">
        <v>520</v>
      </c>
      <c r="D9568" s="51">
        <v>2</v>
      </c>
      <c r="E9568" s="51">
        <f t="shared" si="149"/>
        <v>1</v>
      </c>
    </row>
    <row r="9569" spans="1:5">
      <c r="A9569" s="59">
        <v>19</v>
      </c>
      <c r="B9569" s="59">
        <v>33</v>
      </c>
      <c r="C9569" s="59">
        <v>930</v>
      </c>
      <c r="D9569" s="51">
        <v>2</v>
      </c>
      <c r="E9569" s="51">
        <f t="shared" si="149"/>
        <v>1</v>
      </c>
    </row>
    <row r="9570" spans="1:5">
      <c r="A9570" s="59">
        <v>19</v>
      </c>
      <c r="B9570" s="59">
        <v>41</v>
      </c>
      <c r="C9570" s="59">
        <v>110</v>
      </c>
      <c r="D9570" s="51">
        <v>2</v>
      </c>
      <c r="E9570" s="51">
        <f t="shared" si="149"/>
        <v>1</v>
      </c>
    </row>
    <row r="9571" spans="1:5">
      <c r="A9571" s="59">
        <v>19</v>
      </c>
      <c r="B9571" s="59">
        <v>41</v>
      </c>
      <c r="C9571" s="59">
        <v>150</v>
      </c>
      <c r="D9571" s="51">
        <v>2</v>
      </c>
      <c r="E9571" s="51">
        <f t="shared" si="149"/>
        <v>1</v>
      </c>
    </row>
    <row r="9572" spans="1:5">
      <c r="A9572" s="59">
        <v>19</v>
      </c>
      <c r="B9572" s="59">
        <v>42</v>
      </c>
      <c r="C9572" s="59">
        <v>540</v>
      </c>
      <c r="D9572" s="51">
        <v>2</v>
      </c>
      <c r="E9572" s="51">
        <f t="shared" si="149"/>
        <v>1</v>
      </c>
    </row>
    <row r="9573" spans="1:5">
      <c r="A9573" s="59">
        <v>19</v>
      </c>
      <c r="B9573" s="59">
        <v>42</v>
      </c>
      <c r="C9573" s="59">
        <v>950</v>
      </c>
      <c r="D9573" s="51">
        <v>2</v>
      </c>
      <c r="E9573" s="51">
        <f t="shared" si="149"/>
        <v>1</v>
      </c>
    </row>
    <row r="9574" spans="1:5">
      <c r="A9574" s="59">
        <v>19</v>
      </c>
      <c r="B9574" s="59">
        <v>43</v>
      </c>
      <c r="C9574" s="59">
        <v>550</v>
      </c>
      <c r="D9574" s="51">
        <v>2</v>
      </c>
      <c r="E9574" s="51">
        <f t="shared" si="149"/>
        <v>1</v>
      </c>
    </row>
    <row r="9575" spans="1:5">
      <c r="A9575" s="59">
        <v>19</v>
      </c>
      <c r="B9575" s="59">
        <v>43</v>
      </c>
      <c r="C9575" s="59">
        <v>630</v>
      </c>
      <c r="D9575" s="51">
        <v>2</v>
      </c>
      <c r="E9575" s="51">
        <f t="shared" si="149"/>
        <v>1</v>
      </c>
    </row>
    <row r="9576" spans="1:5">
      <c r="A9576" s="59">
        <v>19</v>
      </c>
      <c r="B9576" s="59">
        <v>43</v>
      </c>
      <c r="C9576" s="59">
        <v>892</v>
      </c>
      <c r="D9576" s="51">
        <v>2</v>
      </c>
      <c r="E9576" s="51">
        <f t="shared" si="149"/>
        <v>1</v>
      </c>
    </row>
    <row r="9577" spans="1:5">
      <c r="A9577" s="59">
        <v>19</v>
      </c>
      <c r="B9577" s="59">
        <v>43</v>
      </c>
      <c r="C9577" s="59">
        <v>960</v>
      </c>
      <c r="D9577" s="51">
        <v>2</v>
      </c>
      <c r="E9577" s="51">
        <f t="shared" si="149"/>
        <v>1</v>
      </c>
    </row>
    <row r="9578" spans="1:5">
      <c r="A9578" s="59">
        <v>19</v>
      </c>
      <c r="B9578" s="59">
        <v>44</v>
      </c>
      <c r="C9578" s="59">
        <v>210</v>
      </c>
      <c r="D9578" s="51">
        <v>2</v>
      </c>
      <c r="E9578" s="51">
        <f t="shared" si="149"/>
        <v>1</v>
      </c>
    </row>
    <row r="9579" spans="1:5">
      <c r="A9579" s="59">
        <v>19</v>
      </c>
      <c r="B9579" s="59">
        <v>44</v>
      </c>
      <c r="C9579" s="59">
        <v>540</v>
      </c>
      <c r="D9579" s="51">
        <v>2</v>
      </c>
      <c r="E9579" s="51">
        <f t="shared" si="149"/>
        <v>1</v>
      </c>
    </row>
    <row r="9580" spans="1:5">
      <c r="A9580" s="59">
        <v>19</v>
      </c>
      <c r="B9580" s="59">
        <v>51</v>
      </c>
      <c r="C9580" s="59">
        <v>530</v>
      </c>
      <c r="D9580" s="51">
        <v>2</v>
      </c>
      <c r="E9580" s="51">
        <f t="shared" si="149"/>
        <v>1</v>
      </c>
    </row>
    <row r="9581" spans="1:5">
      <c r="A9581" s="59">
        <v>19</v>
      </c>
      <c r="B9581" s="59">
        <v>51</v>
      </c>
      <c r="C9581" s="59">
        <v>620</v>
      </c>
      <c r="D9581" s="51">
        <v>2</v>
      </c>
      <c r="E9581" s="51">
        <f t="shared" si="149"/>
        <v>1</v>
      </c>
    </row>
    <row r="9582" spans="1:5">
      <c r="A9582" s="59">
        <v>19</v>
      </c>
      <c r="B9582" s="59">
        <v>62</v>
      </c>
      <c r="C9582" s="59">
        <v>220</v>
      </c>
      <c r="D9582" s="51">
        <v>2</v>
      </c>
      <c r="E9582" s="51">
        <f t="shared" si="149"/>
        <v>1</v>
      </c>
    </row>
    <row r="9583" spans="1:5">
      <c r="A9583" s="59">
        <v>19</v>
      </c>
      <c r="B9583" s="59">
        <v>63</v>
      </c>
      <c r="C9583" s="59">
        <v>220</v>
      </c>
      <c r="D9583" s="51">
        <v>2</v>
      </c>
      <c r="E9583" s="51">
        <f t="shared" si="149"/>
        <v>1</v>
      </c>
    </row>
    <row r="9584" spans="1:5">
      <c r="A9584" s="59">
        <v>19</v>
      </c>
      <c r="B9584" s="59">
        <v>63</v>
      </c>
      <c r="C9584" s="59">
        <v>420</v>
      </c>
      <c r="D9584" s="51">
        <v>2</v>
      </c>
      <c r="E9584" s="51">
        <f t="shared" si="149"/>
        <v>1</v>
      </c>
    </row>
    <row r="9585" spans="1:5">
      <c r="A9585" s="59">
        <v>19</v>
      </c>
      <c r="B9585" s="59">
        <v>63</v>
      </c>
      <c r="C9585" s="59">
        <v>630</v>
      </c>
      <c r="D9585" s="51">
        <v>2</v>
      </c>
      <c r="E9585" s="51">
        <f t="shared" si="149"/>
        <v>1</v>
      </c>
    </row>
    <row r="9586" spans="1:5">
      <c r="A9586" s="59">
        <v>19</v>
      </c>
      <c r="B9586" s="59">
        <v>63</v>
      </c>
      <c r="C9586" s="59">
        <v>930</v>
      </c>
      <c r="D9586" s="51">
        <v>2</v>
      </c>
      <c r="E9586" s="51">
        <f t="shared" si="149"/>
        <v>1</v>
      </c>
    </row>
    <row r="9587" spans="1:5">
      <c r="A9587" s="59">
        <v>19</v>
      </c>
      <c r="B9587" s="59">
        <v>63</v>
      </c>
      <c r="C9587" s="59">
        <v>970</v>
      </c>
      <c r="D9587" s="51">
        <v>2</v>
      </c>
      <c r="E9587" s="51">
        <f t="shared" si="149"/>
        <v>1</v>
      </c>
    </row>
    <row r="9588" spans="1:5">
      <c r="A9588" s="59">
        <v>19</v>
      </c>
      <c r="B9588" s="59">
        <v>64</v>
      </c>
      <c r="C9588" s="59">
        <v>891</v>
      </c>
      <c r="D9588" s="51">
        <v>2</v>
      </c>
      <c r="E9588" s="51">
        <f t="shared" si="149"/>
        <v>1</v>
      </c>
    </row>
    <row r="9589" spans="1:5">
      <c r="A9589" s="59">
        <v>19</v>
      </c>
      <c r="B9589" s="59">
        <v>71</v>
      </c>
      <c r="C9589" s="59">
        <v>740</v>
      </c>
      <c r="D9589" s="51">
        <v>2</v>
      </c>
      <c r="E9589" s="51">
        <f t="shared" si="149"/>
        <v>1</v>
      </c>
    </row>
    <row r="9590" spans="1:5">
      <c r="A9590" s="59">
        <v>19</v>
      </c>
      <c r="B9590" s="59">
        <v>71</v>
      </c>
      <c r="C9590" s="59">
        <v>940</v>
      </c>
      <c r="D9590" s="51">
        <v>2</v>
      </c>
      <c r="E9590" s="51">
        <f t="shared" si="149"/>
        <v>1</v>
      </c>
    </row>
    <row r="9591" spans="1:5">
      <c r="A9591" s="59">
        <v>19</v>
      </c>
      <c r="B9591" s="59">
        <v>81</v>
      </c>
      <c r="C9591" s="59">
        <v>310</v>
      </c>
      <c r="D9591" s="51">
        <v>2</v>
      </c>
      <c r="E9591" s="51">
        <f t="shared" si="149"/>
        <v>1</v>
      </c>
    </row>
    <row r="9592" spans="1:5">
      <c r="A9592" s="59">
        <v>19</v>
      </c>
      <c r="B9592" s="59">
        <v>81</v>
      </c>
      <c r="C9592" s="59">
        <v>440</v>
      </c>
      <c r="D9592" s="51">
        <v>2</v>
      </c>
      <c r="E9592" s="51">
        <f t="shared" si="149"/>
        <v>1</v>
      </c>
    </row>
    <row r="9593" spans="1:5">
      <c r="A9593" s="59">
        <v>19</v>
      </c>
      <c r="B9593" s="59">
        <v>81</v>
      </c>
      <c r="C9593" s="59">
        <v>630</v>
      </c>
      <c r="D9593" s="51">
        <v>2</v>
      </c>
      <c r="E9593" s="51">
        <f t="shared" si="149"/>
        <v>1</v>
      </c>
    </row>
    <row r="9594" spans="1:5">
      <c r="A9594" s="59">
        <v>19</v>
      </c>
      <c r="B9594" s="59">
        <v>11</v>
      </c>
      <c r="C9594" s="59">
        <v>720</v>
      </c>
      <c r="D9594" s="51">
        <v>1</v>
      </c>
      <c r="E9594" s="51">
        <f t="shared" si="149"/>
        <v>1</v>
      </c>
    </row>
    <row r="9595" spans="1:5">
      <c r="A9595" s="59">
        <v>19</v>
      </c>
      <c r="B9595" s="59">
        <v>11</v>
      </c>
      <c r="C9595" s="59">
        <v>730</v>
      </c>
      <c r="D9595" s="51">
        <v>1</v>
      </c>
      <c r="E9595" s="51">
        <f t="shared" si="149"/>
        <v>1</v>
      </c>
    </row>
    <row r="9596" spans="1:5">
      <c r="A9596" s="59">
        <v>19</v>
      </c>
      <c r="B9596" s="59">
        <v>11</v>
      </c>
      <c r="C9596" s="59">
        <v>910</v>
      </c>
      <c r="D9596" s="51">
        <v>1</v>
      </c>
      <c r="E9596" s="51">
        <f t="shared" si="149"/>
        <v>1</v>
      </c>
    </row>
    <row r="9597" spans="1:5">
      <c r="A9597" s="59">
        <v>19</v>
      </c>
      <c r="B9597" s="59">
        <v>12</v>
      </c>
      <c r="C9597" s="59">
        <v>920</v>
      </c>
      <c r="D9597" s="51">
        <v>1</v>
      </c>
      <c r="E9597" s="51">
        <f t="shared" si="149"/>
        <v>1</v>
      </c>
    </row>
    <row r="9598" spans="1:5">
      <c r="A9598" s="59">
        <v>19</v>
      </c>
      <c r="B9598" s="59">
        <v>13</v>
      </c>
      <c r="C9598" s="59">
        <v>120</v>
      </c>
      <c r="D9598" s="51">
        <v>1</v>
      </c>
      <c r="E9598" s="51">
        <f t="shared" si="149"/>
        <v>1</v>
      </c>
    </row>
    <row r="9599" spans="1:5">
      <c r="A9599" s="59">
        <v>19</v>
      </c>
      <c r="B9599" s="59">
        <v>13</v>
      </c>
      <c r="C9599" s="59">
        <v>140</v>
      </c>
      <c r="D9599" s="51">
        <v>1</v>
      </c>
      <c r="E9599" s="51">
        <f t="shared" si="149"/>
        <v>1</v>
      </c>
    </row>
    <row r="9600" spans="1:5">
      <c r="A9600" s="59">
        <v>19</v>
      </c>
      <c r="B9600" s="59">
        <v>13</v>
      </c>
      <c r="C9600" s="59">
        <v>410</v>
      </c>
      <c r="D9600" s="51">
        <v>1</v>
      </c>
      <c r="E9600" s="51">
        <f t="shared" si="149"/>
        <v>1</v>
      </c>
    </row>
    <row r="9601" spans="1:5">
      <c r="A9601" s="59">
        <v>19</v>
      </c>
      <c r="B9601" s="59">
        <v>13</v>
      </c>
      <c r="C9601" s="59">
        <v>430</v>
      </c>
      <c r="D9601" s="51">
        <v>1</v>
      </c>
      <c r="E9601" s="51">
        <f t="shared" si="149"/>
        <v>1</v>
      </c>
    </row>
    <row r="9602" spans="1:5">
      <c r="A9602" s="59">
        <v>19</v>
      </c>
      <c r="B9602" s="59">
        <v>13</v>
      </c>
      <c r="C9602" s="59">
        <v>550</v>
      </c>
      <c r="D9602" s="51">
        <v>1</v>
      </c>
      <c r="E9602" s="51">
        <f t="shared" ref="E9602:E9665" si="150">IF(OR(A9602=6,A9602=7,A9602=14,A9602=15,A9602=16,A9602=17,A9602=18,A9602=19,A9602=20,A9602=21,A9602=22,A9602=23,A9602=25,A9602=26,A9602=27,A9602=28,B9602=41,B9602=44,B9602=62),1,0)</f>
        <v>1</v>
      </c>
    </row>
    <row r="9603" spans="1:5">
      <c r="A9603" s="59">
        <v>19</v>
      </c>
      <c r="B9603" s="59">
        <v>13</v>
      </c>
      <c r="C9603" s="59">
        <v>630</v>
      </c>
      <c r="D9603" s="51">
        <v>1</v>
      </c>
      <c r="E9603" s="51">
        <f t="shared" si="150"/>
        <v>1</v>
      </c>
    </row>
    <row r="9604" spans="1:5">
      <c r="A9604" s="59">
        <v>19</v>
      </c>
      <c r="B9604" s="59">
        <v>13</v>
      </c>
      <c r="C9604" s="59">
        <v>750</v>
      </c>
      <c r="D9604" s="51">
        <v>1</v>
      </c>
      <c r="E9604" s="51">
        <f t="shared" si="150"/>
        <v>1</v>
      </c>
    </row>
    <row r="9605" spans="1:5">
      <c r="A9605" s="59">
        <v>19</v>
      </c>
      <c r="B9605" s="59">
        <v>14</v>
      </c>
      <c r="C9605" s="59">
        <v>750</v>
      </c>
      <c r="D9605" s="51">
        <v>1</v>
      </c>
      <c r="E9605" s="51">
        <f t="shared" si="150"/>
        <v>1</v>
      </c>
    </row>
    <row r="9606" spans="1:5">
      <c r="A9606" s="59">
        <v>19</v>
      </c>
      <c r="B9606" s="59">
        <v>15</v>
      </c>
      <c r="C9606" s="59">
        <v>120</v>
      </c>
      <c r="D9606" s="51">
        <v>1</v>
      </c>
      <c r="E9606" s="51">
        <f t="shared" si="150"/>
        <v>1</v>
      </c>
    </row>
    <row r="9607" spans="1:5">
      <c r="A9607" s="59">
        <v>19</v>
      </c>
      <c r="B9607" s="59">
        <v>15</v>
      </c>
      <c r="C9607" s="59">
        <v>160</v>
      </c>
      <c r="D9607" s="51">
        <v>1</v>
      </c>
      <c r="E9607" s="51">
        <f t="shared" si="150"/>
        <v>1</v>
      </c>
    </row>
    <row r="9608" spans="1:5">
      <c r="A9608" s="59">
        <v>19</v>
      </c>
      <c r="B9608" s="59">
        <v>15</v>
      </c>
      <c r="C9608" s="59">
        <v>230</v>
      </c>
      <c r="D9608" s="51">
        <v>1</v>
      </c>
      <c r="E9608" s="51">
        <f t="shared" si="150"/>
        <v>1</v>
      </c>
    </row>
    <row r="9609" spans="1:5">
      <c r="A9609" s="59">
        <v>19</v>
      </c>
      <c r="B9609" s="59">
        <v>15</v>
      </c>
      <c r="C9609" s="59">
        <v>330</v>
      </c>
      <c r="D9609" s="51">
        <v>1</v>
      </c>
      <c r="E9609" s="51">
        <f t="shared" si="150"/>
        <v>1</v>
      </c>
    </row>
    <row r="9610" spans="1:5">
      <c r="A9610" s="59">
        <v>19</v>
      </c>
      <c r="B9610" s="59">
        <v>15</v>
      </c>
      <c r="C9610" s="59">
        <v>830</v>
      </c>
      <c r="D9610" s="51">
        <v>1</v>
      </c>
      <c r="E9610" s="51">
        <f t="shared" si="150"/>
        <v>1</v>
      </c>
    </row>
    <row r="9611" spans="1:5">
      <c r="A9611" s="59">
        <v>19</v>
      </c>
      <c r="B9611" s="59">
        <v>16</v>
      </c>
      <c r="C9611" s="59">
        <v>140</v>
      </c>
      <c r="D9611" s="51">
        <v>1</v>
      </c>
      <c r="E9611" s="51">
        <f t="shared" si="150"/>
        <v>1</v>
      </c>
    </row>
    <row r="9612" spans="1:5">
      <c r="A9612" s="59">
        <v>19</v>
      </c>
      <c r="B9612" s="59">
        <v>16</v>
      </c>
      <c r="C9612" s="59">
        <v>220</v>
      </c>
      <c r="D9612" s="51">
        <v>1</v>
      </c>
      <c r="E9612" s="51">
        <f t="shared" si="150"/>
        <v>1</v>
      </c>
    </row>
    <row r="9613" spans="1:5">
      <c r="A9613" s="59">
        <v>19</v>
      </c>
      <c r="B9613" s="59">
        <v>16</v>
      </c>
      <c r="C9613" s="59">
        <v>630</v>
      </c>
      <c r="D9613" s="51">
        <v>1</v>
      </c>
      <c r="E9613" s="51">
        <f t="shared" si="150"/>
        <v>1</v>
      </c>
    </row>
    <row r="9614" spans="1:5">
      <c r="A9614" s="59">
        <v>19</v>
      </c>
      <c r="B9614" s="59">
        <v>16</v>
      </c>
      <c r="C9614" s="59">
        <v>990</v>
      </c>
      <c r="D9614" s="51">
        <v>1</v>
      </c>
      <c r="E9614" s="51">
        <f t="shared" si="150"/>
        <v>1</v>
      </c>
    </row>
    <row r="9615" spans="1:5">
      <c r="A9615" s="59">
        <v>19</v>
      </c>
      <c r="B9615" s="59">
        <v>21</v>
      </c>
      <c r="C9615" s="59">
        <v>150</v>
      </c>
      <c r="D9615" s="51">
        <v>1</v>
      </c>
      <c r="E9615" s="51">
        <f t="shared" si="150"/>
        <v>1</v>
      </c>
    </row>
    <row r="9616" spans="1:5">
      <c r="A9616" s="59">
        <v>19</v>
      </c>
      <c r="B9616" s="59">
        <v>22</v>
      </c>
      <c r="C9616" s="59">
        <v>310</v>
      </c>
      <c r="D9616" s="51">
        <v>1</v>
      </c>
      <c r="E9616" s="51">
        <f t="shared" si="150"/>
        <v>1</v>
      </c>
    </row>
    <row r="9617" spans="1:5">
      <c r="A9617" s="59">
        <v>19</v>
      </c>
      <c r="B9617" s="59">
        <v>22</v>
      </c>
      <c r="C9617" s="59">
        <v>530</v>
      </c>
      <c r="D9617" s="51">
        <v>1</v>
      </c>
      <c r="E9617" s="51">
        <f t="shared" si="150"/>
        <v>1</v>
      </c>
    </row>
    <row r="9618" spans="1:5">
      <c r="A9618" s="59">
        <v>19</v>
      </c>
      <c r="B9618" s="59">
        <v>22</v>
      </c>
      <c r="C9618" s="59">
        <v>930</v>
      </c>
      <c r="D9618" s="51">
        <v>1</v>
      </c>
      <c r="E9618" s="51">
        <f t="shared" si="150"/>
        <v>1</v>
      </c>
    </row>
    <row r="9619" spans="1:5">
      <c r="A9619" s="59">
        <v>19</v>
      </c>
      <c r="B9619" s="59">
        <v>22</v>
      </c>
      <c r="C9619" s="59">
        <v>950</v>
      </c>
      <c r="D9619" s="51">
        <v>1</v>
      </c>
      <c r="E9619" s="51">
        <f t="shared" si="150"/>
        <v>1</v>
      </c>
    </row>
    <row r="9620" spans="1:5">
      <c r="A9620" s="59">
        <v>19</v>
      </c>
      <c r="B9620" s="59">
        <v>23</v>
      </c>
      <c r="C9620" s="59">
        <v>150</v>
      </c>
      <c r="D9620" s="51">
        <v>1</v>
      </c>
      <c r="E9620" s="51">
        <f t="shared" si="150"/>
        <v>1</v>
      </c>
    </row>
    <row r="9621" spans="1:5">
      <c r="A9621" s="59">
        <v>19</v>
      </c>
      <c r="B9621" s="59">
        <v>23</v>
      </c>
      <c r="C9621" s="59">
        <v>210</v>
      </c>
      <c r="D9621" s="51">
        <v>1</v>
      </c>
      <c r="E9621" s="51">
        <f t="shared" si="150"/>
        <v>1</v>
      </c>
    </row>
    <row r="9622" spans="1:5">
      <c r="A9622" s="59">
        <v>19</v>
      </c>
      <c r="B9622" s="59">
        <v>23</v>
      </c>
      <c r="C9622" s="59">
        <v>220</v>
      </c>
      <c r="D9622" s="51">
        <v>1</v>
      </c>
      <c r="E9622" s="51">
        <f t="shared" si="150"/>
        <v>1</v>
      </c>
    </row>
    <row r="9623" spans="1:5">
      <c r="A9623" s="59">
        <v>19</v>
      </c>
      <c r="B9623" s="59">
        <v>23</v>
      </c>
      <c r="C9623" s="59">
        <v>240</v>
      </c>
      <c r="D9623" s="51">
        <v>1</v>
      </c>
      <c r="E9623" s="51">
        <f t="shared" si="150"/>
        <v>1</v>
      </c>
    </row>
    <row r="9624" spans="1:5">
      <c r="A9624" s="59">
        <v>19</v>
      </c>
      <c r="B9624" s="59">
        <v>23</v>
      </c>
      <c r="C9624" s="59">
        <v>610</v>
      </c>
      <c r="D9624" s="51">
        <v>1</v>
      </c>
      <c r="E9624" s="51">
        <f t="shared" si="150"/>
        <v>1</v>
      </c>
    </row>
    <row r="9625" spans="1:5">
      <c r="A9625" s="59">
        <v>19</v>
      </c>
      <c r="B9625" s="59">
        <v>24</v>
      </c>
      <c r="C9625" s="59">
        <v>610</v>
      </c>
      <c r="D9625" s="51">
        <v>1</v>
      </c>
      <c r="E9625" s="51">
        <f t="shared" si="150"/>
        <v>1</v>
      </c>
    </row>
    <row r="9626" spans="1:5">
      <c r="A9626" s="59">
        <v>19</v>
      </c>
      <c r="B9626" s="59">
        <v>24</v>
      </c>
      <c r="C9626" s="59">
        <v>910</v>
      </c>
      <c r="D9626" s="51">
        <v>1</v>
      </c>
      <c r="E9626" s="51">
        <f t="shared" si="150"/>
        <v>1</v>
      </c>
    </row>
    <row r="9627" spans="1:5">
      <c r="A9627" s="59">
        <v>19</v>
      </c>
      <c r="B9627" s="59">
        <v>31</v>
      </c>
      <c r="C9627" s="59">
        <v>720</v>
      </c>
      <c r="D9627" s="51">
        <v>1</v>
      </c>
      <c r="E9627" s="51">
        <f t="shared" si="150"/>
        <v>1</v>
      </c>
    </row>
    <row r="9628" spans="1:5">
      <c r="A9628" s="59">
        <v>19</v>
      </c>
      <c r="B9628" s="59">
        <v>31</v>
      </c>
      <c r="C9628" s="59">
        <v>910</v>
      </c>
      <c r="D9628" s="51">
        <v>1</v>
      </c>
      <c r="E9628" s="51">
        <f t="shared" si="150"/>
        <v>1</v>
      </c>
    </row>
    <row r="9629" spans="1:5">
      <c r="A9629" s="59">
        <v>19</v>
      </c>
      <c r="B9629" s="59">
        <v>32</v>
      </c>
      <c r="C9629" s="59">
        <v>160</v>
      </c>
      <c r="D9629" s="51">
        <v>1</v>
      </c>
      <c r="E9629" s="51">
        <f t="shared" si="150"/>
        <v>1</v>
      </c>
    </row>
    <row r="9630" spans="1:5">
      <c r="A9630" s="59">
        <v>19</v>
      </c>
      <c r="B9630" s="59">
        <v>32</v>
      </c>
      <c r="C9630" s="59">
        <v>210</v>
      </c>
      <c r="D9630" s="51">
        <v>1</v>
      </c>
      <c r="E9630" s="51">
        <f t="shared" si="150"/>
        <v>1</v>
      </c>
    </row>
    <row r="9631" spans="1:5">
      <c r="A9631" s="59">
        <v>19</v>
      </c>
      <c r="B9631" s="59">
        <v>32</v>
      </c>
      <c r="C9631" s="59">
        <v>220</v>
      </c>
      <c r="D9631" s="51">
        <v>1</v>
      </c>
      <c r="E9631" s="51">
        <f t="shared" si="150"/>
        <v>1</v>
      </c>
    </row>
    <row r="9632" spans="1:5">
      <c r="A9632" s="59">
        <v>19</v>
      </c>
      <c r="B9632" s="59">
        <v>32</v>
      </c>
      <c r="C9632" s="59">
        <v>310</v>
      </c>
      <c r="D9632" s="51">
        <v>1</v>
      </c>
      <c r="E9632" s="51">
        <f t="shared" si="150"/>
        <v>1</v>
      </c>
    </row>
    <row r="9633" spans="1:5">
      <c r="A9633" s="59">
        <v>19</v>
      </c>
      <c r="B9633" s="59">
        <v>32</v>
      </c>
      <c r="C9633" s="59">
        <v>720</v>
      </c>
      <c r="D9633" s="51">
        <v>1</v>
      </c>
      <c r="E9633" s="51">
        <f t="shared" si="150"/>
        <v>1</v>
      </c>
    </row>
    <row r="9634" spans="1:5">
      <c r="A9634" s="59">
        <v>19</v>
      </c>
      <c r="B9634" s="59">
        <v>32</v>
      </c>
      <c r="C9634" s="59">
        <v>895</v>
      </c>
      <c r="D9634" s="51">
        <v>1</v>
      </c>
      <c r="E9634" s="51">
        <f t="shared" si="150"/>
        <v>1</v>
      </c>
    </row>
    <row r="9635" spans="1:5">
      <c r="A9635" s="59">
        <v>19</v>
      </c>
      <c r="B9635" s="59">
        <v>32</v>
      </c>
      <c r="C9635" s="59">
        <v>940</v>
      </c>
      <c r="D9635" s="51">
        <v>1</v>
      </c>
      <c r="E9635" s="51">
        <f t="shared" si="150"/>
        <v>1</v>
      </c>
    </row>
    <row r="9636" spans="1:5">
      <c r="A9636" s="59">
        <v>19</v>
      </c>
      <c r="B9636" s="59">
        <v>32</v>
      </c>
      <c r="C9636" s="59">
        <v>950</v>
      </c>
      <c r="D9636" s="51">
        <v>1</v>
      </c>
      <c r="E9636" s="51">
        <f t="shared" si="150"/>
        <v>1</v>
      </c>
    </row>
    <row r="9637" spans="1:5">
      <c r="A9637" s="59">
        <v>19</v>
      </c>
      <c r="B9637" s="59">
        <v>33</v>
      </c>
      <c r="C9637" s="59">
        <v>130</v>
      </c>
      <c r="D9637" s="51">
        <v>1</v>
      </c>
      <c r="E9637" s="51">
        <f t="shared" si="150"/>
        <v>1</v>
      </c>
    </row>
    <row r="9638" spans="1:5">
      <c r="A9638" s="59">
        <v>19</v>
      </c>
      <c r="B9638" s="59">
        <v>33</v>
      </c>
      <c r="C9638" s="59">
        <v>210</v>
      </c>
      <c r="D9638" s="51">
        <v>1</v>
      </c>
      <c r="E9638" s="51">
        <f t="shared" si="150"/>
        <v>1</v>
      </c>
    </row>
    <row r="9639" spans="1:5">
      <c r="A9639" s="59">
        <v>19</v>
      </c>
      <c r="B9639" s="59">
        <v>33</v>
      </c>
      <c r="C9639" s="59">
        <v>240</v>
      </c>
      <c r="D9639" s="51">
        <v>1</v>
      </c>
      <c r="E9639" s="51">
        <f t="shared" si="150"/>
        <v>1</v>
      </c>
    </row>
    <row r="9640" spans="1:5">
      <c r="A9640" s="59">
        <v>19</v>
      </c>
      <c r="B9640" s="59">
        <v>33</v>
      </c>
      <c r="C9640" s="59">
        <v>330</v>
      </c>
      <c r="D9640" s="51">
        <v>1</v>
      </c>
      <c r="E9640" s="51">
        <f t="shared" si="150"/>
        <v>1</v>
      </c>
    </row>
    <row r="9641" spans="1:5">
      <c r="A9641" s="59">
        <v>19</v>
      </c>
      <c r="B9641" s="59">
        <v>41</v>
      </c>
      <c r="C9641" s="59">
        <v>210</v>
      </c>
      <c r="D9641" s="51">
        <v>1</v>
      </c>
      <c r="E9641" s="51">
        <f t="shared" si="150"/>
        <v>1</v>
      </c>
    </row>
    <row r="9642" spans="1:5">
      <c r="A9642" s="59">
        <v>19</v>
      </c>
      <c r="B9642" s="59">
        <v>41</v>
      </c>
      <c r="C9642" s="59">
        <v>520</v>
      </c>
      <c r="D9642" s="51">
        <v>1</v>
      </c>
      <c r="E9642" s="51">
        <f t="shared" si="150"/>
        <v>1</v>
      </c>
    </row>
    <row r="9643" spans="1:5">
      <c r="A9643" s="59">
        <v>19</v>
      </c>
      <c r="B9643" s="59">
        <v>41</v>
      </c>
      <c r="C9643" s="59">
        <v>540</v>
      </c>
      <c r="D9643" s="51">
        <v>1</v>
      </c>
      <c r="E9643" s="51">
        <f t="shared" si="150"/>
        <v>1</v>
      </c>
    </row>
    <row r="9644" spans="1:5">
      <c r="A9644" s="59">
        <v>19</v>
      </c>
      <c r="B9644" s="59">
        <v>41</v>
      </c>
      <c r="C9644" s="59">
        <v>640</v>
      </c>
      <c r="D9644" s="51">
        <v>1</v>
      </c>
      <c r="E9644" s="51">
        <f t="shared" si="150"/>
        <v>1</v>
      </c>
    </row>
    <row r="9645" spans="1:5">
      <c r="A9645" s="59">
        <v>19</v>
      </c>
      <c r="B9645" s="59">
        <v>42</v>
      </c>
      <c r="C9645" s="59">
        <v>210</v>
      </c>
      <c r="D9645" s="51">
        <v>1</v>
      </c>
      <c r="E9645" s="51">
        <f t="shared" si="150"/>
        <v>1</v>
      </c>
    </row>
    <row r="9646" spans="1:5">
      <c r="A9646" s="59">
        <v>19</v>
      </c>
      <c r="B9646" s="59">
        <v>42</v>
      </c>
      <c r="C9646" s="59">
        <v>630</v>
      </c>
      <c r="D9646" s="51">
        <v>1</v>
      </c>
      <c r="E9646" s="51">
        <f t="shared" si="150"/>
        <v>1</v>
      </c>
    </row>
    <row r="9647" spans="1:5">
      <c r="A9647" s="59">
        <v>19</v>
      </c>
      <c r="B9647" s="59">
        <v>42</v>
      </c>
      <c r="C9647" s="59">
        <v>730</v>
      </c>
      <c r="D9647" s="51">
        <v>1</v>
      </c>
      <c r="E9647" s="51">
        <f t="shared" si="150"/>
        <v>1</v>
      </c>
    </row>
    <row r="9648" spans="1:5">
      <c r="A9648" s="59">
        <v>19</v>
      </c>
      <c r="B9648" s="59">
        <v>42</v>
      </c>
      <c r="C9648" s="59">
        <v>970</v>
      </c>
      <c r="D9648" s="51">
        <v>1</v>
      </c>
      <c r="E9648" s="51">
        <f t="shared" si="150"/>
        <v>1</v>
      </c>
    </row>
    <row r="9649" spans="1:5">
      <c r="A9649" s="59">
        <v>19</v>
      </c>
      <c r="B9649" s="59">
        <v>43</v>
      </c>
      <c r="C9649" s="59">
        <v>140</v>
      </c>
      <c r="D9649" s="51">
        <v>1</v>
      </c>
      <c r="E9649" s="51">
        <f t="shared" si="150"/>
        <v>1</v>
      </c>
    </row>
    <row r="9650" spans="1:5">
      <c r="A9650" s="59">
        <v>19</v>
      </c>
      <c r="B9650" s="59">
        <v>43</v>
      </c>
      <c r="C9650" s="59">
        <v>893</v>
      </c>
      <c r="D9650" s="51">
        <v>1</v>
      </c>
      <c r="E9650" s="51">
        <f t="shared" si="150"/>
        <v>1</v>
      </c>
    </row>
    <row r="9651" spans="1:5">
      <c r="A9651" s="59">
        <v>19</v>
      </c>
      <c r="B9651" s="59">
        <v>44</v>
      </c>
      <c r="C9651" s="59">
        <v>330</v>
      </c>
      <c r="D9651" s="51">
        <v>1</v>
      </c>
      <c r="E9651" s="51">
        <f t="shared" si="150"/>
        <v>1</v>
      </c>
    </row>
    <row r="9652" spans="1:5">
      <c r="A9652" s="59">
        <v>19</v>
      </c>
      <c r="B9652" s="59">
        <v>44</v>
      </c>
      <c r="C9652" s="59">
        <v>430</v>
      </c>
      <c r="D9652" s="51">
        <v>1</v>
      </c>
      <c r="E9652" s="51">
        <f t="shared" si="150"/>
        <v>1</v>
      </c>
    </row>
    <row r="9653" spans="1:5">
      <c r="A9653" s="59">
        <v>19</v>
      </c>
      <c r="B9653" s="59">
        <v>51</v>
      </c>
      <c r="C9653" s="59">
        <v>430</v>
      </c>
      <c r="D9653" s="51">
        <v>1</v>
      </c>
      <c r="E9653" s="51">
        <f t="shared" si="150"/>
        <v>1</v>
      </c>
    </row>
    <row r="9654" spans="1:5">
      <c r="A9654" s="59">
        <v>19</v>
      </c>
      <c r="B9654" s="59">
        <v>51</v>
      </c>
      <c r="C9654" s="59">
        <v>510</v>
      </c>
      <c r="D9654" s="51">
        <v>1</v>
      </c>
      <c r="E9654" s="51">
        <f t="shared" si="150"/>
        <v>1</v>
      </c>
    </row>
    <row r="9655" spans="1:5">
      <c r="A9655" s="59">
        <v>19</v>
      </c>
      <c r="B9655" s="59">
        <v>51</v>
      </c>
      <c r="C9655" s="59">
        <v>720</v>
      </c>
      <c r="D9655" s="51">
        <v>1</v>
      </c>
      <c r="E9655" s="51">
        <f t="shared" si="150"/>
        <v>1</v>
      </c>
    </row>
    <row r="9656" spans="1:5">
      <c r="A9656" s="59">
        <v>19</v>
      </c>
      <c r="B9656" s="59">
        <v>61</v>
      </c>
      <c r="C9656" s="59">
        <v>610</v>
      </c>
      <c r="D9656" s="51">
        <v>1</v>
      </c>
      <c r="E9656" s="51">
        <f t="shared" si="150"/>
        <v>1</v>
      </c>
    </row>
    <row r="9657" spans="1:5">
      <c r="A9657" s="59">
        <v>19</v>
      </c>
      <c r="B9657" s="59">
        <v>61</v>
      </c>
      <c r="C9657" s="59">
        <v>710</v>
      </c>
      <c r="D9657" s="51">
        <v>1</v>
      </c>
      <c r="E9657" s="51">
        <f t="shared" si="150"/>
        <v>1</v>
      </c>
    </row>
    <row r="9658" spans="1:5">
      <c r="A9658" s="59">
        <v>19</v>
      </c>
      <c r="B9658" s="59">
        <v>61</v>
      </c>
      <c r="C9658" s="59">
        <v>730</v>
      </c>
      <c r="D9658" s="51">
        <v>1</v>
      </c>
      <c r="E9658" s="51">
        <f t="shared" si="150"/>
        <v>1</v>
      </c>
    </row>
    <row r="9659" spans="1:5">
      <c r="A9659" s="59">
        <v>19</v>
      </c>
      <c r="B9659" s="59">
        <v>61</v>
      </c>
      <c r="C9659" s="59">
        <v>910</v>
      </c>
      <c r="D9659" s="51">
        <v>1</v>
      </c>
      <c r="E9659" s="51">
        <f t="shared" si="150"/>
        <v>1</v>
      </c>
    </row>
    <row r="9660" spans="1:5">
      <c r="A9660" s="59">
        <v>19</v>
      </c>
      <c r="B9660" s="59">
        <v>62</v>
      </c>
      <c r="C9660" s="59">
        <v>410</v>
      </c>
      <c r="D9660" s="51">
        <v>1</v>
      </c>
      <c r="E9660" s="51">
        <f t="shared" si="150"/>
        <v>1</v>
      </c>
    </row>
    <row r="9661" spans="1:5">
      <c r="A9661" s="59">
        <v>19</v>
      </c>
      <c r="B9661" s="59">
        <v>62</v>
      </c>
      <c r="C9661" s="59">
        <v>420</v>
      </c>
      <c r="D9661" s="51">
        <v>1</v>
      </c>
      <c r="E9661" s="51">
        <f t="shared" si="150"/>
        <v>1</v>
      </c>
    </row>
    <row r="9662" spans="1:5">
      <c r="A9662" s="59">
        <v>19</v>
      </c>
      <c r="B9662" s="59">
        <v>62</v>
      </c>
      <c r="C9662" s="59">
        <v>430</v>
      </c>
      <c r="D9662" s="51">
        <v>1</v>
      </c>
      <c r="E9662" s="51">
        <f t="shared" si="150"/>
        <v>1</v>
      </c>
    </row>
    <row r="9663" spans="1:5">
      <c r="A9663" s="59">
        <v>19</v>
      </c>
      <c r="B9663" s="59">
        <v>62</v>
      </c>
      <c r="C9663" s="59">
        <v>630</v>
      </c>
      <c r="D9663" s="51">
        <v>1</v>
      </c>
      <c r="E9663" s="51">
        <f t="shared" si="150"/>
        <v>1</v>
      </c>
    </row>
    <row r="9664" spans="1:5">
      <c r="A9664" s="59">
        <v>19</v>
      </c>
      <c r="B9664" s="59">
        <v>62</v>
      </c>
      <c r="C9664" s="59">
        <v>840</v>
      </c>
      <c r="D9664" s="51">
        <v>1</v>
      </c>
      <c r="E9664" s="51">
        <f t="shared" si="150"/>
        <v>1</v>
      </c>
    </row>
    <row r="9665" spans="1:5">
      <c r="A9665" s="59">
        <v>19</v>
      </c>
      <c r="B9665" s="59">
        <v>62</v>
      </c>
      <c r="C9665" s="59">
        <v>899</v>
      </c>
      <c r="D9665" s="51">
        <v>1</v>
      </c>
      <c r="E9665" s="51">
        <f t="shared" si="150"/>
        <v>1</v>
      </c>
    </row>
    <row r="9666" spans="1:5">
      <c r="A9666" s="59">
        <v>19</v>
      </c>
      <c r="B9666" s="59">
        <v>64</v>
      </c>
      <c r="C9666" s="59">
        <v>120</v>
      </c>
      <c r="D9666" s="51">
        <v>1</v>
      </c>
      <c r="E9666" s="51">
        <f t="shared" ref="E9666:E9729" si="151">IF(OR(A9666=6,A9666=7,A9666=14,A9666=15,A9666=16,A9666=17,A9666=18,A9666=19,A9666=20,A9666=21,A9666=22,A9666=23,A9666=25,A9666=26,A9666=27,A9666=28,B9666=41,B9666=44,B9666=62),1,0)</f>
        <v>1</v>
      </c>
    </row>
    <row r="9667" spans="1:5">
      <c r="A9667" s="59">
        <v>19</v>
      </c>
      <c r="B9667" s="59">
        <v>64</v>
      </c>
      <c r="C9667" s="59">
        <v>893</v>
      </c>
      <c r="D9667" s="51">
        <v>1</v>
      </c>
      <c r="E9667" s="51">
        <f t="shared" si="151"/>
        <v>1</v>
      </c>
    </row>
    <row r="9668" spans="1:5">
      <c r="A9668" s="59">
        <v>19</v>
      </c>
      <c r="B9668" s="59">
        <v>71</v>
      </c>
      <c r="C9668" s="59">
        <v>320</v>
      </c>
      <c r="D9668" s="51">
        <v>1</v>
      </c>
      <c r="E9668" s="51">
        <f t="shared" si="151"/>
        <v>1</v>
      </c>
    </row>
    <row r="9669" spans="1:5">
      <c r="A9669" s="59">
        <v>19</v>
      </c>
      <c r="B9669" s="59">
        <v>71</v>
      </c>
      <c r="C9669" s="59">
        <v>861</v>
      </c>
      <c r="D9669" s="51">
        <v>1</v>
      </c>
      <c r="E9669" s="51">
        <f t="shared" si="151"/>
        <v>1</v>
      </c>
    </row>
    <row r="9670" spans="1:5">
      <c r="A9670" s="59">
        <v>19</v>
      </c>
      <c r="B9670" s="59">
        <v>81</v>
      </c>
      <c r="C9670" s="59">
        <v>230</v>
      </c>
      <c r="D9670" s="51">
        <v>1</v>
      </c>
      <c r="E9670" s="51">
        <f t="shared" si="151"/>
        <v>1</v>
      </c>
    </row>
    <row r="9671" spans="1:5">
      <c r="A9671" s="59">
        <v>19</v>
      </c>
      <c r="B9671" s="59">
        <v>81</v>
      </c>
      <c r="C9671" s="59">
        <v>540</v>
      </c>
      <c r="D9671" s="51">
        <v>1</v>
      </c>
      <c r="E9671" s="51">
        <f t="shared" si="151"/>
        <v>1</v>
      </c>
    </row>
    <row r="9672" spans="1:5">
      <c r="A9672" s="59">
        <v>19</v>
      </c>
      <c r="B9672" s="59">
        <v>81</v>
      </c>
      <c r="C9672" s="59">
        <v>640</v>
      </c>
      <c r="D9672" s="51">
        <v>1</v>
      </c>
      <c r="E9672" s="51">
        <f t="shared" si="151"/>
        <v>1</v>
      </c>
    </row>
    <row r="9673" spans="1:5">
      <c r="A9673" s="59">
        <v>19</v>
      </c>
      <c r="B9673" s="59">
        <v>81</v>
      </c>
      <c r="C9673" s="59">
        <v>940</v>
      </c>
      <c r="D9673" s="51">
        <v>1</v>
      </c>
      <c r="E9673" s="51">
        <f t="shared" si="151"/>
        <v>1</v>
      </c>
    </row>
    <row r="9674" spans="1:5">
      <c r="A9674" s="59">
        <v>20</v>
      </c>
      <c r="B9674" s="59">
        <v>64</v>
      </c>
      <c r="C9674" s="59">
        <v>831</v>
      </c>
      <c r="D9674" s="51">
        <v>2006</v>
      </c>
      <c r="E9674" s="51">
        <f t="shared" si="151"/>
        <v>1</v>
      </c>
    </row>
    <row r="9675" spans="1:5">
      <c r="A9675" s="59">
        <v>20</v>
      </c>
      <c r="B9675" s="59">
        <v>71</v>
      </c>
      <c r="C9675" s="59">
        <v>620</v>
      </c>
      <c r="D9675" s="51">
        <v>990</v>
      </c>
      <c r="E9675" s="51">
        <f t="shared" si="151"/>
        <v>1</v>
      </c>
    </row>
    <row r="9676" spans="1:5">
      <c r="A9676" s="59">
        <v>20</v>
      </c>
      <c r="B9676" s="59">
        <v>81</v>
      </c>
      <c r="C9676" s="59">
        <v>831</v>
      </c>
      <c r="D9676" s="51">
        <v>841</v>
      </c>
      <c r="E9676" s="51">
        <f t="shared" si="151"/>
        <v>1</v>
      </c>
    </row>
    <row r="9677" spans="1:5">
      <c r="A9677" s="59">
        <v>20</v>
      </c>
      <c r="B9677" s="59">
        <v>63</v>
      </c>
      <c r="C9677" s="59">
        <v>831</v>
      </c>
      <c r="D9677" s="51">
        <v>638</v>
      </c>
      <c r="E9677" s="51">
        <f t="shared" si="151"/>
        <v>1</v>
      </c>
    </row>
    <row r="9678" spans="1:5">
      <c r="A9678" s="59">
        <v>20</v>
      </c>
      <c r="B9678" s="59">
        <v>71</v>
      </c>
      <c r="C9678" s="59">
        <v>831</v>
      </c>
      <c r="D9678" s="51">
        <v>509</v>
      </c>
      <c r="E9678" s="51">
        <f t="shared" si="151"/>
        <v>1</v>
      </c>
    </row>
    <row r="9679" spans="1:5">
      <c r="A9679" s="59">
        <v>20</v>
      </c>
      <c r="B9679" s="59">
        <v>64</v>
      </c>
      <c r="C9679" s="59">
        <v>530</v>
      </c>
      <c r="D9679" s="51">
        <v>489</v>
      </c>
      <c r="E9679" s="51">
        <f t="shared" si="151"/>
        <v>1</v>
      </c>
    </row>
    <row r="9680" spans="1:5">
      <c r="A9680" s="59">
        <v>20</v>
      </c>
      <c r="B9680" s="59">
        <v>64</v>
      </c>
      <c r="C9680" s="59">
        <v>620</v>
      </c>
      <c r="D9680" s="51">
        <v>487</v>
      </c>
      <c r="E9680" s="51">
        <f t="shared" si="151"/>
        <v>1</v>
      </c>
    </row>
    <row r="9681" spans="1:5">
      <c r="A9681" s="59">
        <v>20</v>
      </c>
      <c r="B9681" s="59">
        <v>64</v>
      </c>
      <c r="C9681" s="59">
        <v>160</v>
      </c>
      <c r="D9681" s="51">
        <v>420</v>
      </c>
      <c r="E9681" s="51">
        <f t="shared" si="151"/>
        <v>1</v>
      </c>
    </row>
    <row r="9682" spans="1:5">
      <c r="A9682" s="59">
        <v>20</v>
      </c>
      <c r="B9682" s="59">
        <v>43</v>
      </c>
      <c r="C9682" s="59">
        <v>831</v>
      </c>
      <c r="D9682" s="51">
        <v>404</v>
      </c>
      <c r="E9682" s="51">
        <f t="shared" si="151"/>
        <v>1</v>
      </c>
    </row>
    <row r="9683" spans="1:5">
      <c r="A9683" s="59">
        <v>20</v>
      </c>
      <c r="B9683" s="59">
        <v>63</v>
      </c>
      <c r="C9683" s="59">
        <v>620</v>
      </c>
      <c r="D9683" s="51">
        <v>395</v>
      </c>
      <c r="E9683" s="51">
        <f t="shared" si="151"/>
        <v>1</v>
      </c>
    </row>
    <row r="9684" spans="1:5">
      <c r="A9684" s="59">
        <v>20</v>
      </c>
      <c r="B9684" s="59">
        <v>71</v>
      </c>
      <c r="C9684" s="59">
        <v>610</v>
      </c>
      <c r="D9684" s="51">
        <v>217</v>
      </c>
      <c r="E9684" s="51">
        <f t="shared" si="151"/>
        <v>1</v>
      </c>
    </row>
    <row r="9685" spans="1:5">
      <c r="A9685" s="59">
        <v>20</v>
      </c>
      <c r="B9685" s="59">
        <v>71</v>
      </c>
      <c r="C9685" s="59">
        <v>530</v>
      </c>
      <c r="D9685" s="51">
        <v>215</v>
      </c>
      <c r="E9685" s="51">
        <f t="shared" si="151"/>
        <v>1</v>
      </c>
    </row>
    <row r="9686" spans="1:5">
      <c r="A9686" s="59">
        <v>20</v>
      </c>
      <c r="B9686" s="59">
        <v>63</v>
      </c>
      <c r="C9686" s="59">
        <v>530</v>
      </c>
      <c r="D9686" s="51">
        <v>210</v>
      </c>
      <c r="E9686" s="51">
        <f t="shared" si="151"/>
        <v>1</v>
      </c>
    </row>
    <row r="9687" spans="1:5">
      <c r="A9687" s="59">
        <v>20</v>
      </c>
      <c r="B9687" s="59">
        <v>81</v>
      </c>
      <c r="C9687" s="59">
        <v>160</v>
      </c>
      <c r="D9687" s="51">
        <v>197</v>
      </c>
      <c r="E9687" s="51">
        <f t="shared" si="151"/>
        <v>1</v>
      </c>
    </row>
    <row r="9688" spans="1:5">
      <c r="A9688" s="59">
        <v>20</v>
      </c>
      <c r="B9688" s="59">
        <v>62</v>
      </c>
      <c r="C9688" s="59">
        <v>530</v>
      </c>
      <c r="D9688" s="51">
        <v>193</v>
      </c>
      <c r="E9688" s="51">
        <f t="shared" si="151"/>
        <v>1</v>
      </c>
    </row>
    <row r="9689" spans="1:5">
      <c r="A9689" s="59">
        <v>20</v>
      </c>
      <c r="B9689" s="59">
        <v>62</v>
      </c>
      <c r="C9689" s="59">
        <v>620</v>
      </c>
      <c r="D9689" s="51">
        <v>177</v>
      </c>
      <c r="E9689" s="51">
        <f t="shared" si="151"/>
        <v>1</v>
      </c>
    </row>
    <row r="9690" spans="1:5">
      <c r="A9690" s="59">
        <v>20</v>
      </c>
      <c r="B9690" s="59">
        <v>43</v>
      </c>
      <c r="C9690" s="59">
        <v>530</v>
      </c>
      <c r="D9690" s="51">
        <v>156</v>
      </c>
      <c r="E9690" s="51">
        <f t="shared" si="151"/>
        <v>1</v>
      </c>
    </row>
    <row r="9691" spans="1:5">
      <c r="A9691" s="59">
        <v>20</v>
      </c>
      <c r="B9691" s="59">
        <v>43</v>
      </c>
      <c r="C9691" s="59">
        <v>620</v>
      </c>
      <c r="D9691" s="51">
        <v>156</v>
      </c>
      <c r="E9691" s="51">
        <f t="shared" si="151"/>
        <v>1</v>
      </c>
    </row>
    <row r="9692" spans="1:5">
      <c r="A9692" s="59">
        <v>20</v>
      </c>
      <c r="B9692" s="59">
        <v>64</v>
      </c>
      <c r="C9692" s="59">
        <v>430</v>
      </c>
      <c r="D9692" s="51">
        <v>125</v>
      </c>
      <c r="E9692" s="51">
        <f t="shared" si="151"/>
        <v>1</v>
      </c>
    </row>
    <row r="9693" spans="1:5">
      <c r="A9693" s="59">
        <v>20</v>
      </c>
      <c r="B9693" s="59">
        <v>81</v>
      </c>
      <c r="C9693" s="59">
        <v>620</v>
      </c>
      <c r="D9693" s="51">
        <v>121</v>
      </c>
      <c r="E9693" s="51">
        <f t="shared" si="151"/>
        <v>1</v>
      </c>
    </row>
    <row r="9694" spans="1:5">
      <c r="A9694" s="59">
        <v>20</v>
      </c>
      <c r="B9694" s="59">
        <v>62</v>
      </c>
      <c r="C9694" s="59">
        <v>831</v>
      </c>
      <c r="D9694" s="51">
        <v>116</v>
      </c>
      <c r="E9694" s="51">
        <f t="shared" si="151"/>
        <v>1</v>
      </c>
    </row>
    <row r="9695" spans="1:5">
      <c r="A9695" s="59">
        <v>20</v>
      </c>
      <c r="B9695" s="59">
        <v>64</v>
      </c>
      <c r="C9695" s="59">
        <v>510</v>
      </c>
      <c r="D9695" s="51">
        <v>113</v>
      </c>
      <c r="E9695" s="51">
        <f t="shared" si="151"/>
        <v>1</v>
      </c>
    </row>
    <row r="9696" spans="1:5">
      <c r="A9696" s="59">
        <v>20</v>
      </c>
      <c r="B9696" s="59">
        <v>42</v>
      </c>
      <c r="C9696" s="59">
        <v>620</v>
      </c>
      <c r="D9696" s="51">
        <v>105</v>
      </c>
      <c r="E9696" s="51">
        <f t="shared" si="151"/>
        <v>1</v>
      </c>
    </row>
    <row r="9697" spans="1:5">
      <c r="A9697" s="59">
        <v>20</v>
      </c>
      <c r="B9697" s="59">
        <v>63</v>
      </c>
      <c r="C9697" s="59">
        <v>160</v>
      </c>
      <c r="D9697" s="51">
        <v>103</v>
      </c>
      <c r="E9697" s="51">
        <f t="shared" si="151"/>
        <v>1</v>
      </c>
    </row>
    <row r="9698" spans="1:5">
      <c r="A9698" s="59">
        <v>20</v>
      </c>
      <c r="B9698" s="59">
        <v>71</v>
      </c>
      <c r="C9698" s="59">
        <v>640</v>
      </c>
      <c r="D9698" s="51">
        <v>97</v>
      </c>
      <c r="E9698" s="51">
        <f t="shared" si="151"/>
        <v>1</v>
      </c>
    </row>
    <row r="9699" spans="1:5">
      <c r="A9699" s="59">
        <v>20</v>
      </c>
      <c r="B9699" s="59">
        <v>71</v>
      </c>
      <c r="C9699" s="59">
        <v>160</v>
      </c>
      <c r="D9699" s="51">
        <v>95</v>
      </c>
      <c r="E9699" s="51">
        <f t="shared" si="151"/>
        <v>1</v>
      </c>
    </row>
    <row r="9700" spans="1:5">
      <c r="A9700" s="59">
        <v>20</v>
      </c>
      <c r="B9700" s="59">
        <v>81</v>
      </c>
      <c r="C9700" s="59">
        <v>530</v>
      </c>
      <c r="D9700" s="51">
        <v>91</v>
      </c>
      <c r="E9700" s="51">
        <f t="shared" si="151"/>
        <v>1</v>
      </c>
    </row>
    <row r="9701" spans="1:5">
      <c r="A9701" s="59">
        <v>20</v>
      </c>
      <c r="B9701" s="59">
        <v>41</v>
      </c>
      <c r="C9701" s="59">
        <v>831</v>
      </c>
      <c r="D9701" s="51">
        <v>90</v>
      </c>
      <c r="E9701" s="51">
        <f t="shared" si="151"/>
        <v>1</v>
      </c>
    </row>
    <row r="9702" spans="1:5">
      <c r="A9702" s="59">
        <v>20</v>
      </c>
      <c r="B9702" s="59">
        <v>42</v>
      </c>
      <c r="C9702" s="59">
        <v>831</v>
      </c>
      <c r="D9702" s="51">
        <v>79</v>
      </c>
      <c r="E9702" s="51">
        <f t="shared" si="151"/>
        <v>1</v>
      </c>
    </row>
    <row r="9703" spans="1:5">
      <c r="A9703" s="59">
        <v>20</v>
      </c>
      <c r="B9703" s="59">
        <v>44</v>
      </c>
      <c r="C9703" s="59">
        <v>530</v>
      </c>
      <c r="D9703" s="51">
        <v>70</v>
      </c>
      <c r="E9703" s="51">
        <f t="shared" si="151"/>
        <v>1</v>
      </c>
    </row>
    <row r="9704" spans="1:5">
      <c r="A9704" s="59">
        <v>20</v>
      </c>
      <c r="B9704" s="59">
        <v>64</v>
      </c>
      <c r="C9704" s="59">
        <v>150</v>
      </c>
      <c r="D9704" s="51">
        <v>70</v>
      </c>
      <c r="E9704" s="51">
        <f t="shared" si="151"/>
        <v>1</v>
      </c>
    </row>
    <row r="9705" spans="1:5">
      <c r="A9705" s="59">
        <v>20</v>
      </c>
      <c r="B9705" s="59">
        <v>63</v>
      </c>
      <c r="C9705" s="59">
        <v>610</v>
      </c>
      <c r="D9705" s="51">
        <v>66</v>
      </c>
      <c r="E9705" s="51">
        <f t="shared" si="151"/>
        <v>1</v>
      </c>
    </row>
    <row r="9706" spans="1:5">
      <c r="A9706" s="59">
        <v>20</v>
      </c>
      <c r="B9706" s="59">
        <v>63</v>
      </c>
      <c r="C9706" s="59">
        <v>920</v>
      </c>
      <c r="D9706" s="51">
        <v>66</v>
      </c>
      <c r="E9706" s="51">
        <f t="shared" si="151"/>
        <v>1</v>
      </c>
    </row>
    <row r="9707" spans="1:5">
      <c r="A9707" s="59">
        <v>20</v>
      </c>
      <c r="B9707" s="59">
        <v>64</v>
      </c>
      <c r="C9707" s="59">
        <v>610</v>
      </c>
      <c r="D9707" s="51">
        <v>66</v>
      </c>
      <c r="E9707" s="51">
        <f t="shared" si="151"/>
        <v>1</v>
      </c>
    </row>
    <row r="9708" spans="1:5">
      <c r="A9708" s="59">
        <v>20</v>
      </c>
      <c r="B9708" s="59">
        <v>64</v>
      </c>
      <c r="C9708" s="59">
        <v>550</v>
      </c>
      <c r="D9708" s="51">
        <v>59</v>
      </c>
      <c r="E9708" s="51">
        <f t="shared" si="151"/>
        <v>1</v>
      </c>
    </row>
    <row r="9709" spans="1:5">
      <c r="A9709" s="59">
        <v>20</v>
      </c>
      <c r="B9709" s="59">
        <v>44</v>
      </c>
      <c r="C9709" s="59">
        <v>620</v>
      </c>
      <c r="D9709" s="51">
        <v>54</v>
      </c>
      <c r="E9709" s="51">
        <f t="shared" si="151"/>
        <v>1</v>
      </c>
    </row>
    <row r="9710" spans="1:5">
      <c r="A9710" s="59">
        <v>20</v>
      </c>
      <c r="B9710" s="59">
        <v>64</v>
      </c>
      <c r="C9710" s="59">
        <v>210</v>
      </c>
      <c r="D9710" s="51">
        <v>52</v>
      </c>
      <c r="E9710" s="51">
        <f t="shared" si="151"/>
        <v>1</v>
      </c>
    </row>
    <row r="9711" spans="1:5">
      <c r="A9711" s="59">
        <v>20</v>
      </c>
      <c r="B9711" s="59">
        <v>43</v>
      </c>
      <c r="C9711" s="59">
        <v>160</v>
      </c>
      <c r="D9711" s="51">
        <v>49</v>
      </c>
      <c r="E9711" s="51">
        <f t="shared" si="151"/>
        <v>1</v>
      </c>
    </row>
    <row r="9712" spans="1:5">
      <c r="A9712" s="59">
        <v>20</v>
      </c>
      <c r="B9712" s="59">
        <v>64</v>
      </c>
      <c r="C9712" s="59">
        <v>910</v>
      </c>
      <c r="D9712" s="51">
        <v>49</v>
      </c>
      <c r="E9712" s="51">
        <f t="shared" si="151"/>
        <v>1</v>
      </c>
    </row>
    <row r="9713" spans="1:5">
      <c r="A9713" s="59">
        <v>20</v>
      </c>
      <c r="B9713" s="59">
        <v>44</v>
      </c>
      <c r="C9713" s="59">
        <v>831</v>
      </c>
      <c r="D9713" s="51">
        <v>43</v>
      </c>
      <c r="E9713" s="51">
        <f t="shared" si="151"/>
        <v>1</v>
      </c>
    </row>
    <row r="9714" spans="1:5">
      <c r="A9714" s="59">
        <v>20</v>
      </c>
      <c r="B9714" s="59">
        <v>62</v>
      </c>
      <c r="C9714" s="59">
        <v>440</v>
      </c>
      <c r="D9714" s="51">
        <v>43</v>
      </c>
      <c r="E9714" s="51">
        <f t="shared" si="151"/>
        <v>1</v>
      </c>
    </row>
    <row r="9715" spans="1:5">
      <c r="A9715" s="59">
        <v>20</v>
      </c>
      <c r="B9715" s="59">
        <v>71</v>
      </c>
      <c r="C9715" s="59">
        <v>510</v>
      </c>
      <c r="D9715" s="51">
        <v>43</v>
      </c>
      <c r="E9715" s="51">
        <f t="shared" si="151"/>
        <v>1</v>
      </c>
    </row>
    <row r="9716" spans="1:5">
      <c r="A9716" s="59">
        <v>20</v>
      </c>
      <c r="B9716" s="59">
        <v>64</v>
      </c>
      <c r="C9716" s="59">
        <v>110</v>
      </c>
      <c r="D9716" s="51">
        <v>42</v>
      </c>
      <c r="E9716" s="51">
        <f t="shared" si="151"/>
        <v>1</v>
      </c>
    </row>
    <row r="9717" spans="1:5">
      <c r="A9717" s="59">
        <v>20</v>
      </c>
      <c r="B9717" s="59">
        <v>62</v>
      </c>
      <c r="C9717" s="59">
        <v>160</v>
      </c>
      <c r="D9717" s="51">
        <v>40</v>
      </c>
      <c r="E9717" s="51">
        <f t="shared" si="151"/>
        <v>1</v>
      </c>
    </row>
    <row r="9718" spans="1:5">
      <c r="A9718" s="59">
        <v>20</v>
      </c>
      <c r="B9718" s="59">
        <v>62</v>
      </c>
      <c r="C9718" s="59">
        <v>510</v>
      </c>
      <c r="D9718" s="51">
        <v>38</v>
      </c>
      <c r="E9718" s="51">
        <f t="shared" si="151"/>
        <v>1</v>
      </c>
    </row>
    <row r="9719" spans="1:5">
      <c r="A9719" s="59">
        <v>20</v>
      </c>
      <c r="B9719" s="59">
        <v>81</v>
      </c>
      <c r="C9719" s="59">
        <v>430</v>
      </c>
      <c r="D9719" s="51">
        <v>37</v>
      </c>
      <c r="E9719" s="51">
        <f t="shared" si="151"/>
        <v>1</v>
      </c>
    </row>
    <row r="9720" spans="1:5">
      <c r="A9720" s="59">
        <v>20</v>
      </c>
      <c r="B9720" s="59">
        <v>63</v>
      </c>
      <c r="C9720" s="59">
        <v>510</v>
      </c>
      <c r="D9720" s="51">
        <v>35</v>
      </c>
      <c r="E9720" s="51">
        <f t="shared" si="151"/>
        <v>1</v>
      </c>
    </row>
    <row r="9721" spans="1:5">
      <c r="A9721" s="59">
        <v>20</v>
      </c>
      <c r="B9721" s="59">
        <v>71</v>
      </c>
      <c r="C9721" s="59">
        <v>630</v>
      </c>
      <c r="D9721" s="51">
        <v>32</v>
      </c>
      <c r="E9721" s="51">
        <f t="shared" si="151"/>
        <v>1</v>
      </c>
    </row>
    <row r="9722" spans="1:5">
      <c r="A9722" s="59">
        <v>20</v>
      </c>
      <c r="B9722" s="59">
        <v>64</v>
      </c>
      <c r="C9722" s="59">
        <v>640</v>
      </c>
      <c r="D9722" s="51">
        <v>31</v>
      </c>
      <c r="E9722" s="51">
        <f t="shared" si="151"/>
        <v>1</v>
      </c>
    </row>
    <row r="9723" spans="1:5">
      <c r="A9723" s="59">
        <v>20</v>
      </c>
      <c r="B9723" s="59">
        <v>63</v>
      </c>
      <c r="C9723" s="59">
        <v>440</v>
      </c>
      <c r="D9723" s="51">
        <v>26</v>
      </c>
      <c r="E9723" s="51">
        <f t="shared" si="151"/>
        <v>1</v>
      </c>
    </row>
    <row r="9724" spans="1:5">
      <c r="A9724" s="59">
        <v>20</v>
      </c>
      <c r="B9724" s="59">
        <v>63</v>
      </c>
      <c r="C9724" s="59">
        <v>550</v>
      </c>
      <c r="D9724" s="51">
        <v>26</v>
      </c>
      <c r="E9724" s="51">
        <f t="shared" si="151"/>
        <v>1</v>
      </c>
    </row>
    <row r="9725" spans="1:5">
      <c r="A9725" s="59">
        <v>20</v>
      </c>
      <c r="B9725" s="59">
        <v>71</v>
      </c>
      <c r="C9725" s="59">
        <v>910</v>
      </c>
      <c r="D9725" s="51">
        <v>24</v>
      </c>
      <c r="E9725" s="51">
        <f t="shared" si="151"/>
        <v>1</v>
      </c>
    </row>
    <row r="9726" spans="1:5">
      <c r="A9726" s="59">
        <v>20</v>
      </c>
      <c r="B9726" s="59">
        <v>43</v>
      </c>
      <c r="C9726" s="59">
        <v>440</v>
      </c>
      <c r="D9726" s="51">
        <v>23</v>
      </c>
      <c r="E9726" s="51">
        <f t="shared" si="151"/>
        <v>1</v>
      </c>
    </row>
    <row r="9727" spans="1:5">
      <c r="A9727" s="59">
        <v>20</v>
      </c>
      <c r="B9727" s="59">
        <v>62</v>
      </c>
      <c r="C9727" s="59">
        <v>610</v>
      </c>
      <c r="D9727" s="51">
        <v>23</v>
      </c>
      <c r="E9727" s="51">
        <f t="shared" si="151"/>
        <v>1</v>
      </c>
    </row>
    <row r="9728" spans="1:5">
      <c r="A9728" s="59">
        <v>20</v>
      </c>
      <c r="B9728" s="59">
        <v>43</v>
      </c>
      <c r="C9728" s="59">
        <v>610</v>
      </c>
      <c r="D9728" s="51">
        <v>22</v>
      </c>
      <c r="E9728" s="51">
        <f t="shared" si="151"/>
        <v>1</v>
      </c>
    </row>
    <row r="9729" spans="1:5">
      <c r="A9729" s="59">
        <v>20</v>
      </c>
      <c r="B9729" s="59">
        <v>62</v>
      </c>
      <c r="C9729" s="59">
        <v>920</v>
      </c>
      <c r="D9729" s="51">
        <v>22</v>
      </c>
      <c r="E9729" s="51">
        <f t="shared" si="151"/>
        <v>1</v>
      </c>
    </row>
    <row r="9730" spans="1:5">
      <c r="A9730" s="59">
        <v>20</v>
      </c>
      <c r="B9730" s="59">
        <v>64</v>
      </c>
      <c r="C9730" s="59">
        <v>310</v>
      </c>
      <c r="D9730" s="51">
        <v>22</v>
      </c>
      <c r="E9730" s="51">
        <f t="shared" ref="E9730:E9793" si="152">IF(OR(A9730=6,A9730=7,A9730=14,A9730=15,A9730=16,A9730=17,A9730=18,A9730=19,A9730=20,A9730=21,A9730=22,A9730=23,A9730=25,A9730=26,A9730=27,A9730=28,B9730=41,B9730=44,B9730=62),1,0)</f>
        <v>1</v>
      </c>
    </row>
    <row r="9731" spans="1:5">
      <c r="A9731" s="59">
        <v>20</v>
      </c>
      <c r="B9731" s="59">
        <v>42</v>
      </c>
      <c r="C9731" s="59">
        <v>530</v>
      </c>
      <c r="D9731" s="51">
        <v>21</v>
      </c>
      <c r="E9731" s="51">
        <f t="shared" si="152"/>
        <v>1</v>
      </c>
    </row>
    <row r="9732" spans="1:5">
      <c r="A9732" s="59">
        <v>20</v>
      </c>
      <c r="B9732" s="59">
        <v>43</v>
      </c>
      <c r="C9732" s="59">
        <v>510</v>
      </c>
      <c r="D9732" s="51">
        <v>21</v>
      </c>
      <c r="E9732" s="51">
        <f t="shared" si="152"/>
        <v>1</v>
      </c>
    </row>
    <row r="9733" spans="1:5">
      <c r="A9733" s="59">
        <v>20</v>
      </c>
      <c r="B9733" s="59">
        <v>71</v>
      </c>
      <c r="C9733" s="59">
        <v>990</v>
      </c>
      <c r="D9733" s="51">
        <v>21</v>
      </c>
      <c r="E9733" s="51">
        <f t="shared" si="152"/>
        <v>1</v>
      </c>
    </row>
    <row r="9734" spans="1:5">
      <c r="A9734" s="59">
        <v>20</v>
      </c>
      <c r="B9734" s="59">
        <v>43</v>
      </c>
      <c r="C9734" s="59">
        <v>910</v>
      </c>
      <c r="D9734" s="51">
        <v>20</v>
      </c>
      <c r="E9734" s="51">
        <f t="shared" si="152"/>
        <v>1</v>
      </c>
    </row>
    <row r="9735" spans="1:5">
      <c r="A9735" s="59">
        <v>20</v>
      </c>
      <c r="B9735" s="59">
        <v>71</v>
      </c>
      <c r="C9735" s="59">
        <v>110</v>
      </c>
      <c r="D9735" s="51">
        <v>20</v>
      </c>
      <c r="E9735" s="51">
        <f t="shared" si="152"/>
        <v>1</v>
      </c>
    </row>
    <row r="9736" spans="1:5">
      <c r="A9736" s="59">
        <v>20</v>
      </c>
      <c r="B9736" s="59">
        <v>71</v>
      </c>
      <c r="C9736" s="59">
        <v>550</v>
      </c>
      <c r="D9736" s="51">
        <v>20</v>
      </c>
      <c r="E9736" s="51">
        <f t="shared" si="152"/>
        <v>1</v>
      </c>
    </row>
    <row r="9737" spans="1:5">
      <c r="A9737" s="59">
        <v>20</v>
      </c>
      <c r="B9737" s="59">
        <v>43</v>
      </c>
      <c r="C9737" s="59">
        <v>630</v>
      </c>
      <c r="D9737" s="51">
        <v>19</v>
      </c>
      <c r="E9737" s="51">
        <f t="shared" si="152"/>
        <v>1</v>
      </c>
    </row>
    <row r="9738" spans="1:5">
      <c r="A9738" s="59">
        <v>20</v>
      </c>
      <c r="B9738" s="59">
        <v>63</v>
      </c>
      <c r="C9738" s="59">
        <v>910</v>
      </c>
      <c r="D9738" s="51">
        <v>19</v>
      </c>
      <c r="E9738" s="51">
        <f t="shared" si="152"/>
        <v>1</v>
      </c>
    </row>
    <row r="9739" spans="1:5">
      <c r="A9739" s="59">
        <v>20</v>
      </c>
      <c r="B9739" s="59">
        <v>81</v>
      </c>
      <c r="C9739" s="59">
        <v>910</v>
      </c>
      <c r="D9739" s="51">
        <v>19</v>
      </c>
      <c r="E9739" s="51">
        <f t="shared" si="152"/>
        <v>1</v>
      </c>
    </row>
    <row r="9740" spans="1:5">
      <c r="A9740" s="59">
        <v>20</v>
      </c>
      <c r="B9740" s="59">
        <v>41</v>
      </c>
      <c r="C9740" s="59">
        <v>530</v>
      </c>
      <c r="D9740" s="51">
        <v>18</v>
      </c>
      <c r="E9740" s="51">
        <f t="shared" si="152"/>
        <v>1</v>
      </c>
    </row>
    <row r="9741" spans="1:5">
      <c r="A9741" s="59">
        <v>20</v>
      </c>
      <c r="B9741" s="59">
        <v>63</v>
      </c>
      <c r="C9741" s="59">
        <v>640</v>
      </c>
      <c r="D9741" s="51">
        <v>18</v>
      </c>
      <c r="E9741" s="51">
        <f t="shared" si="152"/>
        <v>1</v>
      </c>
    </row>
    <row r="9742" spans="1:5">
      <c r="A9742" s="59">
        <v>20</v>
      </c>
      <c r="B9742" s="59">
        <v>71</v>
      </c>
      <c r="C9742" s="59">
        <v>440</v>
      </c>
      <c r="D9742" s="51">
        <v>18</v>
      </c>
      <c r="E9742" s="51">
        <f t="shared" si="152"/>
        <v>1</v>
      </c>
    </row>
    <row r="9743" spans="1:5">
      <c r="A9743" s="59">
        <v>20</v>
      </c>
      <c r="B9743" s="59">
        <v>64</v>
      </c>
      <c r="C9743" s="59">
        <v>920</v>
      </c>
      <c r="D9743" s="51">
        <v>17</v>
      </c>
      <c r="E9743" s="51">
        <f t="shared" si="152"/>
        <v>1</v>
      </c>
    </row>
    <row r="9744" spans="1:5">
      <c r="A9744" s="59">
        <v>20</v>
      </c>
      <c r="B9744" s="59">
        <v>62</v>
      </c>
      <c r="C9744" s="59">
        <v>550</v>
      </c>
      <c r="D9744" s="51">
        <v>16</v>
      </c>
      <c r="E9744" s="51">
        <f t="shared" si="152"/>
        <v>1</v>
      </c>
    </row>
    <row r="9745" spans="1:5">
      <c r="A9745" s="59">
        <v>20</v>
      </c>
      <c r="B9745" s="59">
        <v>62</v>
      </c>
      <c r="C9745" s="59">
        <v>910</v>
      </c>
      <c r="D9745" s="51">
        <v>15</v>
      </c>
      <c r="E9745" s="51">
        <f t="shared" si="152"/>
        <v>1</v>
      </c>
    </row>
    <row r="9746" spans="1:5">
      <c r="A9746" s="59">
        <v>20</v>
      </c>
      <c r="B9746" s="59">
        <v>71</v>
      </c>
      <c r="C9746" s="59">
        <v>540</v>
      </c>
      <c r="D9746" s="51">
        <v>15</v>
      </c>
      <c r="E9746" s="51">
        <f t="shared" si="152"/>
        <v>1</v>
      </c>
    </row>
    <row r="9747" spans="1:5">
      <c r="A9747" s="59">
        <v>20</v>
      </c>
      <c r="B9747" s="59">
        <v>81</v>
      </c>
      <c r="C9747" s="59">
        <v>330</v>
      </c>
      <c r="D9747" s="51">
        <v>15</v>
      </c>
      <c r="E9747" s="51">
        <f t="shared" si="152"/>
        <v>1</v>
      </c>
    </row>
    <row r="9748" spans="1:5">
      <c r="A9748" s="59">
        <v>20</v>
      </c>
      <c r="B9748" s="59">
        <v>13</v>
      </c>
      <c r="C9748" s="59">
        <v>160</v>
      </c>
      <c r="D9748" s="51">
        <v>14</v>
      </c>
      <c r="E9748" s="51">
        <f t="shared" si="152"/>
        <v>1</v>
      </c>
    </row>
    <row r="9749" spans="1:5">
      <c r="A9749" s="59">
        <v>20</v>
      </c>
      <c r="B9749" s="59">
        <v>42</v>
      </c>
      <c r="C9749" s="59">
        <v>610</v>
      </c>
      <c r="D9749" s="51">
        <v>14</v>
      </c>
      <c r="E9749" s="51">
        <f t="shared" si="152"/>
        <v>1</v>
      </c>
    </row>
    <row r="9750" spans="1:5">
      <c r="A9750" s="59">
        <v>20</v>
      </c>
      <c r="B9750" s="59">
        <v>64</v>
      </c>
      <c r="C9750" s="59">
        <v>630</v>
      </c>
      <c r="D9750" s="51">
        <v>14</v>
      </c>
      <c r="E9750" s="51">
        <f t="shared" si="152"/>
        <v>1</v>
      </c>
    </row>
    <row r="9751" spans="1:5">
      <c r="A9751" s="59">
        <v>20</v>
      </c>
      <c r="B9751" s="59">
        <v>81</v>
      </c>
      <c r="C9751" s="59">
        <v>640</v>
      </c>
      <c r="D9751" s="51">
        <v>14</v>
      </c>
      <c r="E9751" s="51">
        <f t="shared" si="152"/>
        <v>1</v>
      </c>
    </row>
    <row r="9752" spans="1:5">
      <c r="A9752" s="59">
        <v>20</v>
      </c>
      <c r="B9752" s="59">
        <v>71</v>
      </c>
      <c r="C9752" s="59">
        <v>210</v>
      </c>
      <c r="D9752" s="51">
        <v>13</v>
      </c>
      <c r="E9752" s="51">
        <f t="shared" si="152"/>
        <v>1</v>
      </c>
    </row>
    <row r="9753" spans="1:5">
      <c r="A9753" s="59">
        <v>20</v>
      </c>
      <c r="B9753" s="59">
        <v>43</v>
      </c>
      <c r="C9753" s="59">
        <v>895</v>
      </c>
      <c r="D9753" s="51">
        <v>12</v>
      </c>
      <c r="E9753" s="51">
        <f t="shared" si="152"/>
        <v>1</v>
      </c>
    </row>
    <row r="9754" spans="1:5">
      <c r="A9754" s="59">
        <v>20</v>
      </c>
      <c r="B9754" s="59">
        <v>64</v>
      </c>
      <c r="C9754" s="59">
        <v>240</v>
      </c>
      <c r="D9754" s="51">
        <v>12</v>
      </c>
      <c r="E9754" s="51">
        <f t="shared" si="152"/>
        <v>1</v>
      </c>
    </row>
    <row r="9755" spans="1:5">
      <c r="A9755" s="59">
        <v>20</v>
      </c>
      <c r="B9755" s="59">
        <v>64</v>
      </c>
      <c r="C9755" s="59">
        <v>990</v>
      </c>
      <c r="D9755" s="51">
        <v>12</v>
      </c>
      <c r="E9755" s="51">
        <f t="shared" si="152"/>
        <v>1</v>
      </c>
    </row>
    <row r="9756" spans="1:5">
      <c r="A9756" s="59">
        <v>20</v>
      </c>
      <c r="B9756" s="59">
        <v>81</v>
      </c>
      <c r="C9756" s="59">
        <v>410</v>
      </c>
      <c r="D9756" s="51">
        <v>12</v>
      </c>
      <c r="E9756" s="51">
        <f t="shared" si="152"/>
        <v>1</v>
      </c>
    </row>
    <row r="9757" spans="1:5">
      <c r="A9757" s="59">
        <v>20</v>
      </c>
      <c r="B9757" s="59">
        <v>14</v>
      </c>
      <c r="C9757" s="59">
        <v>160</v>
      </c>
      <c r="D9757" s="51">
        <v>11</v>
      </c>
      <c r="E9757" s="51">
        <f t="shared" si="152"/>
        <v>1</v>
      </c>
    </row>
    <row r="9758" spans="1:5">
      <c r="A9758" s="59">
        <v>20</v>
      </c>
      <c r="B9758" s="59">
        <v>43</v>
      </c>
      <c r="C9758" s="59">
        <v>550</v>
      </c>
      <c r="D9758" s="51">
        <v>11</v>
      </c>
      <c r="E9758" s="51">
        <f t="shared" si="152"/>
        <v>1</v>
      </c>
    </row>
    <row r="9759" spans="1:5">
      <c r="A9759" s="59">
        <v>20</v>
      </c>
      <c r="B9759" s="59">
        <v>43</v>
      </c>
      <c r="C9759" s="59">
        <v>640</v>
      </c>
      <c r="D9759" s="51">
        <v>11</v>
      </c>
      <c r="E9759" s="51">
        <f t="shared" si="152"/>
        <v>1</v>
      </c>
    </row>
    <row r="9760" spans="1:5">
      <c r="A9760" s="59">
        <v>20</v>
      </c>
      <c r="B9760" s="59">
        <v>44</v>
      </c>
      <c r="C9760" s="59">
        <v>510</v>
      </c>
      <c r="D9760" s="51">
        <v>11</v>
      </c>
      <c r="E9760" s="51">
        <f t="shared" si="152"/>
        <v>1</v>
      </c>
    </row>
    <row r="9761" spans="1:5">
      <c r="A9761" s="59">
        <v>20</v>
      </c>
      <c r="B9761" s="59">
        <v>63</v>
      </c>
      <c r="C9761" s="59">
        <v>110</v>
      </c>
      <c r="D9761" s="51">
        <v>11</v>
      </c>
      <c r="E9761" s="51">
        <f t="shared" si="152"/>
        <v>1</v>
      </c>
    </row>
    <row r="9762" spans="1:5">
      <c r="A9762" s="59">
        <v>20</v>
      </c>
      <c r="B9762" s="59">
        <v>32</v>
      </c>
      <c r="C9762" s="59">
        <v>420</v>
      </c>
      <c r="D9762" s="51">
        <v>10</v>
      </c>
      <c r="E9762" s="51">
        <f t="shared" si="152"/>
        <v>1</v>
      </c>
    </row>
    <row r="9763" spans="1:5">
      <c r="A9763" s="59">
        <v>20</v>
      </c>
      <c r="B9763" s="59">
        <v>43</v>
      </c>
      <c r="C9763" s="59">
        <v>930</v>
      </c>
      <c r="D9763" s="51">
        <v>10</v>
      </c>
      <c r="E9763" s="51">
        <f t="shared" si="152"/>
        <v>1</v>
      </c>
    </row>
    <row r="9764" spans="1:5">
      <c r="A9764" s="59">
        <v>20</v>
      </c>
      <c r="B9764" s="59">
        <v>63</v>
      </c>
      <c r="C9764" s="59">
        <v>310</v>
      </c>
      <c r="D9764" s="51">
        <v>10</v>
      </c>
      <c r="E9764" s="51">
        <f t="shared" si="152"/>
        <v>1</v>
      </c>
    </row>
    <row r="9765" spans="1:5">
      <c r="A9765" s="59">
        <v>20</v>
      </c>
      <c r="B9765" s="59">
        <v>31</v>
      </c>
      <c r="C9765" s="59">
        <v>620</v>
      </c>
      <c r="D9765" s="51">
        <v>9</v>
      </c>
      <c r="E9765" s="51">
        <f t="shared" si="152"/>
        <v>1</v>
      </c>
    </row>
    <row r="9766" spans="1:5">
      <c r="A9766" s="59">
        <v>20</v>
      </c>
      <c r="B9766" s="59">
        <v>63</v>
      </c>
      <c r="C9766" s="59">
        <v>990</v>
      </c>
      <c r="D9766" s="51">
        <v>9</v>
      </c>
      <c r="E9766" s="51">
        <f t="shared" si="152"/>
        <v>1</v>
      </c>
    </row>
    <row r="9767" spans="1:5">
      <c r="A9767" s="59">
        <v>20</v>
      </c>
      <c r="B9767" s="59">
        <v>71</v>
      </c>
      <c r="C9767" s="59">
        <v>240</v>
      </c>
      <c r="D9767" s="51">
        <v>9</v>
      </c>
      <c r="E9767" s="51">
        <f t="shared" si="152"/>
        <v>1</v>
      </c>
    </row>
    <row r="9768" spans="1:5">
      <c r="A9768" s="59">
        <v>20</v>
      </c>
      <c r="B9768" s="59">
        <v>81</v>
      </c>
      <c r="C9768" s="59">
        <v>510</v>
      </c>
      <c r="D9768" s="51">
        <v>9</v>
      </c>
      <c r="E9768" s="51">
        <f t="shared" si="152"/>
        <v>1</v>
      </c>
    </row>
    <row r="9769" spans="1:5">
      <c r="A9769" s="59">
        <v>20</v>
      </c>
      <c r="B9769" s="59">
        <v>81</v>
      </c>
      <c r="C9769" s="59">
        <v>550</v>
      </c>
      <c r="D9769" s="51">
        <v>9</v>
      </c>
      <c r="E9769" s="51">
        <f t="shared" si="152"/>
        <v>1</v>
      </c>
    </row>
    <row r="9770" spans="1:5">
      <c r="A9770" s="59">
        <v>20</v>
      </c>
      <c r="B9770" s="59">
        <v>81</v>
      </c>
      <c r="C9770" s="59">
        <v>990</v>
      </c>
      <c r="D9770" s="51">
        <v>9</v>
      </c>
      <c r="E9770" s="51">
        <f t="shared" si="152"/>
        <v>1</v>
      </c>
    </row>
    <row r="9771" spans="1:5">
      <c r="A9771" s="59">
        <v>20</v>
      </c>
      <c r="B9771" s="59">
        <v>41</v>
      </c>
      <c r="C9771" s="59">
        <v>620</v>
      </c>
      <c r="D9771" s="51">
        <v>8</v>
      </c>
      <c r="E9771" s="51">
        <f t="shared" si="152"/>
        <v>1</v>
      </c>
    </row>
    <row r="9772" spans="1:5">
      <c r="A9772" s="59">
        <v>20</v>
      </c>
      <c r="B9772" s="59">
        <v>62</v>
      </c>
      <c r="C9772" s="59">
        <v>110</v>
      </c>
      <c r="D9772" s="51">
        <v>8</v>
      </c>
      <c r="E9772" s="51">
        <f t="shared" si="152"/>
        <v>1</v>
      </c>
    </row>
    <row r="9773" spans="1:5">
      <c r="A9773" s="59">
        <v>20</v>
      </c>
      <c r="B9773" s="59">
        <v>62</v>
      </c>
      <c r="C9773" s="59">
        <v>990</v>
      </c>
      <c r="D9773" s="51">
        <v>8</v>
      </c>
      <c r="E9773" s="51">
        <f t="shared" si="152"/>
        <v>1</v>
      </c>
    </row>
    <row r="9774" spans="1:5">
      <c r="A9774" s="59">
        <v>20</v>
      </c>
      <c r="B9774" s="59">
        <v>14</v>
      </c>
      <c r="C9774" s="59">
        <v>530</v>
      </c>
      <c r="D9774" s="51">
        <v>7</v>
      </c>
      <c r="E9774" s="51">
        <f t="shared" si="152"/>
        <v>1</v>
      </c>
    </row>
    <row r="9775" spans="1:5">
      <c r="A9775" s="59">
        <v>20</v>
      </c>
      <c r="B9775" s="59">
        <v>42</v>
      </c>
      <c r="C9775" s="59">
        <v>160</v>
      </c>
      <c r="D9775" s="51">
        <v>7</v>
      </c>
      <c r="E9775" s="51">
        <f t="shared" si="152"/>
        <v>1</v>
      </c>
    </row>
    <row r="9776" spans="1:5">
      <c r="A9776" s="59">
        <v>20</v>
      </c>
      <c r="B9776" s="59">
        <v>62</v>
      </c>
      <c r="C9776" s="59">
        <v>240</v>
      </c>
      <c r="D9776" s="51">
        <v>7</v>
      </c>
      <c r="E9776" s="51">
        <f t="shared" si="152"/>
        <v>1</v>
      </c>
    </row>
    <row r="9777" spans="1:5">
      <c r="A9777" s="59">
        <v>20</v>
      </c>
      <c r="B9777" s="59">
        <v>63</v>
      </c>
      <c r="C9777" s="59">
        <v>210</v>
      </c>
      <c r="D9777" s="51">
        <v>7</v>
      </c>
      <c r="E9777" s="51">
        <f t="shared" si="152"/>
        <v>1</v>
      </c>
    </row>
    <row r="9778" spans="1:5">
      <c r="A9778" s="59">
        <v>20</v>
      </c>
      <c r="B9778" s="59">
        <v>63</v>
      </c>
      <c r="C9778" s="59">
        <v>520</v>
      </c>
      <c r="D9778" s="51">
        <v>7</v>
      </c>
      <c r="E9778" s="51">
        <f t="shared" si="152"/>
        <v>1</v>
      </c>
    </row>
    <row r="9779" spans="1:5">
      <c r="A9779" s="59">
        <v>20</v>
      </c>
      <c r="B9779" s="59">
        <v>64</v>
      </c>
      <c r="C9779" s="59">
        <v>440</v>
      </c>
      <c r="D9779" s="51">
        <v>7</v>
      </c>
      <c r="E9779" s="51">
        <f t="shared" si="152"/>
        <v>1</v>
      </c>
    </row>
    <row r="9780" spans="1:5">
      <c r="A9780" s="59">
        <v>20</v>
      </c>
      <c r="B9780" s="59">
        <v>64</v>
      </c>
      <c r="C9780" s="59">
        <v>540</v>
      </c>
      <c r="D9780" s="51">
        <v>7</v>
      </c>
      <c r="E9780" s="51">
        <f t="shared" si="152"/>
        <v>1</v>
      </c>
    </row>
    <row r="9781" spans="1:5">
      <c r="A9781" s="59">
        <v>20</v>
      </c>
      <c r="B9781" s="59">
        <v>71</v>
      </c>
      <c r="C9781" s="59">
        <v>920</v>
      </c>
      <c r="D9781" s="51">
        <v>7</v>
      </c>
      <c r="E9781" s="51">
        <f t="shared" si="152"/>
        <v>1</v>
      </c>
    </row>
    <row r="9782" spans="1:5">
      <c r="A9782" s="59">
        <v>20</v>
      </c>
      <c r="B9782" s="59">
        <v>81</v>
      </c>
      <c r="C9782" s="59">
        <v>630</v>
      </c>
      <c r="D9782" s="51">
        <v>7</v>
      </c>
      <c r="E9782" s="51">
        <f t="shared" si="152"/>
        <v>1</v>
      </c>
    </row>
    <row r="9783" spans="1:5">
      <c r="A9783" s="59">
        <v>20</v>
      </c>
      <c r="B9783" s="59">
        <v>13</v>
      </c>
      <c r="C9783" s="59">
        <v>620</v>
      </c>
      <c r="D9783" s="51">
        <v>6</v>
      </c>
      <c r="E9783" s="51">
        <f t="shared" si="152"/>
        <v>1</v>
      </c>
    </row>
    <row r="9784" spans="1:5">
      <c r="A9784" s="59">
        <v>20</v>
      </c>
      <c r="B9784" s="59">
        <v>42</v>
      </c>
      <c r="C9784" s="59">
        <v>150</v>
      </c>
      <c r="D9784" s="51">
        <v>6</v>
      </c>
      <c r="E9784" s="51">
        <f t="shared" si="152"/>
        <v>1</v>
      </c>
    </row>
    <row r="9785" spans="1:5">
      <c r="A9785" s="59">
        <v>20</v>
      </c>
      <c r="B9785" s="59">
        <v>42</v>
      </c>
      <c r="C9785" s="59">
        <v>910</v>
      </c>
      <c r="D9785" s="51">
        <v>6</v>
      </c>
      <c r="E9785" s="51">
        <f t="shared" si="152"/>
        <v>1</v>
      </c>
    </row>
    <row r="9786" spans="1:5">
      <c r="A9786" s="59">
        <v>20</v>
      </c>
      <c r="B9786" s="59">
        <v>43</v>
      </c>
      <c r="C9786" s="59">
        <v>150</v>
      </c>
      <c r="D9786" s="51">
        <v>6</v>
      </c>
      <c r="E9786" s="51">
        <f t="shared" si="152"/>
        <v>1</v>
      </c>
    </row>
    <row r="9787" spans="1:5">
      <c r="A9787" s="59">
        <v>20</v>
      </c>
      <c r="B9787" s="59">
        <v>62</v>
      </c>
      <c r="C9787" s="59">
        <v>150</v>
      </c>
      <c r="D9787" s="51">
        <v>6</v>
      </c>
      <c r="E9787" s="51">
        <f t="shared" si="152"/>
        <v>1</v>
      </c>
    </row>
    <row r="9788" spans="1:5">
      <c r="A9788" s="59">
        <v>20</v>
      </c>
      <c r="B9788" s="59">
        <v>63</v>
      </c>
      <c r="C9788" s="59">
        <v>540</v>
      </c>
      <c r="D9788" s="51">
        <v>6</v>
      </c>
      <c r="E9788" s="51">
        <f t="shared" si="152"/>
        <v>1</v>
      </c>
    </row>
    <row r="9789" spans="1:5">
      <c r="A9789" s="59">
        <v>20</v>
      </c>
      <c r="B9789" s="59">
        <v>63</v>
      </c>
      <c r="C9789" s="59">
        <v>630</v>
      </c>
      <c r="D9789" s="51">
        <v>6</v>
      </c>
      <c r="E9789" s="51">
        <f t="shared" si="152"/>
        <v>1</v>
      </c>
    </row>
    <row r="9790" spans="1:5">
      <c r="A9790" s="59">
        <v>20</v>
      </c>
      <c r="B9790" s="59">
        <v>71</v>
      </c>
      <c r="C9790" s="59">
        <v>430</v>
      </c>
      <c r="D9790" s="51">
        <v>6</v>
      </c>
      <c r="E9790" s="51">
        <f t="shared" si="152"/>
        <v>1</v>
      </c>
    </row>
    <row r="9791" spans="1:5">
      <c r="A9791" s="59">
        <v>20</v>
      </c>
      <c r="B9791" s="59">
        <v>13</v>
      </c>
      <c r="C9791" s="59">
        <v>330</v>
      </c>
      <c r="D9791" s="51">
        <v>5</v>
      </c>
      <c r="E9791" s="51">
        <f t="shared" si="152"/>
        <v>1</v>
      </c>
    </row>
    <row r="9792" spans="1:5">
      <c r="A9792" s="59">
        <v>20</v>
      </c>
      <c r="B9792" s="59">
        <v>14</v>
      </c>
      <c r="C9792" s="59">
        <v>610</v>
      </c>
      <c r="D9792" s="51">
        <v>5</v>
      </c>
      <c r="E9792" s="51">
        <f t="shared" si="152"/>
        <v>1</v>
      </c>
    </row>
    <row r="9793" spans="1:5">
      <c r="A9793" s="59">
        <v>20</v>
      </c>
      <c r="B9793" s="59">
        <v>32</v>
      </c>
      <c r="C9793" s="59">
        <v>620</v>
      </c>
      <c r="D9793" s="51">
        <v>5</v>
      </c>
      <c r="E9793" s="51">
        <f t="shared" si="152"/>
        <v>1</v>
      </c>
    </row>
    <row r="9794" spans="1:5">
      <c r="A9794" s="59">
        <v>20</v>
      </c>
      <c r="B9794" s="59">
        <v>41</v>
      </c>
      <c r="C9794" s="59">
        <v>160</v>
      </c>
      <c r="D9794" s="51">
        <v>5</v>
      </c>
      <c r="E9794" s="51">
        <f t="shared" ref="E9794:E9857" si="153">IF(OR(A9794=6,A9794=7,A9794=14,A9794=15,A9794=16,A9794=17,A9794=18,A9794=19,A9794=20,A9794=21,A9794=22,A9794=23,A9794=25,A9794=26,A9794=27,A9794=28,B9794=41,B9794=44,B9794=62),1,0)</f>
        <v>1</v>
      </c>
    </row>
    <row r="9795" spans="1:5">
      <c r="A9795" s="59">
        <v>20</v>
      </c>
      <c r="B9795" s="59">
        <v>43</v>
      </c>
      <c r="C9795" s="59">
        <v>310</v>
      </c>
      <c r="D9795" s="51">
        <v>5</v>
      </c>
      <c r="E9795" s="51">
        <f t="shared" si="153"/>
        <v>1</v>
      </c>
    </row>
    <row r="9796" spans="1:5">
      <c r="A9796" s="59">
        <v>20</v>
      </c>
      <c r="B9796" s="59">
        <v>43</v>
      </c>
      <c r="C9796" s="59">
        <v>540</v>
      </c>
      <c r="D9796" s="51">
        <v>5</v>
      </c>
      <c r="E9796" s="51">
        <f t="shared" si="153"/>
        <v>1</v>
      </c>
    </row>
    <row r="9797" spans="1:5">
      <c r="A9797" s="59">
        <v>20</v>
      </c>
      <c r="B9797" s="59">
        <v>44</v>
      </c>
      <c r="C9797" s="59">
        <v>550</v>
      </c>
      <c r="D9797" s="51">
        <v>5</v>
      </c>
      <c r="E9797" s="51">
        <f t="shared" si="153"/>
        <v>1</v>
      </c>
    </row>
    <row r="9798" spans="1:5">
      <c r="A9798" s="59">
        <v>20</v>
      </c>
      <c r="B9798" s="59">
        <v>44</v>
      </c>
      <c r="C9798" s="59">
        <v>640</v>
      </c>
      <c r="D9798" s="51">
        <v>5</v>
      </c>
      <c r="E9798" s="51">
        <f t="shared" si="153"/>
        <v>1</v>
      </c>
    </row>
    <row r="9799" spans="1:5">
      <c r="A9799" s="59">
        <v>20</v>
      </c>
      <c r="B9799" s="59">
        <v>62</v>
      </c>
      <c r="C9799" s="59">
        <v>210</v>
      </c>
      <c r="D9799" s="51">
        <v>5</v>
      </c>
      <c r="E9799" s="51">
        <f t="shared" si="153"/>
        <v>1</v>
      </c>
    </row>
    <row r="9800" spans="1:5">
      <c r="A9800" s="59">
        <v>20</v>
      </c>
      <c r="B9800" s="59">
        <v>62</v>
      </c>
      <c r="C9800" s="59">
        <v>640</v>
      </c>
      <c r="D9800" s="51">
        <v>5</v>
      </c>
      <c r="E9800" s="51">
        <f t="shared" si="153"/>
        <v>1</v>
      </c>
    </row>
    <row r="9801" spans="1:5">
      <c r="A9801" s="59">
        <v>20</v>
      </c>
      <c r="B9801" s="59">
        <v>62</v>
      </c>
      <c r="C9801" s="59">
        <v>750</v>
      </c>
      <c r="D9801" s="51">
        <v>5</v>
      </c>
      <c r="E9801" s="51">
        <f t="shared" si="153"/>
        <v>1</v>
      </c>
    </row>
    <row r="9802" spans="1:5">
      <c r="A9802" s="59">
        <v>20</v>
      </c>
      <c r="B9802" s="59">
        <v>64</v>
      </c>
      <c r="C9802" s="59">
        <v>830</v>
      </c>
      <c r="D9802" s="51">
        <v>5</v>
      </c>
      <c r="E9802" s="51">
        <f t="shared" si="153"/>
        <v>1</v>
      </c>
    </row>
    <row r="9803" spans="1:5">
      <c r="A9803" s="59">
        <v>20</v>
      </c>
      <c r="B9803" s="59">
        <v>71</v>
      </c>
      <c r="C9803" s="59">
        <v>150</v>
      </c>
      <c r="D9803" s="51">
        <v>5</v>
      </c>
      <c r="E9803" s="51">
        <f t="shared" si="153"/>
        <v>1</v>
      </c>
    </row>
    <row r="9804" spans="1:5">
      <c r="A9804" s="59">
        <v>20</v>
      </c>
      <c r="B9804" s="59">
        <v>13</v>
      </c>
      <c r="C9804" s="59">
        <v>150</v>
      </c>
      <c r="D9804" s="51">
        <v>4</v>
      </c>
      <c r="E9804" s="51">
        <f t="shared" si="153"/>
        <v>1</v>
      </c>
    </row>
    <row r="9805" spans="1:5">
      <c r="A9805" s="59">
        <v>20</v>
      </c>
      <c r="B9805" s="59">
        <v>32</v>
      </c>
      <c r="C9805" s="59">
        <v>530</v>
      </c>
      <c r="D9805" s="51">
        <v>4</v>
      </c>
      <c r="E9805" s="51">
        <f t="shared" si="153"/>
        <v>1</v>
      </c>
    </row>
    <row r="9806" spans="1:5">
      <c r="A9806" s="59">
        <v>20</v>
      </c>
      <c r="B9806" s="59">
        <v>42</v>
      </c>
      <c r="C9806" s="59">
        <v>540</v>
      </c>
      <c r="D9806" s="51">
        <v>4</v>
      </c>
      <c r="E9806" s="51">
        <f t="shared" si="153"/>
        <v>1</v>
      </c>
    </row>
    <row r="9807" spans="1:5">
      <c r="A9807" s="59">
        <v>20</v>
      </c>
      <c r="B9807" s="59">
        <v>44</v>
      </c>
      <c r="C9807" s="59">
        <v>630</v>
      </c>
      <c r="D9807" s="51">
        <v>4</v>
      </c>
      <c r="E9807" s="51">
        <f t="shared" si="153"/>
        <v>1</v>
      </c>
    </row>
    <row r="9808" spans="1:5">
      <c r="A9808" s="59">
        <v>20</v>
      </c>
      <c r="B9808" s="59">
        <v>62</v>
      </c>
      <c r="C9808" s="59">
        <v>310</v>
      </c>
      <c r="D9808" s="51">
        <v>4</v>
      </c>
      <c r="E9808" s="51">
        <f t="shared" si="153"/>
        <v>1</v>
      </c>
    </row>
    <row r="9809" spans="1:5">
      <c r="A9809" s="59">
        <v>20</v>
      </c>
      <c r="B9809" s="59">
        <v>63</v>
      </c>
      <c r="C9809" s="59">
        <v>150</v>
      </c>
      <c r="D9809" s="51">
        <v>4</v>
      </c>
      <c r="E9809" s="51">
        <f t="shared" si="153"/>
        <v>1</v>
      </c>
    </row>
    <row r="9810" spans="1:5">
      <c r="A9810" s="59">
        <v>20</v>
      </c>
      <c r="B9810" s="59">
        <v>63</v>
      </c>
      <c r="C9810" s="59">
        <v>830</v>
      </c>
      <c r="D9810" s="51">
        <v>4</v>
      </c>
      <c r="E9810" s="51">
        <f t="shared" si="153"/>
        <v>1</v>
      </c>
    </row>
    <row r="9811" spans="1:5">
      <c r="A9811" s="59">
        <v>20</v>
      </c>
      <c r="B9811" s="59">
        <v>64</v>
      </c>
      <c r="C9811" s="59">
        <v>230</v>
      </c>
      <c r="D9811" s="51">
        <v>4</v>
      </c>
      <c r="E9811" s="51">
        <f t="shared" si="153"/>
        <v>1</v>
      </c>
    </row>
    <row r="9812" spans="1:5">
      <c r="A9812" s="59">
        <v>20</v>
      </c>
      <c r="B9812" s="59">
        <v>64</v>
      </c>
      <c r="C9812" s="59">
        <v>420</v>
      </c>
      <c r="D9812" s="51">
        <v>4</v>
      </c>
      <c r="E9812" s="51">
        <f t="shared" si="153"/>
        <v>1</v>
      </c>
    </row>
    <row r="9813" spans="1:5">
      <c r="A9813" s="59">
        <v>20</v>
      </c>
      <c r="B9813" s="59">
        <v>81</v>
      </c>
      <c r="C9813" s="59">
        <v>110</v>
      </c>
      <c r="D9813" s="51">
        <v>4</v>
      </c>
      <c r="E9813" s="51">
        <f t="shared" si="153"/>
        <v>1</v>
      </c>
    </row>
    <row r="9814" spans="1:5">
      <c r="A9814" s="59">
        <v>20</v>
      </c>
      <c r="B9814" s="59">
        <v>81</v>
      </c>
      <c r="C9814" s="59">
        <v>540</v>
      </c>
      <c r="D9814" s="51">
        <v>4</v>
      </c>
      <c r="E9814" s="51">
        <f t="shared" si="153"/>
        <v>1</v>
      </c>
    </row>
    <row r="9815" spans="1:5">
      <c r="A9815" s="59">
        <v>20</v>
      </c>
      <c r="B9815" s="59">
        <v>81</v>
      </c>
      <c r="C9815" s="59">
        <v>610</v>
      </c>
      <c r="D9815" s="51">
        <v>4</v>
      </c>
      <c r="E9815" s="51">
        <f t="shared" si="153"/>
        <v>1</v>
      </c>
    </row>
    <row r="9816" spans="1:5">
      <c r="A9816" s="59">
        <v>20</v>
      </c>
      <c r="B9816" s="59">
        <v>11</v>
      </c>
      <c r="C9816" s="59">
        <v>510</v>
      </c>
      <c r="D9816" s="51">
        <v>3</v>
      </c>
      <c r="E9816" s="51">
        <f t="shared" si="153"/>
        <v>1</v>
      </c>
    </row>
    <row r="9817" spans="1:5">
      <c r="A9817" s="59">
        <v>20</v>
      </c>
      <c r="B9817" s="59">
        <v>13</v>
      </c>
      <c r="C9817" s="59">
        <v>310</v>
      </c>
      <c r="D9817" s="51">
        <v>3</v>
      </c>
      <c r="E9817" s="51">
        <f t="shared" si="153"/>
        <v>1</v>
      </c>
    </row>
    <row r="9818" spans="1:5">
      <c r="A9818" s="59">
        <v>20</v>
      </c>
      <c r="B9818" s="59">
        <v>14</v>
      </c>
      <c r="C9818" s="59">
        <v>150</v>
      </c>
      <c r="D9818" s="51">
        <v>3</v>
      </c>
      <c r="E9818" s="51">
        <f t="shared" si="153"/>
        <v>1</v>
      </c>
    </row>
    <row r="9819" spans="1:5">
      <c r="A9819" s="59">
        <v>20</v>
      </c>
      <c r="B9819" s="59">
        <v>32</v>
      </c>
      <c r="C9819" s="59">
        <v>210</v>
      </c>
      <c r="D9819" s="51">
        <v>3</v>
      </c>
      <c r="E9819" s="51">
        <f t="shared" si="153"/>
        <v>1</v>
      </c>
    </row>
    <row r="9820" spans="1:5">
      <c r="A9820" s="59">
        <v>20</v>
      </c>
      <c r="B9820" s="59">
        <v>33</v>
      </c>
      <c r="C9820" s="59">
        <v>620</v>
      </c>
      <c r="D9820" s="51">
        <v>3</v>
      </c>
      <c r="E9820" s="51">
        <f t="shared" si="153"/>
        <v>1</v>
      </c>
    </row>
    <row r="9821" spans="1:5">
      <c r="A9821" s="59">
        <v>20</v>
      </c>
      <c r="B9821" s="59">
        <v>41</v>
      </c>
      <c r="C9821" s="59">
        <v>110</v>
      </c>
      <c r="D9821" s="51">
        <v>3</v>
      </c>
      <c r="E9821" s="51">
        <f t="shared" si="153"/>
        <v>1</v>
      </c>
    </row>
    <row r="9822" spans="1:5">
      <c r="A9822" s="59">
        <v>20</v>
      </c>
      <c r="B9822" s="59">
        <v>42</v>
      </c>
      <c r="C9822" s="59">
        <v>240</v>
      </c>
      <c r="D9822" s="51">
        <v>3</v>
      </c>
      <c r="E9822" s="51">
        <f t="shared" si="153"/>
        <v>1</v>
      </c>
    </row>
    <row r="9823" spans="1:5">
      <c r="A9823" s="59">
        <v>20</v>
      </c>
      <c r="B9823" s="59">
        <v>42</v>
      </c>
      <c r="C9823" s="59">
        <v>640</v>
      </c>
      <c r="D9823" s="51">
        <v>3</v>
      </c>
      <c r="E9823" s="51">
        <f t="shared" si="153"/>
        <v>1</v>
      </c>
    </row>
    <row r="9824" spans="1:5">
      <c r="A9824" s="59">
        <v>20</v>
      </c>
      <c r="B9824" s="59">
        <v>43</v>
      </c>
      <c r="C9824" s="59">
        <v>210</v>
      </c>
      <c r="D9824" s="51">
        <v>3</v>
      </c>
      <c r="E9824" s="51">
        <f t="shared" si="153"/>
        <v>1</v>
      </c>
    </row>
    <row r="9825" spans="1:5">
      <c r="A9825" s="59">
        <v>20</v>
      </c>
      <c r="B9825" s="59">
        <v>43</v>
      </c>
      <c r="C9825" s="59">
        <v>861</v>
      </c>
      <c r="D9825" s="51">
        <v>3</v>
      </c>
      <c r="E9825" s="51">
        <f t="shared" si="153"/>
        <v>1</v>
      </c>
    </row>
    <row r="9826" spans="1:5">
      <c r="A9826" s="59">
        <v>20</v>
      </c>
      <c r="B9826" s="59">
        <v>44</v>
      </c>
      <c r="C9826" s="59">
        <v>540</v>
      </c>
      <c r="D9826" s="51">
        <v>3</v>
      </c>
      <c r="E9826" s="51">
        <f t="shared" si="153"/>
        <v>1</v>
      </c>
    </row>
    <row r="9827" spans="1:5">
      <c r="A9827" s="59">
        <v>20</v>
      </c>
      <c r="B9827" s="59">
        <v>44</v>
      </c>
      <c r="C9827" s="59">
        <v>610</v>
      </c>
      <c r="D9827" s="51">
        <v>3</v>
      </c>
      <c r="E9827" s="51">
        <f t="shared" si="153"/>
        <v>1</v>
      </c>
    </row>
    <row r="9828" spans="1:5">
      <c r="A9828" s="59">
        <v>20</v>
      </c>
      <c r="B9828" s="59">
        <v>44</v>
      </c>
      <c r="C9828" s="59">
        <v>910</v>
      </c>
      <c r="D9828" s="51">
        <v>3</v>
      </c>
      <c r="E9828" s="51">
        <f t="shared" si="153"/>
        <v>1</v>
      </c>
    </row>
    <row r="9829" spans="1:5">
      <c r="A9829" s="59">
        <v>20</v>
      </c>
      <c r="B9829" s="59">
        <v>62</v>
      </c>
      <c r="C9829" s="59">
        <v>330</v>
      </c>
      <c r="D9829" s="51">
        <v>3</v>
      </c>
      <c r="E9829" s="51">
        <f t="shared" si="153"/>
        <v>1</v>
      </c>
    </row>
    <row r="9830" spans="1:5">
      <c r="A9830" s="59">
        <v>20</v>
      </c>
      <c r="B9830" s="59">
        <v>62</v>
      </c>
      <c r="C9830" s="59">
        <v>410</v>
      </c>
      <c r="D9830" s="51">
        <v>3</v>
      </c>
      <c r="E9830" s="51">
        <f t="shared" si="153"/>
        <v>1</v>
      </c>
    </row>
    <row r="9831" spans="1:5">
      <c r="A9831" s="59">
        <v>20</v>
      </c>
      <c r="B9831" s="59">
        <v>63</v>
      </c>
      <c r="C9831" s="59">
        <v>240</v>
      </c>
      <c r="D9831" s="51">
        <v>3</v>
      </c>
      <c r="E9831" s="51">
        <f t="shared" si="153"/>
        <v>1</v>
      </c>
    </row>
    <row r="9832" spans="1:5">
      <c r="A9832" s="59">
        <v>20</v>
      </c>
      <c r="B9832" s="59">
        <v>63</v>
      </c>
      <c r="C9832" s="59">
        <v>430</v>
      </c>
      <c r="D9832" s="51">
        <v>3</v>
      </c>
      <c r="E9832" s="51">
        <f t="shared" si="153"/>
        <v>1</v>
      </c>
    </row>
    <row r="9833" spans="1:5">
      <c r="A9833" s="59">
        <v>20</v>
      </c>
      <c r="B9833" s="59">
        <v>64</v>
      </c>
      <c r="C9833" s="59">
        <v>410</v>
      </c>
      <c r="D9833" s="51">
        <v>3</v>
      </c>
      <c r="E9833" s="51">
        <f t="shared" si="153"/>
        <v>1</v>
      </c>
    </row>
    <row r="9834" spans="1:5">
      <c r="A9834" s="59">
        <v>20</v>
      </c>
      <c r="B9834" s="59">
        <v>64</v>
      </c>
      <c r="C9834" s="59">
        <v>750</v>
      </c>
      <c r="D9834" s="51">
        <v>3</v>
      </c>
      <c r="E9834" s="51">
        <f t="shared" si="153"/>
        <v>1</v>
      </c>
    </row>
    <row r="9835" spans="1:5">
      <c r="A9835" s="59">
        <v>20</v>
      </c>
      <c r="B9835" s="59">
        <v>71</v>
      </c>
      <c r="C9835" s="59">
        <v>410</v>
      </c>
      <c r="D9835" s="51">
        <v>3</v>
      </c>
      <c r="E9835" s="51">
        <f t="shared" si="153"/>
        <v>1</v>
      </c>
    </row>
    <row r="9836" spans="1:5">
      <c r="A9836" s="59">
        <v>20</v>
      </c>
      <c r="B9836" s="59">
        <v>71</v>
      </c>
      <c r="C9836" s="59">
        <v>520</v>
      </c>
      <c r="D9836" s="51">
        <v>3</v>
      </c>
      <c r="E9836" s="51">
        <f t="shared" si="153"/>
        <v>1</v>
      </c>
    </row>
    <row r="9837" spans="1:5">
      <c r="A9837" s="59">
        <v>20</v>
      </c>
      <c r="B9837" s="59">
        <v>81</v>
      </c>
      <c r="C9837" s="59">
        <v>210</v>
      </c>
      <c r="D9837" s="51">
        <v>3</v>
      </c>
      <c r="E9837" s="51">
        <f t="shared" si="153"/>
        <v>1</v>
      </c>
    </row>
    <row r="9838" spans="1:5">
      <c r="A9838" s="59">
        <v>20</v>
      </c>
      <c r="B9838" s="59">
        <v>81</v>
      </c>
      <c r="C9838" s="59">
        <v>920</v>
      </c>
      <c r="D9838" s="51">
        <v>3</v>
      </c>
      <c r="E9838" s="51">
        <f t="shared" si="153"/>
        <v>1</v>
      </c>
    </row>
    <row r="9839" spans="1:5">
      <c r="A9839" s="59">
        <v>20</v>
      </c>
      <c r="B9839" s="59">
        <v>16</v>
      </c>
      <c r="C9839" s="59">
        <v>210</v>
      </c>
      <c r="D9839" s="51">
        <v>2</v>
      </c>
      <c r="E9839" s="51">
        <f t="shared" si="153"/>
        <v>1</v>
      </c>
    </row>
    <row r="9840" spans="1:5">
      <c r="A9840" s="59">
        <v>20</v>
      </c>
      <c r="B9840" s="59">
        <v>16</v>
      </c>
      <c r="C9840" s="59">
        <v>630</v>
      </c>
      <c r="D9840" s="51">
        <v>2</v>
      </c>
      <c r="E9840" s="51">
        <f t="shared" si="153"/>
        <v>1</v>
      </c>
    </row>
    <row r="9841" spans="1:5">
      <c r="A9841" s="59">
        <v>20</v>
      </c>
      <c r="B9841" s="59">
        <v>32</v>
      </c>
      <c r="C9841" s="59">
        <v>160</v>
      </c>
      <c r="D9841" s="51">
        <v>2</v>
      </c>
      <c r="E9841" s="51">
        <f t="shared" si="153"/>
        <v>1</v>
      </c>
    </row>
    <row r="9842" spans="1:5">
      <c r="A9842" s="59">
        <v>20</v>
      </c>
      <c r="B9842" s="59">
        <v>33</v>
      </c>
      <c r="C9842" s="59">
        <v>430</v>
      </c>
      <c r="D9842" s="51">
        <v>2</v>
      </c>
      <c r="E9842" s="51">
        <f t="shared" si="153"/>
        <v>1</v>
      </c>
    </row>
    <row r="9843" spans="1:5">
      <c r="A9843" s="59">
        <v>20</v>
      </c>
      <c r="B9843" s="59">
        <v>33</v>
      </c>
      <c r="C9843" s="59">
        <v>530</v>
      </c>
      <c r="D9843" s="51">
        <v>2</v>
      </c>
      <c r="E9843" s="51">
        <f t="shared" si="153"/>
        <v>1</v>
      </c>
    </row>
    <row r="9844" spans="1:5">
      <c r="A9844" s="59">
        <v>20</v>
      </c>
      <c r="B9844" s="59">
        <v>42</v>
      </c>
      <c r="C9844" s="59">
        <v>110</v>
      </c>
      <c r="D9844" s="51">
        <v>2</v>
      </c>
      <c r="E9844" s="51">
        <f t="shared" si="153"/>
        <v>1</v>
      </c>
    </row>
    <row r="9845" spans="1:5">
      <c r="A9845" s="59">
        <v>20</v>
      </c>
      <c r="B9845" s="59">
        <v>42</v>
      </c>
      <c r="C9845" s="59">
        <v>210</v>
      </c>
      <c r="D9845" s="51">
        <v>2</v>
      </c>
      <c r="E9845" s="51">
        <f t="shared" si="153"/>
        <v>1</v>
      </c>
    </row>
    <row r="9846" spans="1:5">
      <c r="A9846" s="59">
        <v>20</v>
      </c>
      <c r="B9846" s="59">
        <v>42</v>
      </c>
      <c r="C9846" s="59">
        <v>510</v>
      </c>
      <c r="D9846" s="51">
        <v>2</v>
      </c>
      <c r="E9846" s="51">
        <f t="shared" si="153"/>
        <v>1</v>
      </c>
    </row>
    <row r="9847" spans="1:5">
      <c r="A9847" s="59">
        <v>20</v>
      </c>
      <c r="B9847" s="59">
        <v>42</v>
      </c>
      <c r="C9847" s="59">
        <v>630</v>
      </c>
      <c r="D9847" s="51">
        <v>2</v>
      </c>
      <c r="E9847" s="51">
        <f t="shared" si="153"/>
        <v>1</v>
      </c>
    </row>
    <row r="9848" spans="1:5">
      <c r="A9848" s="59">
        <v>20</v>
      </c>
      <c r="B9848" s="59">
        <v>43</v>
      </c>
      <c r="C9848" s="59">
        <v>240</v>
      </c>
      <c r="D9848" s="51">
        <v>2</v>
      </c>
      <c r="E9848" s="51">
        <f t="shared" si="153"/>
        <v>1</v>
      </c>
    </row>
    <row r="9849" spans="1:5">
      <c r="A9849" s="59">
        <v>20</v>
      </c>
      <c r="B9849" s="59">
        <v>43</v>
      </c>
      <c r="C9849" s="59">
        <v>410</v>
      </c>
      <c r="D9849" s="51">
        <v>2</v>
      </c>
      <c r="E9849" s="51">
        <f t="shared" si="153"/>
        <v>1</v>
      </c>
    </row>
    <row r="9850" spans="1:5">
      <c r="A9850" s="59">
        <v>20</v>
      </c>
      <c r="B9850" s="59">
        <v>43</v>
      </c>
      <c r="C9850" s="59">
        <v>899</v>
      </c>
      <c r="D9850" s="51">
        <v>2</v>
      </c>
      <c r="E9850" s="51">
        <f t="shared" si="153"/>
        <v>1</v>
      </c>
    </row>
    <row r="9851" spans="1:5">
      <c r="A9851" s="59">
        <v>20</v>
      </c>
      <c r="B9851" s="59">
        <v>44</v>
      </c>
      <c r="C9851" s="59">
        <v>160</v>
      </c>
      <c r="D9851" s="51">
        <v>2</v>
      </c>
      <c r="E9851" s="51">
        <f t="shared" si="153"/>
        <v>1</v>
      </c>
    </row>
    <row r="9852" spans="1:5">
      <c r="A9852" s="59">
        <v>20</v>
      </c>
      <c r="B9852" s="59">
        <v>44</v>
      </c>
      <c r="C9852" s="59">
        <v>930</v>
      </c>
      <c r="D9852" s="51">
        <v>2</v>
      </c>
      <c r="E9852" s="51">
        <f t="shared" si="153"/>
        <v>1</v>
      </c>
    </row>
    <row r="9853" spans="1:5">
      <c r="A9853" s="59">
        <v>20</v>
      </c>
      <c r="B9853" s="59">
        <v>51</v>
      </c>
      <c r="C9853" s="59">
        <v>160</v>
      </c>
      <c r="D9853" s="51">
        <v>2</v>
      </c>
      <c r="E9853" s="51">
        <f t="shared" si="153"/>
        <v>1</v>
      </c>
    </row>
    <row r="9854" spans="1:5">
      <c r="A9854" s="59">
        <v>20</v>
      </c>
      <c r="B9854" s="59">
        <v>62</v>
      </c>
      <c r="C9854" s="59">
        <v>230</v>
      </c>
      <c r="D9854" s="51">
        <v>2</v>
      </c>
      <c r="E9854" s="51">
        <f t="shared" si="153"/>
        <v>1</v>
      </c>
    </row>
    <row r="9855" spans="1:5">
      <c r="A9855" s="59">
        <v>20</v>
      </c>
      <c r="B9855" s="59">
        <v>62</v>
      </c>
      <c r="C9855" s="59">
        <v>320</v>
      </c>
      <c r="D9855" s="51">
        <v>2</v>
      </c>
      <c r="E9855" s="51">
        <f t="shared" si="153"/>
        <v>1</v>
      </c>
    </row>
    <row r="9856" spans="1:5">
      <c r="A9856" s="59">
        <v>20</v>
      </c>
      <c r="B9856" s="59">
        <v>62</v>
      </c>
      <c r="C9856" s="59">
        <v>540</v>
      </c>
      <c r="D9856" s="51">
        <v>2</v>
      </c>
      <c r="E9856" s="51">
        <f t="shared" si="153"/>
        <v>1</v>
      </c>
    </row>
    <row r="9857" spans="1:5">
      <c r="A9857" s="59">
        <v>20</v>
      </c>
      <c r="B9857" s="59">
        <v>62</v>
      </c>
      <c r="C9857" s="59">
        <v>630</v>
      </c>
      <c r="D9857" s="51">
        <v>2</v>
      </c>
      <c r="E9857" s="51">
        <f t="shared" si="153"/>
        <v>1</v>
      </c>
    </row>
    <row r="9858" spans="1:5">
      <c r="A9858" s="59">
        <v>20</v>
      </c>
      <c r="B9858" s="59">
        <v>62</v>
      </c>
      <c r="C9858" s="59">
        <v>720</v>
      </c>
      <c r="D9858" s="51">
        <v>2</v>
      </c>
      <c r="E9858" s="51">
        <f t="shared" ref="E9858:E9921" si="154">IF(OR(A9858=6,A9858=7,A9858=14,A9858=15,A9858=16,A9858=17,A9858=18,A9858=19,A9858=20,A9858=21,A9858=22,A9858=23,A9858=25,A9858=26,A9858=27,A9858=28,B9858=41,B9858=44,B9858=62),1,0)</f>
        <v>1</v>
      </c>
    </row>
    <row r="9859" spans="1:5">
      <c r="A9859" s="59">
        <v>20</v>
      </c>
      <c r="B9859" s="59">
        <v>63</v>
      </c>
      <c r="C9859" s="59">
        <v>410</v>
      </c>
      <c r="D9859" s="51">
        <v>2</v>
      </c>
      <c r="E9859" s="51">
        <f t="shared" si="154"/>
        <v>1</v>
      </c>
    </row>
    <row r="9860" spans="1:5">
      <c r="A9860" s="59">
        <v>20</v>
      </c>
      <c r="B9860" s="59">
        <v>63</v>
      </c>
      <c r="C9860" s="59">
        <v>720</v>
      </c>
      <c r="D9860" s="51">
        <v>2</v>
      </c>
      <c r="E9860" s="51">
        <f t="shared" si="154"/>
        <v>1</v>
      </c>
    </row>
    <row r="9861" spans="1:5">
      <c r="A9861" s="59">
        <v>20</v>
      </c>
      <c r="B9861" s="59">
        <v>63</v>
      </c>
      <c r="C9861" s="59">
        <v>899</v>
      </c>
      <c r="D9861" s="51">
        <v>2</v>
      </c>
      <c r="E9861" s="51">
        <f t="shared" si="154"/>
        <v>1</v>
      </c>
    </row>
    <row r="9862" spans="1:5">
      <c r="A9862" s="59">
        <v>20</v>
      </c>
      <c r="B9862" s="59">
        <v>64</v>
      </c>
      <c r="C9862" s="59">
        <v>861</v>
      </c>
      <c r="D9862" s="51">
        <v>2</v>
      </c>
      <c r="E9862" s="51">
        <f t="shared" si="154"/>
        <v>1</v>
      </c>
    </row>
    <row r="9863" spans="1:5">
      <c r="A9863" s="59">
        <v>20</v>
      </c>
      <c r="B9863" s="59">
        <v>64</v>
      </c>
      <c r="C9863" s="59">
        <v>930</v>
      </c>
      <c r="D9863" s="51">
        <v>2</v>
      </c>
      <c r="E9863" s="51">
        <f t="shared" si="154"/>
        <v>1</v>
      </c>
    </row>
    <row r="9864" spans="1:5">
      <c r="A9864" s="59">
        <v>20</v>
      </c>
      <c r="B9864" s="59">
        <v>81</v>
      </c>
      <c r="C9864" s="59">
        <v>150</v>
      </c>
      <c r="D9864" s="51">
        <v>2</v>
      </c>
      <c r="E9864" s="51">
        <f t="shared" si="154"/>
        <v>1</v>
      </c>
    </row>
    <row r="9865" spans="1:5">
      <c r="A9865" s="59">
        <v>20</v>
      </c>
      <c r="B9865" s="59">
        <v>11</v>
      </c>
      <c r="C9865" s="59">
        <v>831</v>
      </c>
      <c r="D9865" s="51">
        <v>1</v>
      </c>
      <c r="E9865" s="51">
        <f t="shared" si="154"/>
        <v>1</v>
      </c>
    </row>
    <row r="9866" spans="1:5">
      <c r="A9866" s="59">
        <v>20</v>
      </c>
      <c r="B9866" s="59">
        <v>13</v>
      </c>
      <c r="C9866" s="59">
        <v>530</v>
      </c>
      <c r="D9866" s="51">
        <v>1</v>
      </c>
      <c r="E9866" s="51">
        <f t="shared" si="154"/>
        <v>1</v>
      </c>
    </row>
    <row r="9867" spans="1:5">
      <c r="A9867" s="59">
        <v>20</v>
      </c>
      <c r="B9867" s="59">
        <v>13</v>
      </c>
      <c r="C9867" s="59">
        <v>540</v>
      </c>
      <c r="D9867" s="51">
        <v>1</v>
      </c>
      <c r="E9867" s="51">
        <f t="shared" si="154"/>
        <v>1</v>
      </c>
    </row>
    <row r="9868" spans="1:5">
      <c r="A9868" s="59">
        <v>20</v>
      </c>
      <c r="B9868" s="59">
        <v>15</v>
      </c>
      <c r="C9868" s="59">
        <v>530</v>
      </c>
      <c r="D9868" s="51">
        <v>1</v>
      </c>
      <c r="E9868" s="51">
        <f t="shared" si="154"/>
        <v>1</v>
      </c>
    </row>
    <row r="9869" spans="1:5">
      <c r="A9869" s="59">
        <v>20</v>
      </c>
      <c r="B9869" s="59">
        <v>15</v>
      </c>
      <c r="C9869" s="59">
        <v>550</v>
      </c>
      <c r="D9869" s="51">
        <v>1</v>
      </c>
      <c r="E9869" s="51">
        <f t="shared" si="154"/>
        <v>1</v>
      </c>
    </row>
    <row r="9870" spans="1:5">
      <c r="A9870" s="59">
        <v>20</v>
      </c>
      <c r="B9870" s="59">
        <v>33</v>
      </c>
      <c r="C9870" s="59">
        <v>831</v>
      </c>
      <c r="D9870" s="51">
        <v>1</v>
      </c>
      <c r="E9870" s="51">
        <f t="shared" si="154"/>
        <v>1</v>
      </c>
    </row>
    <row r="9871" spans="1:5">
      <c r="A9871" s="59">
        <v>20</v>
      </c>
      <c r="B9871" s="59">
        <v>41</v>
      </c>
      <c r="C9871" s="59">
        <v>210</v>
      </c>
      <c r="D9871" s="51">
        <v>1</v>
      </c>
      <c r="E9871" s="51">
        <f t="shared" si="154"/>
        <v>1</v>
      </c>
    </row>
    <row r="9872" spans="1:5">
      <c r="A9872" s="59">
        <v>20</v>
      </c>
      <c r="B9872" s="59">
        <v>41</v>
      </c>
      <c r="C9872" s="59">
        <v>550</v>
      </c>
      <c r="D9872" s="51">
        <v>1</v>
      </c>
      <c r="E9872" s="51">
        <f t="shared" si="154"/>
        <v>1</v>
      </c>
    </row>
    <row r="9873" spans="1:5">
      <c r="A9873" s="59">
        <v>20</v>
      </c>
      <c r="B9873" s="59">
        <v>41</v>
      </c>
      <c r="C9873" s="59">
        <v>910</v>
      </c>
      <c r="D9873" s="51">
        <v>1</v>
      </c>
      <c r="E9873" s="51">
        <f t="shared" si="154"/>
        <v>1</v>
      </c>
    </row>
    <row r="9874" spans="1:5">
      <c r="A9874" s="59">
        <v>20</v>
      </c>
      <c r="B9874" s="59">
        <v>42</v>
      </c>
      <c r="C9874" s="59">
        <v>520</v>
      </c>
      <c r="D9874" s="51">
        <v>1</v>
      </c>
      <c r="E9874" s="51">
        <f t="shared" si="154"/>
        <v>1</v>
      </c>
    </row>
    <row r="9875" spans="1:5">
      <c r="A9875" s="59">
        <v>20</v>
      </c>
      <c r="B9875" s="59">
        <v>42</v>
      </c>
      <c r="C9875" s="59">
        <v>920</v>
      </c>
      <c r="D9875" s="51">
        <v>1</v>
      </c>
      <c r="E9875" s="51">
        <f t="shared" si="154"/>
        <v>1</v>
      </c>
    </row>
    <row r="9876" spans="1:5">
      <c r="A9876" s="59">
        <v>20</v>
      </c>
      <c r="B9876" s="59">
        <v>43</v>
      </c>
      <c r="C9876" s="59">
        <v>110</v>
      </c>
      <c r="D9876" s="51">
        <v>1</v>
      </c>
      <c r="E9876" s="51">
        <f t="shared" si="154"/>
        <v>1</v>
      </c>
    </row>
    <row r="9877" spans="1:5">
      <c r="A9877" s="59">
        <v>20</v>
      </c>
      <c r="B9877" s="59">
        <v>43</v>
      </c>
      <c r="C9877" s="59">
        <v>320</v>
      </c>
      <c r="D9877" s="51">
        <v>1</v>
      </c>
      <c r="E9877" s="51">
        <f t="shared" si="154"/>
        <v>1</v>
      </c>
    </row>
    <row r="9878" spans="1:5">
      <c r="A9878" s="59">
        <v>20</v>
      </c>
      <c r="B9878" s="59">
        <v>43</v>
      </c>
      <c r="C9878" s="59">
        <v>990</v>
      </c>
      <c r="D9878" s="51">
        <v>1</v>
      </c>
      <c r="E9878" s="51">
        <f t="shared" si="154"/>
        <v>1</v>
      </c>
    </row>
    <row r="9879" spans="1:5">
      <c r="A9879" s="59">
        <v>20</v>
      </c>
      <c r="B9879" s="59">
        <v>44</v>
      </c>
      <c r="C9879" s="59">
        <v>520</v>
      </c>
      <c r="D9879" s="51">
        <v>1</v>
      </c>
      <c r="E9879" s="51">
        <f t="shared" si="154"/>
        <v>1</v>
      </c>
    </row>
    <row r="9880" spans="1:5">
      <c r="A9880" s="59">
        <v>20</v>
      </c>
      <c r="B9880" s="59">
        <v>44</v>
      </c>
      <c r="C9880" s="59">
        <v>920</v>
      </c>
      <c r="D9880" s="51">
        <v>1</v>
      </c>
      <c r="E9880" s="51">
        <f t="shared" si="154"/>
        <v>1</v>
      </c>
    </row>
    <row r="9881" spans="1:5">
      <c r="A9881" s="59">
        <v>20</v>
      </c>
      <c r="B9881" s="59">
        <v>51</v>
      </c>
      <c r="C9881" s="59">
        <v>510</v>
      </c>
      <c r="D9881" s="51">
        <v>1</v>
      </c>
      <c r="E9881" s="51">
        <f t="shared" si="154"/>
        <v>1</v>
      </c>
    </row>
    <row r="9882" spans="1:5">
      <c r="A9882" s="59">
        <v>20</v>
      </c>
      <c r="B9882" s="59">
        <v>51</v>
      </c>
      <c r="C9882" s="59">
        <v>831</v>
      </c>
      <c r="D9882" s="51">
        <v>1</v>
      </c>
      <c r="E9882" s="51">
        <f t="shared" si="154"/>
        <v>1</v>
      </c>
    </row>
    <row r="9883" spans="1:5">
      <c r="A9883" s="59">
        <v>20</v>
      </c>
      <c r="B9883" s="59">
        <v>61</v>
      </c>
      <c r="C9883" s="59">
        <v>831</v>
      </c>
      <c r="D9883" s="51">
        <v>1</v>
      </c>
      <c r="E9883" s="51">
        <f t="shared" si="154"/>
        <v>1</v>
      </c>
    </row>
    <row r="9884" spans="1:5">
      <c r="A9884" s="59">
        <v>20</v>
      </c>
      <c r="B9884" s="59">
        <v>62</v>
      </c>
      <c r="C9884" s="59">
        <v>430</v>
      </c>
      <c r="D9884" s="51">
        <v>1</v>
      </c>
      <c r="E9884" s="51">
        <f t="shared" si="154"/>
        <v>1</v>
      </c>
    </row>
    <row r="9885" spans="1:5">
      <c r="A9885" s="59">
        <v>20</v>
      </c>
      <c r="B9885" s="59">
        <v>63</v>
      </c>
      <c r="C9885" s="59">
        <v>730</v>
      </c>
      <c r="D9885" s="51">
        <v>1</v>
      </c>
      <c r="E9885" s="51">
        <f t="shared" si="154"/>
        <v>1</v>
      </c>
    </row>
    <row r="9886" spans="1:5">
      <c r="A9886" s="59">
        <v>20</v>
      </c>
      <c r="B9886" s="59">
        <v>63</v>
      </c>
      <c r="C9886" s="59">
        <v>740</v>
      </c>
      <c r="D9886" s="51">
        <v>1</v>
      </c>
      <c r="E9886" s="51">
        <f t="shared" si="154"/>
        <v>1</v>
      </c>
    </row>
    <row r="9887" spans="1:5">
      <c r="A9887" s="59">
        <v>20</v>
      </c>
      <c r="B9887" s="59">
        <v>63</v>
      </c>
      <c r="C9887" s="59">
        <v>750</v>
      </c>
      <c r="D9887" s="51">
        <v>1</v>
      </c>
      <c r="E9887" s="51">
        <f t="shared" si="154"/>
        <v>1</v>
      </c>
    </row>
    <row r="9888" spans="1:5">
      <c r="A9888" s="59">
        <v>20</v>
      </c>
      <c r="B9888" s="59">
        <v>64</v>
      </c>
      <c r="C9888" s="59">
        <v>320</v>
      </c>
      <c r="D9888" s="51">
        <v>1</v>
      </c>
      <c r="E9888" s="51">
        <f t="shared" si="154"/>
        <v>1</v>
      </c>
    </row>
    <row r="9889" spans="1:5">
      <c r="A9889" s="59">
        <v>20</v>
      </c>
      <c r="B9889" s="59">
        <v>64</v>
      </c>
      <c r="C9889" s="59">
        <v>330</v>
      </c>
      <c r="D9889" s="51">
        <v>1</v>
      </c>
      <c r="E9889" s="51">
        <f t="shared" si="154"/>
        <v>1</v>
      </c>
    </row>
    <row r="9890" spans="1:5">
      <c r="A9890" s="59">
        <v>20</v>
      </c>
      <c r="B9890" s="59">
        <v>64</v>
      </c>
      <c r="C9890" s="59">
        <v>520</v>
      </c>
      <c r="D9890" s="51">
        <v>1</v>
      </c>
      <c r="E9890" s="51">
        <f t="shared" si="154"/>
        <v>1</v>
      </c>
    </row>
    <row r="9891" spans="1:5">
      <c r="A9891" s="59">
        <v>20</v>
      </c>
      <c r="B9891" s="59">
        <v>64</v>
      </c>
      <c r="C9891" s="59">
        <v>720</v>
      </c>
      <c r="D9891" s="51">
        <v>1</v>
      </c>
      <c r="E9891" s="51">
        <f t="shared" si="154"/>
        <v>1</v>
      </c>
    </row>
    <row r="9892" spans="1:5">
      <c r="A9892" s="59">
        <v>20</v>
      </c>
      <c r="B9892" s="59">
        <v>64</v>
      </c>
      <c r="C9892" s="59">
        <v>730</v>
      </c>
      <c r="D9892" s="51">
        <v>1</v>
      </c>
      <c r="E9892" s="51">
        <f t="shared" si="154"/>
        <v>1</v>
      </c>
    </row>
    <row r="9893" spans="1:5">
      <c r="A9893" s="59">
        <v>20</v>
      </c>
      <c r="B9893" s="59">
        <v>64</v>
      </c>
      <c r="C9893" s="59">
        <v>860</v>
      </c>
      <c r="D9893" s="51">
        <v>1</v>
      </c>
      <c r="E9893" s="51">
        <f t="shared" si="154"/>
        <v>1</v>
      </c>
    </row>
    <row r="9894" spans="1:5">
      <c r="A9894" s="59">
        <v>20</v>
      </c>
      <c r="B9894" s="59">
        <v>64</v>
      </c>
      <c r="C9894" s="59">
        <v>899</v>
      </c>
      <c r="D9894" s="51">
        <v>1</v>
      </c>
      <c r="E9894" s="51">
        <f t="shared" si="154"/>
        <v>1</v>
      </c>
    </row>
    <row r="9895" spans="1:5">
      <c r="A9895" s="59">
        <v>20</v>
      </c>
      <c r="B9895" s="59">
        <v>71</v>
      </c>
      <c r="C9895" s="59">
        <v>230</v>
      </c>
      <c r="D9895" s="51">
        <v>1</v>
      </c>
      <c r="E9895" s="51">
        <f t="shared" si="154"/>
        <v>1</v>
      </c>
    </row>
    <row r="9896" spans="1:5">
      <c r="A9896" s="59">
        <v>20</v>
      </c>
      <c r="B9896" s="59">
        <v>71</v>
      </c>
      <c r="C9896" s="59">
        <v>310</v>
      </c>
      <c r="D9896" s="51">
        <v>1</v>
      </c>
      <c r="E9896" s="51">
        <f t="shared" si="154"/>
        <v>1</v>
      </c>
    </row>
    <row r="9897" spans="1:5">
      <c r="A9897" s="59">
        <v>20</v>
      </c>
      <c r="B9897" s="59">
        <v>71</v>
      </c>
      <c r="C9897" s="59">
        <v>330</v>
      </c>
      <c r="D9897" s="51">
        <v>1</v>
      </c>
      <c r="E9897" s="51">
        <f t="shared" si="154"/>
        <v>1</v>
      </c>
    </row>
    <row r="9898" spans="1:5">
      <c r="A9898" s="59">
        <v>20</v>
      </c>
      <c r="B9898" s="59">
        <v>81</v>
      </c>
      <c r="C9898" s="59">
        <v>240</v>
      </c>
      <c r="D9898" s="51">
        <v>1</v>
      </c>
      <c r="E9898" s="51">
        <f t="shared" si="154"/>
        <v>1</v>
      </c>
    </row>
    <row r="9899" spans="1:5">
      <c r="A9899" s="59">
        <v>20</v>
      </c>
      <c r="B9899" s="59">
        <v>81</v>
      </c>
      <c r="C9899" s="59">
        <v>320</v>
      </c>
      <c r="D9899" s="51">
        <v>1</v>
      </c>
      <c r="E9899" s="51">
        <f t="shared" si="154"/>
        <v>1</v>
      </c>
    </row>
    <row r="9900" spans="1:5">
      <c r="A9900" s="59">
        <v>20</v>
      </c>
      <c r="B9900" s="59">
        <v>81</v>
      </c>
      <c r="C9900" s="59">
        <v>420</v>
      </c>
      <c r="D9900" s="51">
        <v>1</v>
      </c>
      <c r="E9900" s="51">
        <f t="shared" si="154"/>
        <v>1</v>
      </c>
    </row>
    <row r="9901" spans="1:5">
      <c r="A9901" s="59">
        <v>20</v>
      </c>
      <c r="B9901" s="59">
        <v>81</v>
      </c>
      <c r="C9901" s="59">
        <v>440</v>
      </c>
      <c r="D9901" s="51">
        <v>1</v>
      </c>
      <c r="E9901" s="51">
        <f t="shared" si="154"/>
        <v>1</v>
      </c>
    </row>
    <row r="9902" spans="1:5">
      <c r="A9902" s="59">
        <v>20</v>
      </c>
      <c r="B9902" s="59">
        <v>81</v>
      </c>
      <c r="C9902" s="59">
        <v>720</v>
      </c>
      <c r="D9902" s="51">
        <v>1</v>
      </c>
      <c r="E9902" s="51">
        <f t="shared" si="154"/>
        <v>1</v>
      </c>
    </row>
    <row r="9903" spans="1:5">
      <c r="A9903" s="59">
        <v>20</v>
      </c>
      <c r="B9903" s="59">
        <v>81</v>
      </c>
      <c r="C9903" s="59">
        <v>750</v>
      </c>
      <c r="D9903" s="51">
        <v>1</v>
      </c>
      <c r="E9903" s="51">
        <f t="shared" si="154"/>
        <v>1</v>
      </c>
    </row>
    <row r="9904" spans="1:5">
      <c r="A9904" s="59">
        <v>20</v>
      </c>
      <c r="B9904" s="59">
        <v>81</v>
      </c>
      <c r="C9904" s="59">
        <v>830</v>
      </c>
      <c r="D9904" s="51">
        <v>1</v>
      </c>
      <c r="E9904" s="51">
        <f t="shared" si="154"/>
        <v>1</v>
      </c>
    </row>
    <row r="9905" spans="1:5">
      <c r="A9905" s="59">
        <v>21</v>
      </c>
      <c r="B9905" s="59">
        <v>71</v>
      </c>
      <c r="C9905" s="59">
        <v>910</v>
      </c>
      <c r="D9905" s="51">
        <v>7389</v>
      </c>
      <c r="E9905" s="51">
        <f t="shared" si="154"/>
        <v>1</v>
      </c>
    </row>
    <row r="9906" spans="1:5">
      <c r="A9906" s="59">
        <v>21</v>
      </c>
      <c r="B9906" s="59">
        <v>43</v>
      </c>
      <c r="C9906" s="59">
        <v>910</v>
      </c>
      <c r="D9906" s="51">
        <v>5713</v>
      </c>
      <c r="E9906" s="51">
        <f t="shared" si="154"/>
        <v>1</v>
      </c>
    </row>
    <row r="9907" spans="1:5">
      <c r="A9907" s="59">
        <v>21</v>
      </c>
      <c r="B9907" s="59">
        <v>64</v>
      </c>
      <c r="C9907" s="59">
        <v>910</v>
      </c>
      <c r="D9907" s="51">
        <v>5575</v>
      </c>
      <c r="E9907" s="51">
        <f t="shared" si="154"/>
        <v>1</v>
      </c>
    </row>
    <row r="9908" spans="1:5">
      <c r="A9908" s="59">
        <v>21</v>
      </c>
      <c r="B9908" s="59">
        <v>44</v>
      </c>
      <c r="C9908" s="59">
        <v>910</v>
      </c>
      <c r="D9908" s="51">
        <v>4799</v>
      </c>
      <c r="E9908" s="51">
        <f t="shared" si="154"/>
        <v>1</v>
      </c>
    </row>
    <row r="9909" spans="1:5">
      <c r="A9909" s="59">
        <v>21</v>
      </c>
      <c r="B9909" s="59">
        <v>71</v>
      </c>
      <c r="C9909" s="59">
        <v>920</v>
      </c>
      <c r="D9909" s="51">
        <v>2272</v>
      </c>
      <c r="E9909" s="51">
        <f t="shared" si="154"/>
        <v>1</v>
      </c>
    </row>
    <row r="9910" spans="1:5">
      <c r="A9910" s="59">
        <v>21</v>
      </c>
      <c r="B9910" s="59">
        <v>63</v>
      </c>
      <c r="C9910" s="59">
        <v>910</v>
      </c>
      <c r="D9910" s="51">
        <v>2112</v>
      </c>
      <c r="E9910" s="51">
        <f t="shared" si="154"/>
        <v>1</v>
      </c>
    </row>
    <row r="9911" spans="1:5">
      <c r="A9911" s="59">
        <v>21</v>
      </c>
      <c r="B9911" s="59">
        <v>62</v>
      </c>
      <c r="C9911" s="59">
        <v>910</v>
      </c>
      <c r="D9911" s="51">
        <v>1861</v>
      </c>
      <c r="E9911" s="51">
        <f t="shared" si="154"/>
        <v>1</v>
      </c>
    </row>
    <row r="9912" spans="1:5">
      <c r="A9912" s="59">
        <v>21</v>
      </c>
      <c r="B9912" s="59">
        <v>42</v>
      </c>
      <c r="C9912" s="59">
        <v>910</v>
      </c>
      <c r="D9912" s="51">
        <v>1407</v>
      </c>
      <c r="E9912" s="51">
        <f t="shared" si="154"/>
        <v>1</v>
      </c>
    </row>
    <row r="9913" spans="1:5">
      <c r="A9913" s="59">
        <v>21</v>
      </c>
      <c r="B9913" s="59">
        <v>81</v>
      </c>
      <c r="C9913" s="59">
        <v>910</v>
      </c>
      <c r="D9913" s="51">
        <v>1292</v>
      </c>
      <c r="E9913" s="51">
        <f t="shared" si="154"/>
        <v>1</v>
      </c>
    </row>
    <row r="9914" spans="1:5">
      <c r="A9914" s="59">
        <v>21</v>
      </c>
      <c r="B9914" s="59">
        <v>14</v>
      </c>
      <c r="C9914" s="59">
        <v>910</v>
      </c>
      <c r="D9914" s="51">
        <v>1169</v>
      </c>
      <c r="E9914" s="51">
        <f t="shared" si="154"/>
        <v>1</v>
      </c>
    </row>
    <row r="9915" spans="1:5">
      <c r="A9915" s="59">
        <v>21</v>
      </c>
      <c r="B9915" s="59">
        <v>43</v>
      </c>
      <c r="C9915" s="59">
        <v>920</v>
      </c>
      <c r="D9915" s="51">
        <v>1109</v>
      </c>
      <c r="E9915" s="51">
        <f t="shared" si="154"/>
        <v>1</v>
      </c>
    </row>
    <row r="9916" spans="1:5">
      <c r="A9916" s="59">
        <v>21</v>
      </c>
      <c r="B9916" s="59">
        <v>13</v>
      </c>
      <c r="C9916" s="59">
        <v>910</v>
      </c>
      <c r="D9916" s="51">
        <v>1059</v>
      </c>
      <c r="E9916" s="51">
        <f t="shared" si="154"/>
        <v>1</v>
      </c>
    </row>
    <row r="9917" spans="1:5">
      <c r="A9917" s="59">
        <v>21</v>
      </c>
      <c r="B9917" s="59">
        <v>44</v>
      </c>
      <c r="C9917" s="59">
        <v>920</v>
      </c>
      <c r="D9917" s="51">
        <v>980</v>
      </c>
      <c r="E9917" s="51">
        <f t="shared" si="154"/>
        <v>1</v>
      </c>
    </row>
    <row r="9918" spans="1:5">
      <c r="A9918" s="59">
        <v>21</v>
      </c>
      <c r="B9918" s="59">
        <v>64</v>
      </c>
      <c r="C9918" s="59">
        <v>920</v>
      </c>
      <c r="D9918" s="51">
        <v>975</v>
      </c>
      <c r="E9918" s="51">
        <f t="shared" si="154"/>
        <v>1</v>
      </c>
    </row>
    <row r="9919" spans="1:5">
      <c r="A9919" s="59">
        <v>21</v>
      </c>
      <c r="B9919" s="59">
        <v>71</v>
      </c>
      <c r="C9919" s="59">
        <v>610</v>
      </c>
      <c r="D9919" s="51">
        <v>727</v>
      </c>
      <c r="E9919" s="51">
        <f t="shared" si="154"/>
        <v>1</v>
      </c>
    </row>
    <row r="9920" spans="1:5">
      <c r="A9920" s="59">
        <v>21</v>
      </c>
      <c r="B9920" s="59">
        <v>63</v>
      </c>
      <c r="C9920" s="59">
        <v>920</v>
      </c>
      <c r="D9920" s="51">
        <v>710</v>
      </c>
      <c r="E9920" s="51">
        <f t="shared" si="154"/>
        <v>1</v>
      </c>
    </row>
    <row r="9921" spans="1:5">
      <c r="A9921" s="59">
        <v>21</v>
      </c>
      <c r="B9921" s="59">
        <v>81</v>
      </c>
      <c r="C9921" s="59">
        <v>920</v>
      </c>
      <c r="D9921" s="51">
        <v>665</v>
      </c>
      <c r="E9921" s="51">
        <f t="shared" si="154"/>
        <v>1</v>
      </c>
    </row>
    <row r="9922" spans="1:5">
      <c r="A9922" s="59">
        <v>21</v>
      </c>
      <c r="B9922" s="59">
        <v>62</v>
      </c>
      <c r="C9922" s="59">
        <v>920</v>
      </c>
      <c r="D9922" s="51">
        <v>582</v>
      </c>
      <c r="E9922" s="51">
        <f t="shared" ref="E9922:E9985" si="155">IF(OR(A9922=6,A9922=7,A9922=14,A9922=15,A9922=16,A9922=17,A9922=18,A9922=19,A9922=20,A9922=21,A9922=22,A9922=23,A9922=25,A9922=26,A9922=27,A9922=28,B9922=41,B9922=44,B9922=62),1,0)</f>
        <v>1</v>
      </c>
    </row>
    <row r="9923" spans="1:5">
      <c r="A9923" s="59">
        <v>21</v>
      </c>
      <c r="B9923" s="59">
        <v>42</v>
      </c>
      <c r="C9923" s="59">
        <v>920</v>
      </c>
      <c r="D9923" s="51">
        <v>487</v>
      </c>
      <c r="E9923" s="51">
        <f t="shared" si="155"/>
        <v>1</v>
      </c>
    </row>
    <row r="9924" spans="1:5">
      <c r="A9924" s="59">
        <v>21</v>
      </c>
      <c r="B9924" s="59">
        <v>64</v>
      </c>
      <c r="C9924" s="59">
        <v>530</v>
      </c>
      <c r="D9924" s="51">
        <v>377</v>
      </c>
      <c r="E9924" s="51">
        <f t="shared" si="155"/>
        <v>1</v>
      </c>
    </row>
    <row r="9925" spans="1:5">
      <c r="A9925" s="59">
        <v>21</v>
      </c>
      <c r="B9925" s="59">
        <v>43</v>
      </c>
      <c r="C9925" s="59">
        <v>530</v>
      </c>
      <c r="D9925" s="51">
        <v>375</v>
      </c>
      <c r="E9925" s="51">
        <f t="shared" si="155"/>
        <v>1</v>
      </c>
    </row>
    <row r="9926" spans="1:5">
      <c r="A9926" s="59">
        <v>21</v>
      </c>
      <c r="B9926" s="59">
        <v>43</v>
      </c>
      <c r="C9926" s="59">
        <v>990</v>
      </c>
      <c r="D9926" s="51">
        <v>373</v>
      </c>
      <c r="E9926" s="51">
        <f t="shared" si="155"/>
        <v>1</v>
      </c>
    </row>
    <row r="9927" spans="1:5">
      <c r="A9927" s="59">
        <v>21</v>
      </c>
      <c r="B9927" s="59">
        <v>44</v>
      </c>
      <c r="C9927" s="59">
        <v>610</v>
      </c>
      <c r="D9927" s="51">
        <v>353</v>
      </c>
      <c r="E9927" s="51">
        <f t="shared" si="155"/>
        <v>1</v>
      </c>
    </row>
    <row r="9928" spans="1:5">
      <c r="A9928" s="59">
        <v>21</v>
      </c>
      <c r="B9928" s="59">
        <v>43</v>
      </c>
      <c r="C9928" s="59">
        <v>510</v>
      </c>
      <c r="D9928" s="51">
        <v>338</v>
      </c>
      <c r="E9928" s="51">
        <f t="shared" si="155"/>
        <v>1</v>
      </c>
    </row>
    <row r="9929" spans="1:5">
      <c r="A9929" s="59">
        <v>21</v>
      </c>
      <c r="B9929" s="59">
        <v>32</v>
      </c>
      <c r="C9929" s="59">
        <v>910</v>
      </c>
      <c r="D9929" s="51">
        <v>335</v>
      </c>
      <c r="E9929" s="51">
        <f t="shared" si="155"/>
        <v>1</v>
      </c>
    </row>
    <row r="9930" spans="1:5">
      <c r="A9930" s="59">
        <v>21</v>
      </c>
      <c r="B9930" s="59">
        <v>41</v>
      </c>
      <c r="C9930" s="59">
        <v>910</v>
      </c>
      <c r="D9930" s="51">
        <v>334</v>
      </c>
      <c r="E9930" s="51">
        <f t="shared" si="155"/>
        <v>1</v>
      </c>
    </row>
    <row r="9931" spans="1:5">
      <c r="A9931" s="59">
        <v>21</v>
      </c>
      <c r="B9931" s="59">
        <v>44</v>
      </c>
      <c r="C9931" s="59">
        <v>510</v>
      </c>
      <c r="D9931" s="51">
        <v>282</v>
      </c>
      <c r="E9931" s="51">
        <f t="shared" si="155"/>
        <v>1</v>
      </c>
    </row>
    <row r="9932" spans="1:5">
      <c r="A9932" s="59">
        <v>21</v>
      </c>
      <c r="B9932" s="59">
        <v>64</v>
      </c>
      <c r="C9932" s="59">
        <v>510</v>
      </c>
      <c r="D9932" s="51">
        <v>266</v>
      </c>
      <c r="E9932" s="51">
        <f t="shared" si="155"/>
        <v>1</v>
      </c>
    </row>
    <row r="9933" spans="1:5">
      <c r="A9933" s="59">
        <v>21</v>
      </c>
      <c r="B9933" s="59">
        <v>43</v>
      </c>
      <c r="C9933" s="59">
        <v>610</v>
      </c>
      <c r="D9933" s="51">
        <v>253</v>
      </c>
      <c r="E9933" s="51">
        <f t="shared" si="155"/>
        <v>1</v>
      </c>
    </row>
    <row r="9934" spans="1:5">
      <c r="A9934" s="59">
        <v>21</v>
      </c>
      <c r="B9934" s="59">
        <v>43</v>
      </c>
      <c r="C9934" s="59">
        <v>160</v>
      </c>
      <c r="D9934" s="51">
        <v>240</v>
      </c>
      <c r="E9934" s="51">
        <f t="shared" si="155"/>
        <v>1</v>
      </c>
    </row>
    <row r="9935" spans="1:5">
      <c r="A9935" s="59">
        <v>21</v>
      </c>
      <c r="B9935" s="59">
        <v>22</v>
      </c>
      <c r="C9935" s="59">
        <v>910</v>
      </c>
      <c r="D9935" s="51">
        <v>232</v>
      </c>
      <c r="E9935" s="51">
        <f t="shared" si="155"/>
        <v>1</v>
      </c>
    </row>
    <row r="9936" spans="1:5">
      <c r="A9936" s="59">
        <v>21</v>
      </c>
      <c r="B9936" s="59">
        <v>42</v>
      </c>
      <c r="C9936" s="59">
        <v>610</v>
      </c>
      <c r="D9936" s="51">
        <v>230</v>
      </c>
      <c r="E9936" s="51">
        <f t="shared" si="155"/>
        <v>1</v>
      </c>
    </row>
    <row r="9937" spans="1:5">
      <c r="A9937" s="59">
        <v>21</v>
      </c>
      <c r="B9937" s="59">
        <v>15</v>
      </c>
      <c r="C9937" s="59">
        <v>910</v>
      </c>
      <c r="D9937" s="51">
        <v>212</v>
      </c>
      <c r="E9937" s="51">
        <f t="shared" si="155"/>
        <v>1</v>
      </c>
    </row>
    <row r="9938" spans="1:5">
      <c r="A9938" s="59">
        <v>21</v>
      </c>
      <c r="B9938" s="59">
        <v>44</v>
      </c>
      <c r="C9938" s="59">
        <v>720</v>
      </c>
      <c r="D9938" s="51">
        <v>208</v>
      </c>
      <c r="E9938" s="51">
        <f t="shared" si="155"/>
        <v>1</v>
      </c>
    </row>
    <row r="9939" spans="1:5">
      <c r="A9939" s="59">
        <v>21</v>
      </c>
      <c r="B9939" s="59">
        <v>64</v>
      </c>
      <c r="C9939" s="59">
        <v>990</v>
      </c>
      <c r="D9939" s="51">
        <v>207</v>
      </c>
      <c r="E9939" s="51">
        <f t="shared" si="155"/>
        <v>1</v>
      </c>
    </row>
    <row r="9940" spans="1:5">
      <c r="A9940" s="59">
        <v>21</v>
      </c>
      <c r="B9940" s="59">
        <v>43</v>
      </c>
      <c r="C9940" s="59">
        <v>720</v>
      </c>
      <c r="D9940" s="51">
        <v>203</v>
      </c>
      <c r="E9940" s="51">
        <f t="shared" si="155"/>
        <v>1</v>
      </c>
    </row>
    <row r="9941" spans="1:5">
      <c r="A9941" s="59">
        <v>21</v>
      </c>
      <c r="B9941" s="59">
        <v>43</v>
      </c>
      <c r="C9941" s="59">
        <v>930</v>
      </c>
      <c r="D9941" s="51">
        <v>183</v>
      </c>
      <c r="E9941" s="51">
        <f t="shared" si="155"/>
        <v>1</v>
      </c>
    </row>
    <row r="9942" spans="1:5">
      <c r="A9942" s="59">
        <v>21</v>
      </c>
      <c r="B9942" s="59">
        <v>16</v>
      </c>
      <c r="C9942" s="59">
        <v>910</v>
      </c>
      <c r="D9942" s="51">
        <v>161</v>
      </c>
      <c r="E9942" s="51">
        <f t="shared" si="155"/>
        <v>1</v>
      </c>
    </row>
    <row r="9943" spans="1:5">
      <c r="A9943" s="59">
        <v>21</v>
      </c>
      <c r="B9943" s="59">
        <v>63</v>
      </c>
      <c r="C9943" s="59">
        <v>610</v>
      </c>
      <c r="D9943" s="51">
        <v>160</v>
      </c>
      <c r="E9943" s="51">
        <f t="shared" si="155"/>
        <v>1</v>
      </c>
    </row>
    <row r="9944" spans="1:5">
      <c r="A9944" s="59">
        <v>21</v>
      </c>
      <c r="B9944" s="59">
        <v>44</v>
      </c>
      <c r="C9944" s="59">
        <v>990</v>
      </c>
      <c r="D9944" s="51">
        <v>158</v>
      </c>
      <c r="E9944" s="51">
        <f t="shared" si="155"/>
        <v>1</v>
      </c>
    </row>
    <row r="9945" spans="1:5">
      <c r="A9945" s="59">
        <v>21</v>
      </c>
      <c r="B9945" s="59">
        <v>64</v>
      </c>
      <c r="C9945" s="59">
        <v>160</v>
      </c>
      <c r="D9945" s="51">
        <v>156</v>
      </c>
      <c r="E9945" s="51">
        <f t="shared" si="155"/>
        <v>1</v>
      </c>
    </row>
    <row r="9946" spans="1:5">
      <c r="A9946" s="59">
        <v>21</v>
      </c>
      <c r="B9946" s="59">
        <v>71</v>
      </c>
      <c r="C9946" s="59">
        <v>620</v>
      </c>
      <c r="D9946" s="51">
        <v>150</v>
      </c>
      <c r="E9946" s="51">
        <f t="shared" si="155"/>
        <v>1</v>
      </c>
    </row>
    <row r="9947" spans="1:5">
      <c r="A9947" s="59">
        <v>21</v>
      </c>
      <c r="B9947" s="59">
        <v>71</v>
      </c>
      <c r="C9947" s="59">
        <v>510</v>
      </c>
      <c r="D9947" s="51">
        <v>145</v>
      </c>
      <c r="E9947" s="51">
        <f t="shared" si="155"/>
        <v>1</v>
      </c>
    </row>
    <row r="9948" spans="1:5">
      <c r="A9948" s="59">
        <v>21</v>
      </c>
      <c r="B9948" s="59">
        <v>64</v>
      </c>
      <c r="C9948" s="59">
        <v>610</v>
      </c>
      <c r="D9948" s="51">
        <v>144</v>
      </c>
      <c r="E9948" s="51">
        <f t="shared" si="155"/>
        <v>1</v>
      </c>
    </row>
    <row r="9949" spans="1:5">
      <c r="A9949" s="59">
        <v>21</v>
      </c>
      <c r="B9949" s="59">
        <v>64</v>
      </c>
      <c r="C9949" s="59">
        <v>620</v>
      </c>
      <c r="D9949" s="51">
        <v>143</v>
      </c>
      <c r="E9949" s="51">
        <f t="shared" si="155"/>
        <v>1</v>
      </c>
    </row>
    <row r="9950" spans="1:5">
      <c r="A9950" s="59">
        <v>21</v>
      </c>
      <c r="B9950" s="59">
        <v>62</v>
      </c>
      <c r="C9950" s="59">
        <v>720</v>
      </c>
      <c r="D9950" s="51">
        <v>142</v>
      </c>
      <c r="E9950" s="51">
        <f t="shared" si="155"/>
        <v>1</v>
      </c>
    </row>
    <row r="9951" spans="1:5">
      <c r="A9951" s="59">
        <v>21</v>
      </c>
      <c r="B9951" s="59">
        <v>62</v>
      </c>
      <c r="C9951" s="59">
        <v>990</v>
      </c>
      <c r="D9951" s="51">
        <v>138</v>
      </c>
      <c r="E9951" s="51">
        <f t="shared" si="155"/>
        <v>1</v>
      </c>
    </row>
    <row r="9952" spans="1:5">
      <c r="A9952" s="59">
        <v>21</v>
      </c>
      <c r="B9952" s="59">
        <v>13</v>
      </c>
      <c r="C9952" s="59">
        <v>920</v>
      </c>
      <c r="D9952" s="51">
        <v>136</v>
      </c>
      <c r="E9952" s="51">
        <f t="shared" si="155"/>
        <v>1</v>
      </c>
    </row>
    <row r="9953" spans="1:5">
      <c r="A9953" s="59">
        <v>21</v>
      </c>
      <c r="B9953" s="59">
        <v>14</v>
      </c>
      <c r="C9953" s="59">
        <v>920</v>
      </c>
      <c r="D9953" s="51">
        <v>128</v>
      </c>
      <c r="E9953" s="51">
        <f t="shared" si="155"/>
        <v>1</v>
      </c>
    </row>
    <row r="9954" spans="1:5">
      <c r="A9954" s="59">
        <v>21</v>
      </c>
      <c r="B9954" s="59">
        <v>63</v>
      </c>
      <c r="C9954" s="59">
        <v>510</v>
      </c>
      <c r="D9954" s="51">
        <v>121</v>
      </c>
      <c r="E9954" s="51">
        <f t="shared" si="155"/>
        <v>1</v>
      </c>
    </row>
    <row r="9955" spans="1:5">
      <c r="A9955" s="59">
        <v>21</v>
      </c>
      <c r="B9955" s="59">
        <v>43</v>
      </c>
      <c r="C9955" s="59">
        <v>750</v>
      </c>
      <c r="D9955" s="51">
        <v>118</v>
      </c>
      <c r="E9955" s="51">
        <f t="shared" si="155"/>
        <v>1</v>
      </c>
    </row>
    <row r="9956" spans="1:5">
      <c r="A9956" s="59">
        <v>21</v>
      </c>
      <c r="B9956" s="59">
        <v>14</v>
      </c>
      <c r="C9956" s="59">
        <v>160</v>
      </c>
      <c r="D9956" s="51">
        <v>117</v>
      </c>
      <c r="E9956" s="51">
        <f t="shared" si="155"/>
        <v>1</v>
      </c>
    </row>
    <row r="9957" spans="1:5">
      <c r="A9957" s="59">
        <v>21</v>
      </c>
      <c r="B9957" s="59">
        <v>62</v>
      </c>
      <c r="C9957" s="59">
        <v>530</v>
      </c>
      <c r="D9957" s="51">
        <v>110</v>
      </c>
      <c r="E9957" s="51">
        <f t="shared" si="155"/>
        <v>1</v>
      </c>
    </row>
    <row r="9958" spans="1:5">
      <c r="A9958" s="59">
        <v>21</v>
      </c>
      <c r="B9958" s="59">
        <v>33</v>
      </c>
      <c r="C9958" s="59">
        <v>910</v>
      </c>
      <c r="D9958" s="51">
        <v>106</v>
      </c>
      <c r="E9958" s="51">
        <f t="shared" si="155"/>
        <v>1</v>
      </c>
    </row>
    <row r="9959" spans="1:5">
      <c r="A9959" s="59">
        <v>21</v>
      </c>
      <c r="B9959" s="59">
        <v>14</v>
      </c>
      <c r="C9959" s="59">
        <v>150</v>
      </c>
      <c r="D9959" s="51">
        <v>102</v>
      </c>
      <c r="E9959" s="51">
        <f t="shared" si="155"/>
        <v>1</v>
      </c>
    </row>
    <row r="9960" spans="1:5">
      <c r="A9960" s="59">
        <v>21</v>
      </c>
      <c r="B9960" s="59">
        <v>63</v>
      </c>
      <c r="C9960" s="59">
        <v>530</v>
      </c>
      <c r="D9960" s="51">
        <v>97</v>
      </c>
      <c r="E9960" s="51">
        <f t="shared" si="155"/>
        <v>1</v>
      </c>
    </row>
    <row r="9961" spans="1:5">
      <c r="A9961" s="59">
        <v>21</v>
      </c>
      <c r="B9961" s="59">
        <v>62</v>
      </c>
      <c r="C9961" s="59">
        <v>610</v>
      </c>
      <c r="D9961" s="51">
        <v>95</v>
      </c>
      <c r="E9961" s="51">
        <f t="shared" si="155"/>
        <v>1</v>
      </c>
    </row>
    <row r="9962" spans="1:5">
      <c r="A9962" s="59">
        <v>21</v>
      </c>
      <c r="B9962" s="59">
        <v>62</v>
      </c>
      <c r="C9962" s="59">
        <v>510</v>
      </c>
      <c r="D9962" s="51">
        <v>94</v>
      </c>
      <c r="E9962" s="51">
        <f t="shared" si="155"/>
        <v>1</v>
      </c>
    </row>
    <row r="9963" spans="1:5">
      <c r="A9963" s="59">
        <v>21</v>
      </c>
      <c r="B9963" s="59">
        <v>13</v>
      </c>
      <c r="C9963" s="59">
        <v>160</v>
      </c>
      <c r="D9963" s="51">
        <v>83</v>
      </c>
      <c r="E9963" s="51">
        <f t="shared" si="155"/>
        <v>1</v>
      </c>
    </row>
    <row r="9964" spans="1:5">
      <c r="A9964" s="59">
        <v>21</v>
      </c>
      <c r="B9964" s="59">
        <v>43</v>
      </c>
      <c r="C9964" s="59">
        <v>620</v>
      </c>
      <c r="D9964" s="51">
        <v>81</v>
      </c>
      <c r="E9964" s="51">
        <f t="shared" si="155"/>
        <v>1</v>
      </c>
    </row>
    <row r="9965" spans="1:5">
      <c r="A9965" s="59">
        <v>21</v>
      </c>
      <c r="B9965" s="59">
        <v>64</v>
      </c>
      <c r="C9965" s="59">
        <v>720</v>
      </c>
      <c r="D9965" s="51">
        <v>80</v>
      </c>
      <c r="E9965" s="51">
        <f t="shared" si="155"/>
        <v>1</v>
      </c>
    </row>
    <row r="9966" spans="1:5">
      <c r="A9966" s="59">
        <v>21</v>
      </c>
      <c r="B9966" s="59">
        <v>71</v>
      </c>
      <c r="C9966" s="59">
        <v>990</v>
      </c>
      <c r="D9966" s="51">
        <v>78</v>
      </c>
      <c r="E9966" s="51">
        <f t="shared" si="155"/>
        <v>1</v>
      </c>
    </row>
    <row r="9967" spans="1:5">
      <c r="A9967" s="59">
        <v>21</v>
      </c>
      <c r="B9967" s="59">
        <v>64</v>
      </c>
      <c r="C9967" s="59">
        <v>750</v>
      </c>
      <c r="D9967" s="51">
        <v>75</v>
      </c>
      <c r="E9967" s="51">
        <f t="shared" si="155"/>
        <v>1</v>
      </c>
    </row>
    <row r="9968" spans="1:5">
      <c r="A9968" s="59">
        <v>21</v>
      </c>
      <c r="B9968" s="59">
        <v>81</v>
      </c>
      <c r="C9968" s="59">
        <v>720</v>
      </c>
      <c r="D9968" s="51">
        <v>74</v>
      </c>
      <c r="E9968" s="51">
        <f t="shared" si="155"/>
        <v>1</v>
      </c>
    </row>
    <row r="9969" spans="1:5">
      <c r="A9969" s="59">
        <v>21</v>
      </c>
      <c r="B9969" s="59">
        <v>42</v>
      </c>
      <c r="C9969" s="59">
        <v>620</v>
      </c>
      <c r="D9969" s="51">
        <v>69</v>
      </c>
      <c r="E9969" s="51">
        <f t="shared" si="155"/>
        <v>1</v>
      </c>
    </row>
    <row r="9970" spans="1:5">
      <c r="A9970" s="59">
        <v>21</v>
      </c>
      <c r="B9970" s="59">
        <v>44</v>
      </c>
      <c r="C9970" s="59">
        <v>530</v>
      </c>
      <c r="D9970" s="51">
        <v>68</v>
      </c>
      <c r="E9970" s="51">
        <f t="shared" si="155"/>
        <v>1</v>
      </c>
    </row>
    <row r="9971" spans="1:5">
      <c r="A9971" s="59">
        <v>21</v>
      </c>
      <c r="B9971" s="59">
        <v>62</v>
      </c>
      <c r="C9971" s="59">
        <v>160</v>
      </c>
      <c r="D9971" s="51">
        <v>65</v>
      </c>
      <c r="E9971" s="51">
        <f t="shared" si="155"/>
        <v>1</v>
      </c>
    </row>
    <row r="9972" spans="1:5">
      <c r="A9972" s="59">
        <v>21</v>
      </c>
      <c r="B9972" s="59">
        <v>62</v>
      </c>
      <c r="C9972" s="59">
        <v>750</v>
      </c>
      <c r="D9972" s="51">
        <v>65</v>
      </c>
      <c r="E9972" s="51">
        <f t="shared" si="155"/>
        <v>1</v>
      </c>
    </row>
    <row r="9973" spans="1:5">
      <c r="A9973" s="59">
        <v>21</v>
      </c>
      <c r="B9973" s="59">
        <v>41</v>
      </c>
      <c r="C9973" s="59">
        <v>990</v>
      </c>
      <c r="D9973" s="51">
        <v>63</v>
      </c>
      <c r="E9973" s="51">
        <f t="shared" si="155"/>
        <v>1</v>
      </c>
    </row>
    <row r="9974" spans="1:5">
      <c r="A9974" s="59">
        <v>21</v>
      </c>
      <c r="B9974" s="59">
        <v>81</v>
      </c>
      <c r="C9974" s="59">
        <v>510</v>
      </c>
      <c r="D9974" s="51">
        <v>63</v>
      </c>
      <c r="E9974" s="51">
        <f t="shared" si="155"/>
        <v>1</v>
      </c>
    </row>
    <row r="9975" spans="1:5">
      <c r="A9975" s="59">
        <v>21</v>
      </c>
      <c r="B9975" s="59">
        <v>32</v>
      </c>
      <c r="C9975" s="59">
        <v>920</v>
      </c>
      <c r="D9975" s="51">
        <v>59</v>
      </c>
      <c r="E9975" s="51">
        <f t="shared" si="155"/>
        <v>1</v>
      </c>
    </row>
    <row r="9976" spans="1:5">
      <c r="A9976" s="59">
        <v>21</v>
      </c>
      <c r="B9976" s="59">
        <v>41</v>
      </c>
      <c r="C9976" s="59">
        <v>530</v>
      </c>
      <c r="D9976" s="51">
        <v>57</v>
      </c>
      <c r="E9976" s="51">
        <f t="shared" si="155"/>
        <v>1</v>
      </c>
    </row>
    <row r="9977" spans="1:5">
      <c r="A9977" s="59">
        <v>21</v>
      </c>
      <c r="B9977" s="59">
        <v>81</v>
      </c>
      <c r="C9977" s="59">
        <v>750</v>
      </c>
      <c r="D9977" s="51">
        <v>57</v>
      </c>
      <c r="E9977" s="51">
        <f t="shared" si="155"/>
        <v>1</v>
      </c>
    </row>
    <row r="9978" spans="1:5">
      <c r="A9978" s="59">
        <v>21</v>
      </c>
      <c r="B9978" s="59">
        <v>41</v>
      </c>
      <c r="C9978" s="59">
        <v>720</v>
      </c>
      <c r="D9978" s="51">
        <v>56</v>
      </c>
      <c r="E9978" s="51">
        <f t="shared" si="155"/>
        <v>1</v>
      </c>
    </row>
    <row r="9979" spans="1:5">
      <c r="A9979" s="59">
        <v>21</v>
      </c>
      <c r="B9979" s="59">
        <v>44</v>
      </c>
      <c r="C9979" s="59">
        <v>930</v>
      </c>
      <c r="D9979" s="51">
        <v>56</v>
      </c>
      <c r="E9979" s="51">
        <f t="shared" si="155"/>
        <v>1</v>
      </c>
    </row>
    <row r="9980" spans="1:5">
      <c r="A9980" s="59">
        <v>21</v>
      </c>
      <c r="B9980" s="59">
        <v>13</v>
      </c>
      <c r="C9980" s="59">
        <v>150</v>
      </c>
      <c r="D9980" s="51">
        <v>54</v>
      </c>
      <c r="E9980" s="51">
        <f t="shared" si="155"/>
        <v>1</v>
      </c>
    </row>
    <row r="9981" spans="1:5">
      <c r="A9981" s="59">
        <v>21</v>
      </c>
      <c r="B9981" s="59">
        <v>43</v>
      </c>
      <c r="C9981" s="59">
        <v>730</v>
      </c>
      <c r="D9981" s="51">
        <v>54</v>
      </c>
      <c r="E9981" s="51">
        <f t="shared" si="155"/>
        <v>1</v>
      </c>
    </row>
    <row r="9982" spans="1:5">
      <c r="A9982" s="59">
        <v>21</v>
      </c>
      <c r="B9982" s="59">
        <v>63</v>
      </c>
      <c r="C9982" s="59">
        <v>620</v>
      </c>
      <c r="D9982" s="51">
        <v>54</v>
      </c>
      <c r="E9982" s="51">
        <f t="shared" si="155"/>
        <v>1</v>
      </c>
    </row>
    <row r="9983" spans="1:5">
      <c r="A9983" s="59">
        <v>21</v>
      </c>
      <c r="B9983" s="59">
        <v>63</v>
      </c>
      <c r="C9983" s="59">
        <v>720</v>
      </c>
      <c r="D9983" s="51">
        <v>54</v>
      </c>
      <c r="E9983" s="51">
        <f t="shared" si="155"/>
        <v>1</v>
      </c>
    </row>
    <row r="9984" spans="1:5">
      <c r="A9984" s="59">
        <v>21</v>
      </c>
      <c r="B9984" s="59">
        <v>41</v>
      </c>
      <c r="C9984" s="59">
        <v>920</v>
      </c>
      <c r="D9984" s="51">
        <v>53</v>
      </c>
      <c r="E9984" s="51">
        <f t="shared" si="155"/>
        <v>1</v>
      </c>
    </row>
    <row r="9985" spans="1:5">
      <c r="A9985" s="59">
        <v>21</v>
      </c>
      <c r="B9985" s="59">
        <v>44</v>
      </c>
      <c r="C9985" s="59">
        <v>960</v>
      </c>
      <c r="D9985" s="51">
        <v>53</v>
      </c>
      <c r="E9985" s="51">
        <f t="shared" si="155"/>
        <v>1</v>
      </c>
    </row>
    <row r="9986" spans="1:5">
      <c r="A9986" s="59">
        <v>21</v>
      </c>
      <c r="B9986" s="59">
        <v>43</v>
      </c>
      <c r="C9986" s="59">
        <v>940</v>
      </c>
      <c r="D9986" s="51">
        <v>51</v>
      </c>
      <c r="E9986" s="51">
        <f t="shared" ref="E9986:E10049" si="156">IF(OR(A9986=6,A9986=7,A9986=14,A9986=15,A9986=16,A9986=17,A9986=18,A9986=19,A9986=20,A9986=21,A9986=22,A9986=23,A9986=25,A9986=26,A9986=27,A9986=28,B9986=41,B9986=44,B9986=62),1,0)</f>
        <v>1</v>
      </c>
    </row>
    <row r="9987" spans="1:5">
      <c r="A9987" s="59">
        <v>21</v>
      </c>
      <c r="B9987" s="59">
        <v>13</v>
      </c>
      <c r="C9987" s="59">
        <v>990</v>
      </c>
      <c r="D9987" s="51">
        <v>49</v>
      </c>
      <c r="E9987" s="51">
        <f t="shared" si="156"/>
        <v>1</v>
      </c>
    </row>
    <row r="9988" spans="1:5">
      <c r="A9988" s="59">
        <v>21</v>
      </c>
      <c r="B9988" s="59">
        <v>43</v>
      </c>
      <c r="C9988" s="59">
        <v>970</v>
      </c>
      <c r="D9988" s="51">
        <v>49</v>
      </c>
      <c r="E9988" s="51">
        <f t="shared" si="156"/>
        <v>1</v>
      </c>
    </row>
    <row r="9989" spans="1:5">
      <c r="A9989" s="59">
        <v>21</v>
      </c>
      <c r="B9989" s="59">
        <v>14</v>
      </c>
      <c r="C9989" s="59">
        <v>110</v>
      </c>
      <c r="D9989" s="51">
        <v>46</v>
      </c>
      <c r="E9989" s="51">
        <f t="shared" si="156"/>
        <v>1</v>
      </c>
    </row>
    <row r="9990" spans="1:5">
      <c r="A9990" s="59">
        <v>21</v>
      </c>
      <c r="B9990" s="59">
        <v>62</v>
      </c>
      <c r="C9990" s="59">
        <v>620</v>
      </c>
      <c r="D9990" s="51">
        <v>46</v>
      </c>
      <c r="E9990" s="51">
        <f t="shared" si="156"/>
        <v>1</v>
      </c>
    </row>
    <row r="9991" spans="1:5">
      <c r="A9991" s="59">
        <v>21</v>
      </c>
      <c r="B9991" s="59">
        <v>63</v>
      </c>
      <c r="C9991" s="59">
        <v>990</v>
      </c>
      <c r="D9991" s="51">
        <v>44</v>
      </c>
      <c r="E9991" s="51">
        <f t="shared" si="156"/>
        <v>1</v>
      </c>
    </row>
    <row r="9992" spans="1:5">
      <c r="A9992" s="59">
        <v>21</v>
      </c>
      <c r="B9992" s="59">
        <v>44</v>
      </c>
      <c r="C9992" s="59">
        <v>750</v>
      </c>
      <c r="D9992" s="51">
        <v>41</v>
      </c>
      <c r="E9992" s="51">
        <f t="shared" si="156"/>
        <v>1</v>
      </c>
    </row>
    <row r="9993" spans="1:5">
      <c r="A9993" s="59">
        <v>21</v>
      </c>
      <c r="B9993" s="59">
        <v>71</v>
      </c>
      <c r="C9993" s="59">
        <v>750</v>
      </c>
      <c r="D9993" s="51">
        <v>35</v>
      </c>
      <c r="E9993" s="51">
        <f t="shared" si="156"/>
        <v>1</v>
      </c>
    </row>
    <row r="9994" spans="1:5">
      <c r="A9994" s="59">
        <v>21</v>
      </c>
      <c r="B9994" s="59">
        <v>13</v>
      </c>
      <c r="C9994" s="59">
        <v>720</v>
      </c>
      <c r="D9994" s="51">
        <v>33</v>
      </c>
      <c r="E9994" s="51">
        <f t="shared" si="156"/>
        <v>1</v>
      </c>
    </row>
    <row r="9995" spans="1:5">
      <c r="A9995" s="59">
        <v>21</v>
      </c>
      <c r="B9995" s="59">
        <v>42</v>
      </c>
      <c r="C9995" s="59">
        <v>510</v>
      </c>
      <c r="D9995" s="51">
        <v>33</v>
      </c>
      <c r="E9995" s="51">
        <f t="shared" si="156"/>
        <v>1</v>
      </c>
    </row>
    <row r="9996" spans="1:5">
      <c r="A9996" s="59">
        <v>21</v>
      </c>
      <c r="B9996" s="59">
        <v>43</v>
      </c>
      <c r="C9996" s="59">
        <v>520</v>
      </c>
      <c r="D9996" s="51">
        <v>33</v>
      </c>
      <c r="E9996" s="51">
        <f t="shared" si="156"/>
        <v>1</v>
      </c>
    </row>
    <row r="9997" spans="1:5">
      <c r="A9997" s="59">
        <v>21</v>
      </c>
      <c r="B9997" s="59">
        <v>44</v>
      </c>
      <c r="C9997" s="59">
        <v>620</v>
      </c>
      <c r="D9997" s="51">
        <v>33</v>
      </c>
      <c r="E9997" s="51">
        <f t="shared" si="156"/>
        <v>1</v>
      </c>
    </row>
    <row r="9998" spans="1:5">
      <c r="A9998" s="59">
        <v>21</v>
      </c>
      <c r="B9998" s="59">
        <v>71</v>
      </c>
      <c r="C9998" s="59">
        <v>530</v>
      </c>
      <c r="D9998" s="51">
        <v>33</v>
      </c>
      <c r="E9998" s="51">
        <f t="shared" si="156"/>
        <v>1</v>
      </c>
    </row>
    <row r="9999" spans="1:5">
      <c r="A9999" s="59">
        <v>21</v>
      </c>
      <c r="B9999" s="59">
        <v>44</v>
      </c>
      <c r="C9999" s="59">
        <v>730</v>
      </c>
      <c r="D9999" s="51">
        <v>32</v>
      </c>
      <c r="E9999" s="51">
        <f t="shared" si="156"/>
        <v>1</v>
      </c>
    </row>
    <row r="10000" spans="1:5">
      <c r="A10000" s="59">
        <v>21</v>
      </c>
      <c r="B10000" s="59">
        <v>43</v>
      </c>
      <c r="C10000" s="59">
        <v>150</v>
      </c>
      <c r="D10000" s="51">
        <v>31</v>
      </c>
      <c r="E10000" s="51">
        <f t="shared" si="156"/>
        <v>1</v>
      </c>
    </row>
    <row r="10001" spans="1:5">
      <c r="A10001" s="59">
        <v>21</v>
      </c>
      <c r="B10001" s="59">
        <v>64</v>
      </c>
      <c r="C10001" s="59">
        <v>430</v>
      </c>
      <c r="D10001" s="51">
        <v>31</v>
      </c>
      <c r="E10001" s="51">
        <f t="shared" si="156"/>
        <v>1</v>
      </c>
    </row>
    <row r="10002" spans="1:5">
      <c r="A10002" s="59">
        <v>21</v>
      </c>
      <c r="B10002" s="59">
        <v>81</v>
      </c>
      <c r="C10002" s="59">
        <v>530</v>
      </c>
      <c r="D10002" s="51">
        <v>31</v>
      </c>
      <c r="E10002" s="51">
        <f t="shared" si="156"/>
        <v>1</v>
      </c>
    </row>
    <row r="10003" spans="1:5">
      <c r="A10003" s="59">
        <v>21</v>
      </c>
      <c r="B10003" s="59">
        <v>32</v>
      </c>
      <c r="C10003" s="59">
        <v>420</v>
      </c>
      <c r="D10003" s="51">
        <v>30</v>
      </c>
      <c r="E10003" s="51">
        <f t="shared" si="156"/>
        <v>1</v>
      </c>
    </row>
    <row r="10004" spans="1:5">
      <c r="A10004" s="59">
        <v>21</v>
      </c>
      <c r="B10004" s="59">
        <v>32</v>
      </c>
      <c r="C10004" s="59">
        <v>430</v>
      </c>
      <c r="D10004" s="51">
        <v>30</v>
      </c>
      <c r="E10004" s="51">
        <f t="shared" si="156"/>
        <v>1</v>
      </c>
    </row>
    <row r="10005" spans="1:5">
      <c r="A10005" s="59">
        <v>21</v>
      </c>
      <c r="B10005" s="59">
        <v>71</v>
      </c>
      <c r="C10005" s="59">
        <v>720</v>
      </c>
      <c r="D10005" s="51">
        <v>30</v>
      </c>
      <c r="E10005" s="51">
        <f t="shared" si="156"/>
        <v>1</v>
      </c>
    </row>
    <row r="10006" spans="1:5">
      <c r="A10006" s="59">
        <v>21</v>
      </c>
      <c r="B10006" s="59">
        <v>64</v>
      </c>
      <c r="C10006" s="59">
        <v>110</v>
      </c>
      <c r="D10006" s="51">
        <v>29</v>
      </c>
      <c r="E10006" s="51">
        <f t="shared" si="156"/>
        <v>1</v>
      </c>
    </row>
    <row r="10007" spans="1:5">
      <c r="A10007" s="59">
        <v>21</v>
      </c>
      <c r="B10007" s="59">
        <v>64</v>
      </c>
      <c r="C10007" s="59">
        <v>220</v>
      </c>
      <c r="D10007" s="51">
        <v>29</v>
      </c>
      <c r="E10007" s="51">
        <f t="shared" si="156"/>
        <v>1</v>
      </c>
    </row>
    <row r="10008" spans="1:5">
      <c r="A10008" s="59">
        <v>21</v>
      </c>
      <c r="B10008" s="59">
        <v>64</v>
      </c>
      <c r="C10008" s="59">
        <v>730</v>
      </c>
      <c r="D10008" s="51">
        <v>28</v>
      </c>
      <c r="E10008" s="51">
        <f t="shared" si="156"/>
        <v>1</v>
      </c>
    </row>
    <row r="10009" spans="1:5">
      <c r="A10009" s="59">
        <v>21</v>
      </c>
      <c r="B10009" s="59">
        <v>44</v>
      </c>
      <c r="C10009" s="59">
        <v>160</v>
      </c>
      <c r="D10009" s="51">
        <v>27</v>
      </c>
      <c r="E10009" s="51">
        <f t="shared" si="156"/>
        <v>1</v>
      </c>
    </row>
    <row r="10010" spans="1:5">
      <c r="A10010" s="59">
        <v>21</v>
      </c>
      <c r="B10010" s="59">
        <v>14</v>
      </c>
      <c r="C10010" s="59">
        <v>990</v>
      </c>
      <c r="D10010" s="51">
        <v>26</v>
      </c>
      <c r="E10010" s="51">
        <f t="shared" si="156"/>
        <v>1</v>
      </c>
    </row>
    <row r="10011" spans="1:5">
      <c r="A10011" s="59">
        <v>21</v>
      </c>
      <c r="B10011" s="59">
        <v>41</v>
      </c>
      <c r="C10011" s="59">
        <v>510</v>
      </c>
      <c r="D10011" s="51">
        <v>26</v>
      </c>
      <c r="E10011" s="51">
        <f t="shared" si="156"/>
        <v>1</v>
      </c>
    </row>
    <row r="10012" spans="1:5">
      <c r="A10012" s="59">
        <v>21</v>
      </c>
      <c r="B10012" s="59">
        <v>13</v>
      </c>
      <c r="C10012" s="59">
        <v>930</v>
      </c>
      <c r="D10012" s="51">
        <v>25</v>
      </c>
      <c r="E10012" s="51">
        <f t="shared" si="156"/>
        <v>1</v>
      </c>
    </row>
    <row r="10013" spans="1:5">
      <c r="A10013" s="59">
        <v>21</v>
      </c>
      <c r="B10013" s="59">
        <v>14</v>
      </c>
      <c r="C10013" s="59">
        <v>510</v>
      </c>
      <c r="D10013" s="51">
        <v>25</v>
      </c>
      <c r="E10013" s="51">
        <f t="shared" si="156"/>
        <v>1</v>
      </c>
    </row>
    <row r="10014" spans="1:5">
      <c r="A10014" s="59">
        <v>21</v>
      </c>
      <c r="B10014" s="59">
        <v>43</v>
      </c>
      <c r="C10014" s="59">
        <v>220</v>
      </c>
      <c r="D10014" s="51">
        <v>25</v>
      </c>
      <c r="E10014" s="51">
        <f t="shared" si="156"/>
        <v>1</v>
      </c>
    </row>
    <row r="10015" spans="1:5">
      <c r="A10015" s="59">
        <v>21</v>
      </c>
      <c r="B10015" s="59">
        <v>71</v>
      </c>
      <c r="C10015" s="59">
        <v>520</v>
      </c>
      <c r="D10015" s="51">
        <v>25</v>
      </c>
      <c r="E10015" s="51">
        <f t="shared" si="156"/>
        <v>1</v>
      </c>
    </row>
    <row r="10016" spans="1:5">
      <c r="A10016" s="59">
        <v>21</v>
      </c>
      <c r="B10016" s="59">
        <v>63</v>
      </c>
      <c r="C10016" s="59">
        <v>160</v>
      </c>
      <c r="D10016" s="51">
        <v>24</v>
      </c>
      <c r="E10016" s="51">
        <f t="shared" si="156"/>
        <v>1</v>
      </c>
    </row>
    <row r="10017" spans="1:5">
      <c r="A10017" s="59">
        <v>21</v>
      </c>
      <c r="B10017" s="59">
        <v>71</v>
      </c>
      <c r="C10017" s="59">
        <v>160</v>
      </c>
      <c r="D10017" s="51">
        <v>24</v>
      </c>
      <c r="E10017" s="51">
        <f t="shared" si="156"/>
        <v>1</v>
      </c>
    </row>
    <row r="10018" spans="1:5">
      <c r="A10018" s="59">
        <v>21</v>
      </c>
      <c r="B10018" s="59">
        <v>13</v>
      </c>
      <c r="C10018" s="59">
        <v>510</v>
      </c>
      <c r="D10018" s="51">
        <v>22</v>
      </c>
      <c r="E10018" s="51">
        <f t="shared" si="156"/>
        <v>1</v>
      </c>
    </row>
    <row r="10019" spans="1:5">
      <c r="A10019" s="59">
        <v>21</v>
      </c>
      <c r="B10019" s="59">
        <v>62</v>
      </c>
      <c r="C10019" s="59">
        <v>930</v>
      </c>
      <c r="D10019" s="51">
        <v>21</v>
      </c>
      <c r="E10019" s="51">
        <f t="shared" si="156"/>
        <v>1</v>
      </c>
    </row>
    <row r="10020" spans="1:5">
      <c r="A10020" s="59">
        <v>21</v>
      </c>
      <c r="B10020" s="59">
        <v>23</v>
      </c>
      <c r="C10020" s="59">
        <v>910</v>
      </c>
      <c r="D10020" s="51">
        <v>20</v>
      </c>
      <c r="E10020" s="51">
        <f t="shared" si="156"/>
        <v>1</v>
      </c>
    </row>
    <row r="10021" spans="1:5">
      <c r="A10021" s="59">
        <v>21</v>
      </c>
      <c r="B10021" s="59">
        <v>32</v>
      </c>
      <c r="C10021" s="59">
        <v>990</v>
      </c>
      <c r="D10021" s="51">
        <v>20</v>
      </c>
      <c r="E10021" s="51">
        <f t="shared" si="156"/>
        <v>1</v>
      </c>
    </row>
    <row r="10022" spans="1:5">
      <c r="A10022" s="59">
        <v>21</v>
      </c>
      <c r="B10022" s="59">
        <v>41</v>
      </c>
      <c r="C10022" s="59">
        <v>750</v>
      </c>
      <c r="D10022" s="51">
        <v>20</v>
      </c>
      <c r="E10022" s="51">
        <f t="shared" si="156"/>
        <v>1</v>
      </c>
    </row>
    <row r="10023" spans="1:5">
      <c r="A10023" s="59">
        <v>21</v>
      </c>
      <c r="B10023" s="59">
        <v>63</v>
      </c>
      <c r="C10023" s="59">
        <v>750</v>
      </c>
      <c r="D10023" s="51">
        <v>20</v>
      </c>
      <c r="E10023" s="51">
        <f t="shared" si="156"/>
        <v>1</v>
      </c>
    </row>
    <row r="10024" spans="1:5">
      <c r="A10024" s="59">
        <v>21</v>
      </c>
      <c r="B10024" s="59">
        <v>64</v>
      </c>
      <c r="C10024" s="59">
        <v>520</v>
      </c>
      <c r="D10024" s="51">
        <v>20</v>
      </c>
      <c r="E10024" s="51">
        <f t="shared" si="156"/>
        <v>1</v>
      </c>
    </row>
    <row r="10025" spans="1:5">
      <c r="A10025" s="59">
        <v>21</v>
      </c>
      <c r="B10025" s="59">
        <v>11</v>
      </c>
      <c r="C10025" s="59">
        <v>910</v>
      </c>
      <c r="D10025" s="51">
        <v>18</v>
      </c>
      <c r="E10025" s="51">
        <f t="shared" si="156"/>
        <v>1</v>
      </c>
    </row>
    <row r="10026" spans="1:5">
      <c r="A10026" s="59">
        <v>21</v>
      </c>
      <c r="B10026" s="59">
        <v>16</v>
      </c>
      <c r="C10026" s="59">
        <v>140</v>
      </c>
      <c r="D10026" s="51">
        <v>18</v>
      </c>
      <c r="E10026" s="51">
        <f t="shared" si="156"/>
        <v>1</v>
      </c>
    </row>
    <row r="10027" spans="1:5">
      <c r="A10027" s="59">
        <v>21</v>
      </c>
      <c r="B10027" s="59">
        <v>63</v>
      </c>
      <c r="C10027" s="59">
        <v>520</v>
      </c>
      <c r="D10027" s="51">
        <v>18</v>
      </c>
      <c r="E10027" s="51">
        <f t="shared" si="156"/>
        <v>1</v>
      </c>
    </row>
    <row r="10028" spans="1:5">
      <c r="A10028" s="59">
        <v>21</v>
      </c>
      <c r="B10028" s="59">
        <v>64</v>
      </c>
      <c r="C10028" s="59">
        <v>150</v>
      </c>
      <c r="D10028" s="51">
        <v>18</v>
      </c>
      <c r="E10028" s="51">
        <f t="shared" si="156"/>
        <v>1</v>
      </c>
    </row>
    <row r="10029" spans="1:5">
      <c r="A10029" s="59">
        <v>21</v>
      </c>
      <c r="B10029" s="59">
        <v>64</v>
      </c>
      <c r="C10029" s="59">
        <v>410</v>
      </c>
      <c r="D10029" s="51">
        <v>18</v>
      </c>
      <c r="E10029" s="51">
        <f t="shared" si="156"/>
        <v>1</v>
      </c>
    </row>
    <row r="10030" spans="1:5">
      <c r="A10030" s="59">
        <v>21</v>
      </c>
      <c r="B10030" s="59">
        <v>13</v>
      </c>
      <c r="C10030" s="59">
        <v>530</v>
      </c>
      <c r="D10030" s="51">
        <v>17</v>
      </c>
      <c r="E10030" s="51">
        <f t="shared" si="156"/>
        <v>1</v>
      </c>
    </row>
    <row r="10031" spans="1:5">
      <c r="A10031" s="59">
        <v>21</v>
      </c>
      <c r="B10031" s="59">
        <v>42</v>
      </c>
      <c r="C10031" s="59">
        <v>990</v>
      </c>
      <c r="D10031" s="51">
        <v>17</v>
      </c>
      <c r="E10031" s="51">
        <f t="shared" si="156"/>
        <v>1</v>
      </c>
    </row>
    <row r="10032" spans="1:5">
      <c r="A10032" s="59">
        <v>21</v>
      </c>
      <c r="B10032" s="59">
        <v>14</v>
      </c>
      <c r="C10032" s="59">
        <v>930</v>
      </c>
      <c r="D10032" s="51">
        <v>16</v>
      </c>
      <c r="E10032" s="51">
        <f t="shared" si="156"/>
        <v>1</v>
      </c>
    </row>
    <row r="10033" spans="1:5">
      <c r="A10033" s="59">
        <v>21</v>
      </c>
      <c r="B10033" s="59">
        <v>15</v>
      </c>
      <c r="C10033" s="59">
        <v>160</v>
      </c>
      <c r="D10033" s="51">
        <v>16</v>
      </c>
      <c r="E10033" s="51">
        <f t="shared" si="156"/>
        <v>1</v>
      </c>
    </row>
    <row r="10034" spans="1:5">
      <c r="A10034" s="59">
        <v>21</v>
      </c>
      <c r="B10034" s="59">
        <v>22</v>
      </c>
      <c r="C10034" s="59">
        <v>920</v>
      </c>
      <c r="D10034" s="51">
        <v>16</v>
      </c>
      <c r="E10034" s="51">
        <f t="shared" si="156"/>
        <v>1</v>
      </c>
    </row>
    <row r="10035" spans="1:5">
      <c r="A10035" s="59">
        <v>21</v>
      </c>
      <c r="B10035" s="59">
        <v>64</v>
      </c>
      <c r="C10035" s="59">
        <v>930</v>
      </c>
      <c r="D10035" s="51">
        <v>16</v>
      </c>
      <c r="E10035" s="51">
        <f t="shared" si="156"/>
        <v>1</v>
      </c>
    </row>
    <row r="10036" spans="1:5">
      <c r="A10036" s="59">
        <v>21</v>
      </c>
      <c r="B10036" s="59">
        <v>13</v>
      </c>
      <c r="C10036" s="59">
        <v>110</v>
      </c>
      <c r="D10036" s="51">
        <v>15</v>
      </c>
      <c r="E10036" s="51">
        <f t="shared" si="156"/>
        <v>1</v>
      </c>
    </row>
    <row r="10037" spans="1:5">
      <c r="A10037" s="59">
        <v>21</v>
      </c>
      <c r="B10037" s="59">
        <v>42</v>
      </c>
      <c r="C10037" s="59">
        <v>530</v>
      </c>
      <c r="D10037" s="51">
        <v>15</v>
      </c>
      <c r="E10037" s="51">
        <f t="shared" si="156"/>
        <v>1</v>
      </c>
    </row>
    <row r="10038" spans="1:5">
      <c r="A10038" s="59">
        <v>21</v>
      </c>
      <c r="B10038" s="59">
        <v>16</v>
      </c>
      <c r="C10038" s="59">
        <v>510</v>
      </c>
      <c r="D10038" s="51">
        <v>14</v>
      </c>
      <c r="E10038" s="51">
        <f t="shared" si="156"/>
        <v>1</v>
      </c>
    </row>
    <row r="10039" spans="1:5">
      <c r="A10039" s="59">
        <v>21</v>
      </c>
      <c r="B10039" s="59">
        <v>41</v>
      </c>
      <c r="C10039" s="59">
        <v>730</v>
      </c>
      <c r="D10039" s="51">
        <v>14</v>
      </c>
      <c r="E10039" s="51">
        <f t="shared" si="156"/>
        <v>1</v>
      </c>
    </row>
    <row r="10040" spans="1:5">
      <c r="A10040" s="59">
        <v>21</v>
      </c>
      <c r="B10040" s="59">
        <v>43</v>
      </c>
      <c r="C10040" s="59">
        <v>710</v>
      </c>
      <c r="D10040" s="51">
        <v>14</v>
      </c>
      <c r="E10040" s="51">
        <f t="shared" si="156"/>
        <v>1</v>
      </c>
    </row>
    <row r="10041" spans="1:5">
      <c r="A10041" s="59">
        <v>21</v>
      </c>
      <c r="B10041" s="59">
        <v>32</v>
      </c>
      <c r="C10041" s="59">
        <v>410</v>
      </c>
      <c r="D10041" s="51">
        <v>13</v>
      </c>
      <c r="E10041" s="51">
        <f t="shared" si="156"/>
        <v>1</v>
      </c>
    </row>
    <row r="10042" spans="1:5">
      <c r="A10042" s="59">
        <v>21</v>
      </c>
      <c r="B10042" s="59">
        <v>43</v>
      </c>
      <c r="C10042" s="59">
        <v>110</v>
      </c>
      <c r="D10042" s="51">
        <v>13</v>
      </c>
      <c r="E10042" s="51">
        <f t="shared" si="156"/>
        <v>1</v>
      </c>
    </row>
    <row r="10043" spans="1:5">
      <c r="A10043" s="59">
        <v>21</v>
      </c>
      <c r="B10043" s="59">
        <v>43</v>
      </c>
      <c r="C10043" s="59">
        <v>950</v>
      </c>
      <c r="D10043" s="51">
        <v>13</v>
      </c>
      <c r="E10043" s="51">
        <f t="shared" si="156"/>
        <v>1</v>
      </c>
    </row>
    <row r="10044" spans="1:5">
      <c r="A10044" s="59">
        <v>21</v>
      </c>
      <c r="B10044" s="59">
        <v>81</v>
      </c>
      <c r="C10044" s="59">
        <v>620</v>
      </c>
      <c r="D10044" s="51">
        <v>13</v>
      </c>
      <c r="E10044" s="51">
        <f t="shared" si="156"/>
        <v>1</v>
      </c>
    </row>
    <row r="10045" spans="1:5">
      <c r="A10045" s="59">
        <v>21</v>
      </c>
      <c r="B10045" s="59">
        <v>14</v>
      </c>
      <c r="C10045" s="59">
        <v>530</v>
      </c>
      <c r="D10045" s="51">
        <v>12</v>
      </c>
      <c r="E10045" s="51">
        <f t="shared" si="156"/>
        <v>1</v>
      </c>
    </row>
    <row r="10046" spans="1:5">
      <c r="A10046" s="59">
        <v>21</v>
      </c>
      <c r="B10046" s="59">
        <v>14</v>
      </c>
      <c r="C10046" s="59">
        <v>950</v>
      </c>
      <c r="D10046" s="51">
        <v>12</v>
      </c>
      <c r="E10046" s="51">
        <f t="shared" si="156"/>
        <v>1</v>
      </c>
    </row>
    <row r="10047" spans="1:5">
      <c r="A10047" s="59">
        <v>21</v>
      </c>
      <c r="B10047" s="59">
        <v>31</v>
      </c>
      <c r="C10047" s="59">
        <v>910</v>
      </c>
      <c r="D10047" s="51">
        <v>12</v>
      </c>
      <c r="E10047" s="51">
        <f t="shared" si="156"/>
        <v>1</v>
      </c>
    </row>
    <row r="10048" spans="1:5">
      <c r="A10048" s="59">
        <v>21</v>
      </c>
      <c r="B10048" s="59">
        <v>41</v>
      </c>
      <c r="C10048" s="59">
        <v>160</v>
      </c>
      <c r="D10048" s="51">
        <v>12</v>
      </c>
      <c r="E10048" s="51">
        <f t="shared" si="156"/>
        <v>1</v>
      </c>
    </row>
    <row r="10049" spans="1:5">
      <c r="A10049" s="59">
        <v>21</v>
      </c>
      <c r="B10049" s="59">
        <v>44</v>
      </c>
      <c r="C10049" s="59">
        <v>940</v>
      </c>
      <c r="D10049" s="51">
        <v>12</v>
      </c>
      <c r="E10049" s="51">
        <f t="shared" si="156"/>
        <v>1</v>
      </c>
    </row>
    <row r="10050" spans="1:5">
      <c r="A10050" s="59">
        <v>21</v>
      </c>
      <c r="B10050" s="59">
        <v>71</v>
      </c>
      <c r="C10050" s="59">
        <v>410</v>
      </c>
      <c r="D10050" s="51">
        <v>12</v>
      </c>
      <c r="E10050" s="51">
        <f t="shared" ref="E10050:E10113" si="157">IF(OR(A10050=6,A10050=7,A10050=14,A10050=15,A10050=16,A10050=17,A10050=18,A10050=19,A10050=20,A10050=21,A10050=22,A10050=23,A10050=25,A10050=26,A10050=27,A10050=28,B10050=41,B10050=44,B10050=62),1,0)</f>
        <v>1</v>
      </c>
    </row>
    <row r="10051" spans="1:5">
      <c r="A10051" s="59">
        <v>21</v>
      </c>
      <c r="B10051" s="59">
        <v>14</v>
      </c>
      <c r="C10051" s="59">
        <v>330</v>
      </c>
      <c r="D10051" s="51">
        <v>11</v>
      </c>
      <c r="E10051" s="51">
        <f t="shared" si="157"/>
        <v>1</v>
      </c>
    </row>
    <row r="10052" spans="1:5">
      <c r="A10052" s="59">
        <v>21</v>
      </c>
      <c r="B10052" s="59">
        <v>41</v>
      </c>
      <c r="C10052" s="59">
        <v>930</v>
      </c>
      <c r="D10052" s="51">
        <v>11</v>
      </c>
      <c r="E10052" s="51">
        <f t="shared" si="157"/>
        <v>1</v>
      </c>
    </row>
    <row r="10053" spans="1:5">
      <c r="A10053" s="59">
        <v>21</v>
      </c>
      <c r="B10053" s="59">
        <v>43</v>
      </c>
      <c r="C10053" s="59">
        <v>430</v>
      </c>
      <c r="D10053" s="51">
        <v>11</v>
      </c>
      <c r="E10053" s="51">
        <f t="shared" si="157"/>
        <v>1</v>
      </c>
    </row>
    <row r="10054" spans="1:5">
      <c r="A10054" s="59">
        <v>21</v>
      </c>
      <c r="B10054" s="59">
        <v>63</v>
      </c>
      <c r="C10054" s="59">
        <v>730</v>
      </c>
      <c r="D10054" s="51">
        <v>11</v>
      </c>
      <c r="E10054" s="51">
        <f t="shared" si="157"/>
        <v>1</v>
      </c>
    </row>
    <row r="10055" spans="1:5">
      <c r="A10055" s="59">
        <v>21</v>
      </c>
      <c r="B10055" s="59">
        <v>64</v>
      </c>
      <c r="C10055" s="59">
        <v>710</v>
      </c>
      <c r="D10055" s="51">
        <v>11</v>
      </c>
      <c r="E10055" s="51">
        <f t="shared" si="157"/>
        <v>1</v>
      </c>
    </row>
    <row r="10056" spans="1:5">
      <c r="A10056" s="59">
        <v>21</v>
      </c>
      <c r="B10056" s="59">
        <v>64</v>
      </c>
      <c r="C10056" s="59">
        <v>940</v>
      </c>
      <c r="D10056" s="51">
        <v>11</v>
      </c>
      <c r="E10056" s="51">
        <f t="shared" si="157"/>
        <v>1</v>
      </c>
    </row>
    <row r="10057" spans="1:5">
      <c r="A10057" s="59">
        <v>21</v>
      </c>
      <c r="B10057" s="59">
        <v>81</v>
      </c>
      <c r="C10057" s="59">
        <v>730</v>
      </c>
      <c r="D10057" s="51">
        <v>11</v>
      </c>
      <c r="E10057" s="51">
        <f t="shared" si="157"/>
        <v>1</v>
      </c>
    </row>
    <row r="10058" spans="1:5">
      <c r="A10058" s="59">
        <v>21</v>
      </c>
      <c r="B10058" s="59">
        <v>14</v>
      </c>
      <c r="C10058" s="59">
        <v>310</v>
      </c>
      <c r="D10058" s="51">
        <v>10</v>
      </c>
      <c r="E10058" s="51">
        <f t="shared" si="157"/>
        <v>1</v>
      </c>
    </row>
    <row r="10059" spans="1:5">
      <c r="A10059" s="59">
        <v>21</v>
      </c>
      <c r="B10059" s="59">
        <v>14</v>
      </c>
      <c r="C10059" s="59">
        <v>750</v>
      </c>
      <c r="D10059" s="51">
        <v>10</v>
      </c>
      <c r="E10059" s="51">
        <f t="shared" si="157"/>
        <v>1</v>
      </c>
    </row>
    <row r="10060" spans="1:5">
      <c r="A10060" s="59">
        <v>21</v>
      </c>
      <c r="B10060" s="59">
        <v>14</v>
      </c>
      <c r="C10060" s="59">
        <v>970</v>
      </c>
      <c r="D10060" s="51">
        <v>10</v>
      </c>
      <c r="E10060" s="51">
        <f t="shared" si="157"/>
        <v>1</v>
      </c>
    </row>
    <row r="10061" spans="1:5">
      <c r="A10061" s="59">
        <v>21</v>
      </c>
      <c r="B10061" s="59">
        <v>16</v>
      </c>
      <c r="C10061" s="59">
        <v>920</v>
      </c>
      <c r="D10061" s="51">
        <v>10</v>
      </c>
      <c r="E10061" s="51">
        <f t="shared" si="157"/>
        <v>1</v>
      </c>
    </row>
    <row r="10062" spans="1:5">
      <c r="A10062" s="59">
        <v>21</v>
      </c>
      <c r="B10062" s="59">
        <v>62</v>
      </c>
      <c r="C10062" s="59">
        <v>950</v>
      </c>
      <c r="D10062" s="51">
        <v>10</v>
      </c>
      <c r="E10062" s="51">
        <f t="shared" si="157"/>
        <v>1</v>
      </c>
    </row>
    <row r="10063" spans="1:5">
      <c r="A10063" s="59">
        <v>21</v>
      </c>
      <c r="B10063" s="59">
        <v>64</v>
      </c>
      <c r="C10063" s="59">
        <v>970</v>
      </c>
      <c r="D10063" s="51">
        <v>10</v>
      </c>
      <c r="E10063" s="51">
        <f t="shared" si="157"/>
        <v>1</v>
      </c>
    </row>
    <row r="10064" spans="1:5">
      <c r="A10064" s="59">
        <v>21</v>
      </c>
      <c r="B10064" s="59">
        <v>15</v>
      </c>
      <c r="C10064" s="59">
        <v>150</v>
      </c>
      <c r="D10064" s="51">
        <v>9</v>
      </c>
      <c r="E10064" s="51">
        <f t="shared" si="157"/>
        <v>1</v>
      </c>
    </row>
    <row r="10065" spans="1:5">
      <c r="A10065" s="59">
        <v>21</v>
      </c>
      <c r="B10065" s="59">
        <v>44</v>
      </c>
      <c r="C10065" s="59">
        <v>970</v>
      </c>
      <c r="D10065" s="51">
        <v>9</v>
      </c>
      <c r="E10065" s="51">
        <f t="shared" si="157"/>
        <v>1</v>
      </c>
    </row>
    <row r="10066" spans="1:5">
      <c r="A10066" s="59">
        <v>21</v>
      </c>
      <c r="B10066" s="59">
        <v>81</v>
      </c>
      <c r="C10066" s="59">
        <v>610</v>
      </c>
      <c r="D10066" s="51">
        <v>9</v>
      </c>
      <c r="E10066" s="51">
        <f t="shared" si="157"/>
        <v>1</v>
      </c>
    </row>
    <row r="10067" spans="1:5">
      <c r="A10067" s="59">
        <v>21</v>
      </c>
      <c r="B10067" s="59">
        <v>15</v>
      </c>
      <c r="C10067" s="59">
        <v>530</v>
      </c>
      <c r="D10067" s="51">
        <v>8</v>
      </c>
      <c r="E10067" s="51">
        <f t="shared" si="157"/>
        <v>1</v>
      </c>
    </row>
    <row r="10068" spans="1:5">
      <c r="A10068" s="59">
        <v>21</v>
      </c>
      <c r="B10068" s="59">
        <v>15</v>
      </c>
      <c r="C10068" s="59">
        <v>920</v>
      </c>
      <c r="D10068" s="51">
        <v>8</v>
      </c>
      <c r="E10068" s="51">
        <f t="shared" si="157"/>
        <v>1</v>
      </c>
    </row>
    <row r="10069" spans="1:5">
      <c r="A10069" s="59">
        <v>21</v>
      </c>
      <c r="B10069" s="59">
        <v>33</v>
      </c>
      <c r="C10069" s="59">
        <v>430</v>
      </c>
      <c r="D10069" s="51">
        <v>8</v>
      </c>
      <c r="E10069" s="51">
        <f t="shared" si="157"/>
        <v>1</v>
      </c>
    </row>
    <row r="10070" spans="1:5">
      <c r="A10070" s="59">
        <v>21</v>
      </c>
      <c r="B10070" s="59">
        <v>33</v>
      </c>
      <c r="C10070" s="59">
        <v>920</v>
      </c>
      <c r="D10070" s="51">
        <v>8</v>
      </c>
      <c r="E10070" s="51">
        <f t="shared" si="157"/>
        <v>1</v>
      </c>
    </row>
    <row r="10071" spans="1:5">
      <c r="A10071" s="59">
        <v>21</v>
      </c>
      <c r="B10071" s="59">
        <v>33</v>
      </c>
      <c r="C10071" s="59">
        <v>970</v>
      </c>
      <c r="D10071" s="51">
        <v>8</v>
      </c>
      <c r="E10071" s="51">
        <f t="shared" si="157"/>
        <v>1</v>
      </c>
    </row>
    <row r="10072" spans="1:5">
      <c r="A10072" s="59">
        <v>21</v>
      </c>
      <c r="B10072" s="59">
        <v>62</v>
      </c>
      <c r="C10072" s="59">
        <v>110</v>
      </c>
      <c r="D10072" s="51">
        <v>8</v>
      </c>
      <c r="E10072" s="51">
        <f t="shared" si="157"/>
        <v>1</v>
      </c>
    </row>
    <row r="10073" spans="1:5">
      <c r="A10073" s="59">
        <v>21</v>
      </c>
      <c r="B10073" s="59">
        <v>62</v>
      </c>
      <c r="C10073" s="59">
        <v>710</v>
      </c>
      <c r="D10073" s="51">
        <v>8</v>
      </c>
      <c r="E10073" s="51">
        <f t="shared" si="157"/>
        <v>1</v>
      </c>
    </row>
    <row r="10074" spans="1:5">
      <c r="A10074" s="59">
        <v>21</v>
      </c>
      <c r="B10074" s="59">
        <v>62</v>
      </c>
      <c r="C10074" s="59">
        <v>730</v>
      </c>
      <c r="D10074" s="51">
        <v>8</v>
      </c>
      <c r="E10074" s="51">
        <f t="shared" si="157"/>
        <v>1</v>
      </c>
    </row>
    <row r="10075" spans="1:5">
      <c r="A10075" s="59">
        <v>21</v>
      </c>
      <c r="B10075" s="59">
        <v>64</v>
      </c>
      <c r="C10075" s="59">
        <v>240</v>
      </c>
      <c r="D10075" s="51">
        <v>8</v>
      </c>
      <c r="E10075" s="51">
        <f t="shared" si="157"/>
        <v>1</v>
      </c>
    </row>
    <row r="10076" spans="1:5">
      <c r="A10076" s="59">
        <v>21</v>
      </c>
      <c r="B10076" s="59">
        <v>81</v>
      </c>
      <c r="C10076" s="59">
        <v>160</v>
      </c>
      <c r="D10076" s="51">
        <v>8</v>
      </c>
      <c r="E10076" s="51">
        <f t="shared" si="157"/>
        <v>1</v>
      </c>
    </row>
    <row r="10077" spans="1:5">
      <c r="A10077" s="59">
        <v>21</v>
      </c>
      <c r="B10077" s="59">
        <v>81</v>
      </c>
      <c r="C10077" s="59">
        <v>990</v>
      </c>
      <c r="D10077" s="51">
        <v>8</v>
      </c>
      <c r="E10077" s="51">
        <f t="shared" si="157"/>
        <v>1</v>
      </c>
    </row>
    <row r="10078" spans="1:5">
      <c r="A10078" s="59">
        <v>21</v>
      </c>
      <c r="B10078" s="59">
        <v>13</v>
      </c>
      <c r="C10078" s="59">
        <v>330</v>
      </c>
      <c r="D10078" s="51">
        <v>7</v>
      </c>
      <c r="E10078" s="51">
        <f t="shared" si="157"/>
        <v>1</v>
      </c>
    </row>
    <row r="10079" spans="1:5">
      <c r="A10079" s="59">
        <v>21</v>
      </c>
      <c r="B10079" s="59">
        <v>14</v>
      </c>
      <c r="C10079" s="59">
        <v>240</v>
      </c>
      <c r="D10079" s="51">
        <v>7</v>
      </c>
      <c r="E10079" s="51">
        <f t="shared" si="157"/>
        <v>1</v>
      </c>
    </row>
    <row r="10080" spans="1:5">
      <c r="A10080" s="59">
        <v>21</v>
      </c>
      <c r="B10080" s="59">
        <v>15</v>
      </c>
      <c r="C10080" s="59">
        <v>110</v>
      </c>
      <c r="D10080" s="51">
        <v>7</v>
      </c>
      <c r="E10080" s="51">
        <f t="shared" si="157"/>
        <v>1</v>
      </c>
    </row>
    <row r="10081" spans="1:5">
      <c r="A10081" s="59">
        <v>21</v>
      </c>
      <c r="B10081" s="59">
        <v>15</v>
      </c>
      <c r="C10081" s="59">
        <v>140</v>
      </c>
      <c r="D10081" s="51">
        <v>7</v>
      </c>
      <c r="E10081" s="51">
        <f t="shared" si="157"/>
        <v>1</v>
      </c>
    </row>
    <row r="10082" spans="1:5">
      <c r="A10082" s="59">
        <v>21</v>
      </c>
      <c r="B10082" s="59">
        <v>22</v>
      </c>
      <c r="C10082" s="59">
        <v>160</v>
      </c>
      <c r="D10082" s="51">
        <v>7</v>
      </c>
      <c r="E10082" s="51">
        <f t="shared" si="157"/>
        <v>1</v>
      </c>
    </row>
    <row r="10083" spans="1:5">
      <c r="A10083" s="59">
        <v>21</v>
      </c>
      <c r="B10083" s="59">
        <v>22</v>
      </c>
      <c r="C10083" s="59">
        <v>220</v>
      </c>
      <c r="D10083" s="51">
        <v>7</v>
      </c>
      <c r="E10083" s="51">
        <f t="shared" si="157"/>
        <v>1</v>
      </c>
    </row>
    <row r="10084" spans="1:5">
      <c r="A10084" s="59">
        <v>21</v>
      </c>
      <c r="B10084" s="59">
        <v>22</v>
      </c>
      <c r="C10084" s="59">
        <v>330</v>
      </c>
      <c r="D10084" s="51">
        <v>7</v>
      </c>
      <c r="E10084" s="51">
        <f t="shared" si="157"/>
        <v>1</v>
      </c>
    </row>
    <row r="10085" spans="1:5">
      <c r="A10085" s="59">
        <v>21</v>
      </c>
      <c r="B10085" s="59">
        <v>43</v>
      </c>
      <c r="C10085" s="59">
        <v>210</v>
      </c>
      <c r="D10085" s="51">
        <v>7</v>
      </c>
      <c r="E10085" s="51">
        <f t="shared" si="157"/>
        <v>1</v>
      </c>
    </row>
    <row r="10086" spans="1:5">
      <c r="A10086" s="59">
        <v>21</v>
      </c>
      <c r="B10086" s="59">
        <v>13</v>
      </c>
      <c r="C10086" s="59">
        <v>320</v>
      </c>
      <c r="D10086" s="51">
        <v>6</v>
      </c>
      <c r="E10086" s="51">
        <f t="shared" si="157"/>
        <v>1</v>
      </c>
    </row>
    <row r="10087" spans="1:5">
      <c r="A10087" s="59">
        <v>21</v>
      </c>
      <c r="B10087" s="59">
        <v>13</v>
      </c>
      <c r="C10087" s="59">
        <v>750</v>
      </c>
      <c r="D10087" s="51">
        <v>6</v>
      </c>
      <c r="E10087" s="51">
        <f t="shared" si="157"/>
        <v>1</v>
      </c>
    </row>
    <row r="10088" spans="1:5">
      <c r="A10088" s="59">
        <v>21</v>
      </c>
      <c r="B10088" s="59">
        <v>14</v>
      </c>
      <c r="C10088" s="59">
        <v>140</v>
      </c>
      <c r="D10088" s="51">
        <v>6</v>
      </c>
      <c r="E10088" s="51">
        <f t="shared" si="157"/>
        <v>1</v>
      </c>
    </row>
    <row r="10089" spans="1:5">
      <c r="A10089" s="59">
        <v>21</v>
      </c>
      <c r="B10089" s="59">
        <v>14</v>
      </c>
      <c r="C10089" s="59">
        <v>210</v>
      </c>
      <c r="D10089" s="51">
        <v>6</v>
      </c>
      <c r="E10089" s="51">
        <f t="shared" si="157"/>
        <v>1</v>
      </c>
    </row>
    <row r="10090" spans="1:5">
      <c r="A10090" s="59">
        <v>21</v>
      </c>
      <c r="B10090" s="59">
        <v>14</v>
      </c>
      <c r="C10090" s="59">
        <v>610</v>
      </c>
      <c r="D10090" s="51">
        <v>6</v>
      </c>
      <c r="E10090" s="51">
        <f t="shared" si="157"/>
        <v>1</v>
      </c>
    </row>
    <row r="10091" spans="1:5">
      <c r="A10091" s="59">
        <v>21</v>
      </c>
      <c r="B10091" s="59">
        <v>14</v>
      </c>
      <c r="C10091" s="59">
        <v>720</v>
      </c>
      <c r="D10091" s="51">
        <v>6</v>
      </c>
      <c r="E10091" s="51">
        <f t="shared" si="157"/>
        <v>1</v>
      </c>
    </row>
    <row r="10092" spans="1:5">
      <c r="A10092" s="59">
        <v>21</v>
      </c>
      <c r="B10092" s="59">
        <v>22</v>
      </c>
      <c r="C10092" s="59">
        <v>110</v>
      </c>
      <c r="D10092" s="51">
        <v>6</v>
      </c>
      <c r="E10092" s="51">
        <f t="shared" si="157"/>
        <v>1</v>
      </c>
    </row>
    <row r="10093" spans="1:5">
      <c r="A10093" s="59">
        <v>21</v>
      </c>
      <c r="B10093" s="59">
        <v>32</v>
      </c>
      <c r="C10093" s="59">
        <v>970</v>
      </c>
      <c r="D10093" s="51">
        <v>6</v>
      </c>
      <c r="E10093" s="51">
        <f t="shared" si="157"/>
        <v>1</v>
      </c>
    </row>
    <row r="10094" spans="1:5">
      <c r="A10094" s="59">
        <v>21</v>
      </c>
      <c r="B10094" s="59">
        <v>42</v>
      </c>
      <c r="C10094" s="59">
        <v>940</v>
      </c>
      <c r="D10094" s="51">
        <v>6</v>
      </c>
      <c r="E10094" s="51">
        <f t="shared" si="157"/>
        <v>1</v>
      </c>
    </row>
    <row r="10095" spans="1:5">
      <c r="A10095" s="59">
        <v>21</v>
      </c>
      <c r="B10095" s="59">
        <v>43</v>
      </c>
      <c r="C10095" s="59">
        <v>230</v>
      </c>
      <c r="D10095" s="51">
        <v>6</v>
      </c>
      <c r="E10095" s="51">
        <f t="shared" si="157"/>
        <v>1</v>
      </c>
    </row>
    <row r="10096" spans="1:5">
      <c r="A10096" s="59">
        <v>21</v>
      </c>
      <c r="B10096" s="59">
        <v>44</v>
      </c>
      <c r="C10096" s="59">
        <v>220</v>
      </c>
      <c r="D10096" s="51">
        <v>6</v>
      </c>
      <c r="E10096" s="51">
        <f t="shared" si="157"/>
        <v>1</v>
      </c>
    </row>
    <row r="10097" spans="1:5">
      <c r="A10097" s="59">
        <v>21</v>
      </c>
      <c r="B10097" s="59">
        <v>44</v>
      </c>
      <c r="C10097" s="59">
        <v>520</v>
      </c>
      <c r="D10097" s="51">
        <v>6</v>
      </c>
      <c r="E10097" s="51">
        <f t="shared" si="157"/>
        <v>1</v>
      </c>
    </row>
    <row r="10098" spans="1:5">
      <c r="A10098" s="59">
        <v>21</v>
      </c>
      <c r="B10098" s="59">
        <v>62</v>
      </c>
      <c r="C10098" s="59">
        <v>940</v>
      </c>
      <c r="D10098" s="51">
        <v>6</v>
      </c>
      <c r="E10098" s="51">
        <f t="shared" si="157"/>
        <v>1</v>
      </c>
    </row>
    <row r="10099" spans="1:5">
      <c r="A10099" s="59">
        <v>21</v>
      </c>
      <c r="B10099" s="59">
        <v>71</v>
      </c>
      <c r="C10099" s="59">
        <v>730</v>
      </c>
      <c r="D10099" s="51">
        <v>6</v>
      </c>
      <c r="E10099" s="51">
        <f t="shared" si="157"/>
        <v>1</v>
      </c>
    </row>
    <row r="10100" spans="1:5">
      <c r="A10100" s="59">
        <v>21</v>
      </c>
      <c r="B10100" s="59">
        <v>13</v>
      </c>
      <c r="C10100" s="59">
        <v>130</v>
      </c>
      <c r="D10100" s="51">
        <v>5</v>
      </c>
      <c r="E10100" s="51">
        <f t="shared" si="157"/>
        <v>1</v>
      </c>
    </row>
    <row r="10101" spans="1:5">
      <c r="A10101" s="59">
        <v>21</v>
      </c>
      <c r="B10101" s="59">
        <v>15</v>
      </c>
      <c r="C10101" s="59">
        <v>930</v>
      </c>
      <c r="D10101" s="51">
        <v>5</v>
      </c>
      <c r="E10101" s="51">
        <f t="shared" si="157"/>
        <v>1</v>
      </c>
    </row>
    <row r="10102" spans="1:5">
      <c r="A10102" s="59">
        <v>21</v>
      </c>
      <c r="B10102" s="59">
        <v>16</v>
      </c>
      <c r="C10102" s="59">
        <v>160</v>
      </c>
      <c r="D10102" s="51">
        <v>5</v>
      </c>
      <c r="E10102" s="51">
        <f t="shared" si="157"/>
        <v>1</v>
      </c>
    </row>
    <row r="10103" spans="1:5">
      <c r="A10103" s="59">
        <v>21</v>
      </c>
      <c r="B10103" s="59">
        <v>22</v>
      </c>
      <c r="C10103" s="59">
        <v>230</v>
      </c>
      <c r="D10103" s="51">
        <v>5</v>
      </c>
      <c r="E10103" s="51">
        <f t="shared" si="157"/>
        <v>1</v>
      </c>
    </row>
    <row r="10104" spans="1:5">
      <c r="A10104" s="59">
        <v>21</v>
      </c>
      <c r="B10104" s="59">
        <v>24</v>
      </c>
      <c r="C10104" s="59">
        <v>910</v>
      </c>
      <c r="D10104" s="51">
        <v>5</v>
      </c>
      <c r="E10104" s="51">
        <f t="shared" si="157"/>
        <v>1</v>
      </c>
    </row>
    <row r="10105" spans="1:5">
      <c r="A10105" s="59">
        <v>21</v>
      </c>
      <c r="B10105" s="59">
        <v>41</v>
      </c>
      <c r="C10105" s="59">
        <v>520</v>
      </c>
      <c r="D10105" s="51">
        <v>5</v>
      </c>
      <c r="E10105" s="51">
        <f t="shared" si="157"/>
        <v>1</v>
      </c>
    </row>
    <row r="10106" spans="1:5">
      <c r="A10106" s="59">
        <v>21</v>
      </c>
      <c r="B10106" s="59">
        <v>42</v>
      </c>
      <c r="C10106" s="59">
        <v>520</v>
      </c>
      <c r="D10106" s="51">
        <v>5</v>
      </c>
      <c r="E10106" s="51">
        <f t="shared" si="157"/>
        <v>1</v>
      </c>
    </row>
    <row r="10107" spans="1:5">
      <c r="A10107" s="59">
        <v>21</v>
      </c>
      <c r="B10107" s="59">
        <v>42</v>
      </c>
      <c r="C10107" s="59">
        <v>720</v>
      </c>
      <c r="D10107" s="51">
        <v>5</v>
      </c>
      <c r="E10107" s="51">
        <f t="shared" si="157"/>
        <v>1</v>
      </c>
    </row>
    <row r="10108" spans="1:5">
      <c r="A10108" s="59">
        <v>21</v>
      </c>
      <c r="B10108" s="59">
        <v>42</v>
      </c>
      <c r="C10108" s="59">
        <v>970</v>
      </c>
      <c r="D10108" s="51">
        <v>5</v>
      </c>
      <c r="E10108" s="51">
        <f t="shared" si="157"/>
        <v>1</v>
      </c>
    </row>
    <row r="10109" spans="1:5">
      <c r="A10109" s="59">
        <v>21</v>
      </c>
      <c r="B10109" s="59">
        <v>43</v>
      </c>
      <c r="C10109" s="59">
        <v>840</v>
      </c>
      <c r="D10109" s="51">
        <v>5</v>
      </c>
      <c r="E10109" s="51">
        <f t="shared" si="157"/>
        <v>1</v>
      </c>
    </row>
    <row r="10110" spans="1:5">
      <c r="A10110" s="59">
        <v>21</v>
      </c>
      <c r="B10110" s="59">
        <v>44</v>
      </c>
      <c r="C10110" s="59">
        <v>950</v>
      </c>
      <c r="D10110" s="51">
        <v>5</v>
      </c>
      <c r="E10110" s="51">
        <f t="shared" si="157"/>
        <v>1</v>
      </c>
    </row>
    <row r="10111" spans="1:5">
      <c r="A10111" s="59">
        <v>21</v>
      </c>
      <c r="B10111" s="59">
        <v>63</v>
      </c>
      <c r="C10111" s="59">
        <v>150</v>
      </c>
      <c r="D10111" s="51">
        <v>5</v>
      </c>
      <c r="E10111" s="51">
        <f t="shared" si="157"/>
        <v>1</v>
      </c>
    </row>
    <row r="10112" spans="1:5">
      <c r="A10112" s="59">
        <v>21</v>
      </c>
      <c r="B10112" s="59">
        <v>64</v>
      </c>
      <c r="C10112" s="59">
        <v>861</v>
      </c>
      <c r="D10112" s="51">
        <v>5</v>
      </c>
      <c r="E10112" s="51">
        <f t="shared" si="157"/>
        <v>1</v>
      </c>
    </row>
    <row r="10113" spans="1:5">
      <c r="A10113" s="59">
        <v>21</v>
      </c>
      <c r="B10113" s="59">
        <v>81</v>
      </c>
      <c r="C10113" s="59">
        <v>110</v>
      </c>
      <c r="D10113" s="51">
        <v>5</v>
      </c>
      <c r="E10113" s="51">
        <f t="shared" si="157"/>
        <v>1</v>
      </c>
    </row>
    <row r="10114" spans="1:5">
      <c r="A10114" s="59">
        <v>21</v>
      </c>
      <c r="B10114" s="59">
        <v>81</v>
      </c>
      <c r="C10114" s="59">
        <v>520</v>
      </c>
      <c r="D10114" s="51">
        <v>5</v>
      </c>
      <c r="E10114" s="51">
        <f t="shared" ref="E10114:E10177" si="158">IF(OR(A10114=6,A10114=7,A10114=14,A10114=15,A10114=16,A10114=17,A10114=18,A10114=19,A10114=20,A10114=21,A10114=22,A10114=23,A10114=25,A10114=26,A10114=27,A10114=28,B10114=41,B10114=44,B10114=62),1,0)</f>
        <v>1</v>
      </c>
    </row>
    <row r="10115" spans="1:5">
      <c r="A10115" s="59">
        <v>21</v>
      </c>
      <c r="B10115" s="59">
        <v>15</v>
      </c>
      <c r="C10115" s="59">
        <v>310</v>
      </c>
      <c r="D10115" s="51">
        <v>4</v>
      </c>
      <c r="E10115" s="51">
        <f t="shared" si="158"/>
        <v>1</v>
      </c>
    </row>
    <row r="10116" spans="1:5">
      <c r="A10116" s="59">
        <v>21</v>
      </c>
      <c r="B10116" s="59">
        <v>15</v>
      </c>
      <c r="C10116" s="59">
        <v>970</v>
      </c>
      <c r="D10116" s="51">
        <v>4</v>
      </c>
      <c r="E10116" s="51">
        <f t="shared" si="158"/>
        <v>1</v>
      </c>
    </row>
    <row r="10117" spans="1:5">
      <c r="A10117" s="59">
        <v>21</v>
      </c>
      <c r="B10117" s="59">
        <v>16</v>
      </c>
      <c r="C10117" s="59">
        <v>610</v>
      </c>
      <c r="D10117" s="51">
        <v>4</v>
      </c>
      <c r="E10117" s="51">
        <f t="shared" si="158"/>
        <v>1</v>
      </c>
    </row>
    <row r="10118" spans="1:5">
      <c r="A10118" s="59">
        <v>21</v>
      </c>
      <c r="B10118" s="59">
        <v>16</v>
      </c>
      <c r="C10118" s="59">
        <v>930</v>
      </c>
      <c r="D10118" s="51">
        <v>4</v>
      </c>
      <c r="E10118" s="51">
        <f t="shared" si="158"/>
        <v>1</v>
      </c>
    </row>
    <row r="10119" spans="1:5">
      <c r="A10119" s="59">
        <v>21</v>
      </c>
      <c r="B10119" s="59">
        <v>22</v>
      </c>
      <c r="C10119" s="59">
        <v>210</v>
      </c>
      <c r="D10119" s="51">
        <v>4</v>
      </c>
      <c r="E10119" s="51">
        <f t="shared" si="158"/>
        <v>1</v>
      </c>
    </row>
    <row r="10120" spans="1:5">
      <c r="A10120" s="59">
        <v>21</v>
      </c>
      <c r="B10120" s="59">
        <v>32</v>
      </c>
      <c r="C10120" s="59">
        <v>520</v>
      </c>
      <c r="D10120" s="51">
        <v>4</v>
      </c>
      <c r="E10120" s="51">
        <f t="shared" si="158"/>
        <v>1</v>
      </c>
    </row>
    <row r="10121" spans="1:5">
      <c r="A10121" s="59">
        <v>21</v>
      </c>
      <c r="B10121" s="59">
        <v>33</v>
      </c>
      <c r="C10121" s="59">
        <v>990</v>
      </c>
      <c r="D10121" s="51">
        <v>4</v>
      </c>
      <c r="E10121" s="51">
        <f t="shared" si="158"/>
        <v>1</v>
      </c>
    </row>
    <row r="10122" spans="1:5">
      <c r="A10122" s="59">
        <v>21</v>
      </c>
      <c r="B10122" s="59">
        <v>41</v>
      </c>
      <c r="C10122" s="59">
        <v>620</v>
      </c>
      <c r="D10122" s="51">
        <v>4</v>
      </c>
      <c r="E10122" s="51">
        <f t="shared" si="158"/>
        <v>1</v>
      </c>
    </row>
    <row r="10123" spans="1:5">
      <c r="A10123" s="59">
        <v>21</v>
      </c>
      <c r="B10123" s="59">
        <v>41</v>
      </c>
      <c r="C10123" s="59">
        <v>960</v>
      </c>
      <c r="D10123" s="51">
        <v>4</v>
      </c>
      <c r="E10123" s="51">
        <f t="shared" si="158"/>
        <v>1</v>
      </c>
    </row>
    <row r="10124" spans="1:5">
      <c r="A10124" s="59">
        <v>21</v>
      </c>
      <c r="B10124" s="59">
        <v>44</v>
      </c>
      <c r="C10124" s="59">
        <v>310</v>
      </c>
      <c r="D10124" s="51">
        <v>4</v>
      </c>
      <c r="E10124" s="51">
        <f t="shared" si="158"/>
        <v>1</v>
      </c>
    </row>
    <row r="10125" spans="1:5">
      <c r="A10125" s="59">
        <v>21</v>
      </c>
      <c r="B10125" s="59">
        <v>62</v>
      </c>
      <c r="C10125" s="59">
        <v>150</v>
      </c>
      <c r="D10125" s="51">
        <v>4</v>
      </c>
      <c r="E10125" s="51">
        <f t="shared" si="158"/>
        <v>1</v>
      </c>
    </row>
    <row r="10126" spans="1:5">
      <c r="A10126" s="59">
        <v>21</v>
      </c>
      <c r="B10126" s="59">
        <v>62</v>
      </c>
      <c r="C10126" s="59">
        <v>970</v>
      </c>
      <c r="D10126" s="51">
        <v>4</v>
      </c>
      <c r="E10126" s="51">
        <f t="shared" si="158"/>
        <v>1</v>
      </c>
    </row>
    <row r="10127" spans="1:5">
      <c r="A10127" s="59">
        <v>21</v>
      </c>
      <c r="B10127" s="59">
        <v>64</v>
      </c>
      <c r="C10127" s="59">
        <v>210</v>
      </c>
      <c r="D10127" s="51">
        <v>4</v>
      </c>
      <c r="E10127" s="51">
        <f t="shared" si="158"/>
        <v>1</v>
      </c>
    </row>
    <row r="10128" spans="1:5">
      <c r="A10128" s="59">
        <v>21</v>
      </c>
      <c r="B10128" s="59">
        <v>64</v>
      </c>
      <c r="C10128" s="59">
        <v>420</v>
      </c>
      <c r="D10128" s="51">
        <v>4</v>
      </c>
      <c r="E10128" s="51">
        <f t="shared" si="158"/>
        <v>1</v>
      </c>
    </row>
    <row r="10129" spans="1:5">
      <c r="A10129" s="59">
        <v>21</v>
      </c>
      <c r="B10129" s="59">
        <v>64</v>
      </c>
      <c r="C10129" s="59">
        <v>540</v>
      </c>
      <c r="D10129" s="51">
        <v>4</v>
      </c>
      <c r="E10129" s="51">
        <f t="shared" si="158"/>
        <v>1</v>
      </c>
    </row>
    <row r="10130" spans="1:5">
      <c r="A10130" s="59">
        <v>21</v>
      </c>
      <c r="B10130" s="59">
        <v>71</v>
      </c>
      <c r="C10130" s="59">
        <v>930</v>
      </c>
      <c r="D10130" s="51">
        <v>4</v>
      </c>
      <c r="E10130" s="51">
        <f t="shared" si="158"/>
        <v>1</v>
      </c>
    </row>
    <row r="10131" spans="1:5">
      <c r="A10131" s="59">
        <v>21</v>
      </c>
      <c r="B10131" s="59">
        <v>13</v>
      </c>
      <c r="C10131" s="59">
        <v>610</v>
      </c>
      <c r="D10131" s="51">
        <v>3</v>
      </c>
      <c r="E10131" s="51">
        <f t="shared" si="158"/>
        <v>1</v>
      </c>
    </row>
    <row r="10132" spans="1:5">
      <c r="A10132" s="59">
        <v>21</v>
      </c>
      <c r="B10132" s="59">
        <v>13</v>
      </c>
      <c r="C10132" s="59">
        <v>620</v>
      </c>
      <c r="D10132" s="51">
        <v>3</v>
      </c>
      <c r="E10132" s="51">
        <f t="shared" si="158"/>
        <v>1</v>
      </c>
    </row>
    <row r="10133" spans="1:5">
      <c r="A10133" s="59">
        <v>21</v>
      </c>
      <c r="B10133" s="59">
        <v>13</v>
      </c>
      <c r="C10133" s="59">
        <v>950</v>
      </c>
      <c r="D10133" s="51">
        <v>3</v>
      </c>
      <c r="E10133" s="51">
        <f t="shared" si="158"/>
        <v>1</v>
      </c>
    </row>
    <row r="10134" spans="1:5">
      <c r="A10134" s="59">
        <v>21</v>
      </c>
      <c r="B10134" s="59">
        <v>14</v>
      </c>
      <c r="C10134" s="59">
        <v>220</v>
      </c>
      <c r="D10134" s="51">
        <v>3</v>
      </c>
      <c r="E10134" s="51">
        <f t="shared" si="158"/>
        <v>1</v>
      </c>
    </row>
    <row r="10135" spans="1:5">
      <c r="A10135" s="59">
        <v>21</v>
      </c>
      <c r="B10135" s="59">
        <v>14</v>
      </c>
      <c r="C10135" s="59">
        <v>960</v>
      </c>
      <c r="D10135" s="51">
        <v>3</v>
      </c>
      <c r="E10135" s="51">
        <f t="shared" si="158"/>
        <v>1</v>
      </c>
    </row>
    <row r="10136" spans="1:5">
      <c r="A10136" s="59">
        <v>21</v>
      </c>
      <c r="B10136" s="59">
        <v>15</v>
      </c>
      <c r="C10136" s="59">
        <v>130</v>
      </c>
      <c r="D10136" s="51">
        <v>3</v>
      </c>
      <c r="E10136" s="51">
        <f t="shared" si="158"/>
        <v>1</v>
      </c>
    </row>
    <row r="10137" spans="1:5">
      <c r="A10137" s="59">
        <v>21</v>
      </c>
      <c r="B10137" s="59">
        <v>16</v>
      </c>
      <c r="C10137" s="59">
        <v>230</v>
      </c>
      <c r="D10137" s="51">
        <v>3</v>
      </c>
      <c r="E10137" s="51">
        <f t="shared" si="158"/>
        <v>1</v>
      </c>
    </row>
    <row r="10138" spans="1:5">
      <c r="A10138" s="59">
        <v>21</v>
      </c>
      <c r="B10138" s="59">
        <v>21</v>
      </c>
      <c r="C10138" s="59">
        <v>910</v>
      </c>
      <c r="D10138" s="51">
        <v>3</v>
      </c>
      <c r="E10138" s="51">
        <f t="shared" si="158"/>
        <v>1</v>
      </c>
    </row>
    <row r="10139" spans="1:5">
      <c r="A10139" s="59">
        <v>21</v>
      </c>
      <c r="B10139" s="59">
        <v>22</v>
      </c>
      <c r="C10139" s="59">
        <v>240</v>
      </c>
      <c r="D10139" s="51">
        <v>3</v>
      </c>
      <c r="E10139" s="51">
        <f t="shared" si="158"/>
        <v>1</v>
      </c>
    </row>
    <row r="10140" spans="1:5">
      <c r="A10140" s="59">
        <v>21</v>
      </c>
      <c r="B10140" s="59">
        <v>22</v>
      </c>
      <c r="C10140" s="59">
        <v>510</v>
      </c>
      <c r="D10140" s="51">
        <v>3</v>
      </c>
      <c r="E10140" s="51">
        <f t="shared" si="158"/>
        <v>1</v>
      </c>
    </row>
    <row r="10141" spans="1:5">
      <c r="A10141" s="59">
        <v>21</v>
      </c>
      <c r="B10141" s="59">
        <v>32</v>
      </c>
      <c r="C10141" s="59">
        <v>720</v>
      </c>
      <c r="D10141" s="51">
        <v>3</v>
      </c>
      <c r="E10141" s="51">
        <f t="shared" si="158"/>
        <v>1</v>
      </c>
    </row>
    <row r="10142" spans="1:5">
      <c r="A10142" s="59">
        <v>21</v>
      </c>
      <c r="B10142" s="59">
        <v>32</v>
      </c>
      <c r="C10142" s="59">
        <v>730</v>
      </c>
      <c r="D10142" s="51">
        <v>3</v>
      </c>
      <c r="E10142" s="51">
        <f t="shared" si="158"/>
        <v>1</v>
      </c>
    </row>
    <row r="10143" spans="1:5">
      <c r="A10143" s="59">
        <v>21</v>
      </c>
      <c r="B10143" s="59">
        <v>32</v>
      </c>
      <c r="C10143" s="59">
        <v>930</v>
      </c>
      <c r="D10143" s="51">
        <v>3</v>
      </c>
      <c r="E10143" s="51">
        <f t="shared" si="158"/>
        <v>1</v>
      </c>
    </row>
    <row r="10144" spans="1:5">
      <c r="A10144" s="59">
        <v>21</v>
      </c>
      <c r="B10144" s="59">
        <v>32</v>
      </c>
      <c r="C10144" s="59">
        <v>960</v>
      </c>
      <c r="D10144" s="51">
        <v>3</v>
      </c>
      <c r="E10144" s="51">
        <f t="shared" si="158"/>
        <v>1</v>
      </c>
    </row>
    <row r="10145" spans="1:5">
      <c r="A10145" s="59">
        <v>21</v>
      </c>
      <c r="B10145" s="59">
        <v>33</v>
      </c>
      <c r="C10145" s="59">
        <v>510</v>
      </c>
      <c r="D10145" s="51">
        <v>3</v>
      </c>
      <c r="E10145" s="51">
        <f t="shared" si="158"/>
        <v>1</v>
      </c>
    </row>
    <row r="10146" spans="1:5">
      <c r="A10146" s="59">
        <v>21</v>
      </c>
      <c r="B10146" s="59">
        <v>41</v>
      </c>
      <c r="C10146" s="59">
        <v>610</v>
      </c>
      <c r="D10146" s="51">
        <v>3</v>
      </c>
      <c r="E10146" s="51">
        <f t="shared" si="158"/>
        <v>1</v>
      </c>
    </row>
    <row r="10147" spans="1:5">
      <c r="A10147" s="59">
        <v>21</v>
      </c>
      <c r="B10147" s="59">
        <v>42</v>
      </c>
      <c r="C10147" s="59">
        <v>160</v>
      </c>
      <c r="D10147" s="51">
        <v>3</v>
      </c>
      <c r="E10147" s="51">
        <f t="shared" si="158"/>
        <v>1</v>
      </c>
    </row>
    <row r="10148" spans="1:5">
      <c r="A10148" s="59">
        <v>21</v>
      </c>
      <c r="B10148" s="59">
        <v>43</v>
      </c>
      <c r="C10148" s="59">
        <v>420</v>
      </c>
      <c r="D10148" s="51">
        <v>3</v>
      </c>
      <c r="E10148" s="51">
        <f t="shared" si="158"/>
        <v>1</v>
      </c>
    </row>
    <row r="10149" spans="1:5">
      <c r="A10149" s="59">
        <v>21</v>
      </c>
      <c r="B10149" s="59">
        <v>43</v>
      </c>
      <c r="C10149" s="59">
        <v>960</v>
      </c>
      <c r="D10149" s="51">
        <v>3</v>
      </c>
      <c r="E10149" s="51">
        <f t="shared" si="158"/>
        <v>1</v>
      </c>
    </row>
    <row r="10150" spans="1:5">
      <c r="A10150" s="59">
        <v>21</v>
      </c>
      <c r="B10150" s="59">
        <v>62</v>
      </c>
      <c r="C10150" s="59">
        <v>220</v>
      </c>
      <c r="D10150" s="51">
        <v>3</v>
      </c>
      <c r="E10150" s="51">
        <f t="shared" si="158"/>
        <v>1</v>
      </c>
    </row>
    <row r="10151" spans="1:5">
      <c r="A10151" s="59">
        <v>21</v>
      </c>
      <c r="B10151" s="59">
        <v>62</v>
      </c>
      <c r="C10151" s="59">
        <v>860</v>
      </c>
      <c r="D10151" s="51">
        <v>3</v>
      </c>
      <c r="E10151" s="51">
        <f t="shared" si="158"/>
        <v>1</v>
      </c>
    </row>
    <row r="10152" spans="1:5">
      <c r="A10152" s="59">
        <v>21</v>
      </c>
      <c r="B10152" s="59">
        <v>63</v>
      </c>
      <c r="C10152" s="59">
        <v>930</v>
      </c>
      <c r="D10152" s="51">
        <v>3</v>
      </c>
      <c r="E10152" s="51">
        <f t="shared" si="158"/>
        <v>1</v>
      </c>
    </row>
    <row r="10153" spans="1:5">
      <c r="A10153" s="59">
        <v>21</v>
      </c>
      <c r="B10153" s="59">
        <v>64</v>
      </c>
      <c r="C10153" s="59">
        <v>630</v>
      </c>
      <c r="D10153" s="51">
        <v>3</v>
      </c>
      <c r="E10153" s="51">
        <f t="shared" si="158"/>
        <v>1</v>
      </c>
    </row>
    <row r="10154" spans="1:5">
      <c r="A10154" s="59">
        <v>21</v>
      </c>
      <c r="B10154" s="59">
        <v>64</v>
      </c>
      <c r="C10154" s="59">
        <v>870</v>
      </c>
      <c r="D10154" s="51">
        <v>3</v>
      </c>
      <c r="E10154" s="51">
        <f t="shared" si="158"/>
        <v>1</v>
      </c>
    </row>
    <row r="10155" spans="1:5">
      <c r="A10155" s="59">
        <v>21</v>
      </c>
      <c r="B10155" s="59">
        <v>71</v>
      </c>
      <c r="C10155" s="59">
        <v>220</v>
      </c>
      <c r="D10155" s="51">
        <v>3</v>
      </c>
      <c r="E10155" s="51">
        <f t="shared" si="158"/>
        <v>1</v>
      </c>
    </row>
    <row r="10156" spans="1:5">
      <c r="A10156" s="59">
        <v>21</v>
      </c>
      <c r="B10156" s="59">
        <v>71</v>
      </c>
      <c r="C10156" s="59">
        <v>550</v>
      </c>
      <c r="D10156" s="51">
        <v>3</v>
      </c>
      <c r="E10156" s="51">
        <f t="shared" si="158"/>
        <v>1</v>
      </c>
    </row>
    <row r="10157" spans="1:5">
      <c r="A10157" s="59">
        <v>21</v>
      </c>
      <c r="B10157" s="59">
        <v>71</v>
      </c>
      <c r="C10157" s="59">
        <v>630</v>
      </c>
      <c r="D10157" s="51">
        <v>3</v>
      </c>
      <c r="E10157" s="51">
        <f t="shared" si="158"/>
        <v>1</v>
      </c>
    </row>
    <row r="10158" spans="1:5">
      <c r="A10158" s="59">
        <v>21</v>
      </c>
      <c r="B10158" s="59">
        <v>81</v>
      </c>
      <c r="C10158" s="59">
        <v>220</v>
      </c>
      <c r="D10158" s="51">
        <v>3</v>
      </c>
      <c r="E10158" s="51">
        <f t="shared" si="158"/>
        <v>1</v>
      </c>
    </row>
    <row r="10159" spans="1:5">
      <c r="A10159" s="59">
        <v>21</v>
      </c>
      <c r="B10159" s="59">
        <v>81</v>
      </c>
      <c r="C10159" s="59">
        <v>930</v>
      </c>
      <c r="D10159" s="51">
        <v>3</v>
      </c>
      <c r="E10159" s="51">
        <f t="shared" si="158"/>
        <v>1</v>
      </c>
    </row>
    <row r="10160" spans="1:5">
      <c r="A10160" s="59">
        <v>21</v>
      </c>
      <c r="B10160" s="59">
        <v>81</v>
      </c>
      <c r="C10160" s="59">
        <v>970</v>
      </c>
      <c r="D10160" s="51">
        <v>3</v>
      </c>
      <c r="E10160" s="51">
        <f t="shared" si="158"/>
        <v>1</v>
      </c>
    </row>
    <row r="10161" spans="1:5">
      <c r="A10161" s="59">
        <v>21</v>
      </c>
      <c r="B10161" s="59">
        <v>13</v>
      </c>
      <c r="C10161" s="59">
        <v>140</v>
      </c>
      <c r="D10161" s="51">
        <v>2</v>
      </c>
      <c r="E10161" s="51">
        <f t="shared" si="158"/>
        <v>1</v>
      </c>
    </row>
    <row r="10162" spans="1:5">
      <c r="A10162" s="59">
        <v>21</v>
      </c>
      <c r="B10162" s="59">
        <v>13</v>
      </c>
      <c r="C10162" s="59">
        <v>210</v>
      </c>
      <c r="D10162" s="51">
        <v>2</v>
      </c>
      <c r="E10162" s="51">
        <f t="shared" si="158"/>
        <v>1</v>
      </c>
    </row>
    <row r="10163" spans="1:5">
      <c r="A10163" s="59">
        <v>21</v>
      </c>
      <c r="B10163" s="59">
        <v>13</v>
      </c>
      <c r="C10163" s="59">
        <v>230</v>
      </c>
      <c r="D10163" s="51">
        <v>2</v>
      </c>
      <c r="E10163" s="51">
        <f t="shared" si="158"/>
        <v>1</v>
      </c>
    </row>
    <row r="10164" spans="1:5">
      <c r="A10164" s="59">
        <v>21</v>
      </c>
      <c r="B10164" s="59">
        <v>13</v>
      </c>
      <c r="C10164" s="59">
        <v>240</v>
      </c>
      <c r="D10164" s="51">
        <v>2</v>
      </c>
      <c r="E10164" s="51">
        <f t="shared" si="158"/>
        <v>1</v>
      </c>
    </row>
    <row r="10165" spans="1:5">
      <c r="A10165" s="59">
        <v>21</v>
      </c>
      <c r="B10165" s="59">
        <v>13</v>
      </c>
      <c r="C10165" s="59">
        <v>310</v>
      </c>
      <c r="D10165" s="51">
        <v>2</v>
      </c>
      <c r="E10165" s="51">
        <f t="shared" si="158"/>
        <v>1</v>
      </c>
    </row>
    <row r="10166" spans="1:5">
      <c r="A10166" s="59">
        <v>21</v>
      </c>
      <c r="B10166" s="59">
        <v>13</v>
      </c>
      <c r="C10166" s="59">
        <v>730</v>
      </c>
      <c r="D10166" s="51">
        <v>2</v>
      </c>
      <c r="E10166" s="51">
        <f t="shared" si="158"/>
        <v>1</v>
      </c>
    </row>
    <row r="10167" spans="1:5">
      <c r="A10167" s="59">
        <v>21</v>
      </c>
      <c r="B10167" s="59">
        <v>13</v>
      </c>
      <c r="C10167" s="59">
        <v>970</v>
      </c>
      <c r="D10167" s="51">
        <v>2</v>
      </c>
      <c r="E10167" s="51">
        <f t="shared" si="158"/>
        <v>1</v>
      </c>
    </row>
    <row r="10168" spans="1:5">
      <c r="A10168" s="59">
        <v>21</v>
      </c>
      <c r="B10168" s="59">
        <v>14</v>
      </c>
      <c r="C10168" s="59">
        <v>130</v>
      </c>
      <c r="D10168" s="51">
        <v>2</v>
      </c>
      <c r="E10168" s="51">
        <f t="shared" si="158"/>
        <v>1</v>
      </c>
    </row>
    <row r="10169" spans="1:5">
      <c r="A10169" s="59">
        <v>21</v>
      </c>
      <c r="B10169" s="59">
        <v>14</v>
      </c>
      <c r="C10169" s="59">
        <v>320</v>
      </c>
      <c r="D10169" s="51">
        <v>2</v>
      </c>
      <c r="E10169" s="51">
        <f t="shared" si="158"/>
        <v>1</v>
      </c>
    </row>
    <row r="10170" spans="1:5">
      <c r="A10170" s="59">
        <v>21</v>
      </c>
      <c r="B10170" s="59">
        <v>15</v>
      </c>
      <c r="C10170" s="59">
        <v>210</v>
      </c>
      <c r="D10170" s="51">
        <v>2</v>
      </c>
      <c r="E10170" s="51">
        <f t="shared" si="158"/>
        <v>1</v>
      </c>
    </row>
    <row r="10171" spans="1:5">
      <c r="A10171" s="59">
        <v>21</v>
      </c>
      <c r="B10171" s="59">
        <v>15</v>
      </c>
      <c r="C10171" s="59">
        <v>990</v>
      </c>
      <c r="D10171" s="51">
        <v>2</v>
      </c>
      <c r="E10171" s="51">
        <f t="shared" si="158"/>
        <v>1</v>
      </c>
    </row>
    <row r="10172" spans="1:5">
      <c r="A10172" s="59">
        <v>21</v>
      </c>
      <c r="B10172" s="59">
        <v>16</v>
      </c>
      <c r="C10172" s="59">
        <v>990</v>
      </c>
      <c r="D10172" s="51">
        <v>2</v>
      </c>
      <c r="E10172" s="51">
        <f t="shared" si="158"/>
        <v>1</v>
      </c>
    </row>
    <row r="10173" spans="1:5">
      <c r="A10173" s="59">
        <v>21</v>
      </c>
      <c r="B10173" s="59">
        <v>22</v>
      </c>
      <c r="C10173" s="59">
        <v>610</v>
      </c>
      <c r="D10173" s="51">
        <v>2</v>
      </c>
      <c r="E10173" s="51">
        <f t="shared" si="158"/>
        <v>1</v>
      </c>
    </row>
    <row r="10174" spans="1:5">
      <c r="A10174" s="59">
        <v>21</v>
      </c>
      <c r="B10174" s="59">
        <v>22</v>
      </c>
      <c r="C10174" s="59">
        <v>950</v>
      </c>
      <c r="D10174" s="51">
        <v>2</v>
      </c>
      <c r="E10174" s="51">
        <f t="shared" si="158"/>
        <v>1</v>
      </c>
    </row>
    <row r="10175" spans="1:5">
      <c r="A10175" s="59">
        <v>21</v>
      </c>
      <c r="B10175" s="59">
        <v>23</v>
      </c>
      <c r="C10175" s="59">
        <v>330</v>
      </c>
      <c r="D10175" s="51">
        <v>2</v>
      </c>
      <c r="E10175" s="51">
        <f t="shared" si="158"/>
        <v>1</v>
      </c>
    </row>
    <row r="10176" spans="1:5">
      <c r="A10176" s="59">
        <v>21</v>
      </c>
      <c r="B10176" s="59">
        <v>24</v>
      </c>
      <c r="C10176" s="59">
        <v>210</v>
      </c>
      <c r="D10176" s="51">
        <v>2</v>
      </c>
      <c r="E10176" s="51">
        <f t="shared" si="158"/>
        <v>1</v>
      </c>
    </row>
    <row r="10177" spans="1:5">
      <c r="A10177" s="59">
        <v>21</v>
      </c>
      <c r="B10177" s="59">
        <v>24</v>
      </c>
      <c r="C10177" s="59">
        <v>990</v>
      </c>
      <c r="D10177" s="51">
        <v>2</v>
      </c>
      <c r="E10177" s="51">
        <f t="shared" si="158"/>
        <v>1</v>
      </c>
    </row>
    <row r="10178" spans="1:5">
      <c r="A10178" s="59">
        <v>21</v>
      </c>
      <c r="B10178" s="59">
        <v>32</v>
      </c>
      <c r="C10178" s="59">
        <v>160</v>
      </c>
      <c r="D10178" s="51">
        <v>2</v>
      </c>
      <c r="E10178" s="51">
        <f t="shared" ref="E10178:E10241" si="159">IF(OR(A10178=6,A10178=7,A10178=14,A10178=15,A10178=16,A10178=17,A10178=18,A10178=19,A10178=20,A10178=21,A10178=22,A10178=23,A10178=25,A10178=26,A10178=27,A10178=28,B10178=41,B10178=44,B10178=62),1,0)</f>
        <v>1</v>
      </c>
    </row>
    <row r="10179" spans="1:5">
      <c r="A10179" s="59">
        <v>21</v>
      </c>
      <c r="B10179" s="59">
        <v>32</v>
      </c>
      <c r="C10179" s="59">
        <v>530</v>
      </c>
      <c r="D10179" s="51">
        <v>2</v>
      </c>
      <c r="E10179" s="51">
        <f t="shared" si="159"/>
        <v>1</v>
      </c>
    </row>
    <row r="10180" spans="1:5">
      <c r="A10180" s="59">
        <v>21</v>
      </c>
      <c r="B10180" s="59">
        <v>32</v>
      </c>
      <c r="C10180" s="59">
        <v>610</v>
      </c>
      <c r="D10180" s="51">
        <v>2</v>
      </c>
      <c r="E10180" s="51">
        <f t="shared" si="159"/>
        <v>1</v>
      </c>
    </row>
    <row r="10181" spans="1:5">
      <c r="A10181" s="59">
        <v>21</v>
      </c>
      <c r="B10181" s="59">
        <v>33</v>
      </c>
      <c r="C10181" s="59">
        <v>160</v>
      </c>
      <c r="D10181" s="51">
        <v>2</v>
      </c>
      <c r="E10181" s="51">
        <f t="shared" si="159"/>
        <v>1</v>
      </c>
    </row>
    <row r="10182" spans="1:5">
      <c r="A10182" s="59">
        <v>21</v>
      </c>
      <c r="B10182" s="59">
        <v>33</v>
      </c>
      <c r="C10182" s="59">
        <v>410</v>
      </c>
      <c r="D10182" s="51">
        <v>2</v>
      </c>
      <c r="E10182" s="51">
        <f t="shared" si="159"/>
        <v>1</v>
      </c>
    </row>
    <row r="10183" spans="1:5">
      <c r="A10183" s="59">
        <v>21</v>
      </c>
      <c r="B10183" s="59">
        <v>33</v>
      </c>
      <c r="C10183" s="59">
        <v>930</v>
      </c>
      <c r="D10183" s="51">
        <v>2</v>
      </c>
      <c r="E10183" s="51">
        <f t="shared" si="159"/>
        <v>1</v>
      </c>
    </row>
    <row r="10184" spans="1:5">
      <c r="A10184" s="59">
        <v>21</v>
      </c>
      <c r="B10184" s="59">
        <v>41</v>
      </c>
      <c r="C10184" s="59">
        <v>110</v>
      </c>
      <c r="D10184" s="51">
        <v>2</v>
      </c>
      <c r="E10184" s="51">
        <f t="shared" si="159"/>
        <v>1</v>
      </c>
    </row>
    <row r="10185" spans="1:5">
      <c r="A10185" s="59">
        <v>21</v>
      </c>
      <c r="B10185" s="59">
        <v>41</v>
      </c>
      <c r="C10185" s="59">
        <v>210</v>
      </c>
      <c r="D10185" s="51">
        <v>2</v>
      </c>
      <c r="E10185" s="51">
        <f t="shared" si="159"/>
        <v>1</v>
      </c>
    </row>
    <row r="10186" spans="1:5">
      <c r="A10186" s="59">
        <v>21</v>
      </c>
      <c r="B10186" s="59">
        <v>42</v>
      </c>
      <c r="C10186" s="59">
        <v>110</v>
      </c>
      <c r="D10186" s="51">
        <v>2</v>
      </c>
      <c r="E10186" s="51">
        <f t="shared" si="159"/>
        <v>1</v>
      </c>
    </row>
    <row r="10187" spans="1:5">
      <c r="A10187" s="59">
        <v>21</v>
      </c>
      <c r="B10187" s="59">
        <v>43</v>
      </c>
      <c r="C10187" s="59">
        <v>140</v>
      </c>
      <c r="D10187" s="51">
        <v>2</v>
      </c>
      <c r="E10187" s="51">
        <f t="shared" si="159"/>
        <v>1</v>
      </c>
    </row>
    <row r="10188" spans="1:5">
      <c r="A10188" s="59">
        <v>21</v>
      </c>
      <c r="B10188" s="59">
        <v>43</v>
      </c>
      <c r="C10188" s="59">
        <v>240</v>
      </c>
      <c r="D10188" s="51">
        <v>2</v>
      </c>
      <c r="E10188" s="51">
        <f t="shared" si="159"/>
        <v>1</v>
      </c>
    </row>
    <row r="10189" spans="1:5">
      <c r="A10189" s="59">
        <v>21</v>
      </c>
      <c r="B10189" s="59">
        <v>43</v>
      </c>
      <c r="C10189" s="59">
        <v>330</v>
      </c>
      <c r="D10189" s="51">
        <v>2</v>
      </c>
      <c r="E10189" s="51">
        <f t="shared" si="159"/>
        <v>1</v>
      </c>
    </row>
    <row r="10190" spans="1:5">
      <c r="A10190" s="59">
        <v>21</v>
      </c>
      <c r="B10190" s="59">
        <v>43</v>
      </c>
      <c r="C10190" s="59">
        <v>540</v>
      </c>
      <c r="D10190" s="51">
        <v>2</v>
      </c>
      <c r="E10190" s="51">
        <f t="shared" si="159"/>
        <v>1</v>
      </c>
    </row>
    <row r="10191" spans="1:5">
      <c r="A10191" s="59">
        <v>21</v>
      </c>
      <c r="B10191" s="59">
        <v>43</v>
      </c>
      <c r="C10191" s="59">
        <v>892</v>
      </c>
      <c r="D10191" s="51">
        <v>2</v>
      </c>
      <c r="E10191" s="51">
        <f t="shared" si="159"/>
        <v>1</v>
      </c>
    </row>
    <row r="10192" spans="1:5">
      <c r="A10192" s="59">
        <v>21</v>
      </c>
      <c r="B10192" s="59">
        <v>62</v>
      </c>
      <c r="C10192" s="59">
        <v>520</v>
      </c>
      <c r="D10192" s="51">
        <v>2</v>
      </c>
      <c r="E10192" s="51">
        <f t="shared" si="159"/>
        <v>1</v>
      </c>
    </row>
    <row r="10193" spans="1:5">
      <c r="A10193" s="59">
        <v>21</v>
      </c>
      <c r="B10193" s="59">
        <v>63</v>
      </c>
      <c r="C10193" s="59">
        <v>710</v>
      </c>
      <c r="D10193" s="51">
        <v>2</v>
      </c>
      <c r="E10193" s="51">
        <f t="shared" si="159"/>
        <v>1</v>
      </c>
    </row>
    <row r="10194" spans="1:5">
      <c r="A10194" s="59">
        <v>21</v>
      </c>
      <c r="B10194" s="59">
        <v>64</v>
      </c>
      <c r="C10194" s="59">
        <v>230</v>
      </c>
      <c r="D10194" s="51">
        <v>2</v>
      </c>
      <c r="E10194" s="51">
        <f t="shared" si="159"/>
        <v>1</v>
      </c>
    </row>
    <row r="10195" spans="1:5">
      <c r="A10195" s="59">
        <v>21</v>
      </c>
      <c r="B10195" s="59">
        <v>64</v>
      </c>
      <c r="C10195" s="59">
        <v>550</v>
      </c>
      <c r="D10195" s="51">
        <v>2</v>
      </c>
      <c r="E10195" s="51">
        <f t="shared" si="159"/>
        <v>1</v>
      </c>
    </row>
    <row r="10196" spans="1:5">
      <c r="A10196" s="59">
        <v>21</v>
      </c>
      <c r="B10196" s="59">
        <v>64</v>
      </c>
      <c r="C10196" s="59">
        <v>840</v>
      </c>
      <c r="D10196" s="51">
        <v>2</v>
      </c>
      <c r="E10196" s="51">
        <f t="shared" si="159"/>
        <v>1</v>
      </c>
    </row>
    <row r="10197" spans="1:5">
      <c r="A10197" s="59">
        <v>21</v>
      </c>
      <c r="B10197" s="59">
        <v>64</v>
      </c>
      <c r="C10197" s="59">
        <v>950</v>
      </c>
      <c r="D10197" s="51">
        <v>2</v>
      </c>
      <c r="E10197" s="51">
        <f t="shared" si="159"/>
        <v>1</v>
      </c>
    </row>
    <row r="10198" spans="1:5">
      <c r="A10198" s="59">
        <v>21</v>
      </c>
      <c r="B10198" s="59">
        <v>11</v>
      </c>
      <c r="C10198" s="59">
        <v>150</v>
      </c>
      <c r="D10198" s="51">
        <v>1</v>
      </c>
      <c r="E10198" s="51">
        <f t="shared" si="159"/>
        <v>1</v>
      </c>
    </row>
    <row r="10199" spans="1:5">
      <c r="A10199" s="59">
        <v>21</v>
      </c>
      <c r="B10199" s="59">
        <v>11</v>
      </c>
      <c r="C10199" s="59">
        <v>730</v>
      </c>
      <c r="D10199" s="51">
        <v>1</v>
      </c>
      <c r="E10199" s="51">
        <f t="shared" si="159"/>
        <v>1</v>
      </c>
    </row>
    <row r="10200" spans="1:5">
      <c r="A10200" s="59">
        <v>21</v>
      </c>
      <c r="B10200" s="59">
        <v>12</v>
      </c>
      <c r="C10200" s="59">
        <v>920</v>
      </c>
      <c r="D10200" s="51">
        <v>1</v>
      </c>
      <c r="E10200" s="51">
        <f t="shared" si="159"/>
        <v>1</v>
      </c>
    </row>
    <row r="10201" spans="1:5">
      <c r="A10201" s="59">
        <v>21</v>
      </c>
      <c r="B10201" s="59">
        <v>13</v>
      </c>
      <c r="C10201" s="59">
        <v>120</v>
      </c>
      <c r="D10201" s="51">
        <v>1</v>
      </c>
      <c r="E10201" s="51">
        <f t="shared" si="159"/>
        <v>1</v>
      </c>
    </row>
    <row r="10202" spans="1:5">
      <c r="A10202" s="59">
        <v>21</v>
      </c>
      <c r="B10202" s="59">
        <v>13</v>
      </c>
      <c r="C10202" s="59">
        <v>420</v>
      </c>
      <c r="D10202" s="51">
        <v>1</v>
      </c>
      <c r="E10202" s="51">
        <f t="shared" si="159"/>
        <v>1</v>
      </c>
    </row>
    <row r="10203" spans="1:5">
      <c r="A10203" s="59">
        <v>21</v>
      </c>
      <c r="B10203" s="59">
        <v>13</v>
      </c>
      <c r="C10203" s="59">
        <v>540</v>
      </c>
      <c r="D10203" s="51">
        <v>1</v>
      </c>
      <c r="E10203" s="51">
        <f t="shared" si="159"/>
        <v>1</v>
      </c>
    </row>
    <row r="10204" spans="1:5">
      <c r="A10204" s="59">
        <v>21</v>
      </c>
      <c r="B10204" s="59">
        <v>13</v>
      </c>
      <c r="C10204" s="59">
        <v>960</v>
      </c>
      <c r="D10204" s="51">
        <v>1</v>
      </c>
      <c r="E10204" s="51">
        <f t="shared" si="159"/>
        <v>1</v>
      </c>
    </row>
    <row r="10205" spans="1:5">
      <c r="A10205" s="59">
        <v>21</v>
      </c>
      <c r="B10205" s="59">
        <v>15</v>
      </c>
      <c r="C10205" s="59">
        <v>230</v>
      </c>
      <c r="D10205" s="51">
        <v>1</v>
      </c>
      <c r="E10205" s="51">
        <f t="shared" si="159"/>
        <v>1</v>
      </c>
    </row>
    <row r="10206" spans="1:5">
      <c r="A10206" s="59">
        <v>21</v>
      </c>
      <c r="B10206" s="59">
        <v>15</v>
      </c>
      <c r="C10206" s="59">
        <v>320</v>
      </c>
      <c r="D10206" s="51">
        <v>1</v>
      </c>
      <c r="E10206" s="51">
        <f t="shared" si="159"/>
        <v>1</v>
      </c>
    </row>
    <row r="10207" spans="1:5">
      <c r="A10207" s="59">
        <v>21</v>
      </c>
      <c r="B10207" s="59">
        <v>15</v>
      </c>
      <c r="C10207" s="59">
        <v>510</v>
      </c>
      <c r="D10207" s="51">
        <v>1</v>
      </c>
      <c r="E10207" s="51">
        <f t="shared" si="159"/>
        <v>1</v>
      </c>
    </row>
    <row r="10208" spans="1:5">
      <c r="A10208" s="59">
        <v>21</v>
      </c>
      <c r="B10208" s="59">
        <v>15</v>
      </c>
      <c r="C10208" s="59">
        <v>520</v>
      </c>
      <c r="D10208" s="51">
        <v>1</v>
      </c>
      <c r="E10208" s="51">
        <f t="shared" si="159"/>
        <v>1</v>
      </c>
    </row>
    <row r="10209" spans="1:5">
      <c r="A10209" s="59">
        <v>21</v>
      </c>
      <c r="B10209" s="59">
        <v>15</v>
      </c>
      <c r="C10209" s="59">
        <v>750</v>
      </c>
      <c r="D10209" s="51">
        <v>1</v>
      </c>
      <c r="E10209" s="51">
        <f t="shared" si="159"/>
        <v>1</v>
      </c>
    </row>
    <row r="10210" spans="1:5">
      <c r="A10210" s="59">
        <v>21</v>
      </c>
      <c r="B10210" s="59">
        <v>16</v>
      </c>
      <c r="C10210" s="59">
        <v>110</v>
      </c>
      <c r="D10210" s="51">
        <v>1</v>
      </c>
      <c r="E10210" s="51">
        <f t="shared" si="159"/>
        <v>1</v>
      </c>
    </row>
    <row r="10211" spans="1:5">
      <c r="A10211" s="59">
        <v>21</v>
      </c>
      <c r="B10211" s="59">
        <v>16</v>
      </c>
      <c r="C10211" s="59">
        <v>240</v>
      </c>
      <c r="D10211" s="51">
        <v>1</v>
      </c>
      <c r="E10211" s="51">
        <f t="shared" si="159"/>
        <v>1</v>
      </c>
    </row>
    <row r="10212" spans="1:5">
      <c r="A10212" s="59">
        <v>21</v>
      </c>
      <c r="B10212" s="59">
        <v>16</v>
      </c>
      <c r="C10212" s="59">
        <v>320</v>
      </c>
      <c r="D10212" s="51">
        <v>1</v>
      </c>
      <c r="E10212" s="51">
        <f t="shared" si="159"/>
        <v>1</v>
      </c>
    </row>
    <row r="10213" spans="1:5">
      <c r="A10213" s="59">
        <v>21</v>
      </c>
      <c r="B10213" s="59">
        <v>16</v>
      </c>
      <c r="C10213" s="59">
        <v>330</v>
      </c>
      <c r="D10213" s="51">
        <v>1</v>
      </c>
      <c r="E10213" s="51">
        <f t="shared" si="159"/>
        <v>1</v>
      </c>
    </row>
    <row r="10214" spans="1:5">
      <c r="A10214" s="59">
        <v>21</v>
      </c>
      <c r="B10214" s="59">
        <v>16</v>
      </c>
      <c r="C10214" s="59">
        <v>530</v>
      </c>
      <c r="D10214" s="51">
        <v>1</v>
      </c>
      <c r="E10214" s="51">
        <f t="shared" si="159"/>
        <v>1</v>
      </c>
    </row>
    <row r="10215" spans="1:5">
      <c r="A10215" s="59">
        <v>21</v>
      </c>
      <c r="B10215" s="59">
        <v>21</v>
      </c>
      <c r="C10215" s="59">
        <v>160</v>
      </c>
      <c r="D10215" s="51">
        <v>1</v>
      </c>
      <c r="E10215" s="51">
        <f t="shared" si="159"/>
        <v>1</v>
      </c>
    </row>
    <row r="10216" spans="1:5">
      <c r="A10216" s="59">
        <v>21</v>
      </c>
      <c r="B10216" s="59">
        <v>22</v>
      </c>
      <c r="C10216" s="59">
        <v>120</v>
      </c>
      <c r="D10216" s="51">
        <v>1</v>
      </c>
      <c r="E10216" s="51">
        <f t="shared" si="159"/>
        <v>1</v>
      </c>
    </row>
    <row r="10217" spans="1:5">
      <c r="A10217" s="59">
        <v>21</v>
      </c>
      <c r="B10217" s="59">
        <v>22</v>
      </c>
      <c r="C10217" s="59">
        <v>320</v>
      </c>
      <c r="D10217" s="51">
        <v>1</v>
      </c>
      <c r="E10217" s="51">
        <f t="shared" si="159"/>
        <v>1</v>
      </c>
    </row>
    <row r="10218" spans="1:5">
      <c r="A10218" s="59">
        <v>21</v>
      </c>
      <c r="B10218" s="59">
        <v>22</v>
      </c>
      <c r="C10218" s="59">
        <v>930</v>
      </c>
      <c r="D10218" s="51">
        <v>1</v>
      </c>
      <c r="E10218" s="51">
        <f t="shared" si="159"/>
        <v>1</v>
      </c>
    </row>
    <row r="10219" spans="1:5">
      <c r="A10219" s="59">
        <v>21</v>
      </c>
      <c r="B10219" s="59">
        <v>22</v>
      </c>
      <c r="C10219" s="59">
        <v>990</v>
      </c>
      <c r="D10219" s="51">
        <v>1</v>
      </c>
      <c r="E10219" s="51">
        <f t="shared" si="159"/>
        <v>1</v>
      </c>
    </row>
    <row r="10220" spans="1:5">
      <c r="A10220" s="59">
        <v>21</v>
      </c>
      <c r="B10220" s="59">
        <v>23</v>
      </c>
      <c r="C10220" s="59">
        <v>240</v>
      </c>
      <c r="D10220" s="51">
        <v>1</v>
      </c>
      <c r="E10220" s="51">
        <f t="shared" si="159"/>
        <v>1</v>
      </c>
    </row>
    <row r="10221" spans="1:5">
      <c r="A10221" s="59">
        <v>21</v>
      </c>
      <c r="B10221" s="59">
        <v>23</v>
      </c>
      <c r="C10221" s="59">
        <v>510</v>
      </c>
      <c r="D10221" s="51">
        <v>1</v>
      </c>
      <c r="E10221" s="51">
        <f t="shared" si="159"/>
        <v>1</v>
      </c>
    </row>
    <row r="10222" spans="1:5">
      <c r="A10222" s="59">
        <v>21</v>
      </c>
      <c r="B10222" s="59">
        <v>23</v>
      </c>
      <c r="C10222" s="59">
        <v>920</v>
      </c>
      <c r="D10222" s="51">
        <v>1</v>
      </c>
      <c r="E10222" s="51">
        <f t="shared" si="159"/>
        <v>1</v>
      </c>
    </row>
    <row r="10223" spans="1:5">
      <c r="A10223" s="59">
        <v>21</v>
      </c>
      <c r="B10223" s="59">
        <v>31</v>
      </c>
      <c r="C10223" s="59">
        <v>430</v>
      </c>
      <c r="D10223" s="51">
        <v>1</v>
      </c>
      <c r="E10223" s="51">
        <f t="shared" si="159"/>
        <v>1</v>
      </c>
    </row>
    <row r="10224" spans="1:5">
      <c r="A10224" s="59">
        <v>21</v>
      </c>
      <c r="B10224" s="59">
        <v>31</v>
      </c>
      <c r="C10224" s="59">
        <v>720</v>
      </c>
      <c r="D10224" s="51">
        <v>1</v>
      </c>
      <c r="E10224" s="51">
        <f t="shared" si="159"/>
        <v>1</v>
      </c>
    </row>
    <row r="10225" spans="1:5">
      <c r="A10225" s="59">
        <v>21</v>
      </c>
      <c r="B10225" s="59">
        <v>31</v>
      </c>
      <c r="C10225" s="59">
        <v>970</v>
      </c>
      <c r="D10225" s="51">
        <v>1</v>
      </c>
      <c r="E10225" s="51">
        <f t="shared" si="159"/>
        <v>1</v>
      </c>
    </row>
    <row r="10226" spans="1:5">
      <c r="A10226" s="59">
        <v>21</v>
      </c>
      <c r="B10226" s="59">
        <v>33</v>
      </c>
      <c r="C10226" s="59">
        <v>150</v>
      </c>
      <c r="D10226" s="51">
        <v>1</v>
      </c>
      <c r="E10226" s="51">
        <f t="shared" si="159"/>
        <v>1</v>
      </c>
    </row>
    <row r="10227" spans="1:5">
      <c r="A10227" s="59">
        <v>21</v>
      </c>
      <c r="B10227" s="59">
        <v>33</v>
      </c>
      <c r="C10227" s="59">
        <v>420</v>
      </c>
      <c r="D10227" s="51">
        <v>1</v>
      </c>
      <c r="E10227" s="51">
        <f t="shared" si="159"/>
        <v>1</v>
      </c>
    </row>
    <row r="10228" spans="1:5">
      <c r="A10228" s="59">
        <v>21</v>
      </c>
      <c r="B10228" s="59">
        <v>33</v>
      </c>
      <c r="C10228" s="59">
        <v>530</v>
      </c>
      <c r="D10228" s="51">
        <v>1</v>
      </c>
      <c r="E10228" s="51">
        <f t="shared" si="159"/>
        <v>1</v>
      </c>
    </row>
    <row r="10229" spans="1:5">
      <c r="A10229" s="59">
        <v>21</v>
      </c>
      <c r="B10229" s="59">
        <v>42</v>
      </c>
      <c r="C10229" s="59">
        <v>210</v>
      </c>
      <c r="D10229" s="51">
        <v>1</v>
      </c>
      <c r="E10229" s="51">
        <f t="shared" si="159"/>
        <v>1</v>
      </c>
    </row>
    <row r="10230" spans="1:5">
      <c r="A10230" s="59">
        <v>21</v>
      </c>
      <c r="B10230" s="59">
        <v>42</v>
      </c>
      <c r="C10230" s="59">
        <v>220</v>
      </c>
      <c r="D10230" s="51">
        <v>1</v>
      </c>
      <c r="E10230" s="51">
        <f t="shared" si="159"/>
        <v>1</v>
      </c>
    </row>
    <row r="10231" spans="1:5">
      <c r="A10231" s="59">
        <v>21</v>
      </c>
      <c r="B10231" s="59">
        <v>42</v>
      </c>
      <c r="C10231" s="59">
        <v>240</v>
      </c>
      <c r="D10231" s="51">
        <v>1</v>
      </c>
      <c r="E10231" s="51">
        <f t="shared" si="159"/>
        <v>1</v>
      </c>
    </row>
    <row r="10232" spans="1:5">
      <c r="A10232" s="59">
        <v>21</v>
      </c>
      <c r="B10232" s="59">
        <v>42</v>
      </c>
      <c r="C10232" s="59">
        <v>750</v>
      </c>
      <c r="D10232" s="51">
        <v>1</v>
      </c>
      <c r="E10232" s="51">
        <f t="shared" si="159"/>
        <v>1</v>
      </c>
    </row>
    <row r="10233" spans="1:5">
      <c r="A10233" s="59">
        <v>21</v>
      </c>
      <c r="B10233" s="59">
        <v>43</v>
      </c>
      <c r="C10233" s="59">
        <v>310</v>
      </c>
      <c r="D10233" s="51">
        <v>1</v>
      </c>
      <c r="E10233" s="51">
        <f t="shared" si="159"/>
        <v>1</v>
      </c>
    </row>
    <row r="10234" spans="1:5">
      <c r="A10234" s="59">
        <v>21</v>
      </c>
      <c r="B10234" s="59">
        <v>43</v>
      </c>
      <c r="C10234" s="59">
        <v>320</v>
      </c>
      <c r="D10234" s="51">
        <v>1</v>
      </c>
      <c r="E10234" s="51">
        <f t="shared" si="159"/>
        <v>1</v>
      </c>
    </row>
    <row r="10235" spans="1:5">
      <c r="A10235" s="59">
        <v>21</v>
      </c>
      <c r="B10235" s="59">
        <v>43</v>
      </c>
      <c r="C10235" s="59">
        <v>630</v>
      </c>
      <c r="D10235" s="51">
        <v>1</v>
      </c>
      <c r="E10235" s="51">
        <f t="shared" si="159"/>
        <v>1</v>
      </c>
    </row>
    <row r="10236" spans="1:5">
      <c r="A10236" s="59">
        <v>21</v>
      </c>
      <c r="B10236" s="59">
        <v>44</v>
      </c>
      <c r="C10236" s="59">
        <v>210</v>
      </c>
      <c r="D10236" s="51">
        <v>1</v>
      </c>
      <c r="E10236" s="51">
        <f t="shared" si="159"/>
        <v>1</v>
      </c>
    </row>
    <row r="10237" spans="1:5">
      <c r="A10237" s="59">
        <v>21</v>
      </c>
      <c r="B10237" s="59">
        <v>44</v>
      </c>
      <c r="C10237" s="59">
        <v>330</v>
      </c>
      <c r="D10237" s="51">
        <v>1</v>
      </c>
      <c r="E10237" s="51">
        <f t="shared" si="159"/>
        <v>1</v>
      </c>
    </row>
    <row r="10238" spans="1:5">
      <c r="A10238" s="59">
        <v>21</v>
      </c>
      <c r="B10238" s="59">
        <v>44</v>
      </c>
      <c r="C10238" s="59">
        <v>540</v>
      </c>
      <c r="D10238" s="51">
        <v>1</v>
      </c>
      <c r="E10238" s="51">
        <f t="shared" si="159"/>
        <v>1</v>
      </c>
    </row>
    <row r="10239" spans="1:5">
      <c r="A10239" s="59">
        <v>21</v>
      </c>
      <c r="B10239" s="59">
        <v>51</v>
      </c>
      <c r="C10239" s="59">
        <v>910</v>
      </c>
      <c r="D10239" s="51">
        <v>1</v>
      </c>
      <c r="E10239" s="51">
        <f t="shared" si="159"/>
        <v>1</v>
      </c>
    </row>
    <row r="10240" spans="1:5">
      <c r="A10240" s="59">
        <v>21</v>
      </c>
      <c r="B10240" s="59">
        <v>62</v>
      </c>
      <c r="C10240" s="59">
        <v>310</v>
      </c>
      <c r="D10240" s="51">
        <v>1</v>
      </c>
      <c r="E10240" s="51">
        <f t="shared" si="159"/>
        <v>1</v>
      </c>
    </row>
    <row r="10241" spans="1:5">
      <c r="A10241" s="59">
        <v>21</v>
      </c>
      <c r="B10241" s="59">
        <v>62</v>
      </c>
      <c r="C10241" s="59">
        <v>540</v>
      </c>
      <c r="D10241" s="51">
        <v>1</v>
      </c>
      <c r="E10241" s="51">
        <f t="shared" si="159"/>
        <v>1</v>
      </c>
    </row>
    <row r="10242" spans="1:5">
      <c r="A10242" s="59">
        <v>21</v>
      </c>
      <c r="B10242" s="59">
        <v>62</v>
      </c>
      <c r="C10242" s="59">
        <v>630</v>
      </c>
      <c r="D10242" s="51">
        <v>1</v>
      </c>
      <c r="E10242" s="51">
        <f t="shared" ref="E10242:E10305" si="160">IF(OR(A10242=6,A10242=7,A10242=14,A10242=15,A10242=16,A10242=17,A10242=18,A10242=19,A10242=20,A10242=21,A10242=22,A10242=23,A10242=25,A10242=26,A10242=27,A10242=28,B10242=41,B10242=44,B10242=62),1,0)</f>
        <v>1</v>
      </c>
    </row>
    <row r="10243" spans="1:5">
      <c r="A10243" s="59">
        <v>21</v>
      </c>
      <c r="B10243" s="59">
        <v>62</v>
      </c>
      <c r="C10243" s="59">
        <v>740</v>
      </c>
      <c r="D10243" s="51">
        <v>1</v>
      </c>
      <c r="E10243" s="51">
        <f t="shared" si="160"/>
        <v>1</v>
      </c>
    </row>
    <row r="10244" spans="1:5">
      <c r="A10244" s="59">
        <v>21</v>
      </c>
      <c r="B10244" s="59">
        <v>62</v>
      </c>
      <c r="C10244" s="59">
        <v>960</v>
      </c>
      <c r="D10244" s="51">
        <v>1</v>
      </c>
      <c r="E10244" s="51">
        <f t="shared" si="160"/>
        <v>1</v>
      </c>
    </row>
    <row r="10245" spans="1:5">
      <c r="A10245" s="59">
        <v>21</v>
      </c>
      <c r="B10245" s="59">
        <v>63</v>
      </c>
      <c r="C10245" s="59">
        <v>220</v>
      </c>
      <c r="D10245" s="51">
        <v>1</v>
      </c>
      <c r="E10245" s="51">
        <f t="shared" si="160"/>
        <v>1</v>
      </c>
    </row>
    <row r="10246" spans="1:5">
      <c r="A10246" s="59">
        <v>21</v>
      </c>
      <c r="B10246" s="59">
        <v>63</v>
      </c>
      <c r="C10246" s="59">
        <v>440</v>
      </c>
      <c r="D10246" s="51">
        <v>1</v>
      </c>
      <c r="E10246" s="51">
        <f t="shared" si="160"/>
        <v>1</v>
      </c>
    </row>
    <row r="10247" spans="1:5">
      <c r="A10247" s="59">
        <v>21</v>
      </c>
      <c r="B10247" s="59">
        <v>63</v>
      </c>
      <c r="C10247" s="59">
        <v>630</v>
      </c>
      <c r="D10247" s="51">
        <v>1</v>
      </c>
      <c r="E10247" s="51">
        <f t="shared" si="160"/>
        <v>1</v>
      </c>
    </row>
    <row r="10248" spans="1:5">
      <c r="A10248" s="59">
        <v>21</v>
      </c>
      <c r="B10248" s="59">
        <v>63</v>
      </c>
      <c r="C10248" s="59">
        <v>740</v>
      </c>
      <c r="D10248" s="51">
        <v>1</v>
      </c>
      <c r="E10248" s="51">
        <f t="shared" si="160"/>
        <v>1</v>
      </c>
    </row>
    <row r="10249" spans="1:5">
      <c r="A10249" s="59">
        <v>21</v>
      </c>
      <c r="B10249" s="59">
        <v>63</v>
      </c>
      <c r="C10249" s="59">
        <v>940</v>
      </c>
      <c r="D10249" s="51">
        <v>1</v>
      </c>
      <c r="E10249" s="51">
        <f t="shared" si="160"/>
        <v>1</v>
      </c>
    </row>
    <row r="10250" spans="1:5">
      <c r="A10250" s="59">
        <v>21</v>
      </c>
      <c r="B10250" s="59">
        <v>63</v>
      </c>
      <c r="C10250" s="59">
        <v>960</v>
      </c>
      <c r="D10250" s="51">
        <v>1</v>
      </c>
      <c r="E10250" s="51">
        <f t="shared" si="160"/>
        <v>1</v>
      </c>
    </row>
    <row r="10251" spans="1:5">
      <c r="A10251" s="59">
        <v>21</v>
      </c>
      <c r="B10251" s="59">
        <v>63</v>
      </c>
      <c r="C10251" s="59">
        <v>970</v>
      </c>
      <c r="D10251" s="51">
        <v>1</v>
      </c>
      <c r="E10251" s="51">
        <f t="shared" si="160"/>
        <v>1</v>
      </c>
    </row>
    <row r="10252" spans="1:5">
      <c r="A10252" s="59">
        <v>21</v>
      </c>
      <c r="B10252" s="59">
        <v>64</v>
      </c>
      <c r="C10252" s="59">
        <v>310</v>
      </c>
      <c r="D10252" s="51">
        <v>1</v>
      </c>
      <c r="E10252" s="51">
        <f t="shared" si="160"/>
        <v>1</v>
      </c>
    </row>
    <row r="10253" spans="1:5">
      <c r="A10253" s="59">
        <v>21</v>
      </c>
      <c r="B10253" s="59">
        <v>64</v>
      </c>
      <c r="C10253" s="59">
        <v>330</v>
      </c>
      <c r="D10253" s="51">
        <v>1</v>
      </c>
      <c r="E10253" s="51">
        <f t="shared" si="160"/>
        <v>1</v>
      </c>
    </row>
    <row r="10254" spans="1:5">
      <c r="A10254" s="59">
        <v>21</v>
      </c>
      <c r="B10254" s="59">
        <v>71</v>
      </c>
      <c r="C10254" s="59">
        <v>110</v>
      </c>
      <c r="D10254" s="51">
        <v>1</v>
      </c>
      <c r="E10254" s="51">
        <f t="shared" si="160"/>
        <v>1</v>
      </c>
    </row>
    <row r="10255" spans="1:5">
      <c r="A10255" s="59">
        <v>21</v>
      </c>
      <c r="B10255" s="59">
        <v>71</v>
      </c>
      <c r="C10255" s="59">
        <v>430</v>
      </c>
      <c r="D10255" s="51">
        <v>1</v>
      </c>
      <c r="E10255" s="51">
        <f t="shared" si="160"/>
        <v>1</v>
      </c>
    </row>
    <row r="10256" spans="1:5">
      <c r="A10256" s="59">
        <v>21</v>
      </c>
      <c r="B10256" s="59">
        <v>71</v>
      </c>
      <c r="C10256" s="59">
        <v>540</v>
      </c>
      <c r="D10256" s="51">
        <v>1</v>
      </c>
      <c r="E10256" s="51">
        <f t="shared" si="160"/>
        <v>1</v>
      </c>
    </row>
    <row r="10257" spans="1:5">
      <c r="A10257" s="59">
        <v>21</v>
      </c>
      <c r="B10257" s="59">
        <v>71</v>
      </c>
      <c r="C10257" s="59">
        <v>710</v>
      </c>
      <c r="D10257" s="51">
        <v>1</v>
      </c>
      <c r="E10257" s="51">
        <f t="shared" si="160"/>
        <v>1</v>
      </c>
    </row>
    <row r="10258" spans="1:5">
      <c r="A10258" s="59">
        <v>21</v>
      </c>
      <c r="B10258" s="59">
        <v>71</v>
      </c>
      <c r="C10258" s="59">
        <v>940</v>
      </c>
      <c r="D10258" s="51">
        <v>1</v>
      </c>
      <c r="E10258" s="51">
        <f t="shared" si="160"/>
        <v>1</v>
      </c>
    </row>
    <row r="10259" spans="1:5">
      <c r="A10259" s="59">
        <v>21</v>
      </c>
      <c r="B10259" s="59">
        <v>81</v>
      </c>
      <c r="C10259" s="59">
        <v>940</v>
      </c>
      <c r="D10259" s="51">
        <v>1</v>
      </c>
      <c r="E10259" s="51">
        <f t="shared" si="160"/>
        <v>1</v>
      </c>
    </row>
    <row r="10260" spans="1:5">
      <c r="A10260" s="59">
        <v>21</v>
      </c>
      <c r="B10260" s="59">
        <v>81</v>
      </c>
      <c r="C10260" s="59">
        <v>950</v>
      </c>
      <c r="D10260" s="51">
        <v>1</v>
      </c>
      <c r="E10260" s="51">
        <f t="shared" si="160"/>
        <v>1</v>
      </c>
    </row>
    <row r="10261" spans="1:5">
      <c r="A10261" s="59">
        <v>22</v>
      </c>
      <c r="B10261" s="59">
        <v>43</v>
      </c>
      <c r="C10261" s="59">
        <v>930</v>
      </c>
      <c r="D10261" s="51">
        <v>13143</v>
      </c>
      <c r="E10261" s="51">
        <f t="shared" si="160"/>
        <v>1</v>
      </c>
    </row>
    <row r="10262" spans="1:5">
      <c r="A10262" s="59">
        <v>22</v>
      </c>
      <c r="B10262" s="59">
        <v>14</v>
      </c>
      <c r="C10262" s="59">
        <v>930</v>
      </c>
      <c r="D10262" s="51">
        <v>8571</v>
      </c>
      <c r="E10262" s="51">
        <f t="shared" si="160"/>
        <v>1</v>
      </c>
    </row>
    <row r="10263" spans="1:5">
      <c r="A10263" s="59">
        <v>22</v>
      </c>
      <c r="B10263" s="59">
        <v>13</v>
      </c>
      <c r="C10263" s="59">
        <v>930</v>
      </c>
      <c r="D10263" s="51">
        <v>7040</v>
      </c>
      <c r="E10263" s="51">
        <f t="shared" si="160"/>
        <v>1</v>
      </c>
    </row>
    <row r="10264" spans="1:5">
      <c r="A10264" s="59">
        <v>22</v>
      </c>
      <c r="B10264" s="59">
        <v>15</v>
      </c>
      <c r="C10264" s="59">
        <v>930</v>
      </c>
      <c r="D10264" s="51">
        <v>4990</v>
      </c>
      <c r="E10264" s="51">
        <f t="shared" si="160"/>
        <v>1</v>
      </c>
    </row>
    <row r="10265" spans="1:5">
      <c r="A10265" s="59">
        <v>22</v>
      </c>
      <c r="B10265" s="59">
        <v>32</v>
      </c>
      <c r="C10265" s="59">
        <v>930</v>
      </c>
      <c r="D10265" s="51">
        <v>4725</v>
      </c>
      <c r="E10265" s="51">
        <f t="shared" si="160"/>
        <v>1</v>
      </c>
    </row>
    <row r="10266" spans="1:5">
      <c r="A10266" s="59">
        <v>22</v>
      </c>
      <c r="B10266" s="59">
        <v>64</v>
      </c>
      <c r="C10266" s="59">
        <v>930</v>
      </c>
      <c r="D10266" s="51">
        <v>3931</v>
      </c>
      <c r="E10266" s="51">
        <f t="shared" si="160"/>
        <v>1</v>
      </c>
    </row>
    <row r="10267" spans="1:5">
      <c r="A10267" s="59">
        <v>22</v>
      </c>
      <c r="B10267" s="59">
        <v>16</v>
      </c>
      <c r="C10267" s="59">
        <v>930</v>
      </c>
      <c r="D10267" s="51">
        <v>1366</v>
      </c>
      <c r="E10267" s="51">
        <f t="shared" si="160"/>
        <v>1</v>
      </c>
    </row>
    <row r="10268" spans="1:5">
      <c r="A10268" s="59">
        <v>22</v>
      </c>
      <c r="B10268" s="59">
        <v>43</v>
      </c>
      <c r="C10268" s="59">
        <v>910</v>
      </c>
      <c r="D10268" s="51">
        <v>1309</v>
      </c>
      <c r="E10268" s="51">
        <f t="shared" si="160"/>
        <v>1</v>
      </c>
    </row>
    <row r="10269" spans="1:5">
      <c r="A10269" s="59">
        <v>22</v>
      </c>
      <c r="B10269" s="59">
        <v>22</v>
      </c>
      <c r="C10269" s="59">
        <v>930</v>
      </c>
      <c r="D10269" s="51">
        <v>1236</v>
      </c>
      <c r="E10269" s="51">
        <f t="shared" si="160"/>
        <v>1</v>
      </c>
    </row>
    <row r="10270" spans="1:5">
      <c r="A10270" s="59">
        <v>22</v>
      </c>
      <c r="B10270" s="59">
        <v>11</v>
      </c>
      <c r="C10270" s="59">
        <v>930</v>
      </c>
      <c r="D10270" s="51">
        <v>958</v>
      </c>
      <c r="E10270" s="51">
        <f t="shared" si="160"/>
        <v>1</v>
      </c>
    </row>
    <row r="10271" spans="1:5">
      <c r="A10271" s="59">
        <v>22</v>
      </c>
      <c r="B10271" s="59">
        <v>14</v>
      </c>
      <c r="C10271" s="59">
        <v>910</v>
      </c>
      <c r="D10271" s="51">
        <v>913</v>
      </c>
      <c r="E10271" s="51">
        <f t="shared" si="160"/>
        <v>1</v>
      </c>
    </row>
    <row r="10272" spans="1:5">
      <c r="A10272" s="59">
        <v>22</v>
      </c>
      <c r="B10272" s="59">
        <v>33</v>
      </c>
      <c r="C10272" s="59">
        <v>930</v>
      </c>
      <c r="D10272" s="51">
        <v>850</v>
      </c>
      <c r="E10272" s="51">
        <f t="shared" si="160"/>
        <v>1</v>
      </c>
    </row>
    <row r="10273" spans="1:5">
      <c r="A10273" s="59">
        <v>22</v>
      </c>
      <c r="B10273" s="59">
        <v>15</v>
      </c>
      <c r="C10273" s="59">
        <v>910</v>
      </c>
      <c r="D10273" s="51">
        <v>776</v>
      </c>
      <c r="E10273" s="51">
        <f t="shared" si="160"/>
        <v>1</v>
      </c>
    </row>
    <row r="10274" spans="1:5">
      <c r="A10274" s="59">
        <v>22</v>
      </c>
      <c r="B10274" s="59">
        <v>13</v>
      </c>
      <c r="C10274" s="59">
        <v>910</v>
      </c>
      <c r="D10274" s="51">
        <v>701</v>
      </c>
      <c r="E10274" s="51">
        <f t="shared" si="160"/>
        <v>1</v>
      </c>
    </row>
    <row r="10275" spans="1:5">
      <c r="A10275" s="59">
        <v>22</v>
      </c>
      <c r="B10275" s="59">
        <v>44</v>
      </c>
      <c r="C10275" s="59">
        <v>930</v>
      </c>
      <c r="D10275" s="51">
        <v>619</v>
      </c>
      <c r="E10275" s="51">
        <f t="shared" si="160"/>
        <v>1</v>
      </c>
    </row>
    <row r="10276" spans="1:5">
      <c r="A10276" s="59">
        <v>22</v>
      </c>
      <c r="B10276" s="59">
        <v>62</v>
      </c>
      <c r="C10276" s="59">
        <v>930</v>
      </c>
      <c r="D10276" s="51">
        <v>457</v>
      </c>
      <c r="E10276" s="51">
        <f t="shared" si="160"/>
        <v>1</v>
      </c>
    </row>
    <row r="10277" spans="1:5">
      <c r="A10277" s="59">
        <v>22</v>
      </c>
      <c r="B10277" s="59">
        <v>41</v>
      </c>
      <c r="C10277" s="59">
        <v>930</v>
      </c>
      <c r="D10277" s="51">
        <v>429</v>
      </c>
      <c r="E10277" s="51">
        <f t="shared" si="160"/>
        <v>1</v>
      </c>
    </row>
    <row r="10278" spans="1:5">
      <c r="A10278" s="59">
        <v>22</v>
      </c>
      <c r="B10278" s="59">
        <v>32</v>
      </c>
      <c r="C10278" s="59">
        <v>910</v>
      </c>
      <c r="D10278" s="51">
        <v>370</v>
      </c>
      <c r="E10278" s="51">
        <f t="shared" si="160"/>
        <v>1</v>
      </c>
    </row>
    <row r="10279" spans="1:5">
      <c r="A10279" s="59">
        <v>22</v>
      </c>
      <c r="B10279" s="59">
        <v>43</v>
      </c>
      <c r="C10279" s="59">
        <v>720</v>
      </c>
      <c r="D10279" s="51">
        <v>272</v>
      </c>
      <c r="E10279" s="51">
        <f t="shared" si="160"/>
        <v>1</v>
      </c>
    </row>
    <row r="10280" spans="1:5">
      <c r="A10280" s="59">
        <v>22</v>
      </c>
      <c r="B10280" s="59">
        <v>12</v>
      </c>
      <c r="C10280" s="59">
        <v>930</v>
      </c>
      <c r="D10280" s="51">
        <v>247</v>
      </c>
      <c r="E10280" s="51">
        <f t="shared" si="160"/>
        <v>1</v>
      </c>
    </row>
    <row r="10281" spans="1:5">
      <c r="A10281" s="59">
        <v>22</v>
      </c>
      <c r="B10281" s="59">
        <v>63</v>
      </c>
      <c r="C10281" s="59">
        <v>930</v>
      </c>
      <c r="D10281" s="51">
        <v>203</v>
      </c>
      <c r="E10281" s="51">
        <f t="shared" si="160"/>
        <v>1</v>
      </c>
    </row>
    <row r="10282" spans="1:5">
      <c r="A10282" s="59">
        <v>22</v>
      </c>
      <c r="B10282" s="59">
        <v>64</v>
      </c>
      <c r="C10282" s="59">
        <v>910</v>
      </c>
      <c r="D10282" s="51">
        <v>201</v>
      </c>
      <c r="E10282" s="51">
        <f t="shared" si="160"/>
        <v>1</v>
      </c>
    </row>
    <row r="10283" spans="1:5">
      <c r="A10283" s="59">
        <v>22</v>
      </c>
      <c r="B10283" s="59">
        <v>21</v>
      </c>
      <c r="C10283" s="59">
        <v>930</v>
      </c>
      <c r="D10283" s="51">
        <v>190</v>
      </c>
      <c r="E10283" s="51">
        <f t="shared" si="160"/>
        <v>1</v>
      </c>
    </row>
    <row r="10284" spans="1:5">
      <c r="A10284" s="59">
        <v>22</v>
      </c>
      <c r="B10284" s="59">
        <v>64</v>
      </c>
      <c r="C10284" s="59">
        <v>840</v>
      </c>
      <c r="D10284" s="51">
        <v>180</v>
      </c>
      <c r="E10284" s="51">
        <f t="shared" si="160"/>
        <v>1</v>
      </c>
    </row>
    <row r="10285" spans="1:5">
      <c r="A10285" s="59">
        <v>22</v>
      </c>
      <c r="B10285" s="59">
        <v>43</v>
      </c>
      <c r="C10285" s="59">
        <v>940</v>
      </c>
      <c r="D10285" s="51">
        <v>176</v>
      </c>
      <c r="E10285" s="51">
        <f t="shared" si="160"/>
        <v>1</v>
      </c>
    </row>
    <row r="10286" spans="1:5">
      <c r="A10286" s="59">
        <v>22</v>
      </c>
      <c r="B10286" s="59">
        <v>71</v>
      </c>
      <c r="C10286" s="59">
        <v>930</v>
      </c>
      <c r="D10286" s="51">
        <v>174</v>
      </c>
      <c r="E10286" s="51">
        <f t="shared" si="160"/>
        <v>1</v>
      </c>
    </row>
    <row r="10287" spans="1:5">
      <c r="A10287" s="59">
        <v>22</v>
      </c>
      <c r="B10287" s="59">
        <v>13</v>
      </c>
      <c r="C10287" s="59">
        <v>720</v>
      </c>
      <c r="D10287" s="51">
        <v>173</v>
      </c>
      <c r="E10287" s="51">
        <f t="shared" si="160"/>
        <v>1</v>
      </c>
    </row>
    <row r="10288" spans="1:5">
      <c r="A10288" s="59">
        <v>22</v>
      </c>
      <c r="B10288" s="59">
        <v>22</v>
      </c>
      <c r="C10288" s="59">
        <v>910</v>
      </c>
      <c r="D10288" s="51">
        <v>165</v>
      </c>
      <c r="E10288" s="51">
        <f t="shared" si="160"/>
        <v>1</v>
      </c>
    </row>
    <row r="10289" spans="1:5">
      <c r="A10289" s="59">
        <v>22</v>
      </c>
      <c r="B10289" s="59">
        <v>14</v>
      </c>
      <c r="C10289" s="59">
        <v>150</v>
      </c>
      <c r="D10289" s="51">
        <v>161</v>
      </c>
      <c r="E10289" s="51">
        <f t="shared" si="160"/>
        <v>1</v>
      </c>
    </row>
    <row r="10290" spans="1:5">
      <c r="A10290" s="59">
        <v>22</v>
      </c>
      <c r="B10290" s="59">
        <v>43</v>
      </c>
      <c r="C10290" s="59">
        <v>920</v>
      </c>
      <c r="D10290" s="51">
        <v>157</v>
      </c>
      <c r="E10290" s="51">
        <f t="shared" si="160"/>
        <v>1</v>
      </c>
    </row>
    <row r="10291" spans="1:5">
      <c r="A10291" s="59">
        <v>22</v>
      </c>
      <c r="B10291" s="59">
        <v>16</v>
      </c>
      <c r="C10291" s="59">
        <v>910</v>
      </c>
      <c r="D10291" s="51">
        <v>145</v>
      </c>
      <c r="E10291" s="51">
        <f t="shared" si="160"/>
        <v>1</v>
      </c>
    </row>
    <row r="10292" spans="1:5">
      <c r="A10292" s="59">
        <v>22</v>
      </c>
      <c r="B10292" s="59">
        <v>43</v>
      </c>
      <c r="C10292" s="59">
        <v>530</v>
      </c>
      <c r="D10292" s="51">
        <v>122</v>
      </c>
      <c r="E10292" s="51">
        <f t="shared" si="160"/>
        <v>1</v>
      </c>
    </row>
    <row r="10293" spans="1:5">
      <c r="A10293" s="59">
        <v>22</v>
      </c>
      <c r="B10293" s="59">
        <v>43</v>
      </c>
      <c r="C10293" s="59">
        <v>840</v>
      </c>
      <c r="D10293" s="51">
        <v>114</v>
      </c>
      <c r="E10293" s="51">
        <f t="shared" si="160"/>
        <v>1</v>
      </c>
    </row>
    <row r="10294" spans="1:5">
      <c r="A10294" s="59">
        <v>22</v>
      </c>
      <c r="B10294" s="59">
        <v>14</v>
      </c>
      <c r="C10294" s="59">
        <v>160</v>
      </c>
      <c r="D10294" s="51">
        <v>108</v>
      </c>
      <c r="E10294" s="51">
        <f t="shared" si="160"/>
        <v>1</v>
      </c>
    </row>
    <row r="10295" spans="1:5">
      <c r="A10295" s="59">
        <v>22</v>
      </c>
      <c r="B10295" s="59">
        <v>23</v>
      </c>
      <c r="C10295" s="59">
        <v>930</v>
      </c>
      <c r="D10295" s="51">
        <v>105</v>
      </c>
      <c r="E10295" s="51">
        <f t="shared" si="160"/>
        <v>1</v>
      </c>
    </row>
    <row r="10296" spans="1:5">
      <c r="A10296" s="59">
        <v>22</v>
      </c>
      <c r="B10296" s="59">
        <v>64</v>
      </c>
      <c r="C10296" s="59">
        <v>160</v>
      </c>
      <c r="D10296" s="51">
        <v>102</v>
      </c>
      <c r="E10296" s="51">
        <f t="shared" si="160"/>
        <v>1</v>
      </c>
    </row>
    <row r="10297" spans="1:5">
      <c r="A10297" s="59">
        <v>22</v>
      </c>
      <c r="B10297" s="59">
        <v>13</v>
      </c>
      <c r="C10297" s="59">
        <v>160</v>
      </c>
      <c r="D10297" s="51">
        <v>101</v>
      </c>
      <c r="E10297" s="51">
        <f t="shared" si="160"/>
        <v>1</v>
      </c>
    </row>
    <row r="10298" spans="1:5">
      <c r="A10298" s="59">
        <v>22</v>
      </c>
      <c r="B10298" s="59">
        <v>43</v>
      </c>
      <c r="C10298" s="59">
        <v>160</v>
      </c>
      <c r="D10298" s="51">
        <v>99</v>
      </c>
      <c r="E10298" s="51">
        <f t="shared" si="160"/>
        <v>1</v>
      </c>
    </row>
    <row r="10299" spans="1:5">
      <c r="A10299" s="59">
        <v>22</v>
      </c>
      <c r="B10299" s="59">
        <v>11</v>
      </c>
      <c r="C10299" s="59">
        <v>910</v>
      </c>
      <c r="D10299" s="51">
        <v>93</v>
      </c>
      <c r="E10299" s="51">
        <f t="shared" si="160"/>
        <v>1</v>
      </c>
    </row>
    <row r="10300" spans="1:5">
      <c r="A10300" s="59">
        <v>22</v>
      </c>
      <c r="B10300" s="59">
        <v>24</v>
      </c>
      <c r="C10300" s="59">
        <v>930</v>
      </c>
      <c r="D10300" s="51">
        <v>93</v>
      </c>
      <c r="E10300" s="51">
        <f t="shared" si="160"/>
        <v>1</v>
      </c>
    </row>
    <row r="10301" spans="1:5">
      <c r="A10301" s="59">
        <v>22</v>
      </c>
      <c r="B10301" s="59">
        <v>42</v>
      </c>
      <c r="C10301" s="59">
        <v>930</v>
      </c>
      <c r="D10301" s="51">
        <v>79</v>
      </c>
      <c r="E10301" s="51">
        <f t="shared" si="160"/>
        <v>1</v>
      </c>
    </row>
    <row r="10302" spans="1:5">
      <c r="A10302" s="59">
        <v>22</v>
      </c>
      <c r="B10302" s="59">
        <v>32</v>
      </c>
      <c r="C10302" s="59">
        <v>420</v>
      </c>
      <c r="D10302" s="51">
        <v>77</v>
      </c>
      <c r="E10302" s="51">
        <f t="shared" si="160"/>
        <v>1</v>
      </c>
    </row>
    <row r="10303" spans="1:5">
      <c r="A10303" s="59">
        <v>22</v>
      </c>
      <c r="B10303" s="59">
        <v>64</v>
      </c>
      <c r="C10303" s="59">
        <v>530</v>
      </c>
      <c r="D10303" s="51">
        <v>76</v>
      </c>
      <c r="E10303" s="51">
        <f t="shared" si="160"/>
        <v>1</v>
      </c>
    </row>
    <row r="10304" spans="1:5">
      <c r="A10304" s="59">
        <v>22</v>
      </c>
      <c r="B10304" s="59">
        <v>33</v>
      </c>
      <c r="C10304" s="59">
        <v>910</v>
      </c>
      <c r="D10304" s="51">
        <v>71</v>
      </c>
      <c r="E10304" s="51">
        <f t="shared" si="160"/>
        <v>1</v>
      </c>
    </row>
    <row r="10305" spans="1:5">
      <c r="A10305" s="59">
        <v>22</v>
      </c>
      <c r="B10305" s="59">
        <v>64</v>
      </c>
      <c r="C10305" s="59">
        <v>210</v>
      </c>
      <c r="D10305" s="51">
        <v>70</v>
      </c>
      <c r="E10305" s="51">
        <f t="shared" si="160"/>
        <v>1</v>
      </c>
    </row>
    <row r="10306" spans="1:5">
      <c r="A10306" s="59">
        <v>22</v>
      </c>
      <c r="B10306" s="59">
        <v>32</v>
      </c>
      <c r="C10306" s="59">
        <v>920</v>
      </c>
      <c r="D10306" s="51">
        <v>67</v>
      </c>
      <c r="E10306" s="51">
        <f t="shared" ref="E10306:E10369" si="161">IF(OR(A10306=6,A10306=7,A10306=14,A10306=15,A10306=16,A10306=17,A10306=18,A10306=19,A10306=20,A10306=21,A10306=22,A10306=23,A10306=25,A10306=26,A10306=27,A10306=28,B10306=41,B10306=44,B10306=62),1,0)</f>
        <v>1</v>
      </c>
    </row>
    <row r="10307" spans="1:5">
      <c r="A10307" s="59">
        <v>22</v>
      </c>
      <c r="B10307" s="59">
        <v>13</v>
      </c>
      <c r="C10307" s="59">
        <v>150</v>
      </c>
      <c r="D10307" s="51">
        <v>66</v>
      </c>
      <c r="E10307" s="51">
        <f t="shared" si="161"/>
        <v>1</v>
      </c>
    </row>
    <row r="10308" spans="1:5">
      <c r="A10308" s="59">
        <v>22</v>
      </c>
      <c r="B10308" s="59">
        <v>64</v>
      </c>
      <c r="C10308" s="59">
        <v>150</v>
      </c>
      <c r="D10308" s="51">
        <v>66</v>
      </c>
      <c r="E10308" s="51">
        <f t="shared" si="161"/>
        <v>1</v>
      </c>
    </row>
    <row r="10309" spans="1:5">
      <c r="A10309" s="59">
        <v>22</v>
      </c>
      <c r="B10309" s="59">
        <v>32</v>
      </c>
      <c r="C10309" s="59">
        <v>410</v>
      </c>
      <c r="D10309" s="51">
        <v>65</v>
      </c>
      <c r="E10309" s="51">
        <f t="shared" si="161"/>
        <v>1</v>
      </c>
    </row>
    <row r="10310" spans="1:5">
      <c r="A10310" s="59">
        <v>22</v>
      </c>
      <c r="B10310" s="59">
        <v>43</v>
      </c>
      <c r="C10310" s="59">
        <v>750</v>
      </c>
      <c r="D10310" s="51">
        <v>62</v>
      </c>
      <c r="E10310" s="51">
        <f t="shared" si="161"/>
        <v>1</v>
      </c>
    </row>
    <row r="10311" spans="1:5">
      <c r="A10311" s="59">
        <v>22</v>
      </c>
      <c r="B10311" s="59">
        <v>64</v>
      </c>
      <c r="C10311" s="59">
        <v>430</v>
      </c>
      <c r="D10311" s="51">
        <v>62</v>
      </c>
      <c r="E10311" s="51">
        <f t="shared" si="161"/>
        <v>1</v>
      </c>
    </row>
    <row r="10312" spans="1:5">
      <c r="A10312" s="59">
        <v>22</v>
      </c>
      <c r="B10312" s="59">
        <v>15</v>
      </c>
      <c r="C10312" s="59">
        <v>150</v>
      </c>
      <c r="D10312" s="51">
        <v>60</v>
      </c>
      <c r="E10312" s="51">
        <f t="shared" si="161"/>
        <v>1</v>
      </c>
    </row>
    <row r="10313" spans="1:5">
      <c r="A10313" s="59">
        <v>22</v>
      </c>
      <c r="B10313" s="59">
        <v>32</v>
      </c>
      <c r="C10313" s="59">
        <v>430</v>
      </c>
      <c r="D10313" s="51">
        <v>60</v>
      </c>
      <c r="E10313" s="51">
        <f t="shared" si="161"/>
        <v>1</v>
      </c>
    </row>
    <row r="10314" spans="1:5">
      <c r="A10314" s="59">
        <v>22</v>
      </c>
      <c r="B10314" s="59">
        <v>43</v>
      </c>
      <c r="C10314" s="59">
        <v>330</v>
      </c>
      <c r="D10314" s="51">
        <v>60</v>
      </c>
      <c r="E10314" s="51">
        <f t="shared" si="161"/>
        <v>1</v>
      </c>
    </row>
    <row r="10315" spans="1:5">
      <c r="A10315" s="59">
        <v>22</v>
      </c>
      <c r="B10315" s="59">
        <v>43</v>
      </c>
      <c r="C10315" s="59">
        <v>950</v>
      </c>
      <c r="D10315" s="51">
        <v>60</v>
      </c>
      <c r="E10315" s="51">
        <f t="shared" si="161"/>
        <v>1</v>
      </c>
    </row>
    <row r="10316" spans="1:5">
      <c r="A10316" s="59">
        <v>22</v>
      </c>
      <c r="B10316" s="59">
        <v>13</v>
      </c>
      <c r="C10316" s="59">
        <v>920</v>
      </c>
      <c r="D10316" s="51">
        <v>58</v>
      </c>
      <c r="E10316" s="51">
        <f t="shared" si="161"/>
        <v>1</v>
      </c>
    </row>
    <row r="10317" spans="1:5">
      <c r="A10317" s="59">
        <v>22</v>
      </c>
      <c r="B10317" s="59">
        <v>13</v>
      </c>
      <c r="C10317" s="59">
        <v>730</v>
      </c>
      <c r="D10317" s="51">
        <v>57</v>
      </c>
      <c r="E10317" s="51">
        <f t="shared" si="161"/>
        <v>1</v>
      </c>
    </row>
    <row r="10318" spans="1:5">
      <c r="A10318" s="59">
        <v>22</v>
      </c>
      <c r="B10318" s="59">
        <v>31</v>
      </c>
      <c r="C10318" s="59">
        <v>930</v>
      </c>
      <c r="D10318" s="51">
        <v>56</v>
      </c>
      <c r="E10318" s="51">
        <f t="shared" si="161"/>
        <v>1</v>
      </c>
    </row>
    <row r="10319" spans="1:5">
      <c r="A10319" s="59">
        <v>22</v>
      </c>
      <c r="B10319" s="59">
        <v>43</v>
      </c>
      <c r="C10319" s="59">
        <v>510</v>
      </c>
      <c r="D10319" s="51">
        <v>51</v>
      </c>
      <c r="E10319" s="51">
        <f t="shared" si="161"/>
        <v>1</v>
      </c>
    </row>
    <row r="10320" spans="1:5">
      <c r="A10320" s="59">
        <v>22</v>
      </c>
      <c r="B10320" s="59">
        <v>44</v>
      </c>
      <c r="C10320" s="59">
        <v>730</v>
      </c>
      <c r="D10320" s="51">
        <v>47</v>
      </c>
      <c r="E10320" s="51">
        <f t="shared" si="161"/>
        <v>1</v>
      </c>
    </row>
    <row r="10321" spans="1:5">
      <c r="A10321" s="59">
        <v>22</v>
      </c>
      <c r="B10321" s="59">
        <v>15</v>
      </c>
      <c r="C10321" s="59">
        <v>920</v>
      </c>
      <c r="D10321" s="51">
        <v>45</v>
      </c>
      <c r="E10321" s="51">
        <f t="shared" si="161"/>
        <v>1</v>
      </c>
    </row>
    <row r="10322" spans="1:5">
      <c r="A10322" s="59">
        <v>22</v>
      </c>
      <c r="B10322" s="59">
        <v>64</v>
      </c>
      <c r="C10322" s="59">
        <v>420</v>
      </c>
      <c r="D10322" s="51">
        <v>45</v>
      </c>
      <c r="E10322" s="51">
        <f t="shared" si="161"/>
        <v>1</v>
      </c>
    </row>
    <row r="10323" spans="1:5">
      <c r="A10323" s="59">
        <v>22</v>
      </c>
      <c r="B10323" s="59">
        <v>15</v>
      </c>
      <c r="C10323" s="59">
        <v>140</v>
      </c>
      <c r="D10323" s="51">
        <v>44</v>
      </c>
      <c r="E10323" s="51">
        <f t="shared" si="161"/>
        <v>1</v>
      </c>
    </row>
    <row r="10324" spans="1:5">
      <c r="A10324" s="59">
        <v>22</v>
      </c>
      <c r="B10324" s="59">
        <v>44</v>
      </c>
      <c r="C10324" s="59">
        <v>910</v>
      </c>
      <c r="D10324" s="51">
        <v>44</v>
      </c>
      <c r="E10324" s="51">
        <f t="shared" si="161"/>
        <v>1</v>
      </c>
    </row>
    <row r="10325" spans="1:5">
      <c r="A10325" s="59">
        <v>22</v>
      </c>
      <c r="B10325" s="59">
        <v>14</v>
      </c>
      <c r="C10325" s="59">
        <v>140</v>
      </c>
      <c r="D10325" s="51">
        <v>42</v>
      </c>
      <c r="E10325" s="51">
        <f t="shared" si="161"/>
        <v>1</v>
      </c>
    </row>
    <row r="10326" spans="1:5">
      <c r="A10326" s="59">
        <v>22</v>
      </c>
      <c r="B10326" s="59">
        <v>43</v>
      </c>
      <c r="C10326" s="59">
        <v>730</v>
      </c>
      <c r="D10326" s="51">
        <v>39</v>
      </c>
      <c r="E10326" s="51">
        <f t="shared" si="161"/>
        <v>1</v>
      </c>
    </row>
    <row r="10327" spans="1:5">
      <c r="A10327" s="59">
        <v>22</v>
      </c>
      <c r="B10327" s="59">
        <v>22</v>
      </c>
      <c r="C10327" s="59">
        <v>230</v>
      </c>
      <c r="D10327" s="51">
        <v>38</v>
      </c>
      <c r="E10327" s="51">
        <f t="shared" si="161"/>
        <v>1</v>
      </c>
    </row>
    <row r="10328" spans="1:5">
      <c r="A10328" s="59">
        <v>22</v>
      </c>
      <c r="B10328" s="59">
        <v>44</v>
      </c>
      <c r="C10328" s="59">
        <v>720</v>
      </c>
      <c r="D10328" s="51">
        <v>36</v>
      </c>
      <c r="E10328" s="51">
        <f t="shared" si="161"/>
        <v>1</v>
      </c>
    </row>
    <row r="10329" spans="1:5">
      <c r="A10329" s="59">
        <v>22</v>
      </c>
      <c r="B10329" s="59">
        <v>64</v>
      </c>
      <c r="C10329" s="59">
        <v>920</v>
      </c>
      <c r="D10329" s="51">
        <v>36</v>
      </c>
      <c r="E10329" s="51">
        <f t="shared" si="161"/>
        <v>1</v>
      </c>
    </row>
    <row r="10330" spans="1:5">
      <c r="A10330" s="59">
        <v>22</v>
      </c>
      <c r="B10330" s="59">
        <v>64</v>
      </c>
      <c r="C10330" s="59">
        <v>410</v>
      </c>
      <c r="D10330" s="51">
        <v>34</v>
      </c>
      <c r="E10330" s="51">
        <f t="shared" si="161"/>
        <v>1</v>
      </c>
    </row>
    <row r="10331" spans="1:5">
      <c r="A10331" s="59">
        <v>22</v>
      </c>
      <c r="B10331" s="59">
        <v>64</v>
      </c>
      <c r="C10331" s="59">
        <v>950</v>
      </c>
      <c r="D10331" s="51">
        <v>34</v>
      </c>
      <c r="E10331" s="51">
        <f t="shared" si="161"/>
        <v>1</v>
      </c>
    </row>
    <row r="10332" spans="1:5">
      <c r="A10332" s="59">
        <v>22</v>
      </c>
      <c r="B10332" s="59">
        <v>12</v>
      </c>
      <c r="C10332" s="59">
        <v>910</v>
      </c>
      <c r="D10332" s="51">
        <v>33</v>
      </c>
      <c r="E10332" s="51">
        <f t="shared" si="161"/>
        <v>1</v>
      </c>
    </row>
    <row r="10333" spans="1:5">
      <c r="A10333" s="59">
        <v>22</v>
      </c>
      <c r="B10333" s="59">
        <v>14</v>
      </c>
      <c r="C10333" s="59">
        <v>920</v>
      </c>
      <c r="D10333" s="51">
        <v>32</v>
      </c>
      <c r="E10333" s="51">
        <f t="shared" si="161"/>
        <v>1</v>
      </c>
    </row>
    <row r="10334" spans="1:5">
      <c r="A10334" s="59">
        <v>22</v>
      </c>
      <c r="B10334" s="59">
        <v>51</v>
      </c>
      <c r="C10334" s="59">
        <v>240</v>
      </c>
      <c r="D10334" s="51">
        <v>32</v>
      </c>
      <c r="E10334" s="51">
        <f t="shared" si="161"/>
        <v>1</v>
      </c>
    </row>
    <row r="10335" spans="1:5">
      <c r="A10335" s="59">
        <v>22</v>
      </c>
      <c r="B10335" s="59">
        <v>22</v>
      </c>
      <c r="C10335" s="59">
        <v>940</v>
      </c>
      <c r="D10335" s="51">
        <v>31</v>
      </c>
      <c r="E10335" s="51">
        <f t="shared" si="161"/>
        <v>1</v>
      </c>
    </row>
    <row r="10336" spans="1:5">
      <c r="A10336" s="59">
        <v>22</v>
      </c>
      <c r="B10336" s="59">
        <v>64</v>
      </c>
      <c r="C10336" s="59">
        <v>230</v>
      </c>
      <c r="D10336" s="51">
        <v>30</v>
      </c>
      <c r="E10336" s="51">
        <f t="shared" si="161"/>
        <v>1</v>
      </c>
    </row>
    <row r="10337" spans="1:5">
      <c r="A10337" s="59">
        <v>22</v>
      </c>
      <c r="B10337" s="59">
        <v>81</v>
      </c>
      <c r="C10337" s="59">
        <v>930</v>
      </c>
      <c r="D10337" s="51">
        <v>30</v>
      </c>
      <c r="E10337" s="51">
        <f t="shared" si="161"/>
        <v>1</v>
      </c>
    </row>
    <row r="10338" spans="1:5">
      <c r="A10338" s="59">
        <v>22</v>
      </c>
      <c r="B10338" s="59">
        <v>64</v>
      </c>
      <c r="C10338" s="59">
        <v>620</v>
      </c>
      <c r="D10338" s="51">
        <v>29</v>
      </c>
      <c r="E10338" s="51">
        <f t="shared" si="161"/>
        <v>1</v>
      </c>
    </row>
    <row r="10339" spans="1:5">
      <c r="A10339" s="59">
        <v>22</v>
      </c>
      <c r="B10339" s="59">
        <v>63</v>
      </c>
      <c r="C10339" s="59">
        <v>530</v>
      </c>
      <c r="D10339" s="51">
        <v>28</v>
      </c>
      <c r="E10339" s="51">
        <f t="shared" si="161"/>
        <v>1</v>
      </c>
    </row>
    <row r="10340" spans="1:5">
      <c r="A10340" s="59">
        <v>22</v>
      </c>
      <c r="B10340" s="59">
        <v>43</v>
      </c>
      <c r="C10340" s="59">
        <v>210</v>
      </c>
      <c r="D10340" s="51">
        <v>27</v>
      </c>
      <c r="E10340" s="51">
        <f t="shared" si="161"/>
        <v>1</v>
      </c>
    </row>
    <row r="10341" spans="1:5">
      <c r="A10341" s="59">
        <v>22</v>
      </c>
      <c r="B10341" s="59">
        <v>81</v>
      </c>
      <c r="C10341" s="59">
        <v>510</v>
      </c>
      <c r="D10341" s="51">
        <v>27</v>
      </c>
      <c r="E10341" s="51">
        <f t="shared" si="161"/>
        <v>1</v>
      </c>
    </row>
    <row r="10342" spans="1:5">
      <c r="A10342" s="59">
        <v>22</v>
      </c>
      <c r="B10342" s="59">
        <v>13</v>
      </c>
      <c r="C10342" s="59">
        <v>950</v>
      </c>
      <c r="D10342" s="51">
        <v>26</v>
      </c>
      <c r="E10342" s="51">
        <f t="shared" si="161"/>
        <v>1</v>
      </c>
    </row>
    <row r="10343" spans="1:5">
      <c r="A10343" s="59">
        <v>22</v>
      </c>
      <c r="B10343" s="59">
        <v>41</v>
      </c>
      <c r="C10343" s="59">
        <v>720</v>
      </c>
      <c r="D10343" s="51">
        <v>25</v>
      </c>
      <c r="E10343" s="51">
        <f t="shared" si="161"/>
        <v>1</v>
      </c>
    </row>
    <row r="10344" spans="1:5">
      <c r="A10344" s="59">
        <v>22</v>
      </c>
      <c r="B10344" s="59">
        <v>22</v>
      </c>
      <c r="C10344" s="59">
        <v>920</v>
      </c>
      <c r="D10344" s="51">
        <v>24</v>
      </c>
      <c r="E10344" s="51">
        <f t="shared" si="161"/>
        <v>1</v>
      </c>
    </row>
    <row r="10345" spans="1:5">
      <c r="A10345" s="59">
        <v>22</v>
      </c>
      <c r="B10345" s="59">
        <v>43</v>
      </c>
      <c r="C10345" s="59">
        <v>990</v>
      </c>
      <c r="D10345" s="51">
        <v>23</v>
      </c>
      <c r="E10345" s="51">
        <f t="shared" si="161"/>
        <v>1</v>
      </c>
    </row>
    <row r="10346" spans="1:5">
      <c r="A10346" s="59">
        <v>22</v>
      </c>
      <c r="B10346" s="59">
        <v>62</v>
      </c>
      <c r="C10346" s="59">
        <v>160</v>
      </c>
      <c r="D10346" s="51">
        <v>23</v>
      </c>
      <c r="E10346" s="51">
        <f t="shared" si="161"/>
        <v>1</v>
      </c>
    </row>
    <row r="10347" spans="1:5">
      <c r="A10347" s="59">
        <v>22</v>
      </c>
      <c r="B10347" s="59">
        <v>64</v>
      </c>
      <c r="C10347" s="59">
        <v>510</v>
      </c>
      <c r="D10347" s="51">
        <v>23</v>
      </c>
      <c r="E10347" s="51">
        <f t="shared" si="161"/>
        <v>1</v>
      </c>
    </row>
    <row r="10348" spans="1:5">
      <c r="A10348" s="59">
        <v>22</v>
      </c>
      <c r="B10348" s="59">
        <v>81</v>
      </c>
      <c r="C10348" s="59">
        <v>530</v>
      </c>
      <c r="D10348" s="51">
        <v>23</v>
      </c>
      <c r="E10348" s="51">
        <f t="shared" si="161"/>
        <v>1</v>
      </c>
    </row>
    <row r="10349" spans="1:5">
      <c r="A10349" s="59">
        <v>22</v>
      </c>
      <c r="B10349" s="59">
        <v>21</v>
      </c>
      <c r="C10349" s="59">
        <v>910</v>
      </c>
      <c r="D10349" s="51">
        <v>22</v>
      </c>
      <c r="E10349" s="51">
        <f t="shared" si="161"/>
        <v>1</v>
      </c>
    </row>
    <row r="10350" spans="1:5">
      <c r="A10350" s="59">
        <v>22</v>
      </c>
      <c r="B10350" s="59">
        <v>32</v>
      </c>
      <c r="C10350" s="59">
        <v>530</v>
      </c>
      <c r="D10350" s="51">
        <v>22</v>
      </c>
      <c r="E10350" s="51">
        <f t="shared" si="161"/>
        <v>1</v>
      </c>
    </row>
    <row r="10351" spans="1:5">
      <c r="A10351" s="59">
        <v>22</v>
      </c>
      <c r="B10351" s="59">
        <v>43</v>
      </c>
      <c r="C10351" s="59">
        <v>150</v>
      </c>
      <c r="D10351" s="51">
        <v>22</v>
      </c>
      <c r="E10351" s="51">
        <f t="shared" si="161"/>
        <v>1</v>
      </c>
    </row>
    <row r="10352" spans="1:5">
      <c r="A10352" s="59">
        <v>22</v>
      </c>
      <c r="B10352" s="59">
        <v>15</v>
      </c>
      <c r="C10352" s="59">
        <v>940</v>
      </c>
      <c r="D10352" s="51">
        <v>21</v>
      </c>
      <c r="E10352" s="51">
        <f t="shared" si="161"/>
        <v>1</v>
      </c>
    </row>
    <row r="10353" spans="1:5">
      <c r="A10353" s="59">
        <v>22</v>
      </c>
      <c r="B10353" s="59">
        <v>23</v>
      </c>
      <c r="C10353" s="59">
        <v>910</v>
      </c>
      <c r="D10353" s="51">
        <v>21</v>
      </c>
      <c r="E10353" s="51">
        <f t="shared" si="161"/>
        <v>1</v>
      </c>
    </row>
    <row r="10354" spans="1:5">
      <c r="A10354" s="59">
        <v>22</v>
      </c>
      <c r="B10354" s="59">
        <v>43</v>
      </c>
      <c r="C10354" s="59">
        <v>240</v>
      </c>
      <c r="D10354" s="51">
        <v>21</v>
      </c>
      <c r="E10354" s="51">
        <f t="shared" si="161"/>
        <v>1</v>
      </c>
    </row>
    <row r="10355" spans="1:5">
      <c r="A10355" s="59">
        <v>22</v>
      </c>
      <c r="B10355" s="59">
        <v>44</v>
      </c>
      <c r="C10355" s="59">
        <v>940</v>
      </c>
      <c r="D10355" s="51">
        <v>21</v>
      </c>
      <c r="E10355" s="51">
        <f t="shared" si="161"/>
        <v>1</v>
      </c>
    </row>
    <row r="10356" spans="1:5">
      <c r="A10356" s="59">
        <v>22</v>
      </c>
      <c r="B10356" s="59">
        <v>51</v>
      </c>
      <c r="C10356" s="59">
        <v>930</v>
      </c>
      <c r="D10356" s="51">
        <v>21</v>
      </c>
      <c r="E10356" s="51">
        <f t="shared" si="161"/>
        <v>1</v>
      </c>
    </row>
    <row r="10357" spans="1:5">
      <c r="A10357" s="59">
        <v>22</v>
      </c>
      <c r="B10357" s="59">
        <v>64</v>
      </c>
      <c r="C10357" s="59">
        <v>750</v>
      </c>
      <c r="D10357" s="51">
        <v>20</v>
      </c>
      <c r="E10357" s="51">
        <f t="shared" si="161"/>
        <v>1</v>
      </c>
    </row>
    <row r="10358" spans="1:5">
      <c r="A10358" s="59">
        <v>22</v>
      </c>
      <c r="B10358" s="59">
        <v>15</v>
      </c>
      <c r="C10358" s="59">
        <v>160</v>
      </c>
      <c r="D10358" s="51">
        <v>19</v>
      </c>
      <c r="E10358" s="51">
        <f t="shared" si="161"/>
        <v>1</v>
      </c>
    </row>
    <row r="10359" spans="1:5">
      <c r="A10359" s="59">
        <v>22</v>
      </c>
      <c r="B10359" s="59">
        <v>64</v>
      </c>
      <c r="C10359" s="59">
        <v>720</v>
      </c>
      <c r="D10359" s="51">
        <v>19</v>
      </c>
      <c r="E10359" s="51">
        <f t="shared" si="161"/>
        <v>1</v>
      </c>
    </row>
    <row r="10360" spans="1:5">
      <c r="A10360" s="59">
        <v>22</v>
      </c>
      <c r="B10360" s="59">
        <v>14</v>
      </c>
      <c r="C10360" s="59">
        <v>320</v>
      </c>
      <c r="D10360" s="51">
        <v>18</v>
      </c>
      <c r="E10360" s="51">
        <f t="shared" si="161"/>
        <v>1</v>
      </c>
    </row>
    <row r="10361" spans="1:5">
      <c r="A10361" s="59">
        <v>22</v>
      </c>
      <c r="B10361" s="59">
        <v>14</v>
      </c>
      <c r="C10361" s="59">
        <v>950</v>
      </c>
      <c r="D10361" s="51">
        <v>18</v>
      </c>
      <c r="E10361" s="51">
        <f t="shared" si="161"/>
        <v>1</v>
      </c>
    </row>
    <row r="10362" spans="1:5">
      <c r="A10362" s="59">
        <v>22</v>
      </c>
      <c r="B10362" s="59">
        <v>64</v>
      </c>
      <c r="C10362" s="59">
        <v>110</v>
      </c>
      <c r="D10362" s="51">
        <v>18</v>
      </c>
      <c r="E10362" s="51">
        <f t="shared" si="161"/>
        <v>1</v>
      </c>
    </row>
    <row r="10363" spans="1:5">
      <c r="A10363" s="59">
        <v>22</v>
      </c>
      <c r="B10363" s="59">
        <v>13</v>
      </c>
      <c r="C10363" s="59">
        <v>330</v>
      </c>
      <c r="D10363" s="51">
        <v>17</v>
      </c>
      <c r="E10363" s="51">
        <f t="shared" si="161"/>
        <v>1</v>
      </c>
    </row>
    <row r="10364" spans="1:5">
      <c r="A10364" s="59">
        <v>22</v>
      </c>
      <c r="B10364" s="59">
        <v>14</v>
      </c>
      <c r="C10364" s="59">
        <v>110</v>
      </c>
      <c r="D10364" s="51">
        <v>17</v>
      </c>
      <c r="E10364" s="51">
        <f t="shared" si="161"/>
        <v>1</v>
      </c>
    </row>
    <row r="10365" spans="1:5">
      <c r="A10365" s="59">
        <v>22</v>
      </c>
      <c r="B10365" s="59">
        <v>33</v>
      </c>
      <c r="C10365" s="59">
        <v>420</v>
      </c>
      <c r="D10365" s="51">
        <v>17</v>
      </c>
      <c r="E10365" s="51">
        <f t="shared" si="161"/>
        <v>1</v>
      </c>
    </row>
    <row r="10366" spans="1:5">
      <c r="A10366" s="59">
        <v>22</v>
      </c>
      <c r="B10366" s="59">
        <v>64</v>
      </c>
      <c r="C10366" s="59">
        <v>990</v>
      </c>
      <c r="D10366" s="51">
        <v>17</v>
      </c>
      <c r="E10366" s="51">
        <f t="shared" si="161"/>
        <v>1</v>
      </c>
    </row>
    <row r="10367" spans="1:5">
      <c r="A10367" s="59">
        <v>22</v>
      </c>
      <c r="B10367" s="59">
        <v>13</v>
      </c>
      <c r="C10367" s="59">
        <v>940</v>
      </c>
      <c r="D10367" s="51">
        <v>16</v>
      </c>
      <c r="E10367" s="51">
        <f t="shared" si="161"/>
        <v>1</v>
      </c>
    </row>
    <row r="10368" spans="1:5">
      <c r="A10368" s="59">
        <v>22</v>
      </c>
      <c r="B10368" s="59">
        <v>22</v>
      </c>
      <c r="C10368" s="59">
        <v>240</v>
      </c>
      <c r="D10368" s="51">
        <v>16</v>
      </c>
      <c r="E10368" s="51">
        <f t="shared" si="161"/>
        <v>1</v>
      </c>
    </row>
    <row r="10369" spans="1:5">
      <c r="A10369" s="59">
        <v>22</v>
      </c>
      <c r="B10369" s="59">
        <v>41</v>
      </c>
      <c r="C10369" s="59">
        <v>950</v>
      </c>
      <c r="D10369" s="51">
        <v>16</v>
      </c>
      <c r="E10369" s="51">
        <f t="shared" si="161"/>
        <v>1</v>
      </c>
    </row>
    <row r="10370" spans="1:5">
      <c r="A10370" s="59">
        <v>22</v>
      </c>
      <c r="B10370" s="59">
        <v>44</v>
      </c>
      <c r="C10370" s="59">
        <v>530</v>
      </c>
      <c r="D10370" s="51">
        <v>16</v>
      </c>
      <c r="E10370" s="51">
        <f t="shared" ref="E10370:E10433" si="162">IF(OR(A10370=6,A10370=7,A10370=14,A10370=15,A10370=16,A10370=17,A10370=18,A10370=19,A10370=20,A10370=21,A10370=22,A10370=23,A10370=25,A10370=26,A10370=27,A10370=28,B10370=41,B10370=44,B10370=62),1,0)</f>
        <v>1</v>
      </c>
    </row>
    <row r="10371" spans="1:5">
      <c r="A10371" s="59">
        <v>22</v>
      </c>
      <c r="B10371" s="59">
        <v>64</v>
      </c>
      <c r="C10371" s="59">
        <v>610</v>
      </c>
      <c r="D10371" s="51">
        <v>16</v>
      </c>
      <c r="E10371" s="51">
        <f t="shared" si="162"/>
        <v>1</v>
      </c>
    </row>
    <row r="10372" spans="1:5">
      <c r="A10372" s="59">
        <v>22</v>
      </c>
      <c r="B10372" s="59">
        <v>71</v>
      </c>
      <c r="C10372" s="59">
        <v>720</v>
      </c>
      <c r="D10372" s="51">
        <v>16</v>
      </c>
      <c r="E10372" s="51">
        <f t="shared" si="162"/>
        <v>1</v>
      </c>
    </row>
    <row r="10373" spans="1:5">
      <c r="A10373" s="59">
        <v>22</v>
      </c>
      <c r="B10373" s="59">
        <v>14</v>
      </c>
      <c r="C10373" s="59">
        <v>730</v>
      </c>
      <c r="D10373" s="51">
        <v>15</v>
      </c>
      <c r="E10373" s="51">
        <f t="shared" si="162"/>
        <v>1</v>
      </c>
    </row>
    <row r="10374" spans="1:5">
      <c r="A10374" s="59">
        <v>22</v>
      </c>
      <c r="B10374" s="59">
        <v>11</v>
      </c>
      <c r="C10374" s="59">
        <v>150</v>
      </c>
      <c r="D10374" s="51">
        <v>14</v>
      </c>
      <c r="E10374" s="51">
        <f t="shared" si="162"/>
        <v>1</v>
      </c>
    </row>
    <row r="10375" spans="1:5">
      <c r="A10375" s="59">
        <v>22</v>
      </c>
      <c r="B10375" s="59">
        <v>22</v>
      </c>
      <c r="C10375" s="59">
        <v>750</v>
      </c>
      <c r="D10375" s="51">
        <v>14</v>
      </c>
      <c r="E10375" s="51">
        <f t="shared" si="162"/>
        <v>1</v>
      </c>
    </row>
    <row r="10376" spans="1:5">
      <c r="A10376" s="59">
        <v>22</v>
      </c>
      <c r="B10376" s="59">
        <v>33</v>
      </c>
      <c r="C10376" s="59">
        <v>430</v>
      </c>
      <c r="D10376" s="51">
        <v>14</v>
      </c>
      <c r="E10376" s="51">
        <f t="shared" si="162"/>
        <v>1</v>
      </c>
    </row>
    <row r="10377" spans="1:5">
      <c r="A10377" s="59">
        <v>22</v>
      </c>
      <c r="B10377" s="59">
        <v>12</v>
      </c>
      <c r="C10377" s="59">
        <v>150</v>
      </c>
      <c r="D10377" s="51">
        <v>13</v>
      </c>
      <c r="E10377" s="51">
        <f t="shared" si="162"/>
        <v>1</v>
      </c>
    </row>
    <row r="10378" spans="1:5">
      <c r="A10378" s="59">
        <v>22</v>
      </c>
      <c r="B10378" s="59">
        <v>14</v>
      </c>
      <c r="C10378" s="59">
        <v>940</v>
      </c>
      <c r="D10378" s="51">
        <v>13</v>
      </c>
      <c r="E10378" s="51">
        <f t="shared" si="162"/>
        <v>1</v>
      </c>
    </row>
    <row r="10379" spans="1:5">
      <c r="A10379" s="59">
        <v>22</v>
      </c>
      <c r="B10379" s="59">
        <v>24</v>
      </c>
      <c r="C10379" s="59">
        <v>910</v>
      </c>
      <c r="D10379" s="51">
        <v>13</v>
      </c>
      <c r="E10379" s="51">
        <f t="shared" si="162"/>
        <v>1</v>
      </c>
    </row>
    <row r="10380" spans="1:5">
      <c r="A10380" s="59">
        <v>22</v>
      </c>
      <c r="B10380" s="59">
        <v>41</v>
      </c>
      <c r="C10380" s="59">
        <v>910</v>
      </c>
      <c r="D10380" s="51">
        <v>13</v>
      </c>
      <c r="E10380" s="51">
        <f t="shared" si="162"/>
        <v>1</v>
      </c>
    </row>
    <row r="10381" spans="1:5">
      <c r="A10381" s="59">
        <v>22</v>
      </c>
      <c r="B10381" s="59">
        <v>13</v>
      </c>
      <c r="C10381" s="59">
        <v>530</v>
      </c>
      <c r="D10381" s="51">
        <v>12</v>
      </c>
      <c r="E10381" s="51">
        <f t="shared" si="162"/>
        <v>1</v>
      </c>
    </row>
    <row r="10382" spans="1:5">
      <c r="A10382" s="59">
        <v>22</v>
      </c>
      <c r="B10382" s="59">
        <v>41</v>
      </c>
      <c r="C10382" s="59">
        <v>750</v>
      </c>
      <c r="D10382" s="51">
        <v>12</v>
      </c>
      <c r="E10382" s="51">
        <f t="shared" si="162"/>
        <v>1</v>
      </c>
    </row>
    <row r="10383" spans="1:5">
      <c r="A10383" s="59">
        <v>22</v>
      </c>
      <c r="B10383" s="59">
        <v>43</v>
      </c>
      <c r="C10383" s="59">
        <v>610</v>
      </c>
      <c r="D10383" s="51">
        <v>12</v>
      </c>
      <c r="E10383" s="51">
        <f t="shared" si="162"/>
        <v>1</v>
      </c>
    </row>
    <row r="10384" spans="1:5">
      <c r="A10384" s="59">
        <v>22</v>
      </c>
      <c r="B10384" s="59">
        <v>43</v>
      </c>
      <c r="C10384" s="59">
        <v>620</v>
      </c>
      <c r="D10384" s="51">
        <v>12</v>
      </c>
      <c r="E10384" s="51">
        <f t="shared" si="162"/>
        <v>1</v>
      </c>
    </row>
    <row r="10385" spans="1:5">
      <c r="A10385" s="59">
        <v>22</v>
      </c>
      <c r="B10385" s="59">
        <v>44</v>
      </c>
      <c r="C10385" s="59">
        <v>920</v>
      </c>
      <c r="D10385" s="51">
        <v>12</v>
      </c>
      <c r="E10385" s="51">
        <f t="shared" si="162"/>
        <v>1</v>
      </c>
    </row>
    <row r="10386" spans="1:5">
      <c r="A10386" s="59">
        <v>22</v>
      </c>
      <c r="B10386" s="59">
        <v>81</v>
      </c>
      <c r="C10386" s="59">
        <v>620</v>
      </c>
      <c r="D10386" s="51">
        <v>12</v>
      </c>
      <c r="E10386" s="51">
        <f t="shared" si="162"/>
        <v>1</v>
      </c>
    </row>
    <row r="10387" spans="1:5">
      <c r="A10387" s="59">
        <v>22</v>
      </c>
      <c r="B10387" s="59">
        <v>11</v>
      </c>
      <c r="C10387" s="59">
        <v>530</v>
      </c>
      <c r="D10387" s="51">
        <v>11</v>
      </c>
      <c r="E10387" s="51">
        <f t="shared" si="162"/>
        <v>1</v>
      </c>
    </row>
    <row r="10388" spans="1:5">
      <c r="A10388" s="59">
        <v>22</v>
      </c>
      <c r="B10388" s="59">
        <v>22</v>
      </c>
      <c r="C10388" s="59">
        <v>950</v>
      </c>
      <c r="D10388" s="51">
        <v>11</v>
      </c>
      <c r="E10388" s="51">
        <f t="shared" si="162"/>
        <v>1</v>
      </c>
    </row>
    <row r="10389" spans="1:5">
      <c r="A10389" s="59">
        <v>22</v>
      </c>
      <c r="B10389" s="59">
        <v>43</v>
      </c>
      <c r="C10389" s="59">
        <v>960</v>
      </c>
      <c r="D10389" s="51">
        <v>11</v>
      </c>
      <c r="E10389" s="51">
        <f t="shared" si="162"/>
        <v>1</v>
      </c>
    </row>
    <row r="10390" spans="1:5">
      <c r="A10390" s="59">
        <v>22</v>
      </c>
      <c r="B10390" s="59">
        <v>62</v>
      </c>
      <c r="C10390" s="59">
        <v>510</v>
      </c>
      <c r="D10390" s="51">
        <v>11</v>
      </c>
      <c r="E10390" s="51">
        <f t="shared" si="162"/>
        <v>1</v>
      </c>
    </row>
    <row r="10391" spans="1:5">
      <c r="A10391" s="59">
        <v>22</v>
      </c>
      <c r="B10391" s="59">
        <v>62</v>
      </c>
      <c r="C10391" s="59">
        <v>750</v>
      </c>
      <c r="D10391" s="51">
        <v>11</v>
      </c>
      <c r="E10391" s="51">
        <f t="shared" si="162"/>
        <v>1</v>
      </c>
    </row>
    <row r="10392" spans="1:5">
      <c r="A10392" s="59">
        <v>22</v>
      </c>
      <c r="B10392" s="59">
        <v>63</v>
      </c>
      <c r="C10392" s="59">
        <v>510</v>
      </c>
      <c r="D10392" s="51">
        <v>11</v>
      </c>
      <c r="E10392" s="51">
        <f t="shared" si="162"/>
        <v>1</v>
      </c>
    </row>
    <row r="10393" spans="1:5">
      <c r="A10393" s="59">
        <v>22</v>
      </c>
      <c r="B10393" s="59">
        <v>11</v>
      </c>
      <c r="C10393" s="59">
        <v>920</v>
      </c>
      <c r="D10393" s="51">
        <v>10</v>
      </c>
      <c r="E10393" s="51">
        <f t="shared" si="162"/>
        <v>1</v>
      </c>
    </row>
    <row r="10394" spans="1:5">
      <c r="A10394" s="59">
        <v>22</v>
      </c>
      <c r="B10394" s="59">
        <v>13</v>
      </c>
      <c r="C10394" s="59">
        <v>110</v>
      </c>
      <c r="D10394" s="51">
        <v>10</v>
      </c>
      <c r="E10394" s="51">
        <f t="shared" si="162"/>
        <v>1</v>
      </c>
    </row>
    <row r="10395" spans="1:5">
      <c r="A10395" s="59">
        <v>22</v>
      </c>
      <c r="B10395" s="59">
        <v>16</v>
      </c>
      <c r="C10395" s="59">
        <v>940</v>
      </c>
      <c r="D10395" s="51">
        <v>10</v>
      </c>
      <c r="E10395" s="51">
        <f t="shared" si="162"/>
        <v>1</v>
      </c>
    </row>
    <row r="10396" spans="1:5">
      <c r="A10396" s="59">
        <v>22</v>
      </c>
      <c r="B10396" s="59">
        <v>42</v>
      </c>
      <c r="C10396" s="59">
        <v>910</v>
      </c>
      <c r="D10396" s="51">
        <v>10</v>
      </c>
      <c r="E10396" s="51">
        <f t="shared" si="162"/>
        <v>1</v>
      </c>
    </row>
    <row r="10397" spans="1:5">
      <c r="A10397" s="59">
        <v>22</v>
      </c>
      <c r="B10397" s="59">
        <v>62</v>
      </c>
      <c r="C10397" s="59">
        <v>530</v>
      </c>
      <c r="D10397" s="51">
        <v>10</v>
      </c>
      <c r="E10397" s="51">
        <f t="shared" si="162"/>
        <v>1</v>
      </c>
    </row>
    <row r="10398" spans="1:5">
      <c r="A10398" s="59">
        <v>22</v>
      </c>
      <c r="B10398" s="59">
        <v>62</v>
      </c>
      <c r="C10398" s="59">
        <v>940</v>
      </c>
      <c r="D10398" s="51">
        <v>10</v>
      </c>
      <c r="E10398" s="51">
        <f t="shared" si="162"/>
        <v>1</v>
      </c>
    </row>
    <row r="10399" spans="1:5">
      <c r="A10399" s="59">
        <v>22</v>
      </c>
      <c r="B10399" s="59">
        <v>64</v>
      </c>
      <c r="C10399" s="59">
        <v>240</v>
      </c>
      <c r="D10399" s="51">
        <v>10</v>
      </c>
      <c r="E10399" s="51">
        <f t="shared" si="162"/>
        <v>1</v>
      </c>
    </row>
    <row r="10400" spans="1:5">
      <c r="A10400" s="59">
        <v>22</v>
      </c>
      <c r="B10400" s="59">
        <v>64</v>
      </c>
      <c r="C10400" s="59">
        <v>330</v>
      </c>
      <c r="D10400" s="51">
        <v>10</v>
      </c>
      <c r="E10400" s="51">
        <f t="shared" si="162"/>
        <v>1</v>
      </c>
    </row>
    <row r="10401" spans="1:5">
      <c r="A10401" s="59">
        <v>22</v>
      </c>
      <c r="B10401" s="59">
        <v>11</v>
      </c>
      <c r="C10401" s="59">
        <v>160</v>
      </c>
      <c r="D10401" s="51">
        <v>9</v>
      </c>
      <c r="E10401" s="51">
        <f t="shared" si="162"/>
        <v>1</v>
      </c>
    </row>
    <row r="10402" spans="1:5">
      <c r="A10402" s="59">
        <v>22</v>
      </c>
      <c r="B10402" s="59">
        <v>14</v>
      </c>
      <c r="C10402" s="59">
        <v>530</v>
      </c>
      <c r="D10402" s="51">
        <v>9</v>
      </c>
      <c r="E10402" s="51">
        <f t="shared" si="162"/>
        <v>1</v>
      </c>
    </row>
    <row r="10403" spans="1:5">
      <c r="A10403" s="59">
        <v>22</v>
      </c>
      <c r="B10403" s="59">
        <v>14</v>
      </c>
      <c r="C10403" s="59">
        <v>720</v>
      </c>
      <c r="D10403" s="51">
        <v>9</v>
      </c>
      <c r="E10403" s="51">
        <f t="shared" si="162"/>
        <v>1</v>
      </c>
    </row>
    <row r="10404" spans="1:5">
      <c r="A10404" s="59">
        <v>22</v>
      </c>
      <c r="B10404" s="59">
        <v>16</v>
      </c>
      <c r="C10404" s="59">
        <v>150</v>
      </c>
      <c r="D10404" s="51">
        <v>9</v>
      </c>
      <c r="E10404" s="51">
        <f t="shared" si="162"/>
        <v>1</v>
      </c>
    </row>
    <row r="10405" spans="1:5">
      <c r="A10405" s="59">
        <v>22</v>
      </c>
      <c r="B10405" s="59">
        <v>22</v>
      </c>
      <c r="C10405" s="59">
        <v>220</v>
      </c>
      <c r="D10405" s="51">
        <v>9</v>
      </c>
      <c r="E10405" s="51">
        <f t="shared" si="162"/>
        <v>1</v>
      </c>
    </row>
    <row r="10406" spans="1:5">
      <c r="A10406" s="59">
        <v>22</v>
      </c>
      <c r="B10406" s="59">
        <v>33</v>
      </c>
      <c r="C10406" s="59">
        <v>410</v>
      </c>
      <c r="D10406" s="51">
        <v>9</v>
      </c>
      <c r="E10406" s="51">
        <f t="shared" si="162"/>
        <v>1</v>
      </c>
    </row>
    <row r="10407" spans="1:5">
      <c r="A10407" s="59">
        <v>22</v>
      </c>
      <c r="B10407" s="59">
        <v>41</v>
      </c>
      <c r="C10407" s="59">
        <v>920</v>
      </c>
      <c r="D10407" s="51">
        <v>9</v>
      </c>
      <c r="E10407" s="51">
        <f t="shared" si="162"/>
        <v>1</v>
      </c>
    </row>
    <row r="10408" spans="1:5">
      <c r="A10408" s="59">
        <v>22</v>
      </c>
      <c r="B10408" s="59">
        <v>43</v>
      </c>
      <c r="C10408" s="59">
        <v>220</v>
      </c>
      <c r="D10408" s="51">
        <v>9</v>
      </c>
      <c r="E10408" s="51">
        <f t="shared" si="162"/>
        <v>1</v>
      </c>
    </row>
    <row r="10409" spans="1:5">
      <c r="A10409" s="59">
        <v>22</v>
      </c>
      <c r="B10409" s="59">
        <v>62</v>
      </c>
      <c r="C10409" s="59">
        <v>620</v>
      </c>
      <c r="D10409" s="51">
        <v>9</v>
      </c>
      <c r="E10409" s="51">
        <f t="shared" si="162"/>
        <v>1</v>
      </c>
    </row>
    <row r="10410" spans="1:5">
      <c r="A10410" s="59">
        <v>22</v>
      </c>
      <c r="B10410" s="59">
        <v>62</v>
      </c>
      <c r="C10410" s="59">
        <v>910</v>
      </c>
      <c r="D10410" s="51">
        <v>9</v>
      </c>
      <c r="E10410" s="51">
        <f t="shared" si="162"/>
        <v>1</v>
      </c>
    </row>
    <row r="10411" spans="1:5">
      <c r="A10411" s="59">
        <v>22</v>
      </c>
      <c r="B10411" s="59">
        <v>81</v>
      </c>
      <c r="C10411" s="59">
        <v>720</v>
      </c>
      <c r="D10411" s="51">
        <v>9</v>
      </c>
      <c r="E10411" s="51">
        <f t="shared" si="162"/>
        <v>1</v>
      </c>
    </row>
    <row r="10412" spans="1:5">
      <c r="A10412" s="59">
        <v>22</v>
      </c>
      <c r="B10412" s="59">
        <v>14</v>
      </c>
      <c r="C10412" s="59">
        <v>330</v>
      </c>
      <c r="D10412" s="51">
        <v>8</v>
      </c>
      <c r="E10412" s="51">
        <f t="shared" si="162"/>
        <v>1</v>
      </c>
    </row>
    <row r="10413" spans="1:5">
      <c r="A10413" s="59">
        <v>22</v>
      </c>
      <c r="B10413" s="59">
        <v>41</v>
      </c>
      <c r="C10413" s="59">
        <v>160</v>
      </c>
      <c r="D10413" s="51">
        <v>8</v>
      </c>
      <c r="E10413" s="51">
        <f t="shared" si="162"/>
        <v>1</v>
      </c>
    </row>
    <row r="10414" spans="1:5">
      <c r="A10414" s="59">
        <v>22</v>
      </c>
      <c r="B10414" s="59">
        <v>44</v>
      </c>
      <c r="C10414" s="59">
        <v>510</v>
      </c>
      <c r="D10414" s="51">
        <v>8</v>
      </c>
      <c r="E10414" s="51">
        <f t="shared" si="162"/>
        <v>1</v>
      </c>
    </row>
    <row r="10415" spans="1:5">
      <c r="A10415" s="59">
        <v>22</v>
      </c>
      <c r="B10415" s="59">
        <v>51</v>
      </c>
      <c r="C10415" s="59">
        <v>620</v>
      </c>
      <c r="D10415" s="51">
        <v>8</v>
      </c>
      <c r="E10415" s="51">
        <f t="shared" si="162"/>
        <v>1</v>
      </c>
    </row>
    <row r="10416" spans="1:5">
      <c r="A10416" s="59">
        <v>22</v>
      </c>
      <c r="B10416" s="59">
        <v>63</v>
      </c>
      <c r="C10416" s="59">
        <v>150</v>
      </c>
      <c r="D10416" s="51">
        <v>8</v>
      </c>
      <c r="E10416" s="51">
        <f t="shared" si="162"/>
        <v>1</v>
      </c>
    </row>
    <row r="10417" spans="1:5">
      <c r="A10417" s="59">
        <v>22</v>
      </c>
      <c r="B10417" s="59">
        <v>81</v>
      </c>
      <c r="C10417" s="59">
        <v>910</v>
      </c>
      <c r="D10417" s="51">
        <v>8</v>
      </c>
      <c r="E10417" s="51">
        <f t="shared" si="162"/>
        <v>1</v>
      </c>
    </row>
    <row r="10418" spans="1:5">
      <c r="A10418" s="59">
        <v>22</v>
      </c>
      <c r="B10418" s="59">
        <v>16</v>
      </c>
      <c r="C10418" s="59">
        <v>920</v>
      </c>
      <c r="D10418" s="51">
        <v>7</v>
      </c>
      <c r="E10418" s="51">
        <f t="shared" si="162"/>
        <v>1</v>
      </c>
    </row>
    <row r="10419" spans="1:5">
      <c r="A10419" s="59">
        <v>22</v>
      </c>
      <c r="B10419" s="59">
        <v>32</v>
      </c>
      <c r="C10419" s="59">
        <v>960</v>
      </c>
      <c r="D10419" s="51">
        <v>7</v>
      </c>
      <c r="E10419" s="51">
        <f t="shared" si="162"/>
        <v>1</v>
      </c>
    </row>
    <row r="10420" spans="1:5">
      <c r="A10420" s="59">
        <v>22</v>
      </c>
      <c r="B10420" s="59">
        <v>43</v>
      </c>
      <c r="C10420" s="59">
        <v>430</v>
      </c>
      <c r="D10420" s="51">
        <v>7</v>
      </c>
      <c r="E10420" s="51">
        <f t="shared" si="162"/>
        <v>1</v>
      </c>
    </row>
    <row r="10421" spans="1:5">
      <c r="A10421" s="59">
        <v>22</v>
      </c>
      <c r="B10421" s="59">
        <v>63</v>
      </c>
      <c r="C10421" s="59">
        <v>160</v>
      </c>
      <c r="D10421" s="51">
        <v>7</v>
      </c>
      <c r="E10421" s="51">
        <f t="shared" si="162"/>
        <v>1</v>
      </c>
    </row>
    <row r="10422" spans="1:5">
      <c r="A10422" s="59">
        <v>22</v>
      </c>
      <c r="B10422" s="59">
        <v>13</v>
      </c>
      <c r="C10422" s="59">
        <v>510</v>
      </c>
      <c r="D10422" s="51">
        <v>6</v>
      </c>
      <c r="E10422" s="51">
        <f t="shared" si="162"/>
        <v>1</v>
      </c>
    </row>
    <row r="10423" spans="1:5">
      <c r="A10423" s="59">
        <v>22</v>
      </c>
      <c r="B10423" s="59">
        <v>13</v>
      </c>
      <c r="C10423" s="59">
        <v>750</v>
      </c>
      <c r="D10423" s="51">
        <v>6</v>
      </c>
      <c r="E10423" s="51">
        <f t="shared" si="162"/>
        <v>1</v>
      </c>
    </row>
    <row r="10424" spans="1:5">
      <c r="A10424" s="59">
        <v>22</v>
      </c>
      <c r="B10424" s="59">
        <v>15</v>
      </c>
      <c r="C10424" s="59">
        <v>720</v>
      </c>
      <c r="D10424" s="51">
        <v>6</v>
      </c>
      <c r="E10424" s="51">
        <f t="shared" si="162"/>
        <v>1</v>
      </c>
    </row>
    <row r="10425" spans="1:5">
      <c r="A10425" s="59">
        <v>22</v>
      </c>
      <c r="B10425" s="59">
        <v>24</v>
      </c>
      <c r="C10425" s="59">
        <v>940</v>
      </c>
      <c r="D10425" s="51">
        <v>6</v>
      </c>
      <c r="E10425" s="51">
        <f t="shared" si="162"/>
        <v>1</v>
      </c>
    </row>
    <row r="10426" spans="1:5">
      <c r="A10426" s="59">
        <v>22</v>
      </c>
      <c r="B10426" s="59">
        <v>33</v>
      </c>
      <c r="C10426" s="59">
        <v>220</v>
      </c>
      <c r="D10426" s="51">
        <v>6</v>
      </c>
      <c r="E10426" s="51">
        <f t="shared" si="162"/>
        <v>1</v>
      </c>
    </row>
    <row r="10427" spans="1:5">
      <c r="A10427" s="59">
        <v>22</v>
      </c>
      <c r="B10427" s="59">
        <v>33</v>
      </c>
      <c r="C10427" s="59">
        <v>530</v>
      </c>
      <c r="D10427" s="51">
        <v>6</v>
      </c>
      <c r="E10427" s="51">
        <f t="shared" si="162"/>
        <v>1</v>
      </c>
    </row>
    <row r="10428" spans="1:5">
      <c r="A10428" s="59">
        <v>22</v>
      </c>
      <c r="B10428" s="59">
        <v>41</v>
      </c>
      <c r="C10428" s="59">
        <v>530</v>
      </c>
      <c r="D10428" s="51">
        <v>6</v>
      </c>
      <c r="E10428" s="51">
        <f t="shared" si="162"/>
        <v>1</v>
      </c>
    </row>
    <row r="10429" spans="1:5">
      <c r="A10429" s="59">
        <v>22</v>
      </c>
      <c r="B10429" s="59">
        <v>43</v>
      </c>
      <c r="C10429" s="59">
        <v>410</v>
      </c>
      <c r="D10429" s="51">
        <v>6</v>
      </c>
      <c r="E10429" s="51">
        <f t="shared" si="162"/>
        <v>1</v>
      </c>
    </row>
    <row r="10430" spans="1:5">
      <c r="A10430" s="59">
        <v>22</v>
      </c>
      <c r="B10430" s="59">
        <v>43</v>
      </c>
      <c r="C10430" s="59">
        <v>710</v>
      </c>
      <c r="D10430" s="51">
        <v>6</v>
      </c>
      <c r="E10430" s="51">
        <f t="shared" si="162"/>
        <v>1</v>
      </c>
    </row>
    <row r="10431" spans="1:5">
      <c r="A10431" s="59">
        <v>22</v>
      </c>
      <c r="B10431" s="59">
        <v>44</v>
      </c>
      <c r="C10431" s="59">
        <v>160</v>
      </c>
      <c r="D10431" s="51">
        <v>6</v>
      </c>
      <c r="E10431" s="51">
        <f t="shared" si="162"/>
        <v>1</v>
      </c>
    </row>
    <row r="10432" spans="1:5">
      <c r="A10432" s="59">
        <v>22</v>
      </c>
      <c r="B10432" s="59">
        <v>51</v>
      </c>
      <c r="C10432" s="59">
        <v>910</v>
      </c>
      <c r="D10432" s="51">
        <v>6</v>
      </c>
      <c r="E10432" s="51">
        <f t="shared" si="162"/>
        <v>1</v>
      </c>
    </row>
    <row r="10433" spans="1:5">
      <c r="A10433" s="59">
        <v>22</v>
      </c>
      <c r="B10433" s="59">
        <v>62</v>
      </c>
      <c r="C10433" s="59">
        <v>150</v>
      </c>
      <c r="D10433" s="51">
        <v>6</v>
      </c>
      <c r="E10433" s="51">
        <f t="shared" si="162"/>
        <v>1</v>
      </c>
    </row>
    <row r="10434" spans="1:5">
      <c r="A10434" s="59">
        <v>22</v>
      </c>
      <c r="B10434" s="59">
        <v>62</v>
      </c>
      <c r="C10434" s="59">
        <v>610</v>
      </c>
      <c r="D10434" s="51">
        <v>6</v>
      </c>
      <c r="E10434" s="51">
        <f t="shared" ref="E10434:E10497" si="163">IF(OR(A10434=6,A10434=7,A10434=14,A10434=15,A10434=16,A10434=17,A10434=18,A10434=19,A10434=20,A10434=21,A10434=22,A10434=23,A10434=25,A10434=26,A10434=27,A10434=28,B10434=41,B10434=44,B10434=62),1,0)</f>
        <v>1</v>
      </c>
    </row>
    <row r="10435" spans="1:5">
      <c r="A10435" s="59">
        <v>22</v>
      </c>
      <c r="B10435" s="59">
        <v>62</v>
      </c>
      <c r="C10435" s="59">
        <v>720</v>
      </c>
      <c r="D10435" s="51">
        <v>6</v>
      </c>
      <c r="E10435" s="51">
        <f t="shared" si="163"/>
        <v>1</v>
      </c>
    </row>
    <row r="10436" spans="1:5">
      <c r="A10436" s="59">
        <v>22</v>
      </c>
      <c r="B10436" s="59">
        <v>64</v>
      </c>
      <c r="C10436" s="59">
        <v>730</v>
      </c>
      <c r="D10436" s="51">
        <v>6</v>
      </c>
      <c r="E10436" s="51">
        <f t="shared" si="163"/>
        <v>1</v>
      </c>
    </row>
    <row r="10437" spans="1:5">
      <c r="A10437" s="59">
        <v>22</v>
      </c>
      <c r="B10437" s="59">
        <v>64</v>
      </c>
      <c r="C10437" s="59">
        <v>861</v>
      </c>
      <c r="D10437" s="51">
        <v>6</v>
      </c>
      <c r="E10437" s="51">
        <f t="shared" si="163"/>
        <v>1</v>
      </c>
    </row>
    <row r="10438" spans="1:5">
      <c r="A10438" s="59">
        <v>22</v>
      </c>
      <c r="B10438" s="59">
        <v>71</v>
      </c>
      <c r="C10438" s="59">
        <v>910</v>
      </c>
      <c r="D10438" s="51">
        <v>6</v>
      </c>
      <c r="E10438" s="51">
        <f t="shared" si="163"/>
        <v>1</v>
      </c>
    </row>
    <row r="10439" spans="1:5">
      <c r="A10439" s="59">
        <v>22</v>
      </c>
      <c r="B10439" s="59">
        <v>11</v>
      </c>
      <c r="C10439" s="59">
        <v>940</v>
      </c>
      <c r="D10439" s="51">
        <v>5</v>
      </c>
      <c r="E10439" s="51">
        <f t="shared" si="163"/>
        <v>1</v>
      </c>
    </row>
    <row r="10440" spans="1:5">
      <c r="A10440" s="59">
        <v>22</v>
      </c>
      <c r="B10440" s="59">
        <v>16</v>
      </c>
      <c r="C10440" s="59">
        <v>240</v>
      </c>
      <c r="D10440" s="51">
        <v>5</v>
      </c>
      <c r="E10440" s="51">
        <f t="shared" si="163"/>
        <v>1</v>
      </c>
    </row>
    <row r="10441" spans="1:5">
      <c r="A10441" s="59">
        <v>22</v>
      </c>
      <c r="B10441" s="59">
        <v>16</v>
      </c>
      <c r="C10441" s="59">
        <v>950</v>
      </c>
      <c r="D10441" s="51">
        <v>5</v>
      </c>
      <c r="E10441" s="51">
        <f t="shared" si="163"/>
        <v>1</v>
      </c>
    </row>
    <row r="10442" spans="1:5">
      <c r="A10442" s="59">
        <v>22</v>
      </c>
      <c r="B10442" s="59">
        <v>24</v>
      </c>
      <c r="C10442" s="59">
        <v>210</v>
      </c>
      <c r="D10442" s="51">
        <v>5</v>
      </c>
      <c r="E10442" s="51">
        <f t="shared" si="163"/>
        <v>1</v>
      </c>
    </row>
    <row r="10443" spans="1:5">
      <c r="A10443" s="59">
        <v>22</v>
      </c>
      <c r="B10443" s="59">
        <v>32</v>
      </c>
      <c r="C10443" s="59">
        <v>220</v>
      </c>
      <c r="D10443" s="51">
        <v>5</v>
      </c>
      <c r="E10443" s="51">
        <f t="shared" si="163"/>
        <v>1</v>
      </c>
    </row>
    <row r="10444" spans="1:5">
      <c r="A10444" s="59">
        <v>22</v>
      </c>
      <c r="B10444" s="59">
        <v>32</v>
      </c>
      <c r="C10444" s="59">
        <v>720</v>
      </c>
      <c r="D10444" s="51">
        <v>5</v>
      </c>
      <c r="E10444" s="51">
        <f t="shared" si="163"/>
        <v>1</v>
      </c>
    </row>
    <row r="10445" spans="1:5">
      <c r="A10445" s="59">
        <v>22</v>
      </c>
      <c r="B10445" s="59">
        <v>32</v>
      </c>
      <c r="C10445" s="59">
        <v>990</v>
      </c>
      <c r="D10445" s="51">
        <v>5</v>
      </c>
      <c r="E10445" s="51">
        <f t="shared" si="163"/>
        <v>1</v>
      </c>
    </row>
    <row r="10446" spans="1:5">
      <c r="A10446" s="59">
        <v>22</v>
      </c>
      <c r="B10446" s="59">
        <v>33</v>
      </c>
      <c r="C10446" s="59">
        <v>920</v>
      </c>
      <c r="D10446" s="51">
        <v>5</v>
      </c>
      <c r="E10446" s="51">
        <f t="shared" si="163"/>
        <v>1</v>
      </c>
    </row>
    <row r="10447" spans="1:5">
      <c r="A10447" s="59">
        <v>22</v>
      </c>
      <c r="B10447" s="59">
        <v>64</v>
      </c>
      <c r="C10447" s="59">
        <v>970</v>
      </c>
      <c r="D10447" s="51">
        <v>5</v>
      </c>
      <c r="E10447" s="51">
        <f t="shared" si="163"/>
        <v>1</v>
      </c>
    </row>
    <row r="10448" spans="1:5">
      <c r="A10448" s="59">
        <v>22</v>
      </c>
      <c r="B10448" s="59">
        <v>71</v>
      </c>
      <c r="C10448" s="59">
        <v>620</v>
      </c>
      <c r="D10448" s="51">
        <v>5</v>
      </c>
      <c r="E10448" s="51">
        <f t="shared" si="163"/>
        <v>1</v>
      </c>
    </row>
    <row r="10449" spans="1:5">
      <c r="A10449" s="59">
        <v>22</v>
      </c>
      <c r="B10449" s="59">
        <v>71</v>
      </c>
      <c r="C10449" s="59">
        <v>750</v>
      </c>
      <c r="D10449" s="51">
        <v>5</v>
      </c>
      <c r="E10449" s="51">
        <f t="shared" si="163"/>
        <v>1</v>
      </c>
    </row>
    <row r="10450" spans="1:5">
      <c r="A10450" s="59">
        <v>22</v>
      </c>
      <c r="B10450" s="59">
        <v>12</v>
      </c>
      <c r="C10450" s="59">
        <v>160</v>
      </c>
      <c r="D10450" s="51">
        <v>4</v>
      </c>
      <c r="E10450" s="51">
        <f t="shared" si="163"/>
        <v>1</v>
      </c>
    </row>
    <row r="10451" spans="1:5">
      <c r="A10451" s="59">
        <v>22</v>
      </c>
      <c r="B10451" s="59">
        <v>13</v>
      </c>
      <c r="C10451" s="59">
        <v>210</v>
      </c>
      <c r="D10451" s="51">
        <v>4</v>
      </c>
      <c r="E10451" s="51">
        <f t="shared" si="163"/>
        <v>1</v>
      </c>
    </row>
    <row r="10452" spans="1:5">
      <c r="A10452" s="59">
        <v>22</v>
      </c>
      <c r="B10452" s="59">
        <v>13</v>
      </c>
      <c r="C10452" s="59">
        <v>320</v>
      </c>
      <c r="D10452" s="51">
        <v>4</v>
      </c>
      <c r="E10452" s="51">
        <f t="shared" si="163"/>
        <v>1</v>
      </c>
    </row>
    <row r="10453" spans="1:5">
      <c r="A10453" s="59">
        <v>22</v>
      </c>
      <c r="B10453" s="59">
        <v>14</v>
      </c>
      <c r="C10453" s="59">
        <v>240</v>
      </c>
      <c r="D10453" s="51">
        <v>4</v>
      </c>
      <c r="E10453" s="51">
        <f t="shared" si="163"/>
        <v>1</v>
      </c>
    </row>
    <row r="10454" spans="1:5">
      <c r="A10454" s="59">
        <v>22</v>
      </c>
      <c r="B10454" s="59">
        <v>14</v>
      </c>
      <c r="C10454" s="59">
        <v>510</v>
      </c>
      <c r="D10454" s="51">
        <v>4</v>
      </c>
      <c r="E10454" s="51">
        <f t="shared" si="163"/>
        <v>1</v>
      </c>
    </row>
    <row r="10455" spans="1:5">
      <c r="A10455" s="59">
        <v>22</v>
      </c>
      <c r="B10455" s="59">
        <v>21</v>
      </c>
      <c r="C10455" s="59">
        <v>240</v>
      </c>
      <c r="D10455" s="51">
        <v>4</v>
      </c>
      <c r="E10455" s="51">
        <f t="shared" si="163"/>
        <v>1</v>
      </c>
    </row>
    <row r="10456" spans="1:5">
      <c r="A10456" s="59">
        <v>22</v>
      </c>
      <c r="B10456" s="59">
        <v>21</v>
      </c>
      <c r="C10456" s="59">
        <v>940</v>
      </c>
      <c r="D10456" s="51">
        <v>4</v>
      </c>
      <c r="E10456" s="51">
        <f t="shared" si="163"/>
        <v>1</v>
      </c>
    </row>
    <row r="10457" spans="1:5">
      <c r="A10457" s="59">
        <v>22</v>
      </c>
      <c r="B10457" s="59">
        <v>22</v>
      </c>
      <c r="C10457" s="59">
        <v>160</v>
      </c>
      <c r="D10457" s="51">
        <v>4</v>
      </c>
      <c r="E10457" s="51">
        <f t="shared" si="163"/>
        <v>1</v>
      </c>
    </row>
    <row r="10458" spans="1:5">
      <c r="A10458" s="59">
        <v>22</v>
      </c>
      <c r="B10458" s="59">
        <v>31</v>
      </c>
      <c r="C10458" s="59">
        <v>430</v>
      </c>
      <c r="D10458" s="51">
        <v>4</v>
      </c>
      <c r="E10458" s="51">
        <f t="shared" si="163"/>
        <v>1</v>
      </c>
    </row>
    <row r="10459" spans="1:5">
      <c r="A10459" s="59">
        <v>22</v>
      </c>
      <c r="B10459" s="59">
        <v>32</v>
      </c>
      <c r="C10459" s="59">
        <v>230</v>
      </c>
      <c r="D10459" s="51">
        <v>4</v>
      </c>
      <c r="E10459" s="51">
        <f t="shared" si="163"/>
        <v>1</v>
      </c>
    </row>
    <row r="10460" spans="1:5">
      <c r="A10460" s="59">
        <v>22</v>
      </c>
      <c r="B10460" s="59">
        <v>32</v>
      </c>
      <c r="C10460" s="59">
        <v>750</v>
      </c>
      <c r="D10460" s="51">
        <v>4</v>
      </c>
      <c r="E10460" s="51">
        <f t="shared" si="163"/>
        <v>1</v>
      </c>
    </row>
    <row r="10461" spans="1:5">
      <c r="A10461" s="59">
        <v>22</v>
      </c>
      <c r="B10461" s="59">
        <v>44</v>
      </c>
      <c r="C10461" s="59">
        <v>610</v>
      </c>
      <c r="D10461" s="51">
        <v>4</v>
      </c>
      <c r="E10461" s="51">
        <f t="shared" si="163"/>
        <v>1</v>
      </c>
    </row>
    <row r="10462" spans="1:5">
      <c r="A10462" s="59">
        <v>22</v>
      </c>
      <c r="B10462" s="59">
        <v>62</v>
      </c>
      <c r="C10462" s="59">
        <v>730</v>
      </c>
      <c r="D10462" s="51">
        <v>4</v>
      </c>
      <c r="E10462" s="51">
        <f t="shared" si="163"/>
        <v>1</v>
      </c>
    </row>
    <row r="10463" spans="1:5">
      <c r="A10463" s="59">
        <v>22</v>
      </c>
      <c r="B10463" s="59">
        <v>63</v>
      </c>
      <c r="C10463" s="59">
        <v>910</v>
      </c>
      <c r="D10463" s="51">
        <v>4</v>
      </c>
      <c r="E10463" s="51">
        <f t="shared" si="163"/>
        <v>1</v>
      </c>
    </row>
    <row r="10464" spans="1:5">
      <c r="A10464" s="59">
        <v>22</v>
      </c>
      <c r="B10464" s="59">
        <v>11</v>
      </c>
      <c r="C10464" s="59">
        <v>730</v>
      </c>
      <c r="D10464" s="51">
        <v>3</v>
      </c>
      <c r="E10464" s="51">
        <f t="shared" si="163"/>
        <v>1</v>
      </c>
    </row>
    <row r="10465" spans="1:5">
      <c r="A10465" s="59">
        <v>22</v>
      </c>
      <c r="B10465" s="59">
        <v>12</v>
      </c>
      <c r="C10465" s="59">
        <v>140</v>
      </c>
      <c r="D10465" s="51">
        <v>3</v>
      </c>
      <c r="E10465" s="51">
        <f t="shared" si="163"/>
        <v>1</v>
      </c>
    </row>
    <row r="10466" spans="1:5">
      <c r="A10466" s="59">
        <v>22</v>
      </c>
      <c r="B10466" s="59">
        <v>13</v>
      </c>
      <c r="C10466" s="59">
        <v>230</v>
      </c>
      <c r="D10466" s="51">
        <v>3</v>
      </c>
      <c r="E10466" s="51">
        <f t="shared" si="163"/>
        <v>1</v>
      </c>
    </row>
    <row r="10467" spans="1:5">
      <c r="A10467" s="59">
        <v>22</v>
      </c>
      <c r="B10467" s="59">
        <v>13</v>
      </c>
      <c r="C10467" s="59">
        <v>990</v>
      </c>
      <c r="D10467" s="51">
        <v>3</v>
      </c>
      <c r="E10467" s="51">
        <f t="shared" si="163"/>
        <v>1</v>
      </c>
    </row>
    <row r="10468" spans="1:5">
      <c r="A10468" s="59">
        <v>22</v>
      </c>
      <c r="B10468" s="59">
        <v>14</v>
      </c>
      <c r="C10468" s="59">
        <v>220</v>
      </c>
      <c r="D10468" s="51">
        <v>3</v>
      </c>
      <c r="E10468" s="51">
        <f t="shared" si="163"/>
        <v>1</v>
      </c>
    </row>
    <row r="10469" spans="1:5">
      <c r="A10469" s="59">
        <v>22</v>
      </c>
      <c r="B10469" s="59">
        <v>14</v>
      </c>
      <c r="C10469" s="59">
        <v>230</v>
      </c>
      <c r="D10469" s="51">
        <v>3</v>
      </c>
      <c r="E10469" s="51">
        <f t="shared" si="163"/>
        <v>1</v>
      </c>
    </row>
    <row r="10470" spans="1:5">
      <c r="A10470" s="59">
        <v>22</v>
      </c>
      <c r="B10470" s="59">
        <v>14</v>
      </c>
      <c r="C10470" s="59">
        <v>310</v>
      </c>
      <c r="D10470" s="51">
        <v>3</v>
      </c>
      <c r="E10470" s="51">
        <f t="shared" si="163"/>
        <v>1</v>
      </c>
    </row>
    <row r="10471" spans="1:5">
      <c r="A10471" s="59">
        <v>22</v>
      </c>
      <c r="B10471" s="59">
        <v>14</v>
      </c>
      <c r="C10471" s="59">
        <v>710</v>
      </c>
      <c r="D10471" s="51">
        <v>3</v>
      </c>
      <c r="E10471" s="51">
        <f t="shared" si="163"/>
        <v>1</v>
      </c>
    </row>
    <row r="10472" spans="1:5">
      <c r="A10472" s="59">
        <v>22</v>
      </c>
      <c r="B10472" s="59">
        <v>14</v>
      </c>
      <c r="C10472" s="59">
        <v>990</v>
      </c>
      <c r="D10472" s="51">
        <v>3</v>
      </c>
      <c r="E10472" s="51">
        <f t="shared" si="163"/>
        <v>1</v>
      </c>
    </row>
    <row r="10473" spans="1:5">
      <c r="A10473" s="59">
        <v>22</v>
      </c>
      <c r="B10473" s="59">
        <v>16</v>
      </c>
      <c r="C10473" s="59">
        <v>160</v>
      </c>
      <c r="D10473" s="51">
        <v>3</v>
      </c>
      <c r="E10473" s="51">
        <f t="shared" si="163"/>
        <v>1</v>
      </c>
    </row>
    <row r="10474" spans="1:5">
      <c r="A10474" s="59">
        <v>22</v>
      </c>
      <c r="B10474" s="59">
        <v>16</v>
      </c>
      <c r="C10474" s="59">
        <v>230</v>
      </c>
      <c r="D10474" s="51">
        <v>3</v>
      </c>
      <c r="E10474" s="51">
        <f t="shared" si="163"/>
        <v>1</v>
      </c>
    </row>
    <row r="10475" spans="1:5">
      <c r="A10475" s="59">
        <v>22</v>
      </c>
      <c r="B10475" s="59">
        <v>16</v>
      </c>
      <c r="C10475" s="59">
        <v>310</v>
      </c>
      <c r="D10475" s="51">
        <v>3</v>
      </c>
      <c r="E10475" s="51">
        <f t="shared" si="163"/>
        <v>1</v>
      </c>
    </row>
    <row r="10476" spans="1:5">
      <c r="A10476" s="59">
        <v>22</v>
      </c>
      <c r="B10476" s="59">
        <v>16</v>
      </c>
      <c r="C10476" s="59">
        <v>430</v>
      </c>
      <c r="D10476" s="51">
        <v>3</v>
      </c>
      <c r="E10476" s="51">
        <f t="shared" si="163"/>
        <v>1</v>
      </c>
    </row>
    <row r="10477" spans="1:5">
      <c r="A10477" s="59">
        <v>22</v>
      </c>
      <c r="B10477" s="59">
        <v>22</v>
      </c>
      <c r="C10477" s="59">
        <v>210</v>
      </c>
      <c r="D10477" s="51">
        <v>3</v>
      </c>
      <c r="E10477" s="51">
        <f t="shared" si="163"/>
        <v>1</v>
      </c>
    </row>
    <row r="10478" spans="1:5">
      <c r="A10478" s="59">
        <v>22</v>
      </c>
      <c r="B10478" s="59">
        <v>23</v>
      </c>
      <c r="C10478" s="59">
        <v>920</v>
      </c>
      <c r="D10478" s="51">
        <v>3</v>
      </c>
      <c r="E10478" s="51">
        <f t="shared" si="163"/>
        <v>1</v>
      </c>
    </row>
    <row r="10479" spans="1:5">
      <c r="A10479" s="59">
        <v>22</v>
      </c>
      <c r="B10479" s="59">
        <v>24</v>
      </c>
      <c r="C10479" s="59">
        <v>230</v>
      </c>
      <c r="D10479" s="51">
        <v>3</v>
      </c>
      <c r="E10479" s="51">
        <f t="shared" si="163"/>
        <v>1</v>
      </c>
    </row>
    <row r="10480" spans="1:5">
      <c r="A10480" s="59">
        <v>22</v>
      </c>
      <c r="B10480" s="59">
        <v>32</v>
      </c>
      <c r="C10480" s="59">
        <v>730</v>
      </c>
      <c r="D10480" s="51">
        <v>3</v>
      </c>
      <c r="E10480" s="51">
        <f t="shared" si="163"/>
        <v>1</v>
      </c>
    </row>
    <row r="10481" spans="1:5">
      <c r="A10481" s="59">
        <v>22</v>
      </c>
      <c r="B10481" s="59">
        <v>32</v>
      </c>
      <c r="C10481" s="59">
        <v>940</v>
      </c>
      <c r="D10481" s="51">
        <v>3</v>
      </c>
      <c r="E10481" s="51">
        <f t="shared" si="163"/>
        <v>1</v>
      </c>
    </row>
    <row r="10482" spans="1:5">
      <c r="A10482" s="59">
        <v>22</v>
      </c>
      <c r="B10482" s="59">
        <v>33</v>
      </c>
      <c r="C10482" s="59">
        <v>950</v>
      </c>
      <c r="D10482" s="51">
        <v>3</v>
      </c>
      <c r="E10482" s="51">
        <f t="shared" si="163"/>
        <v>1</v>
      </c>
    </row>
    <row r="10483" spans="1:5">
      <c r="A10483" s="59">
        <v>22</v>
      </c>
      <c r="B10483" s="59">
        <v>33</v>
      </c>
      <c r="C10483" s="59">
        <v>990</v>
      </c>
      <c r="D10483" s="51">
        <v>3</v>
      </c>
      <c r="E10483" s="51">
        <f t="shared" si="163"/>
        <v>1</v>
      </c>
    </row>
    <row r="10484" spans="1:5">
      <c r="A10484" s="59">
        <v>22</v>
      </c>
      <c r="B10484" s="59">
        <v>41</v>
      </c>
      <c r="C10484" s="59">
        <v>940</v>
      </c>
      <c r="D10484" s="51">
        <v>3</v>
      </c>
      <c r="E10484" s="51">
        <f t="shared" si="163"/>
        <v>1</v>
      </c>
    </row>
    <row r="10485" spans="1:5">
      <c r="A10485" s="59">
        <v>22</v>
      </c>
      <c r="B10485" s="59">
        <v>43</v>
      </c>
      <c r="C10485" s="59">
        <v>140</v>
      </c>
      <c r="D10485" s="51">
        <v>3</v>
      </c>
      <c r="E10485" s="51">
        <f t="shared" si="163"/>
        <v>1</v>
      </c>
    </row>
    <row r="10486" spans="1:5">
      <c r="A10486" s="59">
        <v>22</v>
      </c>
      <c r="B10486" s="59">
        <v>43</v>
      </c>
      <c r="C10486" s="59">
        <v>230</v>
      </c>
      <c r="D10486" s="51">
        <v>3</v>
      </c>
      <c r="E10486" s="51">
        <f t="shared" si="163"/>
        <v>1</v>
      </c>
    </row>
    <row r="10487" spans="1:5">
      <c r="A10487" s="59">
        <v>22</v>
      </c>
      <c r="B10487" s="59">
        <v>43</v>
      </c>
      <c r="C10487" s="59">
        <v>970</v>
      </c>
      <c r="D10487" s="51">
        <v>3</v>
      </c>
      <c r="E10487" s="51">
        <f t="shared" si="163"/>
        <v>1</v>
      </c>
    </row>
    <row r="10488" spans="1:5">
      <c r="A10488" s="59">
        <v>22</v>
      </c>
      <c r="B10488" s="59">
        <v>62</v>
      </c>
      <c r="C10488" s="59">
        <v>840</v>
      </c>
      <c r="D10488" s="51">
        <v>3</v>
      </c>
      <c r="E10488" s="51">
        <f t="shared" si="163"/>
        <v>1</v>
      </c>
    </row>
    <row r="10489" spans="1:5">
      <c r="A10489" s="59">
        <v>22</v>
      </c>
      <c r="B10489" s="59">
        <v>63</v>
      </c>
      <c r="C10489" s="59">
        <v>610</v>
      </c>
      <c r="D10489" s="51">
        <v>3</v>
      </c>
      <c r="E10489" s="51">
        <f t="shared" si="163"/>
        <v>1</v>
      </c>
    </row>
    <row r="10490" spans="1:5">
      <c r="A10490" s="59">
        <v>22</v>
      </c>
      <c r="B10490" s="59">
        <v>71</v>
      </c>
      <c r="C10490" s="59">
        <v>160</v>
      </c>
      <c r="D10490" s="51">
        <v>3</v>
      </c>
      <c r="E10490" s="51">
        <f t="shared" si="163"/>
        <v>1</v>
      </c>
    </row>
    <row r="10491" spans="1:5">
      <c r="A10491" s="59">
        <v>22</v>
      </c>
      <c r="B10491" s="59">
        <v>81</v>
      </c>
      <c r="C10491" s="59">
        <v>160</v>
      </c>
      <c r="D10491" s="51">
        <v>3</v>
      </c>
      <c r="E10491" s="51">
        <f t="shared" si="163"/>
        <v>1</v>
      </c>
    </row>
    <row r="10492" spans="1:5">
      <c r="A10492" s="59">
        <v>22</v>
      </c>
      <c r="B10492" s="59">
        <v>81</v>
      </c>
      <c r="C10492" s="59">
        <v>610</v>
      </c>
      <c r="D10492" s="51">
        <v>3</v>
      </c>
      <c r="E10492" s="51">
        <f t="shared" si="163"/>
        <v>1</v>
      </c>
    </row>
    <row r="10493" spans="1:5">
      <c r="A10493" s="59">
        <v>22</v>
      </c>
      <c r="B10493" s="59">
        <v>11</v>
      </c>
      <c r="C10493" s="59">
        <v>110</v>
      </c>
      <c r="D10493" s="51">
        <v>2</v>
      </c>
      <c r="E10493" s="51">
        <f t="shared" si="163"/>
        <v>1</v>
      </c>
    </row>
    <row r="10494" spans="1:5">
      <c r="A10494" s="59">
        <v>22</v>
      </c>
      <c r="B10494" s="59">
        <v>11</v>
      </c>
      <c r="C10494" s="59">
        <v>510</v>
      </c>
      <c r="D10494" s="51">
        <v>2</v>
      </c>
      <c r="E10494" s="51">
        <f t="shared" si="163"/>
        <v>1</v>
      </c>
    </row>
    <row r="10495" spans="1:5">
      <c r="A10495" s="59">
        <v>22</v>
      </c>
      <c r="B10495" s="59">
        <v>11</v>
      </c>
      <c r="C10495" s="59">
        <v>950</v>
      </c>
      <c r="D10495" s="51">
        <v>2</v>
      </c>
      <c r="E10495" s="51">
        <f t="shared" si="163"/>
        <v>1</v>
      </c>
    </row>
    <row r="10496" spans="1:5">
      <c r="A10496" s="59">
        <v>22</v>
      </c>
      <c r="B10496" s="59">
        <v>13</v>
      </c>
      <c r="C10496" s="59">
        <v>120</v>
      </c>
      <c r="D10496" s="51">
        <v>2</v>
      </c>
      <c r="E10496" s="51">
        <f t="shared" si="163"/>
        <v>1</v>
      </c>
    </row>
    <row r="10497" spans="1:5">
      <c r="A10497" s="59">
        <v>22</v>
      </c>
      <c r="B10497" s="59">
        <v>13</v>
      </c>
      <c r="C10497" s="59">
        <v>610</v>
      </c>
      <c r="D10497" s="51">
        <v>2</v>
      </c>
      <c r="E10497" s="51">
        <f t="shared" si="163"/>
        <v>1</v>
      </c>
    </row>
    <row r="10498" spans="1:5">
      <c r="A10498" s="59">
        <v>22</v>
      </c>
      <c r="B10498" s="59">
        <v>14</v>
      </c>
      <c r="C10498" s="59">
        <v>120</v>
      </c>
      <c r="D10498" s="51">
        <v>2</v>
      </c>
      <c r="E10498" s="51">
        <f t="shared" ref="E10498:E10561" si="164">IF(OR(A10498=6,A10498=7,A10498=14,A10498=15,A10498=16,A10498=17,A10498=18,A10498=19,A10498=20,A10498=21,A10498=22,A10498=23,A10498=25,A10498=26,A10498=27,A10498=28,B10498=41,B10498=44,B10498=62),1,0)</f>
        <v>1</v>
      </c>
    </row>
    <row r="10499" spans="1:5">
      <c r="A10499" s="59">
        <v>22</v>
      </c>
      <c r="B10499" s="59">
        <v>14</v>
      </c>
      <c r="C10499" s="59">
        <v>210</v>
      </c>
      <c r="D10499" s="51">
        <v>2</v>
      </c>
      <c r="E10499" s="51">
        <f t="shared" si="164"/>
        <v>1</v>
      </c>
    </row>
    <row r="10500" spans="1:5">
      <c r="A10500" s="59">
        <v>22</v>
      </c>
      <c r="B10500" s="59">
        <v>14</v>
      </c>
      <c r="C10500" s="59">
        <v>970</v>
      </c>
      <c r="D10500" s="51">
        <v>2</v>
      </c>
      <c r="E10500" s="51">
        <f t="shared" si="164"/>
        <v>1</v>
      </c>
    </row>
    <row r="10501" spans="1:5">
      <c r="A10501" s="59">
        <v>22</v>
      </c>
      <c r="B10501" s="59">
        <v>15</v>
      </c>
      <c r="C10501" s="59">
        <v>330</v>
      </c>
      <c r="D10501" s="51">
        <v>2</v>
      </c>
      <c r="E10501" s="51">
        <f t="shared" si="164"/>
        <v>1</v>
      </c>
    </row>
    <row r="10502" spans="1:5">
      <c r="A10502" s="59">
        <v>22</v>
      </c>
      <c r="B10502" s="59">
        <v>15</v>
      </c>
      <c r="C10502" s="59">
        <v>990</v>
      </c>
      <c r="D10502" s="51">
        <v>2</v>
      </c>
      <c r="E10502" s="51">
        <f t="shared" si="164"/>
        <v>1</v>
      </c>
    </row>
    <row r="10503" spans="1:5">
      <c r="A10503" s="59">
        <v>22</v>
      </c>
      <c r="B10503" s="59">
        <v>16</v>
      </c>
      <c r="C10503" s="59">
        <v>140</v>
      </c>
      <c r="D10503" s="51">
        <v>2</v>
      </c>
      <c r="E10503" s="51">
        <f t="shared" si="164"/>
        <v>1</v>
      </c>
    </row>
    <row r="10504" spans="1:5">
      <c r="A10504" s="59">
        <v>22</v>
      </c>
      <c r="B10504" s="59">
        <v>16</v>
      </c>
      <c r="C10504" s="59">
        <v>220</v>
      </c>
      <c r="D10504" s="51">
        <v>2</v>
      </c>
      <c r="E10504" s="51">
        <f t="shared" si="164"/>
        <v>1</v>
      </c>
    </row>
    <row r="10505" spans="1:5">
      <c r="A10505" s="59">
        <v>22</v>
      </c>
      <c r="B10505" s="59">
        <v>22</v>
      </c>
      <c r="C10505" s="59">
        <v>150</v>
      </c>
      <c r="D10505" s="51">
        <v>2</v>
      </c>
      <c r="E10505" s="51">
        <f t="shared" si="164"/>
        <v>1</v>
      </c>
    </row>
    <row r="10506" spans="1:5">
      <c r="A10506" s="59">
        <v>22</v>
      </c>
      <c r="B10506" s="59">
        <v>22</v>
      </c>
      <c r="C10506" s="59">
        <v>840</v>
      </c>
      <c r="D10506" s="51">
        <v>2</v>
      </c>
      <c r="E10506" s="51">
        <f t="shared" si="164"/>
        <v>1</v>
      </c>
    </row>
    <row r="10507" spans="1:5">
      <c r="A10507" s="59">
        <v>22</v>
      </c>
      <c r="B10507" s="59">
        <v>24</v>
      </c>
      <c r="C10507" s="59">
        <v>920</v>
      </c>
      <c r="D10507" s="51">
        <v>2</v>
      </c>
      <c r="E10507" s="51">
        <f t="shared" si="164"/>
        <v>1</v>
      </c>
    </row>
    <row r="10508" spans="1:5">
      <c r="A10508" s="59">
        <v>22</v>
      </c>
      <c r="B10508" s="59">
        <v>24</v>
      </c>
      <c r="C10508" s="59">
        <v>960</v>
      </c>
      <c r="D10508" s="51">
        <v>2</v>
      </c>
      <c r="E10508" s="51">
        <f t="shared" si="164"/>
        <v>1</v>
      </c>
    </row>
    <row r="10509" spans="1:5">
      <c r="A10509" s="59">
        <v>22</v>
      </c>
      <c r="B10509" s="59">
        <v>32</v>
      </c>
      <c r="C10509" s="59">
        <v>970</v>
      </c>
      <c r="D10509" s="51">
        <v>2</v>
      </c>
      <c r="E10509" s="51">
        <f t="shared" si="164"/>
        <v>1</v>
      </c>
    </row>
    <row r="10510" spans="1:5">
      <c r="A10510" s="59">
        <v>22</v>
      </c>
      <c r="B10510" s="59">
        <v>33</v>
      </c>
      <c r="C10510" s="59">
        <v>160</v>
      </c>
      <c r="D10510" s="51">
        <v>2</v>
      </c>
      <c r="E10510" s="51">
        <f t="shared" si="164"/>
        <v>1</v>
      </c>
    </row>
    <row r="10511" spans="1:5">
      <c r="A10511" s="59">
        <v>22</v>
      </c>
      <c r="B10511" s="59">
        <v>33</v>
      </c>
      <c r="C10511" s="59">
        <v>610</v>
      </c>
      <c r="D10511" s="51">
        <v>2</v>
      </c>
      <c r="E10511" s="51">
        <f t="shared" si="164"/>
        <v>1</v>
      </c>
    </row>
    <row r="10512" spans="1:5">
      <c r="A10512" s="59">
        <v>22</v>
      </c>
      <c r="B10512" s="59">
        <v>41</v>
      </c>
      <c r="C10512" s="59">
        <v>210</v>
      </c>
      <c r="D10512" s="51">
        <v>2</v>
      </c>
      <c r="E10512" s="51">
        <f t="shared" si="164"/>
        <v>1</v>
      </c>
    </row>
    <row r="10513" spans="1:5">
      <c r="A10513" s="59">
        <v>22</v>
      </c>
      <c r="B10513" s="59">
        <v>41</v>
      </c>
      <c r="C10513" s="59">
        <v>730</v>
      </c>
      <c r="D10513" s="51">
        <v>2</v>
      </c>
      <c r="E10513" s="51">
        <f t="shared" si="164"/>
        <v>1</v>
      </c>
    </row>
    <row r="10514" spans="1:5">
      <c r="A10514" s="59">
        <v>22</v>
      </c>
      <c r="B10514" s="59">
        <v>42</v>
      </c>
      <c r="C10514" s="59">
        <v>160</v>
      </c>
      <c r="D10514" s="51">
        <v>2</v>
      </c>
      <c r="E10514" s="51">
        <f t="shared" si="164"/>
        <v>1</v>
      </c>
    </row>
    <row r="10515" spans="1:5">
      <c r="A10515" s="59">
        <v>22</v>
      </c>
      <c r="B10515" s="59">
        <v>42</v>
      </c>
      <c r="C10515" s="59">
        <v>610</v>
      </c>
      <c r="D10515" s="51">
        <v>2</v>
      </c>
      <c r="E10515" s="51">
        <f t="shared" si="164"/>
        <v>1</v>
      </c>
    </row>
    <row r="10516" spans="1:5">
      <c r="A10516" s="59">
        <v>22</v>
      </c>
      <c r="B10516" s="59">
        <v>43</v>
      </c>
      <c r="C10516" s="59">
        <v>420</v>
      </c>
      <c r="D10516" s="51">
        <v>2</v>
      </c>
      <c r="E10516" s="51">
        <f t="shared" si="164"/>
        <v>1</v>
      </c>
    </row>
    <row r="10517" spans="1:5">
      <c r="A10517" s="59">
        <v>22</v>
      </c>
      <c r="B10517" s="59">
        <v>43</v>
      </c>
      <c r="C10517" s="59">
        <v>891</v>
      </c>
      <c r="D10517" s="51">
        <v>2</v>
      </c>
      <c r="E10517" s="51">
        <f t="shared" si="164"/>
        <v>1</v>
      </c>
    </row>
    <row r="10518" spans="1:5">
      <c r="A10518" s="59">
        <v>22</v>
      </c>
      <c r="B10518" s="59">
        <v>44</v>
      </c>
      <c r="C10518" s="59">
        <v>750</v>
      </c>
      <c r="D10518" s="51">
        <v>2</v>
      </c>
      <c r="E10518" s="51">
        <f t="shared" si="164"/>
        <v>1</v>
      </c>
    </row>
    <row r="10519" spans="1:5">
      <c r="A10519" s="59">
        <v>22</v>
      </c>
      <c r="B10519" s="59">
        <v>44</v>
      </c>
      <c r="C10519" s="59">
        <v>950</v>
      </c>
      <c r="D10519" s="51">
        <v>2</v>
      </c>
      <c r="E10519" s="51">
        <f t="shared" si="164"/>
        <v>1</v>
      </c>
    </row>
    <row r="10520" spans="1:5">
      <c r="A10520" s="59">
        <v>22</v>
      </c>
      <c r="B10520" s="59">
        <v>62</v>
      </c>
      <c r="C10520" s="59">
        <v>710</v>
      </c>
      <c r="D10520" s="51">
        <v>2</v>
      </c>
      <c r="E10520" s="51">
        <f t="shared" si="164"/>
        <v>1</v>
      </c>
    </row>
    <row r="10521" spans="1:5">
      <c r="A10521" s="59">
        <v>22</v>
      </c>
      <c r="B10521" s="59">
        <v>63</v>
      </c>
      <c r="C10521" s="59">
        <v>220</v>
      </c>
      <c r="D10521" s="51">
        <v>2</v>
      </c>
      <c r="E10521" s="51">
        <f t="shared" si="164"/>
        <v>1</v>
      </c>
    </row>
    <row r="10522" spans="1:5">
      <c r="A10522" s="59">
        <v>22</v>
      </c>
      <c r="B10522" s="59">
        <v>63</v>
      </c>
      <c r="C10522" s="59">
        <v>620</v>
      </c>
      <c r="D10522" s="51">
        <v>2</v>
      </c>
      <c r="E10522" s="51">
        <f t="shared" si="164"/>
        <v>1</v>
      </c>
    </row>
    <row r="10523" spans="1:5">
      <c r="A10523" s="59">
        <v>22</v>
      </c>
      <c r="B10523" s="59">
        <v>64</v>
      </c>
      <c r="C10523" s="59">
        <v>881</v>
      </c>
      <c r="D10523" s="51">
        <v>2</v>
      </c>
      <c r="E10523" s="51">
        <f t="shared" si="164"/>
        <v>1</v>
      </c>
    </row>
    <row r="10524" spans="1:5">
      <c r="A10524" s="59">
        <v>22</v>
      </c>
      <c r="B10524" s="59">
        <v>64</v>
      </c>
      <c r="C10524" s="59">
        <v>940</v>
      </c>
      <c r="D10524" s="51">
        <v>2</v>
      </c>
      <c r="E10524" s="51">
        <f t="shared" si="164"/>
        <v>1</v>
      </c>
    </row>
    <row r="10525" spans="1:5">
      <c r="A10525" s="59">
        <v>22</v>
      </c>
      <c r="B10525" s="59">
        <v>71</v>
      </c>
      <c r="C10525" s="59">
        <v>410</v>
      </c>
      <c r="D10525" s="51">
        <v>2</v>
      </c>
      <c r="E10525" s="51">
        <f t="shared" si="164"/>
        <v>1</v>
      </c>
    </row>
    <row r="10526" spans="1:5">
      <c r="A10526" s="59">
        <v>22</v>
      </c>
      <c r="B10526" s="59">
        <v>71</v>
      </c>
      <c r="C10526" s="59">
        <v>530</v>
      </c>
      <c r="D10526" s="51">
        <v>2</v>
      </c>
      <c r="E10526" s="51">
        <f t="shared" si="164"/>
        <v>1</v>
      </c>
    </row>
    <row r="10527" spans="1:5">
      <c r="A10527" s="59">
        <v>22</v>
      </c>
      <c r="B10527" s="59">
        <v>71</v>
      </c>
      <c r="C10527" s="59">
        <v>920</v>
      </c>
      <c r="D10527" s="51">
        <v>2</v>
      </c>
      <c r="E10527" s="51">
        <f t="shared" si="164"/>
        <v>1</v>
      </c>
    </row>
    <row r="10528" spans="1:5">
      <c r="A10528" s="59">
        <v>22</v>
      </c>
      <c r="B10528" s="59">
        <v>71</v>
      </c>
      <c r="C10528" s="59">
        <v>950</v>
      </c>
      <c r="D10528" s="51">
        <v>2</v>
      </c>
      <c r="E10528" s="51">
        <f t="shared" si="164"/>
        <v>1</v>
      </c>
    </row>
    <row r="10529" spans="1:5">
      <c r="A10529" s="59">
        <v>22</v>
      </c>
      <c r="B10529" s="59">
        <v>81</v>
      </c>
      <c r="C10529" s="59">
        <v>940</v>
      </c>
      <c r="D10529" s="51">
        <v>2</v>
      </c>
      <c r="E10529" s="51">
        <f t="shared" si="164"/>
        <v>1</v>
      </c>
    </row>
    <row r="10530" spans="1:5">
      <c r="A10530" s="59">
        <v>22</v>
      </c>
      <c r="B10530" s="59">
        <v>81</v>
      </c>
      <c r="C10530" s="59">
        <v>950</v>
      </c>
      <c r="D10530" s="51">
        <v>2</v>
      </c>
      <c r="E10530" s="51">
        <f t="shared" si="164"/>
        <v>1</v>
      </c>
    </row>
    <row r="10531" spans="1:5">
      <c r="A10531" s="59">
        <v>22</v>
      </c>
      <c r="B10531" s="59">
        <v>11</v>
      </c>
      <c r="C10531" s="59">
        <v>720</v>
      </c>
      <c r="D10531" s="51">
        <v>1</v>
      </c>
      <c r="E10531" s="51">
        <f t="shared" si="164"/>
        <v>1</v>
      </c>
    </row>
    <row r="10532" spans="1:5">
      <c r="A10532" s="59">
        <v>22</v>
      </c>
      <c r="B10532" s="59">
        <v>11</v>
      </c>
      <c r="C10532" s="59">
        <v>750</v>
      </c>
      <c r="D10532" s="51">
        <v>1</v>
      </c>
      <c r="E10532" s="51">
        <f t="shared" si="164"/>
        <v>1</v>
      </c>
    </row>
    <row r="10533" spans="1:5">
      <c r="A10533" s="59">
        <v>22</v>
      </c>
      <c r="B10533" s="59">
        <v>12</v>
      </c>
      <c r="C10533" s="59">
        <v>920</v>
      </c>
      <c r="D10533" s="51">
        <v>1</v>
      </c>
      <c r="E10533" s="51">
        <f t="shared" si="164"/>
        <v>1</v>
      </c>
    </row>
    <row r="10534" spans="1:5">
      <c r="A10534" s="59">
        <v>22</v>
      </c>
      <c r="B10534" s="59">
        <v>12</v>
      </c>
      <c r="C10534" s="59">
        <v>950</v>
      </c>
      <c r="D10534" s="51">
        <v>1</v>
      </c>
      <c r="E10534" s="51">
        <f t="shared" si="164"/>
        <v>1</v>
      </c>
    </row>
    <row r="10535" spans="1:5">
      <c r="A10535" s="59">
        <v>22</v>
      </c>
      <c r="B10535" s="59">
        <v>13</v>
      </c>
      <c r="C10535" s="59">
        <v>130</v>
      </c>
      <c r="D10535" s="51">
        <v>1</v>
      </c>
      <c r="E10535" s="51">
        <f t="shared" si="164"/>
        <v>1</v>
      </c>
    </row>
    <row r="10536" spans="1:5">
      <c r="A10536" s="59">
        <v>22</v>
      </c>
      <c r="B10536" s="59">
        <v>13</v>
      </c>
      <c r="C10536" s="59">
        <v>240</v>
      </c>
      <c r="D10536" s="51">
        <v>1</v>
      </c>
      <c r="E10536" s="51">
        <f t="shared" si="164"/>
        <v>1</v>
      </c>
    </row>
    <row r="10537" spans="1:5">
      <c r="A10537" s="59">
        <v>22</v>
      </c>
      <c r="B10537" s="59">
        <v>13</v>
      </c>
      <c r="C10537" s="59">
        <v>310</v>
      </c>
      <c r="D10537" s="51">
        <v>1</v>
      </c>
      <c r="E10537" s="51">
        <f t="shared" si="164"/>
        <v>1</v>
      </c>
    </row>
    <row r="10538" spans="1:5">
      <c r="A10538" s="59">
        <v>22</v>
      </c>
      <c r="B10538" s="59">
        <v>13</v>
      </c>
      <c r="C10538" s="59">
        <v>710</v>
      </c>
      <c r="D10538" s="51">
        <v>1</v>
      </c>
      <c r="E10538" s="51">
        <f t="shared" si="164"/>
        <v>1</v>
      </c>
    </row>
    <row r="10539" spans="1:5">
      <c r="A10539" s="59">
        <v>22</v>
      </c>
      <c r="B10539" s="59">
        <v>14</v>
      </c>
      <c r="C10539" s="59">
        <v>420</v>
      </c>
      <c r="D10539" s="51">
        <v>1</v>
      </c>
      <c r="E10539" s="51">
        <f t="shared" si="164"/>
        <v>1</v>
      </c>
    </row>
    <row r="10540" spans="1:5">
      <c r="A10540" s="59">
        <v>22</v>
      </c>
      <c r="B10540" s="59">
        <v>14</v>
      </c>
      <c r="C10540" s="59">
        <v>610</v>
      </c>
      <c r="D10540" s="51">
        <v>1</v>
      </c>
      <c r="E10540" s="51">
        <f t="shared" si="164"/>
        <v>1</v>
      </c>
    </row>
    <row r="10541" spans="1:5">
      <c r="A10541" s="59">
        <v>22</v>
      </c>
      <c r="B10541" s="59">
        <v>14</v>
      </c>
      <c r="C10541" s="59">
        <v>620</v>
      </c>
      <c r="D10541" s="51">
        <v>1</v>
      </c>
      <c r="E10541" s="51">
        <f t="shared" si="164"/>
        <v>1</v>
      </c>
    </row>
    <row r="10542" spans="1:5">
      <c r="A10542" s="59">
        <v>22</v>
      </c>
      <c r="B10542" s="59">
        <v>14</v>
      </c>
      <c r="C10542" s="59">
        <v>750</v>
      </c>
      <c r="D10542" s="51">
        <v>1</v>
      </c>
      <c r="E10542" s="51">
        <f t="shared" si="164"/>
        <v>1</v>
      </c>
    </row>
    <row r="10543" spans="1:5">
      <c r="A10543" s="59">
        <v>22</v>
      </c>
      <c r="B10543" s="59">
        <v>15</v>
      </c>
      <c r="C10543" s="59">
        <v>230</v>
      </c>
      <c r="D10543" s="51">
        <v>1</v>
      </c>
      <c r="E10543" s="51">
        <f t="shared" si="164"/>
        <v>1</v>
      </c>
    </row>
    <row r="10544" spans="1:5">
      <c r="A10544" s="59">
        <v>22</v>
      </c>
      <c r="B10544" s="59">
        <v>15</v>
      </c>
      <c r="C10544" s="59">
        <v>510</v>
      </c>
      <c r="D10544" s="51">
        <v>1</v>
      </c>
      <c r="E10544" s="51">
        <f t="shared" si="164"/>
        <v>1</v>
      </c>
    </row>
    <row r="10545" spans="1:5">
      <c r="A10545" s="59">
        <v>22</v>
      </c>
      <c r="B10545" s="59">
        <v>15</v>
      </c>
      <c r="C10545" s="59">
        <v>530</v>
      </c>
      <c r="D10545" s="51">
        <v>1</v>
      </c>
      <c r="E10545" s="51">
        <f t="shared" si="164"/>
        <v>1</v>
      </c>
    </row>
    <row r="10546" spans="1:5">
      <c r="A10546" s="59">
        <v>22</v>
      </c>
      <c r="B10546" s="59">
        <v>15</v>
      </c>
      <c r="C10546" s="59">
        <v>950</v>
      </c>
      <c r="D10546" s="51">
        <v>1</v>
      </c>
      <c r="E10546" s="51">
        <f t="shared" si="164"/>
        <v>1</v>
      </c>
    </row>
    <row r="10547" spans="1:5">
      <c r="A10547" s="59">
        <v>22</v>
      </c>
      <c r="B10547" s="59">
        <v>15</v>
      </c>
      <c r="C10547" s="59">
        <v>960</v>
      </c>
      <c r="D10547" s="51">
        <v>1</v>
      </c>
      <c r="E10547" s="51">
        <f t="shared" si="164"/>
        <v>1</v>
      </c>
    </row>
    <row r="10548" spans="1:5">
      <c r="A10548" s="59">
        <v>22</v>
      </c>
      <c r="B10548" s="59">
        <v>16</v>
      </c>
      <c r="C10548" s="59">
        <v>510</v>
      </c>
      <c r="D10548" s="51">
        <v>1</v>
      </c>
      <c r="E10548" s="51">
        <f t="shared" si="164"/>
        <v>1</v>
      </c>
    </row>
    <row r="10549" spans="1:5">
      <c r="A10549" s="59">
        <v>22</v>
      </c>
      <c r="B10549" s="59">
        <v>16</v>
      </c>
      <c r="C10549" s="59">
        <v>960</v>
      </c>
      <c r="D10549" s="51">
        <v>1</v>
      </c>
      <c r="E10549" s="51">
        <f t="shared" si="164"/>
        <v>1</v>
      </c>
    </row>
    <row r="10550" spans="1:5">
      <c r="A10550" s="59">
        <v>22</v>
      </c>
      <c r="B10550" s="59">
        <v>16</v>
      </c>
      <c r="C10550" s="59">
        <v>990</v>
      </c>
      <c r="D10550" s="51">
        <v>1</v>
      </c>
      <c r="E10550" s="51">
        <f t="shared" si="164"/>
        <v>1</v>
      </c>
    </row>
    <row r="10551" spans="1:5">
      <c r="A10551" s="59">
        <v>22</v>
      </c>
      <c r="B10551" s="59">
        <v>21</v>
      </c>
      <c r="C10551" s="59">
        <v>920</v>
      </c>
      <c r="D10551" s="51">
        <v>1</v>
      </c>
      <c r="E10551" s="51">
        <f t="shared" si="164"/>
        <v>1</v>
      </c>
    </row>
    <row r="10552" spans="1:5">
      <c r="A10552" s="59">
        <v>22</v>
      </c>
      <c r="B10552" s="59">
        <v>21</v>
      </c>
      <c r="C10552" s="59">
        <v>950</v>
      </c>
      <c r="D10552" s="51">
        <v>1</v>
      </c>
      <c r="E10552" s="51">
        <f t="shared" si="164"/>
        <v>1</v>
      </c>
    </row>
    <row r="10553" spans="1:5">
      <c r="A10553" s="59">
        <v>22</v>
      </c>
      <c r="B10553" s="59">
        <v>21</v>
      </c>
      <c r="C10553" s="59">
        <v>990</v>
      </c>
      <c r="D10553" s="51">
        <v>1</v>
      </c>
      <c r="E10553" s="51">
        <f t="shared" si="164"/>
        <v>1</v>
      </c>
    </row>
    <row r="10554" spans="1:5">
      <c r="A10554" s="59">
        <v>22</v>
      </c>
      <c r="B10554" s="59">
        <v>22</v>
      </c>
      <c r="C10554" s="59">
        <v>110</v>
      </c>
      <c r="D10554" s="51">
        <v>1</v>
      </c>
      <c r="E10554" s="51">
        <f t="shared" si="164"/>
        <v>1</v>
      </c>
    </row>
    <row r="10555" spans="1:5">
      <c r="A10555" s="59">
        <v>22</v>
      </c>
      <c r="B10555" s="59">
        <v>22</v>
      </c>
      <c r="C10555" s="59">
        <v>140</v>
      </c>
      <c r="D10555" s="51">
        <v>1</v>
      </c>
      <c r="E10555" s="51">
        <f t="shared" si="164"/>
        <v>1</v>
      </c>
    </row>
    <row r="10556" spans="1:5">
      <c r="A10556" s="59">
        <v>22</v>
      </c>
      <c r="B10556" s="59">
        <v>22</v>
      </c>
      <c r="C10556" s="59">
        <v>310</v>
      </c>
      <c r="D10556" s="51">
        <v>1</v>
      </c>
      <c r="E10556" s="51">
        <f t="shared" si="164"/>
        <v>1</v>
      </c>
    </row>
    <row r="10557" spans="1:5">
      <c r="A10557" s="59">
        <v>22</v>
      </c>
      <c r="B10557" s="59">
        <v>22</v>
      </c>
      <c r="C10557" s="59">
        <v>330</v>
      </c>
      <c r="D10557" s="51">
        <v>1</v>
      </c>
      <c r="E10557" s="51">
        <f t="shared" si="164"/>
        <v>1</v>
      </c>
    </row>
    <row r="10558" spans="1:5">
      <c r="A10558" s="59">
        <v>22</v>
      </c>
      <c r="B10558" s="59">
        <v>22</v>
      </c>
      <c r="C10558" s="59">
        <v>720</v>
      </c>
      <c r="D10558" s="51">
        <v>1</v>
      </c>
      <c r="E10558" s="51">
        <f t="shared" si="164"/>
        <v>1</v>
      </c>
    </row>
    <row r="10559" spans="1:5">
      <c r="A10559" s="59">
        <v>22</v>
      </c>
      <c r="B10559" s="59">
        <v>22</v>
      </c>
      <c r="C10559" s="59">
        <v>990</v>
      </c>
      <c r="D10559" s="51">
        <v>1</v>
      </c>
      <c r="E10559" s="51">
        <f t="shared" si="164"/>
        <v>1</v>
      </c>
    </row>
    <row r="10560" spans="1:5">
      <c r="A10560" s="59">
        <v>22</v>
      </c>
      <c r="B10560" s="59">
        <v>23</v>
      </c>
      <c r="C10560" s="59">
        <v>160</v>
      </c>
      <c r="D10560" s="51">
        <v>1</v>
      </c>
      <c r="E10560" s="51">
        <f t="shared" si="164"/>
        <v>1</v>
      </c>
    </row>
    <row r="10561" spans="1:5">
      <c r="A10561" s="59">
        <v>22</v>
      </c>
      <c r="B10561" s="59">
        <v>23</v>
      </c>
      <c r="C10561" s="59">
        <v>240</v>
      </c>
      <c r="D10561" s="51">
        <v>1</v>
      </c>
      <c r="E10561" s="51">
        <f t="shared" si="164"/>
        <v>1</v>
      </c>
    </row>
    <row r="10562" spans="1:5">
      <c r="A10562" s="59">
        <v>22</v>
      </c>
      <c r="B10562" s="59">
        <v>23</v>
      </c>
      <c r="C10562" s="59">
        <v>940</v>
      </c>
      <c r="D10562" s="51">
        <v>1</v>
      </c>
      <c r="E10562" s="51">
        <f t="shared" ref="E10562:E10625" si="165">IF(OR(A10562=6,A10562=7,A10562=14,A10562=15,A10562=16,A10562=17,A10562=18,A10562=19,A10562=20,A10562=21,A10562=22,A10562=23,A10562=25,A10562=26,A10562=27,A10562=28,B10562=41,B10562=44,B10562=62),1,0)</f>
        <v>1</v>
      </c>
    </row>
    <row r="10563" spans="1:5">
      <c r="A10563" s="59">
        <v>22</v>
      </c>
      <c r="B10563" s="59">
        <v>23</v>
      </c>
      <c r="C10563" s="59">
        <v>950</v>
      </c>
      <c r="D10563" s="51">
        <v>1</v>
      </c>
      <c r="E10563" s="51">
        <f t="shared" si="165"/>
        <v>1</v>
      </c>
    </row>
    <row r="10564" spans="1:5">
      <c r="A10564" s="59">
        <v>22</v>
      </c>
      <c r="B10564" s="59">
        <v>31</v>
      </c>
      <c r="C10564" s="59">
        <v>410</v>
      </c>
      <c r="D10564" s="51">
        <v>1</v>
      </c>
      <c r="E10564" s="51">
        <f t="shared" si="165"/>
        <v>1</v>
      </c>
    </row>
    <row r="10565" spans="1:5">
      <c r="A10565" s="59">
        <v>22</v>
      </c>
      <c r="B10565" s="59">
        <v>31</v>
      </c>
      <c r="C10565" s="59">
        <v>895</v>
      </c>
      <c r="D10565" s="51">
        <v>1</v>
      </c>
      <c r="E10565" s="51">
        <f t="shared" si="165"/>
        <v>1</v>
      </c>
    </row>
    <row r="10566" spans="1:5">
      <c r="A10566" s="59">
        <v>22</v>
      </c>
      <c r="B10566" s="59">
        <v>31</v>
      </c>
      <c r="C10566" s="59">
        <v>940</v>
      </c>
      <c r="D10566" s="51">
        <v>1</v>
      </c>
      <c r="E10566" s="51">
        <f t="shared" si="165"/>
        <v>1</v>
      </c>
    </row>
    <row r="10567" spans="1:5">
      <c r="A10567" s="59">
        <v>22</v>
      </c>
      <c r="B10567" s="59">
        <v>32</v>
      </c>
      <c r="C10567" s="59">
        <v>150</v>
      </c>
      <c r="D10567" s="51">
        <v>1</v>
      </c>
      <c r="E10567" s="51">
        <f t="shared" si="165"/>
        <v>1</v>
      </c>
    </row>
    <row r="10568" spans="1:5">
      <c r="A10568" s="59">
        <v>22</v>
      </c>
      <c r="B10568" s="59">
        <v>32</v>
      </c>
      <c r="C10568" s="59">
        <v>520</v>
      </c>
      <c r="D10568" s="51">
        <v>1</v>
      </c>
      <c r="E10568" s="51">
        <f t="shared" si="165"/>
        <v>1</v>
      </c>
    </row>
    <row r="10569" spans="1:5">
      <c r="A10569" s="59">
        <v>22</v>
      </c>
      <c r="B10569" s="59">
        <v>32</v>
      </c>
      <c r="C10569" s="59">
        <v>610</v>
      </c>
      <c r="D10569" s="51">
        <v>1</v>
      </c>
      <c r="E10569" s="51">
        <f t="shared" si="165"/>
        <v>1</v>
      </c>
    </row>
    <row r="10570" spans="1:5">
      <c r="A10570" s="59">
        <v>22</v>
      </c>
      <c r="B10570" s="59">
        <v>32</v>
      </c>
      <c r="C10570" s="59">
        <v>950</v>
      </c>
      <c r="D10570" s="51">
        <v>1</v>
      </c>
      <c r="E10570" s="51">
        <f t="shared" si="165"/>
        <v>1</v>
      </c>
    </row>
    <row r="10571" spans="1:5">
      <c r="A10571" s="59">
        <v>22</v>
      </c>
      <c r="B10571" s="59">
        <v>33</v>
      </c>
      <c r="C10571" s="59">
        <v>150</v>
      </c>
      <c r="D10571" s="51">
        <v>1</v>
      </c>
      <c r="E10571" s="51">
        <f t="shared" si="165"/>
        <v>1</v>
      </c>
    </row>
    <row r="10572" spans="1:5">
      <c r="A10572" s="59">
        <v>22</v>
      </c>
      <c r="B10572" s="59">
        <v>33</v>
      </c>
      <c r="C10572" s="59">
        <v>240</v>
      </c>
      <c r="D10572" s="51">
        <v>1</v>
      </c>
      <c r="E10572" s="51">
        <f t="shared" si="165"/>
        <v>1</v>
      </c>
    </row>
    <row r="10573" spans="1:5">
      <c r="A10573" s="59">
        <v>22</v>
      </c>
      <c r="B10573" s="59">
        <v>33</v>
      </c>
      <c r="C10573" s="59">
        <v>330</v>
      </c>
      <c r="D10573" s="51">
        <v>1</v>
      </c>
      <c r="E10573" s="51">
        <f t="shared" si="165"/>
        <v>1</v>
      </c>
    </row>
    <row r="10574" spans="1:5">
      <c r="A10574" s="59">
        <v>22</v>
      </c>
      <c r="B10574" s="59">
        <v>33</v>
      </c>
      <c r="C10574" s="59">
        <v>710</v>
      </c>
      <c r="D10574" s="51">
        <v>1</v>
      </c>
      <c r="E10574" s="51">
        <f t="shared" si="165"/>
        <v>1</v>
      </c>
    </row>
    <row r="10575" spans="1:5">
      <c r="A10575" s="59">
        <v>22</v>
      </c>
      <c r="B10575" s="59">
        <v>33</v>
      </c>
      <c r="C10575" s="59">
        <v>940</v>
      </c>
      <c r="D10575" s="51">
        <v>1</v>
      </c>
      <c r="E10575" s="51">
        <f t="shared" si="165"/>
        <v>1</v>
      </c>
    </row>
    <row r="10576" spans="1:5">
      <c r="A10576" s="59">
        <v>22</v>
      </c>
      <c r="B10576" s="59">
        <v>41</v>
      </c>
      <c r="C10576" s="59">
        <v>510</v>
      </c>
      <c r="D10576" s="51">
        <v>1</v>
      </c>
      <c r="E10576" s="51">
        <f t="shared" si="165"/>
        <v>1</v>
      </c>
    </row>
    <row r="10577" spans="1:5">
      <c r="A10577" s="59">
        <v>22</v>
      </c>
      <c r="B10577" s="59">
        <v>41</v>
      </c>
      <c r="C10577" s="59">
        <v>710</v>
      </c>
      <c r="D10577" s="51">
        <v>1</v>
      </c>
      <c r="E10577" s="51">
        <f t="shared" si="165"/>
        <v>1</v>
      </c>
    </row>
    <row r="10578" spans="1:5">
      <c r="A10578" s="59">
        <v>22</v>
      </c>
      <c r="B10578" s="59">
        <v>42</v>
      </c>
      <c r="C10578" s="59">
        <v>920</v>
      </c>
      <c r="D10578" s="51">
        <v>1</v>
      </c>
      <c r="E10578" s="51">
        <f t="shared" si="165"/>
        <v>1</v>
      </c>
    </row>
    <row r="10579" spans="1:5">
      <c r="A10579" s="59">
        <v>22</v>
      </c>
      <c r="B10579" s="59">
        <v>43</v>
      </c>
      <c r="C10579" s="59">
        <v>310</v>
      </c>
      <c r="D10579" s="51">
        <v>1</v>
      </c>
      <c r="E10579" s="51">
        <f t="shared" si="165"/>
        <v>1</v>
      </c>
    </row>
    <row r="10580" spans="1:5">
      <c r="A10580" s="59">
        <v>22</v>
      </c>
      <c r="B10580" s="59">
        <v>44</v>
      </c>
      <c r="C10580" s="59">
        <v>150</v>
      </c>
      <c r="D10580" s="51">
        <v>1</v>
      </c>
      <c r="E10580" s="51">
        <f t="shared" si="165"/>
        <v>1</v>
      </c>
    </row>
    <row r="10581" spans="1:5">
      <c r="A10581" s="59">
        <v>22</v>
      </c>
      <c r="B10581" s="59">
        <v>44</v>
      </c>
      <c r="C10581" s="59">
        <v>240</v>
      </c>
      <c r="D10581" s="51">
        <v>1</v>
      </c>
      <c r="E10581" s="51">
        <f t="shared" si="165"/>
        <v>1</v>
      </c>
    </row>
    <row r="10582" spans="1:5">
      <c r="A10582" s="59">
        <v>22</v>
      </c>
      <c r="B10582" s="59">
        <v>44</v>
      </c>
      <c r="C10582" s="59">
        <v>620</v>
      </c>
      <c r="D10582" s="51">
        <v>1</v>
      </c>
      <c r="E10582" s="51">
        <f t="shared" si="165"/>
        <v>1</v>
      </c>
    </row>
    <row r="10583" spans="1:5">
      <c r="A10583" s="59">
        <v>22</v>
      </c>
      <c r="B10583" s="59">
        <v>44</v>
      </c>
      <c r="C10583" s="59">
        <v>710</v>
      </c>
      <c r="D10583" s="51">
        <v>1</v>
      </c>
      <c r="E10583" s="51">
        <f t="shared" si="165"/>
        <v>1</v>
      </c>
    </row>
    <row r="10584" spans="1:5">
      <c r="A10584" s="59">
        <v>22</v>
      </c>
      <c r="B10584" s="59">
        <v>44</v>
      </c>
      <c r="C10584" s="59">
        <v>990</v>
      </c>
      <c r="D10584" s="51">
        <v>1</v>
      </c>
      <c r="E10584" s="51">
        <f t="shared" si="165"/>
        <v>1</v>
      </c>
    </row>
    <row r="10585" spans="1:5">
      <c r="A10585" s="59">
        <v>22</v>
      </c>
      <c r="B10585" s="59">
        <v>51</v>
      </c>
      <c r="C10585" s="59">
        <v>920</v>
      </c>
      <c r="D10585" s="51">
        <v>1</v>
      </c>
      <c r="E10585" s="51">
        <f t="shared" si="165"/>
        <v>1</v>
      </c>
    </row>
    <row r="10586" spans="1:5">
      <c r="A10586" s="59">
        <v>22</v>
      </c>
      <c r="B10586" s="59">
        <v>62</v>
      </c>
      <c r="C10586" s="59">
        <v>110</v>
      </c>
      <c r="D10586" s="51">
        <v>1</v>
      </c>
      <c r="E10586" s="51">
        <f t="shared" si="165"/>
        <v>1</v>
      </c>
    </row>
    <row r="10587" spans="1:5">
      <c r="A10587" s="59">
        <v>22</v>
      </c>
      <c r="B10587" s="59">
        <v>62</v>
      </c>
      <c r="C10587" s="59">
        <v>210</v>
      </c>
      <c r="D10587" s="51">
        <v>1</v>
      </c>
      <c r="E10587" s="51">
        <f t="shared" si="165"/>
        <v>1</v>
      </c>
    </row>
    <row r="10588" spans="1:5">
      <c r="A10588" s="59">
        <v>22</v>
      </c>
      <c r="B10588" s="59">
        <v>62</v>
      </c>
      <c r="C10588" s="59">
        <v>230</v>
      </c>
      <c r="D10588" s="51">
        <v>1</v>
      </c>
      <c r="E10588" s="51">
        <f t="shared" si="165"/>
        <v>1</v>
      </c>
    </row>
    <row r="10589" spans="1:5">
      <c r="A10589" s="59">
        <v>22</v>
      </c>
      <c r="B10589" s="59">
        <v>62</v>
      </c>
      <c r="C10589" s="59">
        <v>330</v>
      </c>
      <c r="D10589" s="51">
        <v>1</v>
      </c>
      <c r="E10589" s="51">
        <f t="shared" si="165"/>
        <v>1</v>
      </c>
    </row>
    <row r="10590" spans="1:5">
      <c r="A10590" s="59">
        <v>22</v>
      </c>
      <c r="B10590" s="59">
        <v>62</v>
      </c>
      <c r="C10590" s="59">
        <v>520</v>
      </c>
      <c r="D10590" s="51">
        <v>1</v>
      </c>
      <c r="E10590" s="51">
        <f t="shared" si="165"/>
        <v>1</v>
      </c>
    </row>
    <row r="10591" spans="1:5">
      <c r="A10591" s="59">
        <v>22</v>
      </c>
      <c r="B10591" s="59">
        <v>62</v>
      </c>
      <c r="C10591" s="59">
        <v>920</v>
      </c>
      <c r="D10591" s="51">
        <v>1</v>
      </c>
      <c r="E10591" s="51">
        <f t="shared" si="165"/>
        <v>1</v>
      </c>
    </row>
    <row r="10592" spans="1:5">
      <c r="A10592" s="59">
        <v>22</v>
      </c>
      <c r="B10592" s="59">
        <v>63</v>
      </c>
      <c r="C10592" s="59">
        <v>110</v>
      </c>
      <c r="D10592" s="51">
        <v>1</v>
      </c>
      <c r="E10592" s="51">
        <f t="shared" si="165"/>
        <v>1</v>
      </c>
    </row>
    <row r="10593" spans="1:5">
      <c r="A10593" s="59">
        <v>22</v>
      </c>
      <c r="B10593" s="59">
        <v>63</v>
      </c>
      <c r="C10593" s="59">
        <v>430</v>
      </c>
      <c r="D10593" s="51">
        <v>1</v>
      </c>
      <c r="E10593" s="51">
        <f t="shared" si="165"/>
        <v>1</v>
      </c>
    </row>
    <row r="10594" spans="1:5">
      <c r="A10594" s="59">
        <v>22</v>
      </c>
      <c r="B10594" s="59">
        <v>63</v>
      </c>
      <c r="C10594" s="59">
        <v>750</v>
      </c>
      <c r="D10594" s="51">
        <v>1</v>
      </c>
      <c r="E10594" s="51">
        <f t="shared" si="165"/>
        <v>1</v>
      </c>
    </row>
    <row r="10595" spans="1:5">
      <c r="A10595" s="59">
        <v>22</v>
      </c>
      <c r="B10595" s="59">
        <v>63</v>
      </c>
      <c r="C10595" s="59">
        <v>990</v>
      </c>
      <c r="D10595" s="51">
        <v>1</v>
      </c>
      <c r="E10595" s="51">
        <f t="shared" si="165"/>
        <v>1</v>
      </c>
    </row>
    <row r="10596" spans="1:5">
      <c r="A10596" s="59">
        <v>22</v>
      </c>
      <c r="B10596" s="59">
        <v>64</v>
      </c>
      <c r="C10596" s="59">
        <v>220</v>
      </c>
      <c r="D10596" s="51">
        <v>1</v>
      </c>
      <c r="E10596" s="51">
        <f t="shared" si="165"/>
        <v>1</v>
      </c>
    </row>
    <row r="10597" spans="1:5">
      <c r="A10597" s="59">
        <v>22</v>
      </c>
      <c r="B10597" s="59">
        <v>64</v>
      </c>
      <c r="C10597" s="59">
        <v>310</v>
      </c>
      <c r="D10597" s="51">
        <v>1</v>
      </c>
      <c r="E10597" s="51">
        <f t="shared" si="165"/>
        <v>1</v>
      </c>
    </row>
    <row r="10598" spans="1:5">
      <c r="A10598" s="59">
        <v>22</v>
      </c>
      <c r="B10598" s="59">
        <v>64</v>
      </c>
      <c r="C10598" s="59">
        <v>320</v>
      </c>
      <c r="D10598" s="51">
        <v>1</v>
      </c>
      <c r="E10598" s="51">
        <f t="shared" si="165"/>
        <v>1</v>
      </c>
    </row>
    <row r="10599" spans="1:5">
      <c r="A10599" s="59">
        <v>22</v>
      </c>
      <c r="B10599" s="59">
        <v>64</v>
      </c>
      <c r="C10599" s="59">
        <v>520</v>
      </c>
      <c r="D10599" s="51">
        <v>1</v>
      </c>
      <c r="E10599" s="51">
        <f t="shared" si="165"/>
        <v>1</v>
      </c>
    </row>
    <row r="10600" spans="1:5">
      <c r="A10600" s="59">
        <v>22</v>
      </c>
      <c r="B10600" s="59">
        <v>64</v>
      </c>
      <c r="C10600" s="59">
        <v>540</v>
      </c>
      <c r="D10600" s="51">
        <v>1</v>
      </c>
      <c r="E10600" s="51">
        <f t="shared" si="165"/>
        <v>1</v>
      </c>
    </row>
    <row r="10601" spans="1:5">
      <c r="A10601" s="59">
        <v>22</v>
      </c>
      <c r="B10601" s="59">
        <v>64</v>
      </c>
      <c r="C10601" s="59">
        <v>640</v>
      </c>
      <c r="D10601" s="51">
        <v>1</v>
      </c>
      <c r="E10601" s="51">
        <f t="shared" si="165"/>
        <v>1</v>
      </c>
    </row>
    <row r="10602" spans="1:5">
      <c r="A10602" s="59">
        <v>22</v>
      </c>
      <c r="B10602" s="59">
        <v>64</v>
      </c>
      <c r="C10602" s="59">
        <v>860</v>
      </c>
      <c r="D10602" s="51">
        <v>1</v>
      </c>
      <c r="E10602" s="51">
        <f t="shared" si="165"/>
        <v>1</v>
      </c>
    </row>
    <row r="10603" spans="1:5">
      <c r="A10603" s="59">
        <v>22</v>
      </c>
      <c r="B10603" s="59">
        <v>71</v>
      </c>
      <c r="C10603" s="59">
        <v>220</v>
      </c>
      <c r="D10603" s="51">
        <v>1</v>
      </c>
      <c r="E10603" s="51">
        <f t="shared" si="165"/>
        <v>1</v>
      </c>
    </row>
    <row r="10604" spans="1:5">
      <c r="A10604" s="59">
        <v>22</v>
      </c>
      <c r="B10604" s="59">
        <v>71</v>
      </c>
      <c r="C10604" s="59">
        <v>510</v>
      </c>
      <c r="D10604" s="51">
        <v>1</v>
      </c>
      <c r="E10604" s="51">
        <f t="shared" si="165"/>
        <v>1</v>
      </c>
    </row>
    <row r="10605" spans="1:5">
      <c r="A10605" s="59">
        <v>22</v>
      </c>
      <c r="B10605" s="59">
        <v>71</v>
      </c>
      <c r="C10605" s="59">
        <v>610</v>
      </c>
      <c r="D10605" s="51">
        <v>1</v>
      </c>
      <c r="E10605" s="51">
        <f t="shared" si="165"/>
        <v>1</v>
      </c>
    </row>
    <row r="10606" spans="1:5">
      <c r="A10606" s="59">
        <v>22</v>
      </c>
      <c r="B10606" s="59">
        <v>71</v>
      </c>
      <c r="C10606" s="59">
        <v>710</v>
      </c>
      <c r="D10606" s="51">
        <v>1</v>
      </c>
      <c r="E10606" s="51">
        <f t="shared" si="165"/>
        <v>1</v>
      </c>
    </row>
    <row r="10607" spans="1:5">
      <c r="A10607" s="59">
        <v>22</v>
      </c>
      <c r="B10607" s="59">
        <v>71</v>
      </c>
      <c r="C10607" s="59">
        <v>990</v>
      </c>
      <c r="D10607" s="51">
        <v>1</v>
      </c>
      <c r="E10607" s="51">
        <f t="shared" si="165"/>
        <v>1</v>
      </c>
    </row>
    <row r="10608" spans="1:5">
      <c r="A10608" s="59">
        <v>22</v>
      </c>
      <c r="B10608" s="59">
        <v>81</v>
      </c>
      <c r="C10608" s="59">
        <v>210</v>
      </c>
      <c r="D10608" s="51">
        <v>1</v>
      </c>
      <c r="E10608" s="51">
        <f t="shared" si="165"/>
        <v>1</v>
      </c>
    </row>
    <row r="10609" spans="1:5">
      <c r="A10609" s="59">
        <v>23</v>
      </c>
      <c r="B10609" s="59">
        <v>64</v>
      </c>
      <c r="C10609" s="59">
        <v>860</v>
      </c>
      <c r="D10609" s="51">
        <v>8017</v>
      </c>
      <c r="E10609" s="51">
        <f t="shared" si="165"/>
        <v>1</v>
      </c>
    </row>
    <row r="10610" spans="1:5">
      <c r="A10610" s="59">
        <v>23</v>
      </c>
      <c r="B10610" s="59">
        <v>64</v>
      </c>
      <c r="C10610" s="59">
        <v>861</v>
      </c>
      <c r="D10610" s="51">
        <v>6615</v>
      </c>
      <c r="E10610" s="51">
        <f t="shared" si="165"/>
        <v>1</v>
      </c>
    </row>
    <row r="10611" spans="1:5">
      <c r="A10611" s="59">
        <v>23</v>
      </c>
      <c r="B10611" s="59">
        <v>43</v>
      </c>
      <c r="C10611" s="59">
        <v>860</v>
      </c>
      <c r="D10611" s="51">
        <v>4851</v>
      </c>
      <c r="E10611" s="51">
        <f t="shared" si="165"/>
        <v>1</v>
      </c>
    </row>
    <row r="10612" spans="1:5">
      <c r="A10612" s="59">
        <v>23</v>
      </c>
      <c r="B10612" s="59">
        <v>43</v>
      </c>
      <c r="C10612" s="59">
        <v>940</v>
      </c>
      <c r="D10612" s="51">
        <v>2535</v>
      </c>
      <c r="E10612" s="51">
        <f t="shared" si="165"/>
        <v>1</v>
      </c>
    </row>
    <row r="10613" spans="1:5">
      <c r="A10613" s="59">
        <v>23</v>
      </c>
      <c r="B10613" s="59">
        <v>43</v>
      </c>
      <c r="C10613" s="59">
        <v>861</v>
      </c>
      <c r="D10613" s="51">
        <v>1999</v>
      </c>
      <c r="E10613" s="51">
        <f t="shared" si="165"/>
        <v>1</v>
      </c>
    </row>
    <row r="10614" spans="1:5">
      <c r="A10614" s="59">
        <v>23</v>
      </c>
      <c r="B10614" s="59">
        <v>64</v>
      </c>
      <c r="C10614" s="59">
        <v>940</v>
      </c>
      <c r="D10614" s="51">
        <v>1229</v>
      </c>
      <c r="E10614" s="51">
        <f t="shared" si="165"/>
        <v>1</v>
      </c>
    </row>
    <row r="10615" spans="1:5">
      <c r="A10615" s="59">
        <v>23</v>
      </c>
      <c r="B10615" s="59">
        <v>64</v>
      </c>
      <c r="C10615" s="59">
        <v>160</v>
      </c>
      <c r="D10615" s="51">
        <v>921</v>
      </c>
      <c r="E10615" s="51">
        <f t="shared" si="165"/>
        <v>1</v>
      </c>
    </row>
    <row r="10616" spans="1:5">
      <c r="A10616" s="59">
        <v>23</v>
      </c>
      <c r="B10616" s="59">
        <v>43</v>
      </c>
      <c r="C10616" s="59">
        <v>210</v>
      </c>
      <c r="D10616" s="51">
        <v>789</v>
      </c>
      <c r="E10616" s="51">
        <f t="shared" si="165"/>
        <v>1</v>
      </c>
    </row>
    <row r="10617" spans="1:5">
      <c r="A10617" s="59">
        <v>23</v>
      </c>
      <c r="B10617" s="59">
        <v>64</v>
      </c>
      <c r="C10617" s="59">
        <v>210</v>
      </c>
      <c r="D10617" s="51">
        <v>513</v>
      </c>
      <c r="E10617" s="51">
        <f t="shared" si="165"/>
        <v>1</v>
      </c>
    </row>
    <row r="10618" spans="1:5">
      <c r="A10618" s="59">
        <v>23</v>
      </c>
      <c r="B10618" s="59">
        <v>43</v>
      </c>
      <c r="C10618" s="59">
        <v>160</v>
      </c>
      <c r="D10618" s="51">
        <v>492</v>
      </c>
      <c r="E10618" s="51">
        <f t="shared" si="165"/>
        <v>1</v>
      </c>
    </row>
    <row r="10619" spans="1:5">
      <c r="A10619" s="59">
        <v>23</v>
      </c>
      <c r="B10619" s="59">
        <v>64</v>
      </c>
      <c r="C10619" s="59">
        <v>870</v>
      </c>
      <c r="D10619" s="51">
        <v>487</v>
      </c>
      <c r="E10619" s="51">
        <f t="shared" si="165"/>
        <v>1</v>
      </c>
    </row>
    <row r="10620" spans="1:5">
      <c r="A10620" s="59">
        <v>23</v>
      </c>
      <c r="B10620" s="59">
        <v>44</v>
      </c>
      <c r="C10620" s="59">
        <v>860</v>
      </c>
      <c r="D10620" s="51">
        <v>450</v>
      </c>
      <c r="E10620" s="51">
        <f t="shared" si="165"/>
        <v>1</v>
      </c>
    </row>
    <row r="10621" spans="1:5">
      <c r="A10621" s="59">
        <v>23</v>
      </c>
      <c r="B10621" s="59">
        <v>44</v>
      </c>
      <c r="C10621" s="59">
        <v>530</v>
      </c>
      <c r="D10621" s="51">
        <v>385</v>
      </c>
      <c r="E10621" s="51">
        <f t="shared" si="165"/>
        <v>1</v>
      </c>
    </row>
    <row r="10622" spans="1:5">
      <c r="A10622" s="59">
        <v>23</v>
      </c>
      <c r="B10622" s="59">
        <v>14</v>
      </c>
      <c r="C10622" s="59">
        <v>940</v>
      </c>
      <c r="D10622" s="51">
        <v>384</v>
      </c>
      <c r="E10622" s="51">
        <f t="shared" si="165"/>
        <v>1</v>
      </c>
    </row>
    <row r="10623" spans="1:5">
      <c r="A10623" s="59">
        <v>23</v>
      </c>
      <c r="B10623" s="59">
        <v>64</v>
      </c>
      <c r="C10623" s="59">
        <v>530</v>
      </c>
      <c r="D10623" s="51">
        <v>367</v>
      </c>
      <c r="E10623" s="51">
        <f t="shared" si="165"/>
        <v>1</v>
      </c>
    </row>
    <row r="10624" spans="1:5">
      <c r="A10624" s="59">
        <v>23</v>
      </c>
      <c r="B10624" s="59">
        <v>44</v>
      </c>
      <c r="C10624" s="59">
        <v>940</v>
      </c>
      <c r="D10624" s="51">
        <v>237</v>
      </c>
      <c r="E10624" s="51">
        <f t="shared" si="165"/>
        <v>1</v>
      </c>
    </row>
    <row r="10625" spans="1:5">
      <c r="A10625" s="59">
        <v>23</v>
      </c>
      <c r="B10625" s="59">
        <v>43</v>
      </c>
      <c r="C10625" s="59">
        <v>910</v>
      </c>
      <c r="D10625" s="51">
        <v>217</v>
      </c>
      <c r="E10625" s="51">
        <f t="shared" si="165"/>
        <v>1</v>
      </c>
    </row>
    <row r="10626" spans="1:5">
      <c r="A10626" s="59">
        <v>23</v>
      </c>
      <c r="B10626" s="59">
        <v>13</v>
      </c>
      <c r="C10626" s="59">
        <v>940</v>
      </c>
      <c r="D10626" s="51">
        <v>191</v>
      </c>
      <c r="E10626" s="51">
        <f t="shared" ref="E10626:E10689" si="166">IF(OR(A10626=6,A10626=7,A10626=14,A10626=15,A10626=16,A10626=17,A10626=18,A10626=19,A10626=20,A10626=21,A10626=22,A10626=23,A10626=25,A10626=26,A10626=27,A10626=28,B10626=41,B10626=44,B10626=62),1,0)</f>
        <v>1</v>
      </c>
    </row>
    <row r="10627" spans="1:5">
      <c r="A10627" s="59">
        <v>23</v>
      </c>
      <c r="B10627" s="59">
        <v>42</v>
      </c>
      <c r="C10627" s="59">
        <v>940</v>
      </c>
      <c r="D10627" s="51">
        <v>178</v>
      </c>
      <c r="E10627" s="51">
        <f t="shared" si="166"/>
        <v>1</v>
      </c>
    </row>
    <row r="10628" spans="1:5">
      <c r="A10628" s="59">
        <v>23</v>
      </c>
      <c r="B10628" s="59">
        <v>43</v>
      </c>
      <c r="C10628" s="59">
        <v>530</v>
      </c>
      <c r="D10628" s="51">
        <v>164</v>
      </c>
      <c r="E10628" s="51">
        <f t="shared" si="166"/>
        <v>1</v>
      </c>
    </row>
    <row r="10629" spans="1:5">
      <c r="A10629" s="59">
        <v>23</v>
      </c>
      <c r="B10629" s="59">
        <v>81</v>
      </c>
      <c r="C10629" s="59">
        <v>860</v>
      </c>
      <c r="D10629" s="51">
        <v>153</v>
      </c>
      <c r="E10629" s="51">
        <f t="shared" si="166"/>
        <v>1</v>
      </c>
    </row>
    <row r="10630" spans="1:5">
      <c r="A10630" s="59">
        <v>23</v>
      </c>
      <c r="B10630" s="59">
        <v>14</v>
      </c>
      <c r="C10630" s="59">
        <v>160</v>
      </c>
      <c r="D10630" s="51">
        <v>138</v>
      </c>
      <c r="E10630" s="51">
        <f t="shared" si="166"/>
        <v>1</v>
      </c>
    </row>
    <row r="10631" spans="1:5">
      <c r="A10631" s="59">
        <v>23</v>
      </c>
      <c r="B10631" s="59">
        <v>81</v>
      </c>
      <c r="C10631" s="59">
        <v>870</v>
      </c>
      <c r="D10631" s="51">
        <v>137</v>
      </c>
      <c r="E10631" s="51">
        <f t="shared" si="166"/>
        <v>1</v>
      </c>
    </row>
    <row r="10632" spans="1:5">
      <c r="A10632" s="59">
        <v>23</v>
      </c>
      <c r="B10632" s="59">
        <v>13</v>
      </c>
      <c r="C10632" s="59">
        <v>160</v>
      </c>
      <c r="D10632" s="51">
        <v>133</v>
      </c>
      <c r="E10632" s="51">
        <f t="shared" si="166"/>
        <v>1</v>
      </c>
    </row>
    <row r="10633" spans="1:5">
      <c r="A10633" s="59">
        <v>23</v>
      </c>
      <c r="B10633" s="59">
        <v>44</v>
      </c>
      <c r="C10633" s="59">
        <v>861</v>
      </c>
      <c r="D10633" s="51">
        <v>133</v>
      </c>
      <c r="E10633" s="51">
        <f t="shared" si="166"/>
        <v>1</v>
      </c>
    </row>
    <row r="10634" spans="1:5">
      <c r="A10634" s="59">
        <v>23</v>
      </c>
      <c r="B10634" s="59">
        <v>43</v>
      </c>
      <c r="C10634" s="59">
        <v>930</v>
      </c>
      <c r="D10634" s="51">
        <v>125</v>
      </c>
      <c r="E10634" s="51">
        <f t="shared" si="166"/>
        <v>1</v>
      </c>
    </row>
    <row r="10635" spans="1:5">
      <c r="A10635" s="59">
        <v>23</v>
      </c>
      <c r="B10635" s="59">
        <v>64</v>
      </c>
      <c r="C10635" s="59">
        <v>910</v>
      </c>
      <c r="D10635" s="51">
        <v>125</v>
      </c>
      <c r="E10635" s="51">
        <f t="shared" si="166"/>
        <v>1</v>
      </c>
    </row>
    <row r="10636" spans="1:5">
      <c r="A10636" s="59">
        <v>23</v>
      </c>
      <c r="B10636" s="59">
        <v>71</v>
      </c>
      <c r="C10636" s="59">
        <v>940</v>
      </c>
      <c r="D10636" s="51">
        <v>122</v>
      </c>
      <c r="E10636" s="51">
        <f t="shared" si="166"/>
        <v>1</v>
      </c>
    </row>
    <row r="10637" spans="1:5">
      <c r="A10637" s="59">
        <v>23</v>
      </c>
      <c r="B10637" s="59">
        <v>14</v>
      </c>
      <c r="C10637" s="59">
        <v>210</v>
      </c>
      <c r="D10637" s="51">
        <v>107</v>
      </c>
      <c r="E10637" s="51">
        <f t="shared" si="166"/>
        <v>1</v>
      </c>
    </row>
    <row r="10638" spans="1:5">
      <c r="A10638" s="59">
        <v>23</v>
      </c>
      <c r="B10638" s="59">
        <v>63</v>
      </c>
      <c r="C10638" s="59">
        <v>861</v>
      </c>
      <c r="D10638" s="51">
        <v>106</v>
      </c>
      <c r="E10638" s="51">
        <f t="shared" si="166"/>
        <v>1</v>
      </c>
    </row>
    <row r="10639" spans="1:5">
      <c r="A10639" s="59">
        <v>23</v>
      </c>
      <c r="B10639" s="59">
        <v>64</v>
      </c>
      <c r="C10639" s="59">
        <v>240</v>
      </c>
      <c r="D10639" s="51">
        <v>103</v>
      </c>
      <c r="E10639" s="51">
        <f t="shared" si="166"/>
        <v>1</v>
      </c>
    </row>
    <row r="10640" spans="1:5">
      <c r="A10640" s="59">
        <v>23</v>
      </c>
      <c r="B10640" s="59">
        <v>64</v>
      </c>
      <c r="C10640" s="59">
        <v>150</v>
      </c>
      <c r="D10640" s="51">
        <v>101</v>
      </c>
      <c r="E10640" s="51">
        <f t="shared" si="166"/>
        <v>1</v>
      </c>
    </row>
    <row r="10641" spans="1:5">
      <c r="A10641" s="59">
        <v>23</v>
      </c>
      <c r="B10641" s="59">
        <v>14</v>
      </c>
      <c r="C10641" s="59">
        <v>860</v>
      </c>
      <c r="D10641" s="51">
        <v>97</v>
      </c>
      <c r="E10641" s="51">
        <f t="shared" si="166"/>
        <v>1</v>
      </c>
    </row>
    <row r="10642" spans="1:5">
      <c r="A10642" s="59">
        <v>23</v>
      </c>
      <c r="B10642" s="59">
        <v>64</v>
      </c>
      <c r="C10642" s="59">
        <v>620</v>
      </c>
      <c r="D10642" s="51">
        <v>94</v>
      </c>
      <c r="E10642" s="51">
        <f t="shared" si="166"/>
        <v>1</v>
      </c>
    </row>
    <row r="10643" spans="1:5">
      <c r="A10643" s="59">
        <v>23</v>
      </c>
      <c r="B10643" s="59">
        <v>63</v>
      </c>
      <c r="C10643" s="59">
        <v>940</v>
      </c>
      <c r="D10643" s="51">
        <v>82</v>
      </c>
      <c r="E10643" s="51">
        <f t="shared" si="166"/>
        <v>1</v>
      </c>
    </row>
    <row r="10644" spans="1:5">
      <c r="A10644" s="59">
        <v>23</v>
      </c>
      <c r="B10644" s="59">
        <v>63</v>
      </c>
      <c r="C10644" s="59">
        <v>160</v>
      </c>
      <c r="D10644" s="51">
        <v>79</v>
      </c>
      <c r="E10644" s="51">
        <f t="shared" si="166"/>
        <v>1</v>
      </c>
    </row>
    <row r="10645" spans="1:5">
      <c r="A10645" s="59">
        <v>23</v>
      </c>
      <c r="B10645" s="59">
        <v>64</v>
      </c>
      <c r="C10645" s="59">
        <v>930</v>
      </c>
      <c r="D10645" s="51">
        <v>78</v>
      </c>
      <c r="E10645" s="51">
        <f t="shared" si="166"/>
        <v>1</v>
      </c>
    </row>
    <row r="10646" spans="1:5">
      <c r="A10646" s="59">
        <v>23</v>
      </c>
      <c r="B10646" s="59">
        <v>64</v>
      </c>
      <c r="C10646" s="59">
        <v>430</v>
      </c>
      <c r="D10646" s="51">
        <v>77</v>
      </c>
      <c r="E10646" s="51">
        <f t="shared" si="166"/>
        <v>1</v>
      </c>
    </row>
    <row r="10647" spans="1:5">
      <c r="A10647" s="59">
        <v>23</v>
      </c>
      <c r="B10647" s="59">
        <v>71</v>
      </c>
      <c r="C10647" s="59">
        <v>620</v>
      </c>
      <c r="D10647" s="51">
        <v>77</v>
      </c>
      <c r="E10647" s="51">
        <f t="shared" si="166"/>
        <v>1</v>
      </c>
    </row>
    <row r="10648" spans="1:5">
      <c r="A10648" s="59">
        <v>23</v>
      </c>
      <c r="B10648" s="59">
        <v>64</v>
      </c>
      <c r="C10648" s="59">
        <v>330</v>
      </c>
      <c r="D10648" s="51">
        <v>76</v>
      </c>
      <c r="E10648" s="51">
        <f t="shared" si="166"/>
        <v>1</v>
      </c>
    </row>
    <row r="10649" spans="1:5">
      <c r="A10649" s="59">
        <v>23</v>
      </c>
      <c r="B10649" s="59">
        <v>63</v>
      </c>
      <c r="C10649" s="59">
        <v>530</v>
      </c>
      <c r="D10649" s="51">
        <v>75</v>
      </c>
      <c r="E10649" s="51">
        <f t="shared" si="166"/>
        <v>1</v>
      </c>
    </row>
    <row r="10650" spans="1:5">
      <c r="A10650" s="59">
        <v>23</v>
      </c>
      <c r="B10650" s="59">
        <v>71</v>
      </c>
      <c r="C10650" s="59">
        <v>160</v>
      </c>
      <c r="D10650" s="51">
        <v>75</v>
      </c>
      <c r="E10650" s="51">
        <f t="shared" si="166"/>
        <v>1</v>
      </c>
    </row>
    <row r="10651" spans="1:5">
      <c r="A10651" s="59">
        <v>23</v>
      </c>
      <c r="B10651" s="59">
        <v>43</v>
      </c>
      <c r="C10651" s="59">
        <v>990</v>
      </c>
      <c r="D10651" s="51">
        <v>74</v>
      </c>
      <c r="E10651" s="51">
        <f t="shared" si="166"/>
        <v>1</v>
      </c>
    </row>
    <row r="10652" spans="1:5">
      <c r="A10652" s="59">
        <v>23</v>
      </c>
      <c r="B10652" s="59">
        <v>43</v>
      </c>
      <c r="C10652" s="59">
        <v>240</v>
      </c>
      <c r="D10652" s="51">
        <v>70</v>
      </c>
      <c r="E10652" s="51">
        <f t="shared" si="166"/>
        <v>1</v>
      </c>
    </row>
    <row r="10653" spans="1:5">
      <c r="A10653" s="59">
        <v>23</v>
      </c>
      <c r="B10653" s="59">
        <v>13</v>
      </c>
      <c r="C10653" s="59">
        <v>210</v>
      </c>
      <c r="D10653" s="51">
        <v>67</v>
      </c>
      <c r="E10653" s="51">
        <f t="shared" si="166"/>
        <v>1</v>
      </c>
    </row>
    <row r="10654" spans="1:5">
      <c r="A10654" s="59">
        <v>23</v>
      </c>
      <c r="B10654" s="59">
        <v>64</v>
      </c>
      <c r="C10654" s="59">
        <v>510</v>
      </c>
      <c r="D10654" s="51">
        <v>63</v>
      </c>
      <c r="E10654" s="51">
        <f t="shared" si="166"/>
        <v>1</v>
      </c>
    </row>
    <row r="10655" spans="1:5">
      <c r="A10655" s="59">
        <v>23</v>
      </c>
      <c r="B10655" s="59">
        <v>62</v>
      </c>
      <c r="C10655" s="59">
        <v>530</v>
      </c>
      <c r="D10655" s="51">
        <v>62</v>
      </c>
      <c r="E10655" s="51">
        <f t="shared" si="166"/>
        <v>1</v>
      </c>
    </row>
    <row r="10656" spans="1:5">
      <c r="A10656" s="59">
        <v>23</v>
      </c>
      <c r="B10656" s="59">
        <v>62</v>
      </c>
      <c r="C10656" s="59">
        <v>940</v>
      </c>
      <c r="D10656" s="51">
        <v>62</v>
      </c>
      <c r="E10656" s="51">
        <f t="shared" si="166"/>
        <v>1</v>
      </c>
    </row>
    <row r="10657" spans="1:5">
      <c r="A10657" s="59">
        <v>23</v>
      </c>
      <c r="B10657" s="59">
        <v>44</v>
      </c>
      <c r="C10657" s="59">
        <v>881</v>
      </c>
      <c r="D10657" s="51">
        <v>59</v>
      </c>
      <c r="E10657" s="51">
        <f t="shared" si="166"/>
        <v>1</v>
      </c>
    </row>
    <row r="10658" spans="1:5">
      <c r="A10658" s="59">
        <v>23</v>
      </c>
      <c r="B10658" s="59">
        <v>14</v>
      </c>
      <c r="C10658" s="59">
        <v>910</v>
      </c>
      <c r="D10658" s="51">
        <v>58</v>
      </c>
      <c r="E10658" s="51">
        <f t="shared" si="166"/>
        <v>1</v>
      </c>
    </row>
    <row r="10659" spans="1:5">
      <c r="A10659" s="59">
        <v>23</v>
      </c>
      <c r="B10659" s="59">
        <v>64</v>
      </c>
      <c r="C10659" s="59">
        <v>720</v>
      </c>
      <c r="D10659" s="51">
        <v>56</v>
      </c>
      <c r="E10659" s="51">
        <f t="shared" si="166"/>
        <v>1</v>
      </c>
    </row>
    <row r="10660" spans="1:5">
      <c r="A10660" s="59">
        <v>23</v>
      </c>
      <c r="B10660" s="59">
        <v>64</v>
      </c>
      <c r="C10660" s="59">
        <v>750</v>
      </c>
      <c r="D10660" s="51">
        <v>55</v>
      </c>
      <c r="E10660" s="51">
        <f t="shared" si="166"/>
        <v>1</v>
      </c>
    </row>
    <row r="10661" spans="1:5">
      <c r="A10661" s="59">
        <v>23</v>
      </c>
      <c r="B10661" s="59">
        <v>42</v>
      </c>
      <c r="C10661" s="59">
        <v>160</v>
      </c>
      <c r="D10661" s="51">
        <v>54</v>
      </c>
      <c r="E10661" s="51">
        <f t="shared" si="166"/>
        <v>1</v>
      </c>
    </row>
    <row r="10662" spans="1:5">
      <c r="A10662" s="59">
        <v>23</v>
      </c>
      <c r="B10662" s="59">
        <v>64</v>
      </c>
      <c r="C10662" s="59">
        <v>881</v>
      </c>
      <c r="D10662" s="51">
        <v>54</v>
      </c>
      <c r="E10662" s="51">
        <f t="shared" si="166"/>
        <v>1</v>
      </c>
    </row>
    <row r="10663" spans="1:5">
      <c r="A10663" s="59">
        <v>23</v>
      </c>
      <c r="B10663" s="59">
        <v>64</v>
      </c>
      <c r="C10663" s="59">
        <v>990</v>
      </c>
      <c r="D10663" s="51">
        <v>54</v>
      </c>
      <c r="E10663" s="51">
        <f t="shared" si="166"/>
        <v>1</v>
      </c>
    </row>
    <row r="10664" spans="1:5">
      <c r="A10664" s="59">
        <v>23</v>
      </c>
      <c r="B10664" s="59">
        <v>44</v>
      </c>
      <c r="C10664" s="59">
        <v>160</v>
      </c>
      <c r="D10664" s="51">
        <v>52</v>
      </c>
      <c r="E10664" s="51">
        <f t="shared" si="166"/>
        <v>1</v>
      </c>
    </row>
    <row r="10665" spans="1:5">
      <c r="A10665" s="59">
        <v>23</v>
      </c>
      <c r="B10665" s="59">
        <v>62</v>
      </c>
      <c r="C10665" s="59">
        <v>160</v>
      </c>
      <c r="D10665" s="51">
        <v>45</v>
      </c>
      <c r="E10665" s="51">
        <f t="shared" si="166"/>
        <v>1</v>
      </c>
    </row>
    <row r="10666" spans="1:5">
      <c r="A10666" s="59">
        <v>23</v>
      </c>
      <c r="B10666" s="59">
        <v>64</v>
      </c>
      <c r="C10666" s="59">
        <v>891</v>
      </c>
      <c r="D10666" s="51">
        <v>45</v>
      </c>
      <c r="E10666" s="51">
        <f t="shared" si="166"/>
        <v>1</v>
      </c>
    </row>
    <row r="10667" spans="1:5">
      <c r="A10667" s="59">
        <v>23</v>
      </c>
      <c r="B10667" s="59">
        <v>43</v>
      </c>
      <c r="C10667" s="59">
        <v>330</v>
      </c>
      <c r="D10667" s="51">
        <v>44</v>
      </c>
      <c r="E10667" s="51">
        <f t="shared" si="166"/>
        <v>1</v>
      </c>
    </row>
    <row r="10668" spans="1:5">
      <c r="A10668" s="59">
        <v>23</v>
      </c>
      <c r="B10668" s="59">
        <v>43</v>
      </c>
      <c r="C10668" s="59">
        <v>150</v>
      </c>
      <c r="D10668" s="51">
        <v>42</v>
      </c>
      <c r="E10668" s="51">
        <f t="shared" si="166"/>
        <v>1</v>
      </c>
    </row>
    <row r="10669" spans="1:5">
      <c r="A10669" s="59">
        <v>23</v>
      </c>
      <c r="B10669" s="59">
        <v>41</v>
      </c>
      <c r="C10669" s="59">
        <v>940</v>
      </c>
      <c r="D10669" s="51">
        <v>41</v>
      </c>
      <c r="E10669" s="51">
        <f t="shared" si="166"/>
        <v>1</v>
      </c>
    </row>
    <row r="10670" spans="1:5">
      <c r="A10670" s="59">
        <v>23</v>
      </c>
      <c r="B10670" s="59">
        <v>43</v>
      </c>
      <c r="C10670" s="59">
        <v>430</v>
      </c>
      <c r="D10670" s="51">
        <v>41</v>
      </c>
      <c r="E10670" s="51">
        <f t="shared" si="166"/>
        <v>1</v>
      </c>
    </row>
    <row r="10671" spans="1:5">
      <c r="A10671" s="59">
        <v>23</v>
      </c>
      <c r="B10671" s="59">
        <v>43</v>
      </c>
      <c r="C10671" s="59">
        <v>620</v>
      </c>
      <c r="D10671" s="51">
        <v>41</v>
      </c>
      <c r="E10671" s="51">
        <f t="shared" si="166"/>
        <v>1</v>
      </c>
    </row>
    <row r="10672" spans="1:5">
      <c r="A10672" s="59">
        <v>23</v>
      </c>
      <c r="B10672" s="59">
        <v>64</v>
      </c>
      <c r="C10672" s="59">
        <v>920</v>
      </c>
      <c r="D10672" s="51">
        <v>40</v>
      </c>
      <c r="E10672" s="51">
        <f t="shared" si="166"/>
        <v>1</v>
      </c>
    </row>
    <row r="10673" spans="1:5">
      <c r="A10673" s="59">
        <v>23</v>
      </c>
      <c r="B10673" s="59">
        <v>43</v>
      </c>
      <c r="C10673" s="59">
        <v>510</v>
      </c>
      <c r="D10673" s="51">
        <v>39</v>
      </c>
      <c r="E10673" s="51">
        <f t="shared" si="166"/>
        <v>1</v>
      </c>
    </row>
    <row r="10674" spans="1:5">
      <c r="A10674" s="59">
        <v>23</v>
      </c>
      <c r="B10674" s="59">
        <v>51</v>
      </c>
      <c r="C10674" s="59">
        <v>240</v>
      </c>
      <c r="D10674" s="51">
        <v>39</v>
      </c>
      <c r="E10674" s="51">
        <f t="shared" si="166"/>
        <v>1</v>
      </c>
    </row>
    <row r="10675" spans="1:5">
      <c r="A10675" s="59">
        <v>23</v>
      </c>
      <c r="B10675" s="59">
        <v>41</v>
      </c>
      <c r="C10675" s="59">
        <v>860</v>
      </c>
      <c r="D10675" s="51">
        <v>37</v>
      </c>
      <c r="E10675" s="51">
        <f t="shared" si="166"/>
        <v>1</v>
      </c>
    </row>
    <row r="10676" spans="1:5">
      <c r="A10676" s="59">
        <v>23</v>
      </c>
      <c r="B10676" s="59">
        <v>64</v>
      </c>
      <c r="C10676" s="59">
        <v>610</v>
      </c>
      <c r="D10676" s="51">
        <v>37</v>
      </c>
      <c r="E10676" s="51">
        <f t="shared" si="166"/>
        <v>1</v>
      </c>
    </row>
    <row r="10677" spans="1:5">
      <c r="A10677" s="59">
        <v>23</v>
      </c>
      <c r="B10677" s="59">
        <v>42</v>
      </c>
      <c r="C10677" s="59">
        <v>210</v>
      </c>
      <c r="D10677" s="51">
        <v>35</v>
      </c>
      <c r="E10677" s="51">
        <f t="shared" si="166"/>
        <v>1</v>
      </c>
    </row>
    <row r="10678" spans="1:5">
      <c r="A10678" s="59">
        <v>23</v>
      </c>
      <c r="B10678" s="59">
        <v>43</v>
      </c>
      <c r="C10678" s="59">
        <v>920</v>
      </c>
      <c r="D10678" s="51">
        <v>35</v>
      </c>
      <c r="E10678" s="51">
        <f t="shared" si="166"/>
        <v>1</v>
      </c>
    </row>
    <row r="10679" spans="1:5">
      <c r="A10679" s="59">
        <v>23</v>
      </c>
      <c r="B10679" s="59">
        <v>43</v>
      </c>
      <c r="C10679" s="59">
        <v>720</v>
      </c>
      <c r="D10679" s="51">
        <v>34</v>
      </c>
      <c r="E10679" s="51">
        <f t="shared" si="166"/>
        <v>1</v>
      </c>
    </row>
    <row r="10680" spans="1:5">
      <c r="A10680" s="59">
        <v>23</v>
      </c>
      <c r="B10680" s="59">
        <v>64</v>
      </c>
      <c r="C10680" s="59">
        <v>110</v>
      </c>
      <c r="D10680" s="51">
        <v>33</v>
      </c>
      <c r="E10680" s="51">
        <f t="shared" si="166"/>
        <v>1</v>
      </c>
    </row>
    <row r="10681" spans="1:5">
      <c r="A10681" s="59">
        <v>23</v>
      </c>
      <c r="B10681" s="59">
        <v>62</v>
      </c>
      <c r="C10681" s="59">
        <v>861</v>
      </c>
      <c r="D10681" s="51">
        <v>32</v>
      </c>
      <c r="E10681" s="51">
        <f t="shared" si="166"/>
        <v>1</v>
      </c>
    </row>
    <row r="10682" spans="1:5">
      <c r="A10682" s="59">
        <v>23</v>
      </c>
      <c r="B10682" s="59">
        <v>14</v>
      </c>
      <c r="C10682" s="59">
        <v>330</v>
      </c>
      <c r="D10682" s="51">
        <v>30</v>
      </c>
      <c r="E10682" s="51">
        <f t="shared" si="166"/>
        <v>1</v>
      </c>
    </row>
    <row r="10683" spans="1:5">
      <c r="A10683" s="59">
        <v>23</v>
      </c>
      <c r="B10683" s="59">
        <v>43</v>
      </c>
      <c r="C10683" s="59">
        <v>220</v>
      </c>
      <c r="D10683" s="51">
        <v>30</v>
      </c>
      <c r="E10683" s="51">
        <f t="shared" si="166"/>
        <v>1</v>
      </c>
    </row>
    <row r="10684" spans="1:5">
      <c r="A10684" s="59">
        <v>23</v>
      </c>
      <c r="B10684" s="59">
        <v>44</v>
      </c>
      <c r="C10684" s="59">
        <v>910</v>
      </c>
      <c r="D10684" s="51">
        <v>28</v>
      </c>
      <c r="E10684" s="51">
        <f t="shared" si="166"/>
        <v>1</v>
      </c>
    </row>
    <row r="10685" spans="1:5">
      <c r="A10685" s="59">
        <v>23</v>
      </c>
      <c r="B10685" s="59">
        <v>13</v>
      </c>
      <c r="C10685" s="59">
        <v>910</v>
      </c>
      <c r="D10685" s="51">
        <v>27</v>
      </c>
      <c r="E10685" s="51">
        <f t="shared" si="166"/>
        <v>1</v>
      </c>
    </row>
    <row r="10686" spans="1:5">
      <c r="A10686" s="59">
        <v>23</v>
      </c>
      <c r="B10686" s="59">
        <v>33</v>
      </c>
      <c r="C10686" s="59">
        <v>210</v>
      </c>
      <c r="D10686" s="51">
        <v>27</v>
      </c>
      <c r="E10686" s="51">
        <f t="shared" si="166"/>
        <v>1</v>
      </c>
    </row>
    <row r="10687" spans="1:5">
      <c r="A10687" s="59">
        <v>23</v>
      </c>
      <c r="B10687" s="59">
        <v>64</v>
      </c>
      <c r="C10687" s="59">
        <v>230</v>
      </c>
      <c r="D10687" s="51">
        <v>27</v>
      </c>
      <c r="E10687" s="51">
        <f t="shared" si="166"/>
        <v>1</v>
      </c>
    </row>
    <row r="10688" spans="1:5">
      <c r="A10688" s="59">
        <v>23</v>
      </c>
      <c r="B10688" s="59">
        <v>63</v>
      </c>
      <c r="C10688" s="59">
        <v>210</v>
      </c>
      <c r="D10688" s="51">
        <v>26</v>
      </c>
      <c r="E10688" s="51">
        <f t="shared" si="166"/>
        <v>1</v>
      </c>
    </row>
    <row r="10689" spans="1:5">
      <c r="A10689" s="59">
        <v>23</v>
      </c>
      <c r="B10689" s="59">
        <v>43</v>
      </c>
      <c r="C10689" s="59">
        <v>840</v>
      </c>
      <c r="D10689" s="51">
        <v>25</v>
      </c>
      <c r="E10689" s="51">
        <f t="shared" si="166"/>
        <v>1</v>
      </c>
    </row>
    <row r="10690" spans="1:5">
      <c r="A10690" s="59">
        <v>23</v>
      </c>
      <c r="B10690" s="59">
        <v>71</v>
      </c>
      <c r="C10690" s="59">
        <v>530</v>
      </c>
      <c r="D10690" s="51">
        <v>25</v>
      </c>
      <c r="E10690" s="51">
        <f t="shared" ref="E10690:E10753" si="167">IF(OR(A10690=6,A10690=7,A10690=14,A10690=15,A10690=16,A10690=17,A10690=18,A10690=19,A10690=20,A10690=21,A10690=22,A10690=23,A10690=25,A10690=26,A10690=27,A10690=28,B10690=41,B10690=44,B10690=62),1,0)</f>
        <v>1</v>
      </c>
    </row>
    <row r="10691" spans="1:5">
      <c r="A10691" s="59">
        <v>23</v>
      </c>
      <c r="B10691" s="59">
        <v>14</v>
      </c>
      <c r="C10691" s="59">
        <v>530</v>
      </c>
      <c r="D10691" s="51">
        <v>24</v>
      </c>
      <c r="E10691" s="51">
        <f t="shared" si="167"/>
        <v>1</v>
      </c>
    </row>
    <row r="10692" spans="1:5">
      <c r="A10692" s="59">
        <v>23</v>
      </c>
      <c r="B10692" s="59">
        <v>14</v>
      </c>
      <c r="C10692" s="59">
        <v>150</v>
      </c>
      <c r="D10692" s="51">
        <v>23</v>
      </c>
      <c r="E10692" s="51">
        <f t="shared" si="167"/>
        <v>1</v>
      </c>
    </row>
    <row r="10693" spans="1:5">
      <c r="A10693" s="59">
        <v>23</v>
      </c>
      <c r="B10693" s="59">
        <v>13</v>
      </c>
      <c r="C10693" s="59">
        <v>330</v>
      </c>
      <c r="D10693" s="51">
        <v>22</v>
      </c>
      <c r="E10693" s="51">
        <f t="shared" si="167"/>
        <v>1</v>
      </c>
    </row>
    <row r="10694" spans="1:5">
      <c r="A10694" s="59">
        <v>23</v>
      </c>
      <c r="B10694" s="59">
        <v>71</v>
      </c>
      <c r="C10694" s="59">
        <v>861</v>
      </c>
      <c r="D10694" s="51">
        <v>22</v>
      </c>
      <c r="E10694" s="51">
        <f t="shared" si="167"/>
        <v>1</v>
      </c>
    </row>
    <row r="10695" spans="1:5">
      <c r="A10695" s="59">
        <v>23</v>
      </c>
      <c r="B10695" s="59">
        <v>16</v>
      </c>
      <c r="C10695" s="59">
        <v>940</v>
      </c>
      <c r="D10695" s="51">
        <v>20</v>
      </c>
      <c r="E10695" s="51">
        <f t="shared" si="167"/>
        <v>1</v>
      </c>
    </row>
    <row r="10696" spans="1:5">
      <c r="A10696" s="59">
        <v>23</v>
      </c>
      <c r="B10696" s="59">
        <v>64</v>
      </c>
      <c r="C10696" s="59">
        <v>862</v>
      </c>
      <c r="D10696" s="51">
        <v>20</v>
      </c>
      <c r="E10696" s="51">
        <f t="shared" si="167"/>
        <v>1</v>
      </c>
    </row>
    <row r="10697" spans="1:5">
      <c r="A10697" s="59">
        <v>23</v>
      </c>
      <c r="B10697" s="59">
        <v>62</v>
      </c>
      <c r="C10697" s="59">
        <v>210</v>
      </c>
      <c r="D10697" s="51">
        <v>19</v>
      </c>
      <c r="E10697" s="51">
        <f t="shared" si="167"/>
        <v>1</v>
      </c>
    </row>
    <row r="10698" spans="1:5">
      <c r="A10698" s="59">
        <v>23</v>
      </c>
      <c r="B10698" s="59">
        <v>14</v>
      </c>
      <c r="C10698" s="59">
        <v>930</v>
      </c>
      <c r="D10698" s="51">
        <v>18</v>
      </c>
      <c r="E10698" s="51">
        <f t="shared" si="167"/>
        <v>1</v>
      </c>
    </row>
    <row r="10699" spans="1:5">
      <c r="A10699" s="59">
        <v>23</v>
      </c>
      <c r="B10699" s="59">
        <v>43</v>
      </c>
      <c r="C10699" s="59">
        <v>230</v>
      </c>
      <c r="D10699" s="51">
        <v>18</v>
      </c>
      <c r="E10699" s="51">
        <f t="shared" si="167"/>
        <v>1</v>
      </c>
    </row>
    <row r="10700" spans="1:5">
      <c r="A10700" s="59">
        <v>23</v>
      </c>
      <c r="B10700" s="59">
        <v>43</v>
      </c>
      <c r="C10700" s="59">
        <v>310</v>
      </c>
      <c r="D10700" s="51">
        <v>18</v>
      </c>
      <c r="E10700" s="51">
        <f t="shared" si="167"/>
        <v>1</v>
      </c>
    </row>
    <row r="10701" spans="1:5">
      <c r="A10701" s="59">
        <v>23</v>
      </c>
      <c r="B10701" s="59">
        <v>43</v>
      </c>
      <c r="C10701" s="59">
        <v>870</v>
      </c>
      <c r="D10701" s="51">
        <v>17</v>
      </c>
      <c r="E10701" s="51">
        <f t="shared" si="167"/>
        <v>1</v>
      </c>
    </row>
    <row r="10702" spans="1:5">
      <c r="A10702" s="59">
        <v>23</v>
      </c>
      <c r="B10702" s="59">
        <v>33</v>
      </c>
      <c r="C10702" s="59">
        <v>940</v>
      </c>
      <c r="D10702" s="51">
        <v>15</v>
      </c>
      <c r="E10702" s="51">
        <f t="shared" si="167"/>
        <v>1</v>
      </c>
    </row>
    <row r="10703" spans="1:5">
      <c r="A10703" s="59">
        <v>23</v>
      </c>
      <c r="B10703" s="59">
        <v>43</v>
      </c>
      <c r="C10703" s="59">
        <v>750</v>
      </c>
      <c r="D10703" s="51">
        <v>15</v>
      </c>
      <c r="E10703" s="51">
        <f t="shared" si="167"/>
        <v>1</v>
      </c>
    </row>
    <row r="10704" spans="1:5">
      <c r="A10704" s="59">
        <v>23</v>
      </c>
      <c r="B10704" s="59">
        <v>43</v>
      </c>
      <c r="C10704" s="59">
        <v>862</v>
      </c>
      <c r="D10704" s="51">
        <v>15</v>
      </c>
      <c r="E10704" s="51">
        <f t="shared" si="167"/>
        <v>1</v>
      </c>
    </row>
    <row r="10705" spans="1:5">
      <c r="A10705" s="59">
        <v>23</v>
      </c>
      <c r="B10705" s="59">
        <v>64</v>
      </c>
      <c r="C10705" s="59">
        <v>840</v>
      </c>
      <c r="D10705" s="51">
        <v>14</v>
      </c>
      <c r="E10705" s="51">
        <f t="shared" si="167"/>
        <v>1</v>
      </c>
    </row>
    <row r="10706" spans="1:5">
      <c r="A10706" s="59">
        <v>23</v>
      </c>
      <c r="B10706" s="59">
        <v>15</v>
      </c>
      <c r="C10706" s="59">
        <v>940</v>
      </c>
      <c r="D10706" s="51">
        <v>13</v>
      </c>
      <c r="E10706" s="51">
        <f t="shared" si="167"/>
        <v>1</v>
      </c>
    </row>
    <row r="10707" spans="1:5">
      <c r="A10707" s="59">
        <v>23</v>
      </c>
      <c r="B10707" s="59">
        <v>22</v>
      </c>
      <c r="C10707" s="59">
        <v>940</v>
      </c>
      <c r="D10707" s="51">
        <v>13</v>
      </c>
      <c r="E10707" s="51">
        <f t="shared" si="167"/>
        <v>1</v>
      </c>
    </row>
    <row r="10708" spans="1:5">
      <c r="A10708" s="59">
        <v>23</v>
      </c>
      <c r="B10708" s="59">
        <v>32</v>
      </c>
      <c r="C10708" s="59">
        <v>160</v>
      </c>
      <c r="D10708" s="51">
        <v>13</v>
      </c>
      <c r="E10708" s="51">
        <f t="shared" si="167"/>
        <v>1</v>
      </c>
    </row>
    <row r="10709" spans="1:5">
      <c r="A10709" s="59">
        <v>23</v>
      </c>
      <c r="B10709" s="59">
        <v>22</v>
      </c>
      <c r="C10709" s="59">
        <v>910</v>
      </c>
      <c r="D10709" s="51">
        <v>12</v>
      </c>
      <c r="E10709" s="51">
        <f t="shared" si="167"/>
        <v>1</v>
      </c>
    </row>
    <row r="10710" spans="1:5">
      <c r="A10710" s="59">
        <v>23</v>
      </c>
      <c r="B10710" s="59">
        <v>43</v>
      </c>
      <c r="C10710" s="59">
        <v>110</v>
      </c>
      <c r="D10710" s="51">
        <v>12</v>
      </c>
      <c r="E10710" s="51">
        <f t="shared" si="167"/>
        <v>1</v>
      </c>
    </row>
    <row r="10711" spans="1:5">
      <c r="A10711" s="59">
        <v>23</v>
      </c>
      <c r="B10711" s="59">
        <v>64</v>
      </c>
      <c r="C10711" s="59">
        <v>410</v>
      </c>
      <c r="D10711" s="51">
        <v>12</v>
      </c>
      <c r="E10711" s="51">
        <f t="shared" si="167"/>
        <v>1</v>
      </c>
    </row>
    <row r="10712" spans="1:5">
      <c r="A10712" s="59">
        <v>23</v>
      </c>
      <c r="B10712" s="59">
        <v>13</v>
      </c>
      <c r="C10712" s="59">
        <v>150</v>
      </c>
      <c r="D10712" s="51">
        <v>11</v>
      </c>
      <c r="E10712" s="51">
        <f t="shared" si="167"/>
        <v>1</v>
      </c>
    </row>
    <row r="10713" spans="1:5">
      <c r="A10713" s="59">
        <v>23</v>
      </c>
      <c r="B10713" s="59">
        <v>16</v>
      </c>
      <c r="C10713" s="59">
        <v>530</v>
      </c>
      <c r="D10713" s="51">
        <v>11</v>
      </c>
      <c r="E10713" s="51">
        <f t="shared" si="167"/>
        <v>1</v>
      </c>
    </row>
    <row r="10714" spans="1:5">
      <c r="A10714" s="59">
        <v>23</v>
      </c>
      <c r="B10714" s="59">
        <v>33</v>
      </c>
      <c r="C10714" s="59">
        <v>430</v>
      </c>
      <c r="D10714" s="51">
        <v>11</v>
      </c>
      <c r="E10714" s="51">
        <f t="shared" si="167"/>
        <v>1</v>
      </c>
    </row>
    <row r="10715" spans="1:5">
      <c r="A10715" s="59">
        <v>23</v>
      </c>
      <c r="B10715" s="59">
        <v>41</v>
      </c>
      <c r="C10715" s="59">
        <v>210</v>
      </c>
      <c r="D10715" s="51">
        <v>11</v>
      </c>
      <c r="E10715" s="51">
        <f t="shared" si="167"/>
        <v>1</v>
      </c>
    </row>
    <row r="10716" spans="1:5">
      <c r="A10716" s="59">
        <v>23</v>
      </c>
      <c r="B10716" s="59">
        <v>43</v>
      </c>
      <c r="C10716" s="59">
        <v>610</v>
      </c>
      <c r="D10716" s="51">
        <v>11</v>
      </c>
      <c r="E10716" s="51">
        <f t="shared" si="167"/>
        <v>1</v>
      </c>
    </row>
    <row r="10717" spans="1:5">
      <c r="A10717" s="59">
        <v>23</v>
      </c>
      <c r="B10717" s="59">
        <v>44</v>
      </c>
      <c r="C10717" s="59">
        <v>720</v>
      </c>
      <c r="D10717" s="51">
        <v>11</v>
      </c>
      <c r="E10717" s="51">
        <f t="shared" si="167"/>
        <v>1</v>
      </c>
    </row>
    <row r="10718" spans="1:5">
      <c r="A10718" s="59">
        <v>23</v>
      </c>
      <c r="B10718" s="59">
        <v>62</v>
      </c>
      <c r="C10718" s="59">
        <v>150</v>
      </c>
      <c r="D10718" s="51">
        <v>11</v>
      </c>
      <c r="E10718" s="51">
        <f t="shared" si="167"/>
        <v>1</v>
      </c>
    </row>
    <row r="10719" spans="1:5">
      <c r="A10719" s="59">
        <v>23</v>
      </c>
      <c r="B10719" s="59">
        <v>63</v>
      </c>
      <c r="C10719" s="59">
        <v>620</v>
      </c>
      <c r="D10719" s="51">
        <v>11</v>
      </c>
      <c r="E10719" s="51">
        <f t="shared" si="167"/>
        <v>1</v>
      </c>
    </row>
    <row r="10720" spans="1:5">
      <c r="A10720" s="59">
        <v>23</v>
      </c>
      <c r="B10720" s="59">
        <v>71</v>
      </c>
      <c r="C10720" s="59">
        <v>210</v>
      </c>
      <c r="D10720" s="51">
        <v>11</v>
      </c>
      <c r="E10720" s="51">
        <f t="shared" si="167"/>
        <v>1</v>
      </c>
    </row>
    <row r="10721" spans="1:5">
      <c r="A10721" s="59">
        <v>23</v>
      </c>
      <c r="B10721" s="59">
        <v>14</v>
      </c>
      <c r="C10721" s="59">
        <v>240</v>
      </c>
      <c r="D10721" s="51">
        <v>10</v>
      </c>
      <c r="E10721" s="51">
        <f t="shared" si="167"/>
        <v>1</v>
      </c>
    </row>
    <row r="10722" spans="1:5">
      <c r="A10722" s="59">
        <v>23</v>
      </c>
      <c r="B10722" s="59">
        <v>14</v>
      </c>
      <c r="C10722" s="59">
        <v>920</v>
      </c>
      <c r="D10722" s="51">
        <v>10</v>
      </c>
      <c r="E10722" s="51">
        <f t="shared" si="167"/>
        <v>1</v>
      </c>
    </row>
    <row r="10723" spans="1:5">
      <c r="A10723" s="59">
        <v>23</v>
      </c>
      <c r="B10723" s="59">
        <v>15</v>
      </c>
      <c r="C10723" s="59">
        <v>160</v>
      </c>
      <c r="D10723" s="51">
        <v>10</v>
      </c>
      <c r="E10723" s="51">
        <f t="shared" si="167"/>
        <v>1</v>
      </c>
    </row>
    <row r="10724" spans="1:5">
      <c r="A10724" s="59">
        <v>23</v>
      </c>
      <c r="B10724" s="59">
        <v>15</v>
      </c>
      <c r="C10724" s="59">
        <v>530</v>
      </c>
      <c r="D10724" s="51">
        <v>10</v>
      </c>
      <c r="E10724" s="51">
        <f t="shared" si="167"/>
        <v>1</v>
      </c>
    </row>
    <row r="10725" spans="1:5">
      <c r="A10725" s="59">
        <v>23</v>
      </c>
      <c r="B10725" s="59">
        <v>42</v>
      </c>
      <c r="C10725" s="59">
        <v>330</v>
      </c>
      <c r="D10725" s="51">
        <v>10</v>
      </c>
      <c r="E10725" s="51">
        <f t="shared" si="167"/>
        <v>1</v>
      </c>
    </row>
    <row r="10726" spans="1:5">
      <c r="A10726" s="59">
        <v>23</v>
      </c>
      <c r="B10726" s="59">
        <v>42</v>
      </c>
      <c r="C10726" s="59">
        <v>620</v>
      </c>
      <c r="D10726" s="51">
        <v>10</v>
      </c>
      <c r="E10726" s="51">
        <f t="shared" si="167"/>
        <v>1</v>
      </c>
    </row>
    <row r="10727" spans="1:5">
      <c r="A10727" s="59">
        <v>23</v>
      </c>
      <c r="B10727" s="59">
        <v>43</v>
      </c>
      <c r="C10727" s="59">
        <v>730</v>
      </c>
      <c r="D10727" s="51">
        <v>10</v>
      </c>
      <c r="E10727" s="51">
        <f t="shared" si="167"/>
        <v>1</v>
      </c>
    </row>
    <row r="10728" spans="1:5">
      <c r="A10728" s="59">
        <v>23</v>
      </c>
      <c r="B10728" s="59">
        <v>62</v>
      </c>
      <c r="C10728" s="59">
        <v>750</v>
      </c>
      <c r="D10728" s="51">
        <v>10</v>
      </c>
      <c r="E10728" s="51">
        <f t="shared" si="167"/>
        <v>1</v>
      </c>
    </row>
    <row r="10729" spans="1:5">
      <c r="A10729" s="59">
        <v>23</v>
      </c>
      <c r="B10729" s="59">
        <v>62</v>
      </c>
      <c r="C10729" s="59">
        <v>860</v>
      </c>
      <c r="D10729" s="51">
        <v>10</v>
      </c>
      <c r="E10729" s="51">
        <f t="shared" si="167"/>
        <v>1</v>
      </c>
    </row>
    <row r="10730" spans="1:5">
      <c r="A10730" s="59">
        <v>23</v>
      </c>
      <c r="B10730" s="59">
        <v>64</v>
      </c>
      <c r="C10730" s="59">
        <v>310</v>
      </c>
      <c r="D10730" s="51">
        <v>10</v>
      </c>
      <c r="E10730" s="51">
        <f t="shared" si="167"/>
        <v>1</v>
      </c>
    </row>
    <row r="10731" spans="1:5">
      <c r="A10731" s="59">
        <v>23</v>
      </c>
      <c r="B10731" s="59">
        <v>64</v>
      </c>
      <c r="C10731" s="59">
        <v>899</v>
      </c>
      <c r="D10731" s="51">
        <v>10</v>
      </c>
      <c r="E10731" s="51">
        <f t="shared" si="167"/>
        <v>1</v>
      </c>
    </row>
    <row r="10732" spans="1:5">
      <c r="A10732" s="59">
        <v>23</v>
      </c>
      <c r="B10732" s="59">
        <v>64</v>
      </c>
      <c r="C10732" s="59">
        <v>950</v>
      </c>
      <c r="D10732" s="51">
        <v>10</v>
      </c>
      <c r="E10732" s="51">
        <f t="shared" si="167"/>
        <v>1</v>
      </c>
    </row>
    <row r="10733" spans="1:5">
      <c r="A10733" s="59">
        <v>23</v>
      </c>
      <c r="B10733" s="59">
        <v>14</v>
      </c>
      <c r="C10733" s="59">
        <v>140</v>
      </c>
      <c r="D10733" s="51">
        <v>9</v>
      </c>
      <c r="E10733" s="51">
        <f t="shared" si="167"/>
        <v>1</v>
      </c>
    </row>
    <row r="10734" spans="1:5">
      <c r="A10734" s="59">
        <v>23</v>
      </c>
      <c r="B10734" s="59">
        <v>22</v>
      </c>
      <c r="C10734" s="59">
        <v>230</v>
      </c>
      <c r="D10734" s="51">
        <v>9</v>
      </c>
      <c r="E10734" s="51">
        <f t="shared" si="167"/>
        <v>1</v>
      </c>
    </row>
    <row r="10735" spans="1:5">
      <c r="A10735" s="59">
        <v>23</v>
      </c>
      <c r="B10735" s="59">
        <v>22</v>
      </c>
      <c r="C10735" s="59">
        <v>530</v>
      </c>
      <c r="D10735" s="51">
        <v>9</v>
      </c>
      <c r="E10735" s="51">
        <f t="shared" si="167"/>
        <v>1</v>
      </c>
    </row>
    <row r="10736" spans="1:5">
      <c r="A10736" s="59">
        <v>23</v>
      </c>
      <c r="B10736" s="59">
        <v>33</v>
      </c>
      <c r="C10736" s="59">
        <v>330</v>
      </c>
      <c r="D10736" s="51">
        <v>9</v>
      </c>
      <c r="E10736" s="51">
        <f t="shared" si="167"/>
        <v>1</v>
      </c>
    </row>
    <row r="10737" spans="1:5">
      <c r="A10737" s="59">
        <v>23</v>
      </c>
      <c r="B10737" s="59">
        <v>42</v>
      </c>
      <c r="C10737" s="59">
        <v>881</v>
      </c>
      <c r="D10737" s="51">
        <v>9</v>
      </c>
      <c r="E10737" s="51">
        <f t="shared" si="167"/>
        <v>1</v>
      </c>
    </row>
    <row r="10738" spans="1:5">
      <c r="A10738" s="59">
        <v>23</v>
      </c>
      <c r="B10738" s="59">
        <v>43</v>
      </c>
      <c r="C10738" s="59">
        <v>881</v>
      </c>
      <c r="D10738" s="51">
        <v>9</v>
      </c>
      <c r="E10738" s="51">
        <f t="shared" si="167"/>
        <v>1</v>
      </c>
    </row>
    <row r="10739" spans="1:5">
      <c r="A10739" s="59">
        <v>23</v>
      </c>
      <c r="B10739" s="59">
        <v>62</v>
      </c>
      <c r="C10739" s="59">
        <v>910</v>
      </c>
      <c r="D10739" s="51">
        <v>9</v>
      </c>
      <c r="E10739" s="51">
        <f t="shared" si="167"/>
        <v>1</v>
      </c>
    </row>
    <row r="10740" spans="1:5">
      <c r="A10740" s="59">
        <v>23</v>
      </c>
      <c r="B10740" s="59">
        <v>63</v>
      </c>
      <c r="C10740" s="59">
        <v>430</v>
      </c>
      <c r="D10740" s="51">
        <v>9</v>
      </c>
      <c r="E10740" s="51">
        <f t="shared" si="167"/>
        <v>1</v>
      </c>
    </row>
    <row r="10741" spans="1:5">
      <c r="A10741" s="59">
        <v>23</v>
      </c>
      <c r="B10741" s="59">
        <v>13</v>
      </c>
      <c r="C10741" s="59">
        <v>220</v>
      </c>
      <c r="D10741" s="51">
        <v>8</v>
      </c>
      <c r="E10741" s="51">
        <f t="shared" si="167"/>
        <v>1</v>
      </c>
    </row>
    <row r="10742" spans="1:5">
      <c r="A10742" s="59">
        <v>23</v>
      </c>
      <c r="B10742" s="59">
        <v>32</v>
      </c>
      <c r="C10742" s="59">
        <v>940</v>
      </c>
      <c r="D10742" s="51">
        <v>8</v>
      </c>
      <c r="E10742" s="51">
        <f t="shared" si="167"/>
        <v>1</v>
      </c>
    </row>
    <row r="10743" spans="1:5">
      <c r="A10743" s="59">
        <v>23</v>
      </c>
      <c r="B10743" s="59">
        <v>44</v>
      </c>
      <c r="C10743" s="59">
        <v>510</v>
      </c>
      <c r="D10743" s="51">
        <v>8</v>
      </c>
      <c r="E10743" s="51">
        <f t="shared" si="167"/>
        <v>1</v>
      </c>
    </row>
    <row r="10744" spans="1:5">
      <c r="A10744" s="59">
        <v>23</v>
      </c>
      <c r="B10744" s="59">
        <v>63</v>
      </c>
      <c r="C10744" s="59">
        <v>550</v>
      </c>
      <c r="D10744" s="51">
        <v>8</v>
      </c>
      <c r="E10744" s="51">
        <f t="shared" si="167"/>
        <v>1</v>
      </c>
    </row>
    <row r="10745" spans="1:5">
      <c r="A10745" s="59">
        <v>23</v>
      </c>
      <c r="B10745" s="59">
        <v>64</v>
      </c>
      <c r="C10745" s="59">
        <v>220</v>
      </c>
      <c r="D10745" s="51">
        <v>8</v>
      </c>
      <c r="E10745" s="51">
        <f t="shared" si="167"/>
        <v>1</v>
      </c>
    </row>
    <row r="10746" spans="1:5">
      <c r="A10746" s="59">
        <v>23</v>
      </c>
      <c r="B10746" s="59">
        <v>71</v>
      </c>
      <c r="C10746" s="59">
        <v>910</v>
      </c>
      <c r="D10746" s="51">
        <v>8</v>
      </c>
      <c r="E10746" s="51">
        <f t="shared" si="167"/>
        <v>1</v>
      </c>
    </row>
    <row r="10747" spans="1:5">
      <c r="A10747" s="59">
        <v>23</v>
      </c>
      <c r="B10747" s="59">
        <v>81</v>
      </c>
      <c r="C10747" s="59">
        <v>160</v>
      </c>
      <c r="D10747" s="51">
        <v>8</v>
      </c>
      <c r="E10747" s="51">
        <f t="shared" si="167"/>
        <v>1</v>
      </c>
    </row>
    <row r="10748" spans="1:5">
      <c r="A10748" s="59">
        <v>23</v>
      </c>
      <c r="B10748" s="59">
        <v>14</v>
      </c>
      <c r="C10748" s="59">
        <v>310</v>
      </c>
      <c r="D10748" s="51">
        <v>7</v>
      </c>
      <c r="E10748" s="51">
        <f t="shared" si="167"/>
        <v>1</v>
      </c>
    </row>
    <row r="10749" spans="1:5">
      <c r="A10749" s="59">
        <v>23</v>
      </c>
      <c r="B10749" s="59">
        <v>16</v>
      </c>
      <c r="C10749" s="59">
        <v>160</v>
      </c>
      <c r="D10749" s="51">
        <v>7</v>
      </c>
      <c r="E10749" s="51">
        <f t="shared" si="167"/>
        <v>1</v>
      </c>
    </row>
    <row r="10750" spans="1:5">
      <c r="A10750" s="59">
        <v>23</v>
      </c>
      <c r="B10750" s="59">
        <v>16</v>
      </c>
      <c r="C10750" s="59">
        <v>230</v>
      </c>
      <c r="D10750" s="51">
        <v>7</v>
      </c>
      <c r="E10750" s="51">
        <f t="shared" si="167"/>
        <v>1</v>
      </c>
    </row>
    <row r="10751" spans="1:5">
      <c r="A10751" s="59">
        <v>23</v>
      </c>
      <c r="B10751" s="59">
        <v>22</v>
      </c>
      <c r="C10751" s="59">
        <v>150</v>
      </c>
      <c r="D10751" s="51">
        <v>7</v>
      </c>
      <c r="E10751" s="51">
        <f t="shared" si="167"/>
        <v>1</v>
      </c>
    </row>
    <row r="10752" spans="1:5">
      <c r="A10752" s="59">
        <v>23</v>
      </c>
      <c r="B10752" s="59">
        <v>33</v>
      </c>
      <c r="C10752" s="59">
        <v>160</v>
      </c>
      <c r="D10752" s="51">
        <v>7</v>
      </c>
      <c r="E10752" s="51">
        <f t="shared" si="167"/>
        <v>1</v>
      </c>
    </row>
    <row r="10753" spans="1:5">
      <c r="A10753" s="59">
        <v>23</v>
      </c>
      <c r="B10753" s="59">
        <v>41</v>
      </c>
      <c r="C10753" s="59">
        <v>230</v>
      </c>
      <c r="D10753" s="51">
        <v>7</v>
      </c>
      <c r="E10753" s="51">
        <f t="shared" si="167"/>
        <v>1</v>
      </c>
    </row>
    <row r="10754" spans="1:5">
      <c r="A10754" s="59">
        <v>23</v>
      </c>
      <c r="B10754" s="59">
        <v>43</v>
      </c>
      <c r="C10754" s="59">
        <v>950</v>
      </c>
      <c r="D10754" s="51">
        <v>7</v>
      </c>
      <c r="E10754" s="51">
        <f t="shared" ref="E10754:E10817" si="168">IF(OR(A10754=6,A10754=7,A10754=14,A10754=15,A10754=16,A10754=17,A10754=18,A10754=19,A10754=20,A10754=21,A10754=22,A10754=23,A10754=25,A10754=26,A10754=27,A10754=28,B10754=41,B10754=44,B10754=62),1,0)</f>
        <v>1</v>
      </c>
    </row>
    <row r="10755" spans="1:5">
      <c r="A10755" s="59">
        <v>23</v>
      </c>
      <c r="B10755" s="59">
        <v>44</v>
      </c>
      <c r="C10755" s="59">
        <v>930</v>
      </c>
      <c r="D10755" s="51">
        <v>7</v>
      </c>
      <c r="E10755" s="51">
        <f t="shared" si="168"/>
        <v>1</v>
      </c>
    </row>
    <row r="10756" spans="1:5">
      <c r="A10756" s="59">
        <v>23</v>
      </c>
      <c r="B10756" s="59">
        <v>62</v>
      </c>
      <c r="C10756" s="59">
        <v>510</v>
      </c>
      <c r="D10756" s="51">
        <v>7</v>
      </c>
      <c r="E10756" s="51">
        <f t="shared" si="168"/>
        <v>1</v>
      </c>
    </row>
    <row r="10757" spans="1:5">
      <c r="A10757" s="59">
        <v>23</v>
      </c>
      <c r="B10757" s="59">
        <v>62</v>
      </c>
      <c r="C10757" s="59">
        <v>920</v>
      </c>
      <c r="D10757" s="51">
        <v>7</v>
      </c>
      <c r="E10757" s="51">
        <f t="shared" si="168"/>
        <v>1</v>
      </c>
    </row>
    <row r="10758" spans="1:5">
      <c r="A10758" s="59">
        <v>23</v>
      </c>
      <c r="B10758" s="59">
        <v>63</v>
      </c>
      <c r="C10758" s="59">
        <v>510</v>
      </c>
      <c r="D10758" s="51">
        <v>7</v>
      </c>
      <c r="E10758" s="51">
        <f t="shared" si="168"/>
        <v>1</v>
      </c>
    </row>
    <row r="10759" spans="1:5">
      <c r="A10759" s="59">
        <v>23</v>
      </c>
      <c r="B10759" s="59">
        <v>64</v>
      </c>
      <c r="C10759" s="59">
        <v>550</v>
      </c>
      <c r="D10759" s="51">
        <v>7</v>
      </c>
      <c r="E10759" s="51">
        <f t="shared" si="168"/>
        <v>1</v>
      </c>
    </row>
    <row r="10760" spans="1:5">
      <c r="A10760" s="59">
        <v>23</v>
      </c>
      <c r="B10760" s="59">
        <v>13</v>
      </c>
      <c r="C10760" s="59">
        <v>530</v>
      </c>
      <c r="D10760" s="51">
        <v>6</v>
      </c>
      <c r="E10760" s="51">
        <f t="shared" si="168"/>
        <v>1</v>
      </c>
    </row>
    <row r="10761" spans="1:5">
      <c r="A10761" s="59">
        <v>23</v>
      </c>
      <c r="B10761" s="59">
        <v>13</v>
      </c>
      <c r="C10761" s="59">
        <v>620</v>
      </c>
      <c r="D10761" s="51">
        <v>6</v>
      </c>
      <c r="E10761" s="51">
        <f t="shared" si="168"/>
        <v>1</v>
      </c>
    </row>
    <row r="10762" spans="1:5">
      <c r="A10762" s="59">
        <v>23</v>
      </c>
      <c r="B10762" s="59">
        <v>13</v>
      </c>
      <c r="C10762" s="59">
        <v>881</v>
      </c>
      <c r="D10762" s="51">
        <v>6</v>
      </c>
      <c r="E10762" s="51">
        <f t="shared" si="168"/>
        <v>1</v>
      </c>
    </row>
    <row r="10763" spans="1:5">
      <c r="A10763" s="59">
        <v>23</v>
      </c>
      <c r="B10763" s="59">
        <v>14</v>
      </c>
      <c r="C10763" s="59">
        <v>220</v>
      </c>
      <c r="D10763" s="51">
        <v>6</v>
      </c>
      <c r="E10763" s="51">
        <f t="shared" si="168"/>
        <v>1</v>
      </c>
    </row>
    <row r="10764" spans="1:5">
      <c r="A10764" s="59">
        <v>23</v>
      </c>
      <c r="B10764" s="59">
        <v>15</v>
      </c>
      <c r="C10764" s="59">
        <v>330</v>
      </c>
      <c r="D10764" s="51">
        <v>6</v>
      </c>
      <c r="E10764" s="51">
        <f t="shared" si="168"/>
        <v>1</v>
      </c>
    </row>
    <row r="10765" spans="1:5">
      <c r="A10765" s="59">
        <v>23</v>
      </c>
      <c r="B10765" s="59">
        <v>22</v>
      </c>
      <c r="C10765" s="59">
        <v>990</v>
      </c>
      <c r="D10765" s="51">
        <v>6</v>
      </c>
      <c r="E10765" s="51">
        <f t="shared" si="168"/>
        <v>1</v>
      </c>
    </row>
    <row r="10766" spans="1:5">
      <c r="A10766" s="59">
        <v>23</v>
      </c>
      <c r="B10766" s="59">
        <v>32</v>
      </c>
      <c r="C10766" s="59">
        <v>410</v>
      </c>
      <c r="D10766" s="51">
        <v>6</v>
      </c>
      <c r="E10766" s="51">
        <f t="shared" si="168"/>
        <v>1</v>
      </c>
    </row>
    <row r="10767" spans="1:5">
      <c r="A10767" s="59">
        <v>23</v>
      </c>
      <c r="B10767" s="59">
        <v>41</v>
      </c>
      <c r="C10767" s="59">
        <v>720</v>
      </c>
      <c r="D10767" s="51">
        <v>6</v>
      </c>
      <c r="E10767" s="51">
        <f t="shared" si="168"/>
        <v>1</v>
      </c>
    </row>
    <row r="10768" spans="1:5">
      <c r="A10768" s="59">
        <v>23</v>
      </c>
      <c r="B10768" s="59">
        <v>41</v>
      </c>
      <c r="C10768" s="59">
        <v>910</v>
      </c>
      <c r="D10768" s="51">
        <v>6</v>
      </c>
      <c r="E10768" s="51">
        <f t="shared" si="168"/>
        <v>1</v>
      </c>
    </row>
    <row r="10769" spans="1:5">
      <c r="A10769" s="59">
        <v>23</v>
      </c>
      <c r="B10769" s="59">
        <v>42</v>
      </c>
      <c r="C10769" s="59">
        <v>530</v>
      </c>
      <c r="D10769" s="51">
        <v>6</v>
      </c>
      <c r="E10769" s="51">
        <f t="shared" si="168"/>
        <v>1</v>
      </c>
    </row>
    <row r="10770" spans="1:5">
      <c r="A10770" s="59">
        <v>23</v>
      </c>
      <c r="B10770" s="59">
        <v>43</v>
      </c>
      <c r="C10770" s="59">
        <v>520</v>
      </c>
      <c r="D10770" s="51">
        <v>6</v>
      </c>
      <c r="E10770" s="51">
        <f t="shared" si="168"/>
        <v>1</v>
      </c>
    </row>
    <row r="10771" spans="1:5">
      <c r="A10771" s="59">
        <v>23</v>
      </c>
      <c r="B10771" s="59">
        <v>44</v>
      </c>
      <c r="C10771" s="59">
        <v>620</v>
      </c>
      <c r="D10771" s="51">
        <v>6</v>
      </c>
      <c r="E10771" s="51">
        <f t="shared" si="168"/>
        <v>1</v>
      </c>
    </row>
    <row r="10772" spans="1:5">
      <c r="A10772" s="59">
        <v>23</v>
      </c>
      <c r="B10772" s="59">
        <v>44</v>
      </c>
      <c r="C10772" s="59">
        <v>750</v>
      </c>
      <c r="D10772" s="51">
        <v>6</v>
      </c>
      <c r="E10772" s="51">
        <f t="shared" si="168"/>
        <v>1</v>
      </c>
    </row>
    <row r="10773" spans="1:5">
      <c r="A10773" s="59">
        <v>23</v>
      </c>
      <c r="B10773" s="59">
        <v>63</v>
      </c>
      <c r="C10773" s="59">
        <v>330</v>
      </c>
      <c r="D10773" s="51">
        <v>6</v>
      </c>
      <c r="E10773" s="51">
        <f t="shared" si="168"/>
        <v>1</v>
      </c>
    </row>
    <row r="10774" spans="1:5">
      <c r="A10774" s="59">
        <v>23</v>
      </c>
      <c r="B10774" s="59">
        <v>64</v>
      </c>
      <c r="C10774" s="59">
        <v>420</v>
      </c>
      <c r="D10774" s="51">
        <v>6</v>
      </c>
      <c r="E10774" s="51">
        <f t="shared" si="168"/>
        <v>1</v>
      </c>
    </row>
    <row r="10775" spans="1:5">
      <c r="A10775" s="59">
        <v>23</v>
      </c>
      <c r="B10775" s="59">
        <v>64</v>
      </c>
      <c r="C10775" s="59">
        <v>630</v>
      </c>
      <c r="D10775" s="51">
        <v>6</v>
      </c>
      <c r="E10775" s="51">
        <f t="shared" si="168"/>
        <v>1</v>
      </c>
    </row>
    <row r="10776" spans="1:5">
      <c r="A10776" s="59">
        <v>23</v>
      </c>
      <c r="B10776" s="59">
        <v>71</v>
      </c>
      <c r="C10776" s="59">
        <v>150</v>
      </c>
      <c r="D10776" s="51">
        <v>6</v>
      </c>
      <c r="E10776" s="51">
        <f t="shared" si="168"/>
        <v>1</v>
      </c>
    </row>
    <row r="10777" spans="1:5">
      <c r="A10777" s="59">
        <v>23</v>
      </c>
      <c r="B10777" s="59">
        <v>71</v>
      </c>
      <c r="C10777" s="59">
        <v>930</v>
      </c>
      <c r="D10777" s="51">
        <v>6</v>
      </c>
      <c r="E10777" s="51">
        <f t="shared" si="168"/>
        <v>1</v>
      </c>
    </row>
    <row r="10778" spans="1:5">
      <c r="A10778" s="59">
        <v>23</v>
      </c>
      <c r="B10778" s="59">
        <v>15</v>
      </c>
      <c r="C10778" s="59">
        <v>150</v>
      </c>
      <c r="D10778" s="51">
        <v>5</v>
      </c>
      <c r="E10778" s="51">
        <f t="shared" si="168"/>
        <v>1</v>
      </c>
    </row>
    <row r="10779" spans="1:5">
      <c r="A10779" s="59">
        <v>23</v>
      </c>
      <c r="B10779" s="59">
        <v>15</v>
      </c>
      <c r="C10779" s="59">
        <v>910</v>
      </c>
      <c r="D10779" s="51">
        <v>5</v>
      </c>
      <c r="E10779" s="51">
        <f t="shared" si="168"/>
        <v>1</v>
      </c>
    </row>
    <row r="10780" spans="1:5">
      <c r="A10780" s="59">
        <v>23</v>
      </c>
      <c r="B10780" s="59">
        <v>16</v>
      </c>
      <c r="C10780" s="59">
        <v>240</v>
      </c>
      <c r="D10780" s="51">
        <v>5</v>
      </c>
      <c r="E10780" s="51">
        <f t="shared" si="168"/>
        <v>1</v>
      </c>
    </row>
    <row r="10781" spans="1:5">
      <c r="A10781" s="59">
        <v>23</v>
      </c>
      <c r="B10781" s="59">
        <v>22</v>
      </c>
      <c r="C10781" s="59">
        <v>220</v>
      </c>
      <c r="D10781" s="51">
        <v>5</v>
      </c>
      <c r="E10781" s="51">
        <f t="shared" si="168"/>
        <v>1</v>
      </c>
    </row>
    <row r="10782" spans="1:5">
      <c r="A10782" s="59">
        <v>23</v>
      </c>
      <c r="B10782" s="59">
        <v>32</v>
      </c>
      <c r="C10782" s="59">
        <v>430</v>
      </c>
      <c r="D10782" s="51">
        <v>5</v>
      </c>
      <c r="E10782" s="51">
        <f t="shared" si="168"/>
        <v>1</v>
      </c>
    </row>
    <row r="10783" spans="1:5">
      <c r="A10783" s="59">
        <v>23</v>
      </c>
      <c r="B10783" s="59">
        <v>41</v>
      </c>
      <c r="C10783" s="59">
        <v>160</v>
      </c>
      <c r="D10783" s="51">
        <v>5</v>
      </c>
      <c r="E10783" s="51">
        <f t="shared" si="168"/>
        <v>1</v>
      </c>
    </row>
    <row r="10784" spans="1:5">
      <c r="A10784" s="59">
        <v>23</v>
      </c>
      <c r="B10784" s="59">
        <v>41</v>
      </c>
      <c r="C10784" s="59">
        <v>750</v>
      </c>
      <c r="D10784" s="51">
        <v>5</v>
      </c>
      <c r="E10784" s="51">
        <f t="shared" si="168"/>
        <v>1</v>
      </c>
    </row>
    <row r="10785" spans="1:5">
      <c r="A10785" s="59">
        <v>23</v>
      </c>
      <c r="B10785" s="59">
        <v>42</v>
      </c>
      <c r="C10785" s="59">
        <v>930</v>
      </c>
      <c r="D10785" s="51">
        <v>5</v>
      </c>
      <c r="E10785" s="51">
        <f t="shared" si="168"/>
        <v>1</v>
      </c>
    </row>
    <row r="10786" spans="1:5">
      <c r="A10786" s="59">
        <v>23</v>
      </c>
      <c r="B10786" s="59">
        <v>44</v>
      </c>
      <c r="C10786" s="59">
        <v>240</v>
      </c>
      <c r="D10786" s="51">
        <v>5</v>
      </c>
      <c r="E10786" s="51">
        <f t="shared" si="168"/>
        <v>1</v>
      </c>
    </row>
    <row r="10787" spans="1:5">
      <c r="A10787" s="59">
        <v>23</v>
      </c>
      <c r="B10787" s="59">
        <v>62</v>
      </c>
      <c r="C10787" s="59">
        <v>620</v>
      </c>
      <c r="D10787" s="51">
        <v>5</v>
      </c>
      <c r="E10787" s="51">
        <f t="shared" si="168"/>
        <v>1</v>
      </c>
    </row>
    <row r="10788" spans="1:5">
      <c r="A10788" s="59">
        <v>23</v>
      </c>
      <c r="B10788" s="59">
        <v>62</v>
      </c>
      <c r="C10788" s="59">
        <v>720</v>
      </c>
      <c r="D10788" s="51">
        <v>5</v>
      </c>
      <c r="E10788" s="51">
        <f t="shared" si="168"/>
        <v>1</v>
      </c>
    </row>
    <row r="10789" spans="1:5">
      <c r="A10789" s="59">
        <v>23</v>
      </c>
      <c r="B10789" s="59">
        <v>63</v>
      </c>
      <c r="C10789" s="59">
        <v>610</v>
      </c>
      <c r="D10789" s="51">
        <v>5</v>
      </c>
      <c r="E10789" s="51">
        <f t="shared" si="168"/>
        <v>1</v>
      </c>
    </row>
    <row r="10790" spans="1:5">
      <c r="A10790" s="59">
        <v>23</v>
      </c>
      <c r="B10790" s="59">
        <v>64</v>
      </c>
      <c r="C10790" s="59">
        <v>130</v>
      </c>
      <c r="D10790" s="51">
        <v>5</v>
      </c>
      <c r="E10790" s="51">
        <f t="shared" si="168"/>
        <v>1</v>
      </c>
    </row>
    <row r="10791" spans="1:5">
      <c r="A10791" s="59">
        <v>23</v>
      </c>
      <c r="B10791" s="59">
        <v>71</v>
      </c>
      <c r="C10791" s="59">
        <v>610</v>
      </c>
      <c r="D10791" s="51">
        <v>5</v>
      </c>
      <c r="E10791" s="51">
        <f t="shared" si="168"/>
        <v>1</v>
      </c>
    </row>
    <row r="10792" spans="1:5">
      <c r="A10792" s="59">
        <v>23</v>
      </c>
      <c r="B10792" s="59">
        <v>13</v>
      </c>
      <c r="C10792" s="59">
        <v>430</v>
      </c>
      <c r="D10792" s="51">
        <v>4</v>
      </c>
      <c r="E10792" s="51">
        <f t="shared" si="168"/>
        <v>1</v>
      </c>
    </row>
    <row r="10793" spans="1:5">
      <c r="A10793" s="59">
        <v>23</v>
      </c>
      <c r="B10793" s="59">
        <v>15</v>
      </c>
      <c r="C10793" s="59">
        <v>210</v>
      </c>
      <c r="D10793" s="51">
        <v>4</v>
      </c>
      <c r="E10793" s="51">
        <f t="shared" si="168"/>
        <v>1</v>
      </c>
    </row>
    <row r="10794" spans="1:5">
      <c r="A10794" s="59">
        <v>23</v>
      </c>
      <c r="B10794" s="59">
        <v>16</v>
      </c>
      <c r="C10794" s="59">
        <v>210</v>
      </c>
      <c r="D10794" s="51">
        <v>4</v>
      </c>
      <c r="E10794" s="51">
        <f t="shared" si="168"/>
        <v>1</v>
      </c>
    </row>
    <row r="10795" spans="1:5">
      <c r="A10795" s="59">
        <v>23</v>
      </c>
      <c r="B10795" s="59">
        <v>16</v>
      </c>
      <c r="C10795" s="59">
        <v>330</v>
      </c>
      <c r="D10795" s="51">
        <v>4</v>
      </c>
      <c r="E10795" s="51">
        <f t="shared" si="168"/>
        <v>1</v>
      </c>
    </row>
    <row r="10796" spans="1:5">
      <c r="A10796" s="59">
        <v>23</v>
      </c>
      <c r="B10796" s="59">
        <v>22</v>
      </c>
      <c r="C10796" s="59">
        <v>210</v>
      </c>
      <c r="D10796" s="51">
        <v>4</v>
      </c>
      <c r="E10796" s="51">
        <f t="shared" si="168"/>
        <v>1</v>
      </c>
    </row>
    <row r="10797" spans="1:5">
      <c r="A10797" s="59">
        <v>23</v>
      </c>
      <c r="B10797" s="59">
        <v>22</v>
      </c>
      <c r="C10797" s="59">
        <v>240</v>
      </c>
      <c r="D10797" s="51">
        <v>4</v>
      </c>
      <c r="E10797" s="51">
        <f t="shared" si="168"/>
        <v>1</v>
      </c>
    </row>
    <row r="10798" spans="1:5">
      <c r="A10798" s="59">
        <v>23</v>
      </c>
      <c r="B10798" s="59">
        <v>32</v>
      </c>
      <c r="C10798" s="59">
        <v>530</v>
      </c>
      <c r="D10798" s="51">
        <v>4</v>
      </c>
      <c r="E10798" s="51">
        <f t="shared" si="168"/>
        <v>1</v>
      </c>
    </row>
    <row r="10799" spans="1:5">
      <c r="A10799" s="59">
        <v>23</v>
      </c>
      <c r="B10799" s="59">
        <v>33</v>
      </c>
      <c r="C10799" s="59">
        <v>930</v>
      </c>
      <c r="D10799" s="51">
        <v>4</v>
      </c>
      <c r="E10799" s="51">
        <f t="shared" si="168"/>
        <v>1</v>
      </c>
    </row>
    <row r="10800" spans="1:5">
      <c r="A10800" s="59">
        <v>23</v>
      </c>
      <c r="B10800" s="59">
        <v>41</v>
      </c>
      <c r="C10800" s="59">
        <v>530</v>
      </c>
      <c r="D10800" s="51">
        <v>4</v>
      </c>
      <c r="E10800" s="51">
        <f t="shared" si="168"/>
        <v>1</v>
      </c>
    </row>
    <row r="10801" spans="1:5">
      <c r="A10801" s="59">
        <v>23</v>
      </c>
      <c r="B10801" s="59">
        <v>42</v>
      </c>
      <c r="C10801" s="59">
        <v>610</v>
      </c>
      <c r="D10801" s="51">
        <v>4</v>
      </c>
      <c r="E10801" s="51">
        <f t="shared" si="168"/>
        <v>1</v>
      </c>
    </row>
    <row r="10802" spans="1:5">
      <c r="A10802" s="59">
        <v>23</v>
      </c>
      <c r="B10802" s="59">
        <v>42</v>
      </c>
      <c r="C10802" s="59">
        <v>950</v>
      </c>
      <c r="D10802" s="51">
        <v>4</v>
      </c>
      <c r="E10802" s="51">
        <f t="shared" si="168"/>
        <v>1</v>
      </c>
    </row>
    <row r="10803" spans="1:5">
      <c r="A10803" s="59">
        <v>23</v>
      </c>
      <c r="B10803" s="59">
        <v>43</v>
      </c>
      <c r="C10803" s="59">
        <v>550</v>
      </c>
      <c r="D10803" s="51">
        <v>4</v>
      </c>
      <c r="E10803" s="51">
        <f t="shared" si="168"/>
        <v>1</v>
      </c>
    </row>
    <row r="10804" spans="1:5">
      <c r="A10804" s="59">
        <v>23</v>
      </c>
      <c r="B10804" s="59">
        <v>44</v>
      </c>
      <c r="C10804" s="59">
        <v>540</v>
      </c>
      <c r="D10804" s="51">
        <v>4</v>
      </c>
      <c r="E10804" s="51">
        <f t="shared" si="168"/>
        <v>1</v>
      </c>
    </row>
    <row r="10805" spans="1:5">
      <c r="A10805" s="59">
        <v>23</v>
      </c>
      <c r="B10805" s="59">
        <v>44</v>
      </c>
      <c r="C10805" s="59">
        <v>990</v>
      </c>
      <c r="D10805" s="51">
        <v>4</v>
      </c>
      <c r="E10805" s="51">
        <f t="shared" si="168"/>
        <v>1</v>
      </c>
    </row>
    <row r="10806" spans="1:5">
      <c r="A10806" s="59">
        <v>23</v>
      </c>
      <c r="B10806" s="59">
        <v>62</v>
      </c>
      <c r="C10806" s="59">
        <v>610</v>
      </c>
      <c r="D10806" s="51">
        <v>4</v>
      </c>
      <c r="E10806" s="51">
        <f t="shared" si="168"/>
        <v>1</v>
      </c>
    </row>
    <row r="10807" spans="1:5">
      <c r="A10807" s="59">
        <v>23</v>
      </c>
      <c r="B10807" s="59">
        <v>62</v>
      </c>
      <c r="C10807" s="59">
        <v>862</v>
      </c>
      <c r="D10807" s="51">
        <v>4</v>
      </c>
      <c r="E10807" s="51">
        <f t="shared" si="168"/>
        <v>1</v>
      </c>
    </row>
    <row r="10808" spans="1:5">
      <c r="A10808" s="59">
        <v>23</v>
      </c>
      <c r="B10808" s="59">
        <v>62</v>
      </c>
      <c r="C10808" s="59">
        <v>930</v>
      </c>
      <c r="D10808" s="51">
        <v>4</v>
      </c>
      <c r="E10808" s="51">
        <f t="shared" si="168"/>
        <v>1</v>
      </c>
    </row>
    <row r="10809" spans="1:5">
      <c r="A10809" s="59">
        <v>23</v>
      </c>
      <c r="B10809" s="59">
        <v>63</v>
      </c>
      <c r="C10809" s="59">
        <v>150</v>
      </c>
      <c r="D10809" s="51">
        <v>4</v>
      </c>
      <c r="E10809" s="51">
        <f t="shared" si="168"/>
        <v>1</v>
      </c>
    </row>
    <row r="10810" spans="1:5">
      <c r="A10810" s="59">
        <v>23</v>
      </c>
      <c r="B10810" s="59">
        <v>63</v>
      </c>
      <c r="C10810" s="59">
        <v>881</v>
      </c>
      <c r="D10810" s="51">
        <v>4</v>
      </c>
      <c r="E10810" s="51">
        <f t="shared" si="168"/>
        <v>1</v>
      </c>
    </row>
    <row r="10811" spans="1:5">
      <c r="A10811" s="59">
        <v>23</v>
      </c>
      <c r="B10811" s="59">
        <v>63</v>
      </c>
      <c r="C10811" s="59">
        <v>910</v>
      </c>
      <c r="D10811" s="51">
        <v>4</v>
      </c>
      <c r="E10811" s="51">
        <f t="shared" si="168"/>
        <v>1</v>
      </c>
    </row>
    <row r="10812" spans="1:5">
      <c r="A10812" s="59">
        <v>23</v>
      </c>
      <c r="B10812" s="59">
        <v>64</v>
      </c>
      <c r="C10812" s="59">
        <v>730</v>
      </c>
      <c r="D10812" s="51">
        <v>4</v>
      </c>
      <c r="E10812" s="51">
        <f t="shared" si="168"/>
        <v>1</v>
      </c>
    </row>
    <row r="10813" spans="1:5">
      <c r="A10813" s="59">
        <v>23</v>
      </c>
      <c r="B10813" s="59">
        <v>71</v>
      </c>
      <c r="C10813" s="59">
        <v>720</v>
      </c>
      <c r="D10813" s="51">
        <v>4</v>
      </c>
      <c r="E10813" s="51">
        <f t="shared" si="168"/>
        <v>1</v>
      </c>
    </row>
    <row r="10814" spans="1:5">
      <c r="A10814" s="59">
        <v>23</v>
      </c>
      <c r="B10814" s="59">
        <v>81</v>
      </c>
      <c r="C10814" s="59">
        <v>940</v>
      </c>
      <c r="D10814" s="51">
        <v>4</v>
      </c>
      <c r="E10814" s="51">
        <f t="shared" si="168"/>
        <v>1</v>
      </c>
    </row>
    <row r="10815" spans="1:5">
      <c r="A10815" s="59">
        <v>23</v>
      </c>
      <c r="B10815" s="59">
        <v>13</v>
      </c>
      <c r="C10815" s="59">
        <v>930</v>
      </c>
      <c r="D10815" s="51">
        <v>3</v>
      </c>
      <c r="E10815" s="51">
        <f t="shared" si="168"/>
        <v>1</v>
      </c>
    </row>
    <row r="10816" spans="1:5">
      <c r="A10816" s="59">
        <v>23</v>
      </c>
      <c r="B10816" s="59">
        <v>16</v>
      </c>
      <c r="C10816" s="59">
        <v>150</v>
      </c>
      <c r="D10816" s="51">
        <v>3</v>
      </c>
      <c r="E10816" s="51">
        <f t="shared" si="168"/>
        <v>1</v>
      </c>
    </row>
    <row r="10817" spans="1:5">
      <c r="A10817" s="59">
        <v>23</v>
      </c>
      <c r="B10817" s="59">
        <v>16</v>
      </c>
      <c r="C10817" s="59">
        <v>910</v>
      </c>
      <c r="D10817" s="51">
        <v>3</v>
      </c>
      <c r="E10817" s="51">
        <f t="shared" si="168"/>
        <v>1</v>
      </c>
    </row>
    <row r="10818" spans="1:5">
      <c r="A10818" s="59">
        <v>23</v>
      </c>
      <c r="B10818" s="59">
        <v>22</v>
      </c>
      <c r="C10818" s="59">
        <v>160</v>
      </c>
      <c r="D10818" s="51">
        <v>3</v>
      </c>
      <c r="E10818" s="51">
        <f t="shared" ref="E10818:E10881" si="169">IF(OR(A10818=6,A10818=7,A10818=14,A10818=15,A10818=16,A10818=17,A10818=18,A10818=19,A10818=20,A10818=21,A10818=22,A10818=23,A10818=25,A10818=26,A10818=27,A10818=28,B10818=41,B10818=44,B10818=62),1,0)</f>
        <v>1</v>
      </c>
    </row>
    <row r="10819" spans="1:5">
      <c r="A10819" s="59">
        <v>23</v>
      </c>
      <c r="B10819" s="59">
        <v>23</v>
      </c>
      <c r="C10819" s="59">
        <v>940</v>
      </c>
      <c r="D10819" s="51">
        <v>3</v>
      </c>
      <c r="E10819" s="51">
        <f t="shared" si="169"/>
        <v>1</v>
      </c>
    </row>
    <row r="10820" spans="1:5">
      <c r="A10820" s="59">
        <v>23</v>
      </c>
      <c r="B10820" s="59">
        <v>41</v>
      </c>
      <c r="C10820" s="59">
        <v>930</v>
      </c>
      <c r="D10820" s="51">
        <v>3</v>
      </c>
      <c r="E10820" s="51">
        <f t="shared" si="169"/>
        <v>1</v>
      </c>
    </row>
    <row r="10821" spans="1:5">
      <c r="A10821" s="59">
        <v>23</v>
      </c>
      <c r="B10821" s="59">
        <v>41</v>
      </c>
      <c r="C10821" s="59">
        <v>950</v>
      </c>
      <c r="D10821" s="51">
        <v>3</v>
      </c>
      <c r="E10821" s="51">
        <f t="shared" si="169"/>
        <v>1</v>
      </c>
    </row>
    <row r="10822" spans="1:5">
      <c r="A10822" s="59">
        <v>23</v>
      </c>
      <c r="B10822" s="59">
        <v>42</v>
      </c>
      <c r="C10822" s="59">
        <v>310</v>
      </c>
      <c r="D10822" s="51">
        <v>3</v>
      </c>
      <c r="E10822" s="51">
        <f t="shared" si="169"/>
        <v>1</v>
      </c>
    </row>
    <row r="10823" spans="1:5">
      <c r="A10823" s="59">
        <v>23</v>
      </c>
      <c r="B10823" s="59">
        <v>42</v>
      </c>
      <c r="C10823" s="59">
        <v>430</v>
      </c>
      <c r="D10823" s="51">
        <v>3</v>
      </c>
      <c r="E10823" s="51">
        <f t="shared" si="169"/>
        <v>1</v>
      </c>
    </row>
    <row r="10824" spans="1:5">
      <c r="A10824" s="59">
        <v>23</v>
      </c>
      <c r="B10824" s="59">
        <v>42</v>
      </c>
      <c r="C10824" s="59">
        <v>910</v>
      </c>
      <c r="D10824" s="51">
        <v>3</v>
      </c>
      <c r="E10824" s="51">
        <f t="shared" si="169"/>
        <v>1</v>
      </c>
    </row>
    <row r="10825" spans="1:5">
      <c r="A10825" s="59">
        <v>23</v>
      </c>
      <c r="B10825" s="59">
        <v>44</v>
      </c>
      <c r="C10825" s="59">
        <v>430</v>
      </c>
      <c r="D10825" s="51">
        <v>3</v>
      </c>
      <c r="E10825" s="51">
        <f t="shared" si="169"/>
        <v>1</v>
      </c>
    </row>
    <row r="10826" spans="1:5">
      <c r="A10826" s="59">
        <v>23</v>
      </c>
      <c r="B10826" s="59">
        <v>44</v>
      </c>
      <c r="C10826" s="59">
        <v>920</v>
      </c>
      <c r="D10826" s="51">
        <v>3</v>
      </c>
      <c r="E10826" s="51">
        <f t="shared" si="169"/>
        <v>1</v>
      </c>
    </row>
    <row r="10827" spans="1:5">
      <c r="A10827" s="59">
        <v>23</v>
      </c>
      <c r="B10827" s="59">
        <v>62</v>
      </c>
      <c r="C10827" s="59">
        <v>550</v>
      </c>
      <c r="D10827" s="51">
        <v>3</v>
      </c>
      <c r="E10827" s="51">
        <f t="shared" si="169"/>
        <v>1</v>
      </c>
    </row>
    <row r="10828" spans="1:5">
      <c r="A10828" s="59">
        <v>23</v>
      </c>
      <c r="B10828" s="59">
        <v>62</v>
      </c>
      <c r="C10828" s="59">
        <v>891</v>
      </c>
      <c r="D10828" s="51">
        <v>3</v>
      </c>
      <c r="E10828" s="51">
        <f t="shared" si="169"/>
        <v>1</v>
      </c>
    </row>
    <row r="10829" spans="1:5">
      <c r="A10829" s="59">
        <v>23</v>
      </c>
      <c r="B10829" s="59">
        <v>63</v>
      </c>
      <c r="C10829" s="59">
        <v>230</v>
      </c>
      <c r="D10829" s="51">
        <v>3</v>
      </c>
      <c r="E10829" s="51">
        <f t="shared" si="169"/>
        <v>1</v>
      </c>
    </row>
    <row r="10830" spans="1:5">
      <c r="A10830" s="59">
        <v>23</v>
      </c>
      <c r="B10830" s="59">
        <v>63</v>
      </c>
      <c r="C10830" s="59">
        <v>860</v>
      </c>
      <c r="D10830" s="51">
        <v>3</v>
      </c>
      <c r="E10830" s="51">
        <f t="shared" si="169"/>
        <v>1</v>
      </c>
    </row>
    <row r="10831" spans="1:5">
      <c r="A10831" s="59">
        <v>23</v>
      </c>
      <c r="B10831" s="59">
        <v>64</v>
      </c>
      <c r="C10831" s="59">
        <v>540</v>
      </c>
      <c r="D10831" s="51">
        <v>3</v>
      </c>
      <c r="E10831" s="51">
        <f t="shared" si="169"/>
        <v>1</v>
      </c>
    </row>
    <row r="10832" spans="1:5">
      <c r="A10832" s="59">
        <v>23</v>
      </c>
      <c r="B10832" s="59">
        <v>13</v>
      </c>
      <c r="C10832" s="59">
        <v>110</v>
      </c>
      <c r="D10832" s="51">
        <v>2</v>
      </c>
      <c r="E10832" s="51">
        <f t="shared" si="169"/>
        <v>1</v>
      </c>
    </row>
    <row r="10833" spans="1:5">
      <c r="A10833" s="59">
        <v>23</v>
      </c>
      <c r="B10833" s="59">
        <v>13</v>
      </c>
      <c r="C10833" s="59">
        <v>310</v>
      </c>
      <c r="D10833" s="51">
        <v>2</v>
      </c>
      <c r="E10833" s="51">
        <f t="shared" si="169"/>
        <v>1</v>
      </c>
    </row>
    <row r="10834" spans="1:5">
      <c r="A10834" s="59">
        <v>23</v>
      </c>
      <c r="B10834" s="59">
        <v>13</v>
      </c>
      <c r="C10834" s="59">
        <v>610</v>
      </c>
      <c r="D10834" s="51">
        <v>2</v>
      </c>
      <c r="E10834" s="51">
        <f t="shared" si="169"/>
        <v>1</v>
      </c>
    </row>
    <row r="10835" spans="1:5">
      <c r="A10835" s="59">
        <v>23</v>
      </c>
      <c r="B10835" s="59">
        <v>13</v>
      </c>
      <c r="C10835" s="59">
        <v>920</v>
      </c>
      <c r="D10835" s="51">
        <v>2</v>
      </c>
      <c r="E10835" s="51">
        <f t="shared" si="169"/>
        <v>1</v>
      </c>
    </row>
    <row r="10836" spans="1:5">
      <c r="A10836" s="59">
        <v>23</v>
      </c>
      <c r="B10836" s="59">
        <v>14</v>
      </c>
      <c r="C10836" s="59">
        <v>110</v>
      </c>
      <c r="D10836" s="51">
        <v>2</v>
      </c>
      <c r="E10836" s="51">
        <f t="shared" si="169"/>
        <v>1</v>
      </c>
    </row>
    <row r="10837" spans="1:5">
      <c r="A10837" s="59">
        <v>23</v>
      </c>
      <c r="B10837" s="59">
        <v>14</v>
      </c>
      <c r="C10837" s="59">
        <v>320</v>
      </c>
      <c r="D10837" s="51">
        <v>2</v>
      </c>
      <c r="E10837" s="51">
        <f t="shared" si="169"/>
        <v>1</v>
      </c>
    </row>
    <row r="10838" spans="1:5">
      <c r="A10838" s="59">
        <v>23</v>
      </c>
      <c r="B10838" s="59">
        <v>14</v>
      </c>
      <c r="C10838" s="59">
        <v>510</v>
      </c>
      <c r="D10838" s="51">
        <v>2</v>
      </c>
      <c r="E10838" s="51">
        <f t="shared" si="169"/>
        <v>1</v>
      </c>
    </row>
    <row r="10839" spans="1:5">
      <c r="A10839" s="59">
        <v>23</v>
      </c>
      <c r="B10839" s="59">
        <v>14</v>
      </c>
      <c r="C10839" s="59">
        <v>750</v>
      </c>
      <c r="D10839" s="51">
        <v>2</v>
      </c>
      <c r="E10839" s="51">
        <f t="shared" si="169"/>
        <v>1</v>
      </c>
    </row>
    <row r="10840" spans="1:5">
      <c r="A10840" s="59">
        <v>23</v>
      </c>
      <c r="B10840" s="59">
        <v>15</v>
      </c>
      <c r="C10840" s="59">
        <v>240</v>
      </c>
      <c r="D10840" s="51">
        <v>2</v>
      </c>
      <c r="E10840" s="51">
        <f t="shared" si="169"/>
        <v>1</v>
      </c>
    </row>
    <row r="10841" spans="1:5">
      <c r="A10841" s="59">
        <v>23</v>
      </c>
      <c r="B10841" s="59">
        <v>16</v>
      </c>
      <c r="C10841" s="59">
        <v>950</v>
      </c>
      <c r="D10841" s="51">
        <v>2</v>
      </c>
      <c r="E10841" s="51">
        <f t="shared" si="169"/>
        <v>1</v>
      </c>
    </row>
    <row r="10842" spans="1:5">
      <c r="A10842" s="59">
        <v>23</v>
      </c>
      <c r="B10842" s="59">
        <v>16</v>
      </c>
      <c r="C10842" s="59">
        <v>990</v>
      </c>
      <c r="D10842" s="51">
        <v>2</v>
      </c>
      <c r="E10842" s="51">
        <f t="shared" si="169"/>
        <v>1</v>
      </c>
    </row>
    <row r="10843" spans="1:5">
      <c r="A10843" s="59">
        <v>23</v>
      </c>
      <c r="B10843" s="59">
        <v>23</v>
      </c>
      <c r="C10843" s="59">
        <v>330</v>
      </c>
      <c r="D10843" s="51">
        <v>2</v>
      </c>
      <c r="E10843" s="51">
        <f t="shared" si="169"/>
        <v>1</v>
      </c>
    </row>
    <row r="10844" spans="1:5">
      <c r="A10844" s="59">
        <v>23</v>
      </c>
      <c r="B10844" s="59">
        <v>31</v>
      </c>
      <c r="C10844" s="59">
        <v>940</v>
      </c>
      <c r="D10844" s="51">
        <v>2</v>
      </c>
      <c r="E10844" s="51">
        <f t="shared" si="169"/>
        <v>1</v>
      </c>
    </row>
    <row r="10845" spans="1:5">
      <c r="A10845" s="59">
        <v>23</v>
      </c>
      <c r="B10845" s="59">
        <v>32</v>
      </c>
      <c r="C10845" s="59">
        <v>895</v>
      </c>
      <c r="D10845" s="51">
        <v>2</v>
      </c>
      <c r="E10845" s="51">
        <f t="shared" si="169"/>
        <v>1</v>
      </c>
    </row>
    <row r="10846" spans="1:5">
      <c r="A10846" s="59">
        <v>23</v>
      </c>
      <c r="B10846" s="59">
        <v>33</v>
      </c>
      <c r="C10846" s="59">
        <v>230</v>
      </c>
      <c r="D10846" s="51">
        <v>2</v>
      </c>
      <c r="E10846" s="51">
        <f t="shared" si="169"/>
        <v>1</v>
      </c>
    </row>
    <row r="10847" spans="1:5">
      <c r="A10847" s="59">
        <v>23</v>
      </c>
      <c r="B10847" s="59">
        <v>42</v>
      </c>
      <c r="C10847" s="59">
        <v>240</v>
      </c>
      <c r="D10847" s="51">
        <v>2</v>
      </c>
      <c r="E10847" s="51">
        <f t="shared" si="169"/>
        <v>1</v>
      </c>
    </row>
    <row r="10848" spans="1:5">
      <c r="A10848" s="59">
        <v>23</v>
      </c>
      <c r="B10848" s="59">
        <v>43</v>
      </c>
      <c r="C10848" s="59">
        <v>410</v>
      </c>
      <c r="D10848" s="51">
        <v>2</v>
      </c>
      <c r="E10848" s="51">
        <f t="shared" si="169"/>
        <v>1</v>
      </c>
    </row>
    <row r="10849" spans="1:5">
      <c r="A10849" s="59">
        <v>23</v>
      </c>
      <c r="B10849" s="59">
        <v>44</v>
      </c>
      <c r="C10849" s="59">
        <v>550</v>
      </c>
      <c r="D10849" s="51">
        <v>2</v>
      </c>
      <c r="E10849" s="51">
        <f t="shared" si="169"/>
        <v>1</v>
      </c>
    </row>
    <row r="10850" spans="1:5">
      <c r="A10850" s="59">
        <v>23</v>
      </c>
      <c r="B10850" s="59">
        <v>44</v>
      </c>
      <c r="C10850" s="59">
        <v>710</v>
      </c>
      <c r="D10850" s="51">
        <v>2</v>
      </c>
      <c r="E10850" s="51">
        <f t="shared" si="169"/>
        <v>1</v>
      </c>
    </row>
    <row r="10851" spans="1:5">
      <c r="A10851" s="59">
        <v>23</v>
      </c>
      <c r="B10851" s="59">
        <v>44</v>
      </c>
      <c r="C10851" s="59">
        <v>730</v>
      </c>
      <c r="D10851" s="51">
        <v>2</v>
      </c>
      <c r="E10851" s="51">
        <f t="shared" si="169"/>
        <v>1</v>
      </c>
    </row>
    <row r="10852" spans="1:5">
      <c r="A10852" s="59">
        <v>23</v>
      </c>
      <c r="B10852" s="59">
        <v>44</v>
      </c>
      <c r="C10852" s="59">
        <v>899</v>
      </c>
      <c r="D10852" s="51">
        <v>2</v>
      </c>
      <c r="E10852" s="51">
        <f t="shared" si="169"/>
        <v>1</v>
      </c>
    </row>
    <row r="10853" spans="1:5">
      <c r="A10853" s="59">
        <v>23</v>
      </c>
      <c r="B10853" s="59">
        <v>44</v>
      </c>
      <c r="C10853" s="59">
        <v>950</v>
      </c>
      <c r="D10853" s="51">
        <v>2</v>
      </c>
      <c r="E10853" s="51">
        <f t="shared" si="169"/>
        <v>1</v>
      </c>
    </row>
    <row r="10854" spans="1:5">
      <c r="A10854" s="59">
        <v>23</v>
      </c>
      <c r="B10854" s="59">
        <v>62</v>
      </c>
      <c r="C10854" s="59">
        <v>330</v>
      </c>
      <c r="D10854" s="51">
        <v>2</v>
      </c>
      <c r="E10854" s="51">
        <f t="shared" si="169"/>
        <v>1</v>
      </c>
    </row>
    <row r="10855" spans="1:5">
      <c r="A10855" s="59">
        <v>23</v>
      </c>
      <c r="B10855" s="59">
        <v>62</v>
      </c>
      <c r="C10855" s="59">
        <v>950</v>
      </c>
      <c r="D10855" s="51">
        <v>2</v>
      </c>
      <c r="E10855" s="51">
        <f t="shared" si="169"/>
        <v>1</v>
      </c>
    </row>
    <row r="10856" spans="1:5">
      <c r="A10856" s="59">
        <v>23</v>
      </c>
      <c r="B10856" s="59">
        <v>62</v>
      </c>
      <c r="C10856" s="59">
        <v>990</v>
      </c>
      <c r="D10856" s="51">
        <v>2</v>
      </c>
      <c r="E10856" s="51">
        <f t="shared" si="169"/>
        <v>1</v>
      </c>
    </row>
    <row r="10857" spans="1:5">
      <c r="A10857" s="59">
        <v>23</v>
      </c>
      <c r="B10857" s="59">
        <v>63</v>
      </c>
      <c r="C10857" s="59">
        <v>220</v>
      </c>
      <c r="D10857" s="51">
        <v>2</v>
      </c>
      <c r="E10857" s="51">
        <f t="shared" si="169"/>
        <v>1</v>
      </c>
    </row>
    <row r="10858" spans="1:5">
      <c r="A10858" s="59">
        <v>23</v>
      </c>
      <c r="B10858" s="59">
        <v>63</v>
      </c>
      <c r="C10858" s="59">
        <v>750</v>
      </c>
      <c r="D10858" s="51">
        <v>2</v>
      </c>
      <c r="E10858" s="51">
        <f t="shared" si="169"/>
        <v>1</v>
      </c>
    </row>
    <row r="10859" spans="1:5">
      <c r="A10859" s="59">
        <v>23</v>
      </c>
      <c r="B10859" s="59">
        <v>63</v>
      </c>
      <c r="C10859" s="59">
        <v>950</v>
      </c>
      <c r="D10859" s="51">
        <v>2</v>
      </c>
      <c r="E10859" s="51">
        <f t="shared" si="169"/>
        <v>1</v>
      </c>
    </row>
    <row r="10860" spans="1:5">
      <c r="A10860" s="59">
        <v>23</v>
      </c>
      <c r="B10860" s="59">
        <v>64</v>
      </c>
      <c r="C10860" s="59">
        <v>320</v>
      </c>
      <c r="D10860" s="51">
        <v>2</v>
      </c>
      <c r="E10860" s="51">
        <f t="shared" si="169"/>
        <v>1</v>
      </c>
    </row>
    <row r="10861" spans="1:5">
      <c r="A10861" s="59">
        <v>23</v>
      </c>
      <c r="B10861" s="59">
        <v>71</v>
      </c>
      <c r="C10861" s="59">
        <v>510</v>
      </c>
      <c r="D10861" s="51">
        <v>2</v>
      </c>
      <c r="E10861" s="51">
        <f t="shared" si="169"/>
        <v>1</v>
      </c>
    </row>
    <row r="10862" spans="1:5">
      <c r="A10862" s="59">
        <v>23</v>
      </c>
      <c r="B10862" s="59">
        <v>71</v>
      </c>
      <c r="C10862" s="59">
        <v>630</v>
      </c>
      <c r="D10862" s="51">
        <v>2</v>
      </c>
      <c r="E10862" s="51">
        <f t="shared" si="169"/>
        <v>1</v>
      </c>
    </row>
    <row r="10863" spans="1:5">
      <c r="A10863" s="59">
        <v>23</v>
      </c>
      <c r="B10863" s="59">
        <v>71</v>
      </c>
      <c r="C10863" s="59">
        <v>920</v>
      </c>
      <c r="D10863" s="51">
        <v>2</v>
      </c>
      <c r="E10863" s="51">
        <f t="shared" si="169"/>
        <v>1</v>
      </c>
    </row>
    <row r="10864" spans="1:5">
      <c r="A10864" s="59">
        <v>23</v>
      </c>
      <c r="B10864" s="59">
        <v>71</v>
      </c>
      <c r="C10864" s="59">
        <v>950</v>
      </c>
      <c r="D10864" s="51">
        <v>2</v>
      </c>
      <c r="E10864" s="51">
        <f t="shared" si="169"/>
        <v>1</v>
      </c>
    </row>
    <row r="10865" spans="1:5">
      <c r="A10865" s="59">
        <v>23</v>
      </c>
      <c r="B10865" s="59">
        <v>81</v>
      </c>
      <c r="C10865" s="59">
        <v>230</v>
      </c>
      <c r="D10865" s="51">
        <v>2</v>
      </c>
      <c r="E10865" s="51">
        <f t="shared" si="169"/>
        <v>1</v>
      </c>
    </row>
    <row r="10866" spans="1:5">
      <c r="A10866" s="59">
        <v>23</v>
      </c>
      <c r="B10866" s="59">
        <v>12</v>
      </c>
      <c r="C10866" s="59">
        <v>940</v>
      </c>
      <c r="D10866" s="51">
        <v>1</v>
      </c>
      <c r="E10866" s="51">
        <f t="shared" si="169"/>
        <v>1</v>
      </c>
    </row>
    <row r="10867" spans="1:5">
      <c r="A10867" s="59">
        <v>23</v>
      </c>
      <c r="B10867" s="59">
        <v>13</v>
      </c>
      <c r="C10867" s="59">
        <v>240</v>
      </c>
      <c r="D10867" s="51">
        <v>1</v>
      </c>
      <c r="E10867" s="51">
        <f t="shared" si="169"/>
        <v>1</v>
      </c>
    </row>
    <row r="10868" spans="1:5">
      <c r="A10868" s="59">
        <v>23</v>
      </c>
      <c r="B10868" s="59">
        <v>13</v>
      </c>
      <c r="C10868" s="59">
        <v>320</v>
      </c>
      <c r="D10868" s="51">
        <v>1</v>
      </c>
      <c r="E10868" s="51">
        <f t="shared" si="169"/>
        <v>1</v>
      </c>
    </row>
    <row r="10869" spans="1:5">
      <c r="A10869" s="59">
        <v>23</v>
      </c>
      <c r="B10869" s="59">
        <v>13</v>
      </c>
      <c r="C10869" s="59">
        <v>410</v>
      </c>
      <c r="D10869" s="51">
        <v>1</v>
      </c>
      <c r="E10869" s="51">
        <f t="shared" si="169"/>
        <v>1</v>
      </c>
    </row>
    <row r="10870" spans="1:5">
      <c r="A10870" s="59">
        <v>23</v>
      </c>
      <c r="B10870" s="59">
        <v>13</v>
      </c>
      <c r="C10870" s="59">
        <v>750</v>
      </c>
      <c r="D10870" s="51">
        <v>1</v>
      </c>
      <c r="E10870" s="51">
        <f t="shared" si="169"/>
        <v>1</v>
      </c>
    </row>
    <row r="10871" spans="1:5">
      <c r="A10871" s="59">
        <v>23</v>
      </c>
      <c r="B10871" s="59">
        <v>13</v>
      </c>
      <c r="C10871" s="59">
        <v>950</v>
      </c>
      <c r="D10871" s="51">
        <v>1</v>
      </c>
      <c r="E10871" s="51">
        <f t="shared" si="169"/>
        <v>1</v>
      </c>
    </row>
    <row r="10872" spans="1:5">
      <c r="A10872" s="59">
        <v>23</v>
      </c>
      <c r="B10872" s="59">
        <v>14</v>
      </c>
      <c r="C10872" s="59">
        <v>130</v>
      </c>
      <c r="D10872" s="51">
        <v>1</v>
      </c>
      <c r="E10872" s="51">
        <f t="shared" si="169"/>
        <v>1</v>
      </c>
    </row>
    <row r="10873" spans="1:5">
      <c r="A10873" s="59">
        <v>23</v>
      </c>
      <c r="B10873" s="59">
        <v>14</v>
      </c>
      <c r="C10873" s="59">
        <v>430</v>
      </c>
      <c r="D10873" s="51">
        <v>1</v>
      </c>
      <c r="E10873" s="51">
        <f t="shared" si="169"/>
        <v>1</v>
      </c>
    </row>
    <row r="10874" spans="1:5">
      <c r="A10874" s="59">
        <v>23</v>
      </c>
      <c r="B10874" s="59">
        <v>14</v>
      </c>
      <c r="C10874" s="59">
        <v>990</v>
      </c>
      <c r="D10874" s="51">
        <v>1</v>
      </c>
      <c r="E10874" s="51">
        <f t="shared" si="169"/>
        <v>1</v>
      </c>
    </row>
    <row r="10875" spans="1:5">
      <c r="A10875" s="59">
        <v>23</v>
      </c>
      <c r="B10875" s="59">
        <v>15</v>
      </c>
      <c r="C10875" s="59">
        <v>140</v>
      </c>
      <c r="D10875" s="51">
        <v>1</v>
      </c>
      <c r="E10875" s="51">
        <f t="shared" si="169"/>
        <v>1</v>
      </c>
    </row>
    <row r="10876" spans="1:5">
      <c r="A10876" s="59">
        <v>23</v>
      </c>
      <c r="B10876" s="59">
        <v>15</v>
      </c>
      <c r="C10876" s="59">
        <v>540</v>
      </c>
      <c r="D10876" s="51">
        <v>1</v>
      </c>
      <c r="E10876" s="51">
        <f t="shared" si="169"/>
        <v>1</v>
      </c>
    </row>
    <row r="10877" spans="1:5">
      <c r="A10877" s="59">
        <v>23</v>
      </c>
      <c r="B10877" s="59">
        <v>16</v>
      </c>
      <c r="C10877" s="59">
        <v>220</v>
      </c>
      <c r="D10877" s="51">
        <v>1</v>
      </c>
      <c r="E10877" s="51">
        <f t="shared" si="169"/>
        <v>1</v>
      </c>
    </row>
    <row r="10878" spans="1:5">
      <c r="A10878" s="59">
        <v>23</v>
      </c>
      <c r="B10878" s="59">
        <v>16</v>
      </c>
      <c r="C10878" s="59">
        <v>310</v>
      </c>
      <c r="D10878" s="51">
        <v>1</v>
      </c>
      <c r="E10878" s="51">
        <f t="shared" si="169"/>
        <v>1</v>
      </c>
    </row>
    <row r="10879" spans="1:5">
      <c r="A10879" s="59">
        <v>23</v>
      </c>
      <c r="B10879" s="59">
        <v>16</v>
      </c>
      <c r="C10879" s="59">
        <v>320</v>
      </c>
      <c r="D10879" s="51">
        <v>1</v>
      </c>
      <c r="E10879" s="51">
        <f t="shared" si="169"/>
        <v>1</v>
      </c>
    </row>
    <row r="10880" spans="1:5">
      <c r="A10880" s="59">
        <v>23</v>
      </c>
      <c r="B10880" s="59">
        <v>16</v>
      </c>
      <c r="C10880" s="59">
        <v>430</v>
      </c>
      <c r="D10880" s="51">
        <v>1</v>
      </c>
      <c r="E10880" s="51">
        <f t="shared" si="169"/>
        <v>1</v>
      </c>
    </row>
    <row r="10881" spans="1:5">
      <c r="A10881" s="59">
        <v>23</v>
      </c>
      <c r="B10881" s="59">
        <v>16</v>
      </c>
      <c r="C10881" s="59">
        <v>930</v>
      </c>
      <c r="D10881" s="51">
        <v>1</v>
      </c>
      <c r="E10881" s="51">
        <f t="shared" si="169"/>
        <v>1</v>
      </c>
    </row>
    <row r="10882" spans="1:5">
      <c r="A10882" s="59">
        <v>23</v>
      </c>
      <c r="B10882" s="59">
        <v>21</v>
      </c>
      <c r="C10882" s="59">
        <v>940</v>
      </c>
      <c r="D10882" s="51">
        <v>1</v>
      </c>
      <c r="E10882" s="51">
        <f t="shared" ref="E10882:E10945" si="170">IF(OR(A10882=6,A10882=7,A10882=14,A10882=15,A10882=16,A10882=17,A10882=18,A10882=19,A10882=20,A10882=21,A10882=22,A10882=23,A10882=25,A10882=26,A10882=27,A10882=28,B10882=41,B10882=44,B10882=62),1,0)</f>
        <v>1</v>
      </c>
    </row>
    <row r="10883" spans="1:5">
      <c r="A10883" s="59">
        <v>23</v>
      </c>
      <c r="B10883" s="59">
        <v>22</v>
      </c>
      <c r="C10883" s="59">
        <v>330</v>
      </c>
      <c r="D10883" s="51">
        <v>1</v>
      </c>
      <c r="E10883" s="51">
        <f t="shared" si="170"/>
        <v>1</v>
      </c>
    </row>
    <row r="10884" spans="1:5">
      <c r="A10884" s="59">
        <v>23</v>
      </c>
      <c r="B10884" s="59">
        <v>31</v>
      </c>
      <c r="C10884" s="59">
        <v>430</v>
      </c>
      <c r="D10884" s="51">
        <v>1</v>
      </c>
      <c r="E10884" s="51">
        <f t="shared" si="170"/>
        <v>1</v>
      </c>
    </row>
    <row r="10885" spans="1:5">
      <c r="A10885" s="59">
        <v>23</v>
      </c>
      <c r="B10885" s="59">
        <v>32</v>
      </c>
      <c r="C10885" s="59">
        <v>220</v>
      </c>
      <c r="D10885" s="51">
        <v>1</v>
      </c>
      <c r="E10885" s="51">
        <f t="shared" si="170"/>
        <v>1</v>
      </c>
    </row>
    <row r="10886" spans="1:5">
      <c r="A10886" s="59">
        <v>23</v>
      </c>
      <c r="B10886" s="59">
        <v>32</v>
      </c>
      <c r="C10886" s="59">
        <v>230</v>
      </c>
      <c r="D10886" s="51">
        <v>1</v>
      </c>
      <c r="E10886" s="51">
        <f t="shared" si="170"/>
        <v>1</v>
      </c>
    </row>
    <row r="10887" spans="1:5">
      <c r="A10887" s="59">
        <v>23</v>
      </c>
      <c r="B10887" s="59">
        <v>32</v>
      </c>
      <c r="C10887" s="59">
        <v>620</v>
      </c>
      <c r="D10887" s="51">
        <v>1</v>
      </c>
      <c r="E10887" s="51">
        <f t="shared" si="170"/>
        <v>1</v>
      </c>
    </row>
    <row r="10888" spans="1:5">
      <c r="A10888" s="59">
        <v>23</v>
      </c>
      <c r="B10888" s="59">
        <v>32</v>
      </c>
      <c r="C10888" s="59">
        <v>910</v>
      </c>
      <c r="D10888" s="51">
        <v>1</v>
      </c>
      <c r="E10888" s="51">
        <f t="shared" si="170"/>
        <v>1</v>
      </c>
    </row>
    <row r="10889" spans="1:5">
      <c r="A10889" s="59">
        <v>23</v>
      </c>
      <c r="B10889" s="59">
        <v>32</v>
      </c>
      <c r="C10889" s="59">
        <v>930</v>
      </c>
      <c r="D10889" s="51">
        <v>1</v>
      </c>
      <c r="E10889" s="51">
        <f t="shared" si="170"/>
        <v>1</v>
      </c>
    </row>
    <row r="10890" spans="1:5">
      <c r="A10890" s="59">
        <v>23</v>
      </c>
      <c r="B10890" s="59">
        <v>33</v>
      </c>
      <c r="C10890" s="59">
        <v>140</v>
      </c>
      <c r="D10890" s="51">
        <v>1</v>
      </c>
      <c r="E10890" s="51">
        <f t="shared" si="170"/>
        <v>1</v>
      </c>
    </row>
    <row r="10891" spans="1:5">
      <c r="A10891" s="59">
        <v>23</v>
      </c>
      <c r="B10891" s="59">
        <v>33</v>
      </c>
      <c r="C10891" s="59">
        <v>410</v>
      </c>
      <c r="D10891" s="51">
        <v>1</v>
      </c>
      <c r="E10891" s="51">
        <f t="shared" si="170"/>
        <v>1</v>
      </c>
    </row>
    <row r="10892" spans="1:5">
      <c r="A10892" s="59">
        <v>23</v>
      </c>
      <c r="B10892" s="59">
        <v>33</v>
      </c>
      <c r="C10892" s="59">
        <v>420</v>
      </c>
      <c r="D10892" s="51">
        <v>1</v>
      </c>
      <c r="E10892" s="51">
        <f t="shared" si="170"/>
        <v>1</v>
      </c>
    </row>
    <row r="10893" spans="1:5">
      <c r="A10893" s="59">
        <v>23</v>
      </c>
      <c r="B10893" s="59">
        <v>33</v>
      </c>
      <c r="C10893" s="59">
        <v>530</v>
      </c>
      <c r="D10893" s="51">
        <v>1</v>
      </c>
      <c r="E10893" s="51">
        <f t="shared" si="170"/>
        <v>1</v>
      </c>
    </row>
    <row r="10894" spans="1:5">
      <c r="A10894" s="59">
        <v>23</v>
      </c>
      <c r="B10894" s="59">
        <v>33</v>
      </c>
      <c r="C10894" s="59">
        <v>910</v>
      </c>
      <c r="D10894" s="51">
        <v>1</v>
      </c>
      <c r="E10894" s="51">
        <f t="shared" si="170"/>
        <v>1</v>
      </c>
    </row>
    <row r="10895" spans="1:5">
      <c r="A10895" s="59">
        <v>23</v>
      </c>
      <c r="B10895" s="59">
        <v>33</v>
      </c>
      <c r="C10895" s="59">
        <v>920</v>
      </c>
      <c r="D10895" s="51">
        <v>1</v>
      </c>
      <c r="E10895" s="51">
        <f t="shared" si="170"/>
        <v>1</v>
      </c>
    </row>
    <row r="10896" spans="1:5">
      <c r="A10896" s="59">
        <v>23</v>
      </c>
      <c r="B10896" s="59">
        <v>41</v>
      </c>
      <c r="C10896" s="59">
        <v>240</v>
      </c>
      <c r="D10896" s="51">
        <v>1</v>
      </c>
      <c r="E10896" s="51">
        <f t="shared" si="170"/>
        <v>1</v>
      </c>
    </row>
    <row r="10897" spans="1:5">
      <c r="A10897" s="59">
        <v>23</v>
      </c>
      <c r="B10897" s="59">
        <v>41</v>
      </c>
      <c r="C10897" s="59">
        <v>990</v>
      </c>
      <c r="D10897" s="51">
        <v>1</v>
      </c>
      <c r="E10897" s="51">
        <f t="shared" si="170"/>
        <v>1</v>
      </c>
    </row>
    <row r="10898" spans="1:5">
      <c r="A10898" s="59">
        <v>23</v>
      </c>
      <c r="B10898" s="59">
        <v>42</v>
      </c>
      <c r="C10898" s="59">
        <v>110</v>
      </c>
      <c r="D10898" s="51">
        <v>1</v>
      </c>
      <c r="E10898" s="51">
        <f t="shared" si="170"/>
        <v>1</v>
      </c>
    </row>
    <row r="10899" spans="1:5">
      <c r="A10899" s="59">
        <v>23</v>
      </c>
      <c r="B10899" s="59">
        <v>42</v>
      </c>
      <c r="C10899" s="59">
        <v>510</v>
      </c>
      <c r="D10899" s="51">
        <v>1</v>
      </c>
      <c r="E10899" s="51">
        <f t="shared" si="170"/>
        <v>1</v>
      </c>
    </row>
    <row r="10900" spans="1:5">
      <c r="A10900" s="59">
        <v>23</v>
      </c>
      <c r="B10900" s="59">
        <v>42</v>
      </c>
      <c r="C10900" s="59">
        <v>520</v>
      </c>
      <c r="D10900" s="51">
        <v>1</v>
      </c>
      <c r="E10900" s="51">
        <f t="shared" si="170"/>
        <v>1</v>
      </c>
    </row>
    <row r="10901" spans="1:5">
      <c r="A10901" s="59">
        <v>23</v>
      </c>
      <c r="B10901" s="59">
        <v>42</v>
      </c>
      <c r="C10901" s="59">
        <v>630</v>
      </c>
      <c r="D10901" s="51">
        <v>1</v>
      </c>
      <c r="E10901" s="51">
        <f t="shared" si="170"/>
        <v>1</v>
      </c>
    </row>
    <row r="10902" spans="1:5">
      <c r="A10902" s="59">
        <v>23</v>
      </c>
      <c r="B10902" s="59">
        <v>42</v>
      </c>
      <c r="C10902" s="59">
        <v>990</v>
      </c>
      <c r="D10902" s="51">
        <v>1</v>
      </c>
      <c r="E10902" s="51">
        <f t="shared" si="170"/>
        <v>1</v>
      </c>
    </row>
    <row r="10903" spans="1:5">
      <c r="A10903" s="59">
        <v>23</v>
      </c>
      <c r="B10903" s="59">
        <v>43</v>
      </c>
      <c r="C10903" s="59">
        <v>120</v>
      </c>
      <c r="D10903" s="51">
        <v>1</v>
      </c>
      <c r="E10903" s="51">
        <f t="shared" si="170"/>
        <v>1</v>
      </c>
    </row>
    <row r="10904" spans="1:5">
      <c r="A10904" s="59">
        <v>23</v>
      </c>
      <c r="B10904" s="59">
        <v>43</v>
      </c>
      <c r="C10904" s="59">
        <v>420</v>
      </c>
      <c r="D10904" s="51">
        <v>1</v>
      </c>
      <c r="E10904" s="51">
        <f t="shared" si="170"/>
        <v>1</v>
      </c>
    </row>
    <row r="10905" spans="1:5">
      <c r="A10905" s="59">
        <v>23</v>
      </c>
      <c r="B10905" s="59">
        <v>43</v>
      </c>
      <c r="C10905" s="59">
        <v>540</v>
      </c>
      <c r="D10905" s="51">
        <v>1</v>
      </c>
      <c r="E10905" s="51">
        <f t="shared" si="170"/>
        <v>1</v>
      </c>
    </row>
    <row r="10906" spans="1:5">
      <c r="A10906" s="59">
        <v>23</v>
      </c>
      <c r="B10906" s="59">
        <v>43</v>
      </c>
      <c r="C10906" s="59">
        <v>630</v>
      </c>
      <c r="D10906" s="51">
        <v>1</v>
      </c>
      <c r="E10906" s="51">
        <f t="shared" si="170"/>
        <v>1</v>
      </c>
    </row>
    <row r="10907" spans="1:5">
      <c r="A10907" s="59">
        <v>23</v>
      </c>
      <c r="B10907" s="59">
        <v>43</v>
      </c>
      <c r="C10907" s="59">
        <v>640</v>
      </c>
      <c r="D10907" s="51">
        <v>1</v>
      </c>
      <c r="E10907" s="51">
        <f t="shared" si="170"/>
        <v>1</v>
      </c>
    </row>
    <row r="10908" spans="1:5">
      <c r="A10908" s="59">
        <v>23</v>
      </c>
      <c r="B10908" s="59">
        <v>43</v>
      </c>
      <c r="C10908" s="59">
        <v>960</v>
      </c>
      <c r="D10908" s="51">
        <v>1</v>
      </c>
      <c r="E10908" s="51">
        <f t="shared" si="170"/>
        <v>1</v>
      </c>
    </row>
    <row r="10909" spans="1:5">
      <c r="A10909" s="59">
        <v>23</v>
      </c>
      <c r="B10909" s="59">
        <v>44</v>
      </c>
      <c r="C10909" s="59">
        <v>150</v>
      </c>
      <c r="D10909" s="51">
        <v>1</v>
      </c>
      <c r="E10909" s="51">
        <f t="shared" si="170"/>
        <v>1</v>
      </c>
    </row>
    <row r="10910" spans="1:5">
      <c r="A10910" s="59">
        <v>23</v>
      </c>
      <c r="B10910" s="59">
        <v>44</v>
      </c>
      <c r="C10910" s="59">
        <v>330</v>
      </c>
      <c r="D10910" s="51">
        <v>1</v>
      </c>
      <c r="E10910" s="51">
        <f t="shared" si="170"/>
        <v>1</v>
      </c>
    </row>
    <row r="10911" spans="1:5">
      <c r="A10911" s="59">
        <v>23</v>
      </c>
      <c r="B10911" s="59">
        <v>44</v>
      </c>
      <c r="C10911" s="59">
        <v>410</v>
      </c>
      <c r="D10911" s="51">
        <v>1</v>
      </c>
      <c r="E10911" s="51">
        <f t="shared" si="170"/>
        <v>1</v>
      </c>
    </row>
    <row r="10912" spans="1:5">
      <c r="A10912" s="59">
        <v>23</v>
      </c>
      <c r="B10912" s="59">
        <v>44</v>
      </c>
      <c r="C10912" s="59">
        <v>610</v>
      </c>
      <c r="D10912" s="51">
        <v>1</v>
      </c>
      <c r="E10912" s="51">
        <f t="shared" si="170"/>
        <v>1</v>
      </c>
    </row>
    <row r="10913" spans="1:5">
      <c r="A10913" s="59">
        <v>23</v>
      </c>
      <c r="B10913" s="59">
        <v>44</v>
      </c>
      <c r="C10913" s="59">
        <v>640</v>
      </c>
      <c r="D10913" s="51">
        <v>1</v>
      </c>
      <c r="E10913" s="51">
        <f t="shared" si="170"/>
        <v>1</v>
      </c>
    </row>
    <row r="10914" spans="1:5">
      <c r="A10914" s="59">
        <v>23</v>
      </c>
      <c r="B10914" s="59">
        <v>44</v>
      </c>
      <c r="C10914" s="59">
        <v>740</v>
      </c>
      <c r="D10914" s="51">
        <v>1</v>
      </c>
      <c r="E10914" s="51">
        <f t="shared" si="170"/>
        <v>1</v>
      </c>
    </row>
    <row r="10915" spans="1:5">
      <c r="A10915" s="59">
        <v>23</v>
      </c>
      <c r="B10915" s="59">
        <v>51</v>
      </c>
      <c r="C10915" s="59">
        <v>620</v>
      </c>
      <c r="D10915" s="51">
        <v>1</v>
      </c>
      <c r="E10915" s="51">
        <f t="shared" si="170"/>
        <v>1</v>
      </c>
    </row>
    <row r="10916" spans="1:5">
      <c r="A10916" s="59">
        <v>23</v>
      </c>
      <c r="B10916" s="59">
        <v>62</v>
      </c>
      <c r="C10916" s="59">
        <v>110</v>
      </c>
      <c r="D10916" s="51">
        <v>1</v>
      </c>
      <c r="E10916" s="51">
        <f t="shared" si="170"/>
        <v>1</v>
      </c>
    </row>
    <row r="10917" spans="1:5">
      <c r="A10917" s="59">
        <v>23</v>
      </c>
      <c r="B10917" s="59">
        <v>62</v>
      </c>
      <c r="C10917" s="59">
        <v>230</v>
      </c>
      <c r="D10917" s="51">
        <v>1</v>
      </c>
      <c r="E10917" s="51">
        <f t="shared" si="170"/>
        <v>1</v>
      </c>
    </row>
    <row r="10918" spans="1:5">
      <c r="A10918" s="59">
        <v>23</v>
      </c>
      <c r="B10918" s="59">
        <v>62</v>
      </c>
      <c r="C10918" s="59">
        <v>240</v>
      </c>
      <c r="D10918" s="51">
        <v>1</v>
      </c>
      <c r="E10918" s="51">
        <f t="shared" si="170"/>
        <v>1</v>
      </c>
    </row>
    <row r="10919" spans="1:5">
      <c r="A10919" s="59">
        <v>23</v>
      </c>
      <c r="B10919" s="59">
        <v>62</v>
      </c>
      <c r="C10919" s="59">
        <v>430</v>
      </c>
      <c r="D10919" s="51">
        <v>1</v>
      </c>
      <c r="E10919" s="51">
        <f t="shared" si="170"/>
        <v>1</v>
      </c>
    </row>
    <row r="10920" spans="1:5">
      <c r="A10920" s="59">
        <v>23</v>
      </c>
      <c r="B10920" s="59">
        <v>63</v>
      </c>
      <c r="C10920" s="59">
        <v>110</v>
      </c>
      <c r="D10920" s="51">
        <v>1</v>
      </c>
      <c r="E10920" s="51">
        <f t="shared" si="170"/>
        <v>1</v>
      </c>
    </row>
    <row r="10921" spans="1:5">
      <c r="A10921" s="59">
        <v>23</v>
      </c>
      <c r="B10921" s="59">
        <v>63</v>
      </c>
      <c r="C10921" s="59">
        <v>240</v>
      </c>
      <c r="D10921" s="51">
        <v>1</v>
      </c>
      <c r="E10921" s="51">
        <f t="shared" si="170"/>
        <v>1</v>
      </c>
    </row>
    <row r="10922" spans="1:5">
      <c r="A10922" s="59">
        <v>23</v>
      </c>
      <c r="B10922" s="59">
        <v>63</v>
      </c>
      <c r="C10922" s="59">
        <v>520</v>
      </c>
      <c r="D10922" s="51">
        <v>1</v>
      </c>
      <c r="E10922" s="51">
        <f t="shared" si="170"/>
        <v>1</v>
      </c>
    </row>
    <row r="10923" spans="1:5">
      <c r="A10923" s="59">
        <v>23</v>
      </c>
      <c r="B10923" s="59">
        <v>63</v>
      </c>
      <c r="C10923" s="59">
        <v>640</v>
      </c>
      <c r="D10923" s="51">
        <v>1</v>
      </c>
      <c r="E10923" s="51">
        <f t="shared" si="170"/>
        <v>1</v>
      </c>
    </row>
    <row r="10924" spans="1:5">
      <c r="A10924" s="59">
        <v>23</v>
      </c>
      <c r="B10924" s="59">
        <v>63</v>
      </c>
      <c r="C10924" s="59">
        <v>730</v>
      </c>
      <c r="D10924" s="51">
        <v>1</v>
      </c>
      <c r="E10924" s="51">
        <f t="shared" si="170"/>
        <v>1</v>
      </c>
    </row>
    <row r="10925" spans="1:5">
      <c r="A10925" s="59">
        <v>23</v>
      </c>
      <c r="B10925" s="59">
        <v>63</v>
      </c>
      <c r="C10925" s="59">
        <v>740</v>
      </c>
      <c r="D10925" s="51">
        <v>1</v>
      </c>
      <c r="E10925" s="51">
        <f t="shared" si="170"/>
        <v>1</v>
      </c>
    </row>
    <row r="10926" spans="1:5">
      <c r="A10926" s="59">
        <v>23</v>
      </c>
      <c r="B10926" s="59">
        <v>63</v>
      </c>
      <c r="C10926" s="59">
        <v>920</v>
      </c>
      <c r="D10926" s="51">
        <v>1</v>
      </c>
      <c r="E10926" s="51">
        <f t="shared" si="170"/>
        <v>1</v>
      </c>
    </row>
    <row r="10927" spans="1:5">
      <c r="A10927" s="59">
        <v>23</v>
      </c>
      <c r="B10927" s="59">
        <v>63</v>
      </c>
      <c r="C10927" s="59">
        <v>990</v>
      </c>
      <c r="D10927" s="51">
        <v>1</v>
      </c>
      <c r="E10927" s="51">
        <f t="shared" si="170"/>
        <v>1</v>
      </c>
    </row>
    <row r="10928" spans="1:5">
      <c r="A10928" s="59">
        <v>23</v>
      </c>
      <c r="B10928" s="59">
        <v>64</v>
      </c>
      <c r="C10928" s="59">
        <v>440</v>
      </c>
      <c r="D10928" s="51">
        <v>1</v>
      </c>
      <c r="E10928" s="51">
        <f t="shared" si="170"/>
        <v>1</v>
      </c>
    </row>
    <row r="10929" spans="1:5">
      <c r="A10929" s="59">
        <v>23</v>
      </c>
      <c r="B10929" s="59">
        <v>64</v>
      </c>
      <c r="C10929" s="59">
        <v>640</v>
      </c>
      <c r="D10929" s="51">
        <v>1</v>
      </c>
      <c r="E10929" s="51">
        <f t="shared" si="170"/>
        <v>1</v>
      </c>
    </row>
    <row r="10930" spans="1:5">
      <c r="A10930" s="59">
        <v>23</v>
      </c>
      <c r="B10930" s="59">
        <v>64</v>
      </c>
      <c r="C10930" s="59">
        <v>710</v>
      </c>
      <c r="D10930" s="51">
        <v>1</v>
      </c>
      <c r="E10930" s="51">
        <f t="shared" si="170"/>
        <v>1</v>
      </c>
    </row>
    <row r="10931" spans="1:5">
      <c r="A10931" s="59">
        <v>23</v>
      </c>
      <c r="B10931" s="59">
        <v>64</v>
      </c>
      <c r="C10931" s="59">
        <v>740</v>
      </c>
      <c r="D10931" s="51">
        <v>1</v>
      </c>
      <c r="E10931" s="51">
        <f t="shared" si="170"/>
        <v>1</v>
      </c>
    </row>
    <row r="10932" spans="1:5">
      <c r="A10932" s="59">
        <v>23</v>
      </c>
      <c r="B10932" s="59">
        <v>64</v>
      </c>
      <c r="C10932" s="59">
        <v>960</v>
      </c>
      <c r="D10932" s="51">
        <v>1</v>
      </c>
      <c r="E10932" s="51">
        <f t="shared" si="170"/>
        <v>1</v>
      </c>
    </row>
    <row r="10933" spans="1:5">
      <c r="A10933" s="59">
        <v>23</v>
      </c>
      <c r="B10933" s="59">
        <v>64</v>
      </c>
      <c r="C10933" s="59">
        <v>970</v>
      </c>
      <c r="D10933" s="51">
        <v>1</v>
      </c>
      <c r="E10933" s="51">
        <f t="shared" si="170"/>
        <v>1</v>
      </c>
    </row>
    <row r="10934" spans="1:5">
      <c r="A10934" s="59">
        <v>23</v>
      </c>
      <c r="B10934" s="59">
        <v>71</v>
      </c>
      <c r="C10934" s="59">
        <v>240</v>
      </c>
      <c r="D10934" s="51">
        <v>1</v>
      </c>
      <c r="E10934" s="51">
        <f t="shared" si="170"/>
        <v>1</v>
      </c>
    </row>
    <row r="10935" spans="1:5">
      <c r="A10935" s="59">
        <v>23</v>
      </c>
      <c r="B10935" s="59">
        <v>71</v>
      </c>
      <c r="C10935" s="59">
        <v>440</v>
      </c>
      <c r="D10935" s="51">
        <v>1</v>
      </c>
      <c r="E10935" s="51">
        <f t="shared" si="170"/>
        <v>1</v>
      </c>
    </row>
    <row r="10936" spans="1:5">
      <c r="A10936" s="59">
        <v>23</v>
      </c>
      <c r="B10936" s="59">
        <v>81</v>
      </c>
      <c r="C10936" s="59">
        <v>220</v>
      </c>
      <c r="D10936" s="51">
        <v>1</v>
      </c>
      <c r="E10936" s="51">
        <f t="shared" si="170"/>
        <v>1</v>
      </c>
    </row>
    <row r="10937" spans="1:5">
      <c r="A10937" s="59">
        <v>23</v>
      </c>
      <c r="B10937" s="59">
        <v>81</v>
      </c>
      <c r="C10937" s="59">
        <v>510</v>
      </c>
      <c r="D10937" s="51">
        <v>1</v>
      </c>
      <c r="E10937" s="51">
        <f t="shared" si="170"/>
        <v>1</v>
      </c>
    </row>
    <row r="10938" spans="1:5">
      <c r="A10938" s="59">
        <v>24</v>
      </c>
      <c r="B10938" s="59">
        <v>64</v>
      </c>
      <c r="C10938" s="59">
        <v>160</v>
      </c>
      <c r="D10938" s="51">
        <v>2207</v>
      </c>
      <c r="E10938" s="51">
        <f t="shared" si="170"/>
        <v>0</v>
      </c>
    </row>
    <row r="10939" spans="1:5">
      <c r="A10939" s="59">
        <v>24</v>
      </c>
      <c r="B10939" s="59">
        <v>43</v>
      </c>
      <c r="C10939" s="59">
        <v>840</v>
      </c>
      <c r="D10939" s="51">
        <v>1040</v>
      </c>
      <c r="E10939" s="51">
        <f t="shared" si="170"/>
        <v>0</v>
      </c>
    </row>
    <row r="10940" spans="1:5">
      <c r="A10940" s="59">
        <v>24</v>
      </c>
      <c r="B10940" s="59">
        <v>64</v>
      </c>
      <c r="C10940" s="59">
        <v>840</v>
      </c>
      <c r="D10940" s="51">
        <v>901</v>
      </c>
      <c r="E10940" s="51">
        <f t="shared" si="170"/>
        <v>0</v>
      </c>
    </row>
    <row r="10941" spans="1:5">
      <c r="A10941" s="59">
        <v>24</v>
      </c>
      <c r="B10941" s="59">
        <v>64</v>
      </c>
      <c r="C10941" s="59">
        <v>530</v>
      </c>
      <c r="D10941" s="51">
        <v>703</v>
      </c>
      <c r="E10941" s="51">
        <f t="shared" si="170"/>
        <v>0</v>
      </c>
    </row>
    <row r="10942" spans="1:5">
      <c r="A10942" s="59">
        <v>24</v>
      </c>
      <c r="B10942" s="59">
        <v>43</v>
      </c>
      <c r="C10942" s="59">
        <v>530</v>
      </c>
      <c r="D10942" s="51">
        <v>684</v>
      </c>
      <c r="E10942" s="51">
        <f t="shared" si="170"/>
        <v>0</v>
      </c>
    </row>
    <row r="10943" spans="1:5">
      <c r="A10943" s="59">
        <v>24</v>
      </c>
      <c r="B10943" s="59">
        <v>62</v>
      </c>
      <c r="C10943" s="59">
        <v>160</v>
      </c>
      <c r="D10943" s="51">
        <v>676</v>
      </c>
      <c r="E10943" s="51">
        <f t="shared" si="170"/>
        <v>1</v>
      </c>
    </row>
    <row r="10944" spans="1:5">
      <c r="A10944" s="59">
        <v>24</v>
      </c>
      <c r="B10944" s="59">
        <v>63</v>
      </c>
      <c r="C10944" s="59">
        <v>160</v>
      </c>
      <c r="D10944" s="51">
        <v>523</v>
      </c>
      <c r="E10944" s="51">
        <f t="shared" si="170"/>
        <v>0</v>
      </c>
    </row>
    <row r="10945" spans="1:5">
      <c r="A10945" s="59">
        <v>24</v>
      </c>
      <c r="B10945" s="59">
        <v>64</v>
      </c>
      <c r="C10945" s="59">
        <v>210</v>
      </c>
      <c r="D10945" s="51">
        <v>483</v>
      </c>
      <c r="E10945" s="51">
        <f t="shared" si="170"/>
        <v>0</v>
      </c>
    </row>
    <row r="10946" spans="1:5">
      <c r="A10946" s="59">
        <v>24</v>
      </c>
      <c r="B10946" s="59">
        <v>43</v>
      </c>
      <c r="C10946" s="59">
        <v>210</v>
      </c>
      <c r="D10946" s="51">
        <v>360</v>
      </c>
      <c r="E10946" s="51">
        <f t="shared" ref="E10946:E11009" si="171">IF(OR(A10946=6,A10946=7,A10946=14,A10946=15,A10946=16,A10946=17,A10946=18,A10946=19,A10946=20,A10946=21,A10946=22,A10946=23,A10946=25,A10946=26,A10946=27,A10946=28,B10946=41,B10946=44,B10946=62),1,0)</f>
        <v>0</v>
      </c>
    </row>
    <row r="10947" spans="1:5">
      <c r="A10947" s="59">
        <v>24</v>
      </c>
      <c r="B10947" s="59">
        <v>71</v>
      </c>
      <c r="C10947" s="59">
        <v>160</v>
      </c>
      <c r="D10947" s="51">
        <v>307</v>
      </c>
      <c r="E10947" s="51">
        <f t="shared" si="171"/>
        <v>0</v>
      </c>
    </row>
    <row r="10948" spans="1:5">
      <c r="A10948" s="59">
        <v>24</v>
      </c>
      <c r="B10948" s="59">
        <v>64</v>
      </c>
      <c r="C10948" s="59">
        <v>230</v>
      </c>
      <c r="D10948" s="51">
        <v>285</v>
      </c>
      <c r="E10948" s="51">
        <f t="shared" si="171"/>
        <v>0</v>
      </c>
    </row>
    <row r="10949" spans="1:5">
      <c r="A10949" s="59">
        <v>24</v>
      </c>
      <c r="B10949" s="59">
        <v>62</v>
      </c>
      <c r="C10949" s="59">
        <v>530</v>
      </c>
      <c r="D10949" s="51">
        <v>246</v>
      </c>
      <c r="E10949" s="51">
        <f t="shared" si="171"/>
        <v>1</v>
      </c>
    </row>
    <row r="10950" spans="1:5">
      <c r="A10950" s="59">
        <v>24</v>
      </c>
      <c r="B10950" s="59">
        <v>64</v>
      </c>
      <c r="C10950" s="59">
        <v>910</v>
      </c>
      <c r="D10950" s="51">
        <v>237</v>
      </c>
      <c r="E10950" s="51">
        <f t="shared" si="171"/>
        <v>0</v>
      </c>
    </row>
    <row r="10951" spans="1:5">
      <c r="A10951" s="59">
        <v>24</v>
      </c>
      <c r="B10951" s="59">
        <v>64</v>
      </c>
      <c r="C10951" s="59">
        <v>310</v>
      </c>
      <c r="D10951" s="51">
        <v>233</v>
      </c>
      <c r="E10951" s="51">
        <f t="shared" si="171"/>
        <v>0</v>
      </c>
    </row>
    <row r="10952" spans="1:5">
      <c r="A10952" s="59">
        <v>24</v>
      </c>
      <c r="B10952" s="59">
        <v>64</v>
      </c>
      <c r="C10952" s="59">
        <v>320</v>
      </c>
      <c r="D10952" s="51">
        <v>211</v>
      </c>
      <c r="E10952" s="51">
        <f t="shared" si="171"/>
        <v>0</v>
      </c>
    </row>
    <row r="10953" spans="1:5">
      <c r="A10953" s="59">
        <v>24</v>
      </c>
      <c r="B10953" s="59">
        <v>64</v>
      </c>
      <c r="C10953" s="59">
        <v>150</v>
      </c>
      <c r="D10953" s="51">
        <v>208</v>
      </c>
      <c r="E10953" s="51">
        <f t="shared" si="171"/>
        <v>0</v>
      </c>
    </row>
    <row r="10954" spans="1:5">
      <c r="A10954" s="59">
        <v>24</v>
      </c>
      <c r="B10954" s="59">
        <v>43</v>
      </c>
      <c r="C10954" s="59">
        <v>930</v>
      </c>
      <c r="D10954" s="51">
        <v>200</v>
      </c>
      <c r="E10954" s="51">
        <f t="shared" si="171"/>
        <v>0</v>
      </c>
    </row>
    <row r="10955" spans="1:5">
      <c r="A10955" s="59">
        <v>24</v>
      </c>
      <c r="B10955" s="59">
        <v>43</v>
      </c>
      <c r="C10955" s="59">
        <v>160</v>
      </c>
      <c r="D10955" s="51">
        <v>198</v>
      </c>
      <c r="E10955" s="51">
        <f t="shared" si="171"/>
        <v>0</v>
      </c>
    </row>
    <row r="10956" spans="1:5">
      <c r="A10956" s="59">
        <v>24</v>
      </c>
      <c r="B10956" s="59">
        <v>64</v>
      </c>
      <c r="C10956" s="59">
        <v>240</v>
      </c>
      <c r="D10956" s="51">
        <v>195</v>
      </c>
      <c r="E10956" s="51">
        <f t="shared" si="171"/>
        <v>0</v>
      </c>
    </row>
    <row r="10957" spans="1:5">
      <c r="A10957" s="59">
        <v>24</v>
      </c>
      <c r="B10957" s="59">
        <v>63</v>
      </c>
      <c r="C10957" s="59">
        <v>530</v>
      </c>
      <c r="D10957" s="51">
        <v>192</v>
      </c>
      <c r="E10957" s="51">
        <f t="shared" si="171"/>
        <v>0</v>
      </c>
    </row>
    <row r="10958" spans="1:5">
      <c r="A10958" s="59">
        <v>24</v>
      </c>
      <c r="B10958" s="59">
        <v>71</v>
      </c>
      <c r="C10958" s="59">
        <v>530</v>
      </c>
      <c r="D10958" s="51">
        <v>181</v>
      </c>
      <c r="E10958" s="51">
        <f t="shared" si="171"/>
        <v>0</v>
      </c>
    </row>
    <row r="10959" spans="1:5">
      <c r="A10959" s="59">
        <v>24</v>
      </c>
      <c r="B10959" s="59">
        <v>43</v>
      </c>
      <c r="C10959" s="59">
        <v>910</v>
      </c>
      <c r="D10959" s="51">
        <v>176</v>
      </c>
      <c r="E10959" s="51">
        <f t="shared" si="171"/>
        <v>0</v>
      </c>
    </row>
    <row r="10960" spans="1:5">
      <c r="A10960" s="59">
        <v>24</v>
      </c>
      <c r="B10960" s="59">
        <v>43</v>
      </c>
      <c r="C10960" s="59">
        <v>510</v>
      </c>
      <c r="D10960" s="51">
        <v>141</v>
      </c>
      <c r="E10960" s="51">
        <f t="shared" si="171"/>
        <v>0</v>
      </c>
    </row>
    <row r="10961" spans="1:5">
      <c r="A10961" s="59">
        <v>24</v>
      </c>
      <c r="B10961" s="59">
        <v>64</v>
      </c>
      <c r="C10961" s="59">
        <v>620</v>
      </c>
      <c r="D10961" s="51">
        <v>140</v>
      </c>
      <c r="E10961" s="51">
        <f t="shared" si="171"/>
        <v>0</v>
      </c>
    </row>
    <row r="10962" spans="1:5">
      <c r="A10962" s="59">
        <v>24</v>
      </c>
      <c r="B10962" s="59">
        <v>64</v>
      </c>
      <c r="C10962" s="59">
        <v>930</v>
      </c>
      <c r="D10962" s="51">
        <v>140</v>
      </c>
      <c r="E10962" s="51">
        <f t="shared" si="171"/>
        <v>0</v>
      </c>
    </row>
    <row r="10963" spans="1:5">
      <c r="A10963" s="59">
        <v>24</v>
      </c>
      <c r="B10963" s="59">
        <v>81</v>
      </c>
      <c r="C10963" s="59">
        <v>160</v>
      </c>
      <c r="D10963" s="51">
        <v>123</v>
      </c>
      <c r="E10963" s="51">
        <f t="shared" si="171"/>
        <v>0</v>
      </c>
    </row>
    <row r="10964" spans="1:5">
      <c r="A10964" s="59">
        <v>24</v>
      </c>
      <c r="B10964" s="59">
        <v>44</v>
      </c>
      <c r="C10964" s="59">
        <v>530</v>
      </c>
      <c r="D10964" s="51">
        <v>118</v>
      </c>
      <c r="E10964" s="51">
        <f t="shared" si="171"/>
        <v>1</v>
      </c>
    </row>
    <row r="10965" spans="1:5">
      <c r="A10965" s="59">
        <v>24</v>
      </c>
      <c r="B10965" s="59">
        <v>62</v>
      </c>
      <c r="C10965" s="59">
        <v>210</v>
      </c>
      <c r="D10965" s="51">
        <v>115</v>
      </c>
      <c r="E10965" s="51">
        <f t="shared" si="171"/>
        <v>1</v>
      </c>
    </row>
    <row r="10966" spans="1:5">
      <c r="A10966" s="59">
        <v>24</v>
      </c>
      <c r="B10966" s="59">
        <v>43</v>
      </c>
      <c r="C10966" s="59">
        <v>230</v>
      </c>
      <c r="D10966" s="51">
        <v>104</v>
      </c>
      <c r="E10966" s="51">
        <f t="shared" si="171"/>
        <v>0</v>
      </c>
    </row>
    <row r="10967" spans="1:5">
      <c r="A10967" s="59">
        <v>24</v>
      </c>
      <c r="B10967" s="59">
        <v>64</v>
      </c>
      <c r="C10967" s="59">
        <v>330</v>
      </c>
      <c r="D10967" s="51">
        <v>103</v>
      </c>
      <c r="E10967" s="51">
        <f t="shared" si="171"/>
        <v>0</v>
      </c>
    </row>
    <row r="10968" spans="1:5">
      <c r="A10968" s="59">
        <v>24</v>
      </c>
      <c r="B10968" s="59">
        <v>63</v>
      </c>
      <c r="C10968" s="59">
        <v>210</v>
      </c>
      <c r="D10968" s="51">
        <v>100</v>
      </c>
      <c r="E10968" s="51">
        <f t="shared" si="171"/>
        <v>0</v>
      </c>
    </row>
    <row r="10969" spans="1:5">
      <c r="A10969" s="59">
        <v>24</v>
      </c>
      <c r="B10969" s="59">
        <v>43</v>
      </c>
      <c r="C10969" s="59">
        <v>860</v>
      </c>
      <c r="D10969" s="51">
        <v>89</v>
      </c>
      <c r="E10969" s="51">
        <f t="shared" si="171"/>
        <v>0</v>
      </c>
    </row>
    <row r="10970" spans="1:5">
      <c r="A10970" s="59">
        <v>24</v>
      </c>
      <c r="B10970" s="59">
        <v>64</v>
      </c>
      <c r="C10970" s="59">
        <v>110</v>
      </c>
      <c r="D10970" s="51">
        <v>87</v>
      </c>
      <c r="E10970" s="51">
        <f t="shared" si="171"/>
        <v>0</v>
      </c>
    </row>
    <row r="10971" spans="1:5">
      <c r="A10971" s="59">
        <v>24</v>
      </c>
      <c r="B10971" s="59">
        <v>71</v>
      </c>
      <c r="C10971" s="59">
        <v>210</v>
      </c>
      <c r="D10971" s="51">
        <v>79</v>
      </c>
      <c r="E10971" s="51">
        <f t="shared" si="171"/>
        <v>0</v>
      </c>
    </row>
    <row r="10972" spans="1:5">
      <c r="A10972" s="59">
        <v>24</v>
      </c>
      <c r="B10972" s="59">
        <v>64</v>
      </c>
      <c r="C10972" s="59">
        <v>510</v>
      </c>
      <c r="D10972" s="51">
        <v>69</v>
      </c>
      <c r="E10972" s="51">
        <f t="shared" si="171"/>
        <v>0</v>
      </c>
    </row>
    <row r="10973" spans="1:5">
      <c r="A10973" s="59">
        <v>24</v>
      </c>
      <c r="B10973" s="59">
        <v>44</v>
      </c>
      <c r="C10973" s="59">
        <v>880</v>
      </c>
      <c r="D10973" s="51">
        <v>65</v>
      </c>
      <c r="E10973" s="51">
        <f t="shared" si="171"/>
        <v>1</v>
      </c>
    </row>
    <row r="10974" spans="1:5">
      <c r="A10974" s="59">
        <v>24</v>
      </c>
      <c r="B10974" s="59">
        <v>62</v>
      </c>
      <c r="C10974" s="59">
        <v>310</v>
      </c>
      <c r="D10974" s="51">
        <v>62</v>
      </c>
      <c r="E10974" s="51">
        <f t="shared" si="171"/>
        <v>1</v>
      </c>
    </row>
    <row r="10975" spans="1:5">
      <c r="A10975" s="59">
        <v>24</v>
      </c>
      <c r="B10975" s="59">
        <v>64</v>
      </c>
      <c r="C10975" s="59">
        <v>861</v>
      </c>
      <c r="D10975" s="51">
        <v>59</v>
      </c>
      <c r="E10975" s="51">
        <f t="shared" si="171"/>
        <v>0</v>
      </c>
    </row>
    <row r="10976" spans="1:5">
      <c r="A10976" s="59">
        <v>24</v>
      </c>
      <c r="B10976" s="59">
        <v>64</v>
      </c>
      <c r="C10976" s="59">
        <v>610</v>
      </c>
      <c r="D10976" s="51">
        <v>56</v>
      </c>
      <c r="E10976" s="51">
        <f t="shared" si="171"/>
        <v>0</v>
      </c>
    </row>
    <row r="10977" spans="1:5">
      <c r="A10977" s="59">
        <v>24</v>
      </c>
      <c r="B10977" s="59">
        <v>41</v>
      </c>
      <c r="C10977" s="59">
        <v>160</v>
      </c>
      <c r="D10977" s="51">
        <v>55</v>
      </c>
      <c r="E10977" s="51">
        <f t="shared" si="171"/>
        <v>1</v>
      </c>
    </row>
    <row r="10978" spans="1:5">
      <c r="A10978" s="59">
        <v>24</v>
      </c>
      <c r="B10978" s="59">
        <v>43</v>
      </c>
      <c r="C10978" s="59">
        <v>861</v>
      </c>
      <c r="D10978" s="51">
        <v>55</v>
      </c>
      <c r="E10978" s="51">
        <f t="shared" si="171"/>
        <v>0</v>
      </c>
    </row>
    <row r="10979" spans="1:5">
      <c r="A10979" s="59">
        <v>24</v>
      </c>
      <c r="B10979" s="59">
        <v>43</v>
      </c>
      <c r="C10979" s="59">
        <v>899</v>
      </c>
      <c r="D10979" s="51">
        <v>55</v>
      </c>
      <c r="E10979" s="51">
        <f t="shared" si="171"/>
        <v>0</v>
      </c>
    </row>
    <row r="10980" spans="1:5">
      <c r="A10980" s="59">
        <v>24</v>
      </c>
      <c r="B10980" s="59">
        <v>64</v>
      </c>
      <c r="C10980" s="59">
        <v>891</v>
      </c>
      <c r="D10980" s="51">
        <v>55</v>
      </c>
      <c r="E10980" s="51">
        <f t="shared" si="171"/>
        <v>0</v>
      </c>
    </row>
    <row r="10981" spans="1:5">
      <c r="A10981" s="59">
        <v>24</v>
      </c>
      <c r="B10981" s="59">
        <v>43</v>
      </c>
      <c r="C10981" s="59">
        <v>240</v>
      </c>
      <c r="D10981" s="51">
        <v>52</v>
      </c>
      <c r="E10981" s="51">
        <f t="shared" si="171"/>
        <v>0</v>
      </c>
    </row>
    <row r="10982" spans="1:5">
      <c r="A10982" s="59">
        <v>24</v>
      </c>
      <c r="B10982" s="59">
        <v>64</v>
      </c>
      <c r="C10982" s="59">
        <v>899</v>
      </c>
      <c r="D10982" s="51">
        <v>51</v>
      </c>
      <c r="E10982" s="51">
        <f t="shared" si="171"/>
        <v>0</v>
      </c>
    </row>
    <row r="10983" spans="1:5">
      <c r="A10983" s="59">
        <v>24</v>
      </c>
      <c r="B10983" s="59">
        <v>62</v>
      </c>
      <c r="C10983" s="59">
        <v>150</v>
      </c>
      <c r="D10983" s="51">
        <v>50</v>
      </c>
      <c r="E10983" s="51">
        <f t="shared" si="171"/>
        <v>1</v>
      </c>
    </row>
    <row r="10984" spans="1:5">
      <c r="A10984" s="59">
        <v>24</v>
      </c>
      <c r="B10984" s="59">
        <v>63</v>
      </c>
      <c r="C10984" s="59">
        <v>620</v>
      </c>
      <c r="D10984" s="51">
        <v>48</v>
      </c>
      <c r="E10984" s="51">
        <f t="shared" si="171"/>
        <v>0</v>
      </c>
    </row>
    <row r="10985" spans="1:5">
      <c r="A10985" s="59">
        <v>24</v>
      </c>
      <c r="B10985" s="59">
        <v>81</v>
      </c>
      <c r="C10985" s="59">
        <v>210</v>
      </c>
      <c r="D10985" s="51">
        <v>47</v>
      </c>
      <c r="E10985" s="51">
        <f t="shared" si="171"/>
        <v>0</v>
      </c>
    </row>
    <row r="10986" spans="1:5">
      <c r="A10986" s="59">
        <v>24</v>
      </c>
      <c r="B10986" s="59">
        <v>62</v>
      </c>
      <c r="C10986" s="59">
        <v>910</v>
      </c>
      <c r="D10986" s="51">
        <v>46</v>
      </c>
      <c r="E10986" s="51">
        <f t="shared" si="171"/>
        <v>1</v>
      </c>
    </row>
    <row r="10987" spans="1:5">
      <c r="A10987" s="59">
        <v>24</v>
      </c>
      <c r="B10987" s="59">
        <v>42</v>
      </c>
      <c r="C10987" s="59">
        <v>831</v>
      </c>
      <c r="D10987" s="51">
        <v>45</v>
      </c>
      <c r="E10987" s="51">
        <f t="shared" si="171"/>
        <v>0</v>
      </c>
    </row>
    <row r="10988" spans="1:5">
      <c r="A10988" s="59">
        <v>24</v>
      </c>
      <c r="B10988" s="59">
        <v>63</v>
      </c>
      <c r="C10988" s="59">
        <v>310</v>
      </c>
      <c r="D10988" s="51">
        <v>45</v>
      </c>
      <c r="E10988" s="51">
        <f t="shared" si="171"/>
        <v>0</v>
      </c>
    </row>
    <row r="10989" spans="1:5">
      <c r="A10989" s="59">
        <v>24</v>
      </c>
      <c r="B10989" s="59">
        <v>43</v>
      </c>
      <c r="C10989" s="59">
        <v>620</v>
      </c>
      <c r="D10989" s="51">
        <v>44</v>
      </c>
      <c r="E10989" s="51">
        <f t="shared" si="171"/>
        <v>0</v>
      </c>
    </row>
    <row r="10990" spans="1:5">
      <c r="A10990" s="59">
        <v>24</v>
      </c>
      <c r="B10990" s="59">
        <v>43</v>
      </c>
      <c r="C10990" s="59">
        <v>310</v>
      </c>
      <c r="D10990" s="51">
        <v>43</v>
      </c>
      <c r="E10990" s="51">
        <f t="shared" si="171"/>
        <v>0</v>
      </c>
    </row>
    <row r="10991" spans="1:5">
      <c r="A10991" s="59">
        <v>24</v>
      </c>
      <c r="B10991" s="59">
        <v>43</v>
      </c>
      <c r="C10991" s="59">
        <v>720</v>
      </c>
      <c r="D10991" s="51">
        <v>43</v>
      </c>
      <c r="E10991" s="51">
        <f t="shared" si="171"/>
        <v>0</v>
      </c>
    </row>
    <row r="10992" spans="1:5">
      <c r="A10992" s="59">
        <v>24</v>
      </c>
      <c r="B10992" s="59">
        <v>62</v>
      </c>
      <c r="C10992" s="59">
        <v>620</v>
      </c>
      <c r="D10992" s="51">
        <v>42</v>
      </c>
      <c r="E10992" s="51">
        <f t="shared" si="171"/>
        <v>1</v>
      </c>
    </row>
    <row r="10993" spans="1:5">
      <c r="A10993" s="59">
        <v>24</v>
      </c>
      <c r="B10993" s="59">
        <v>71</v>
      </c>
      <c r="C10993" s="59">
        <v>310</v>
      </c>
      <c r="D10993" s="51">
        <v>41</v>
      </c>
      <c r="E10993" s="51">
        <f t="shared" si="171"/>
        <v>0</v>
      </c>
    </row>
    <row r="10994" spans="1:5">
      <c r="A10994" s="59">
        <v>24</v>
      </c>
      <c r="B10994" s="59">
        <v>64</v>
      </c>
      <c r="C10994" s="59">
        <v>950</v>
      </c>
      <c r="D10994" s="51">
        <v>40</v>
      </c>
      <c r="E10994" s="51">
        <f t="shared" si="171"/>
        <v>0</v>
      </c>
    </row>
    <row r="10995" spans="1:5">
      <c r="A10995" s="59">
        <v>24</v>
      </c>
      <c r="B10995" s="59">
        <v>71</v>
      </c>
      <c r="C10995" s="59">
        <v>240</v>
      </c>
      <c r="D10995" s="51">
        <v>39</v>
      </c>
      <c r="E10995" s="51">
        <f t="shared" si="171"/>
        <v>0</v>
      </c>
    </row>
    <row r="10996" spans="1:5">
      <c r="A10996" s="59">
        <v>24</v>
      </c>
      <c r="B10996" s="59">
        <v>43</v>
      </c>
      <c r="C10996" s="59">
        <v>950</v>
      </c>
      <c r="D10996" s="51">
        <v>38</v>
      </c>
      <c r="E10996" s="51">
        <f t="shared" si="171"/>
        <v>0</v>
      </c>
    </row>
    <row r="10997" spans="1:5">
      <c r="A10997" s="59">
        <v>24</v>
      </c>
      <c r="B10997" s="59">
        <v>44</v>
      </c>
      <c r="C10997" s="59">
        <v>160</v>
      </c>
      <c r="D10997" s="51">
        <v>37</v>
      </c>
      <c r="E10997" s="51">
        <f t="shared" si="171"/>
        <v>1</v>
      </c>
    </row>
    <row r="10998" spans="1:5">
      <c r="A10998" s="59">
        <v>24</v>
      </c>
      <c r="B10998" s="59">
        <v>62</v>
      </c>
      <c r="C10998" s="59">
        <v>240</v>
      </c>
      <c r="D10998" s="51">
        <v>37</v>
      </c>
      <c r="E10998" s="51">
        <f t="shared" si="171"/>
        <v>1</v>
      </c>
    </row>
    <row r="10999" spans="1:5">
      <c r="A10999" s="59">
        <v>24</v>
      </c>
      <c r="B10999" s="59">
        <v>43</v>
      </c>
      <c r="C10999" s="59">
        <v>990</v>
      </c>
      <c r="D10999" s="51">
        <v>36</v>
      </c>
      <c r="E10999" s="51">
        <f t="shared" si="171"/>
        <v>0</v>
      </c>
    </row>
    <row r="11000" spans="1:5">
      <c r="A11000" s="59">
        <v>24</v>
      </c>
      <c r="B11000" s="59">
        <v>71</v>
      </c>
      <c r="C11000" s="59">
        <v>910</v>
      </c>
      <c r="D11000" s="51">
        <v>36</v>
      </c>
      <c r="E11000" s="51">
        <f t="shared" si="171"/>
        <v>0</v>
      </c>
    </row>
    <row r="11001" spans="1:5">
      <c r="A11001" s="59">
        <v>24</v>
      </c>
      <c r="B11001" s="59">
        <v>64</v>
      </c>
      <c r="C11001" s="59">
        <v>920</v>
      </c>
      <c r="D11001" s="51">
        <v>34</v>
      </c>
      <c r="E11001" s="51">
        <f t="shared" si="171"/>
        <v>0</v>
      </c>
    </row>
    <row r="11002" spans="1:5">
      <c r="A11002" s="59">
        <v>24</v>
      </c>
      <c r="B11002" s="59">
        <v>62</v>
      </c>
      <c r="C11002" s="59">
        <v>320</v>
      </c>
      <c r="D11002" s="51">
        <v>33</v>
      </c>
      <c r="E11002" s="51">
        <f t="shared" si="171"/>
        <v>1</v>
      </c>
    </row>
    <row r="11003" spans="1:5">
      <c r="A11003" s="59">
        <v>24</v>
      </c>
      <c r="B11003" s="59">
        <v>63</v>
      </c>
      <c r="C11003" s="59">
        <v>330</v>
      </c>
      <c r="D11003" s="51">
        <v>32</v>
      </c>
      <c r="E11003" s="51">
        <f t="shared" si="171"/>
        <v>0</v>
      </c>
    </row>
    <row r="11004" spans="1:5">
      <c r="A11004" s="59">
        <v>24</v>
      </c>
      <c r="B11004" s="59">
        <v>63</v>
      </c>
      <c r="C11004" s="59">
        <v>899</v>
      </c>
      <c r="D11004" s="51">
        <v>32</v>
      </c>
      <c r="E11004" s="51">
        <f t="shared" si="171"/>
        <v>0</v>
      </c>
    </row>
    <row r="11005" spans="1:5">
      <c r="A11005" s="59">
        <v>24</v>
      </c>
      <c r="B11005" s="59">
        <v>63</v>
      </c>
      <c r="C11005" s="59">
        <v>910</v>
      </c>
      <c r="D11005" s="51">
        <v>31</v>
      </c>
      <c r="E11005" s="51">
        <f t="shared" si="171"/>
        <v>0</v>
      </c>
    </row>
    <row r="11006" spans="1:5">
      <c r="A11006" s="59">
        <v>24</v>
      </c>
      <c r="B11006" s="59">
        <v>71</v>
      </c>
      <c r="C11006" s="59">
        <v>330</v>
      </c>
      <c r="D11006" s="51">
        <v>31</v>
      </c>
      <c r="E11006" s="51">
        <f t="shared" si="171"/>
        <v>0</v>
      </c>
    </row>
    <row r="11007" spans="1:5">
      <c r="A11007" s="59">
        <v>24</v>
      </c>
      <c r="B11007" s="59">
        <v>64</v>
      </c>
      <c r="C11007" s="59">
        <v>990</v>
      </c>
      <c r="D11007" s="51">
        <v>30</v>
      </c>
      <c r="E11007" s="51">
        <f t="shared" si="171"/>
        <v>0</v>
      </c>
    </row>
    <row r="11008" spans="1:5">
      <c r="A11008" s="59">
        <v>24</v>
      </c>
      <c r="B11008" s="59">
        <v>43</v>
      </c>
      <c r="C11008" s="59">
        <v>610</v>
      </c>
      <c r="D11008" s="51">
        <v>29</v>
      </c>
      <c r="E11008" s="51">
        <f t="shared" si="171"/>
        <v>0</v>
      </c>
    </row>
    <row r="11009" spans="1:5">
      <c r="A11009" s="59">
        <v>24</v>
      </c>
      <c r="B11009" s="59">
        <v>81</v>
      </c>
      <c r="C11009" s="59">
        <v>530</v>
      </c>
      <c r="D11009" s="51">
        <v>29</v>
      </c>
      <c r="E11009" s="51">
        <f t="shared" si="171"/>
        <v>0</v>
      </c>
    </row>
    <row r="11010" spans="1:5">
      <c r="A11010" s="59">
        <v>24</v>
      </c>
      <c r="B11010" s="59">
        <v>81</v>
      </c>
      <c r="C11010" s="59">
        <v>240</v>
      </c>
      <c r="D11010" s="51">
        <v>28</v>
      </c>
      <c r="E11010" s="51">
        <f t="shared" ref="E11010:E11073" si="172">IF(OR(A11010=6,A11010=7,A11010=14,A11010=15,A11010=16,A11010=17,A11010=18,A11010=19,A11010=20,A11010=21,A11010=22,A11010=23,A11010=25,A11010=26,A11010=27,A11010=28,B11010=41,B11010=44,B11010=62),1,0)</f>
        <v>0</v>
      </c>
    </row>
    <row r="11011" spans="1:5">
      <c r="A11011" s="59">
        <v>24</v>
      </c>
      <c r="B11011" s="59">
        <v>42</v>
      </c>
      <c r="C11011" s="59">
        <v>530</v>
      </c>
      <c r="D11011" s="51">
        <v>27</v>
      </c>
      <c r="E11011" s="51">
        <f t="shared" si="172"/>
        <v>0</v>
      </c>
    </row>
    <row r="11012" spans="1:5">
      <c r="A11012" s="59">
        <v>24</v>
      </c>
      <c r="B11012" s="59">
        <v>43</v>
      </c>
      <c r="C11012" s="59">
        <v>891</v>
      </c>
      <c r="D11012" s="51">
        <v>27</v>
      </c>
      <c r="E11012" s="51">
        <f t="shared" si="172"/>
        <v>0</v>
      </c>
    </row>
    <row r="11013" spans="1:5">
      <c r="A11013" s="59">
        <v>24</v>
      </c>
      <c r="B11013" s="59">
        <v>64</v>
      </c>
      <c r="C11013" s="59">
        <v>220</v>
      </c>
      <c r="D11013" s="51">
        <v>27</v>
      </c>
      <c r="E11013" s="51">
        <f t="shared" si="172"/>
        <v>0</v>
      </c>
    </row>
    <row r="11014" spans="1:5">
      <c r="A11014" s="59">
        <v>24</v>
      </c>
      <c r="B11014" s="59">
        <v>62</v>
      </c>
      <c r="C11014" s="59">
        <v>899</v>
      </c>
      <c r="D11014" s="51">
        <v>26</v>
      </c>
      <c r="E11014" s="51">
        <f t="shared" si="172"/>
        <v>1</v>
      </c>
    </row>
    <row r="11015" spans="1:5">
      <c r="A11015" s="59">
        <v>24</v>
      </c>
      <c r="B11015" s="59">
        <v>13</v>
      </c>
      <c r="C11015" s="59">
        <v>160</v>
      </c>
      <c r="D11015" s="51">
        <v>25</v>
      </c>
      <c r="E11015" s="51">
        <f t="shared" si="172"/>
        <v>0</v>
      </c>
    </row>
    <row r="11016" spans="1:5">
      <c r="A11016" s="59">
        <v>24</v>
      </c>
      <c r="B11016" s="59">
        <v>71</v>
      </c>
      <c r="C11016" s="59">
        <v>540</v>
      </c>
      <c r="D11016" s="51">
        <v>25</v>
      </c>
      <c r="E11016" s="51">
        <f t="shared" si="172"/>
        <v>0</v>
      </c>
    </row>
    <row r="11017" spans="1:5">
      <c r="A11017" s="59">
        <v>24</v>
      </c>
      <c r="B11017" s="59">
        <v>14</v>
      </c>
      <c r="C11017" s="59">
        <v>150</v>
      </c>
      <c r="D11017" s="51">
        <v>22</v>
      </c>
      <c r="E11017" s="51">
        <f t="shared" si="172"/>
        <v>0</v>
      </c>
    </row>
    <row r="11018" spans="1:5">
      <c r="A11018" s="59">
        <v>24</v>
      </c>
      <c r="B11018" s="59">
        <v>43</v>
      </c>
      <c r="C11018" s="59">
        <v>831</v>
      </c>
      <c r="D11018" s="51">
        <v>22</v>
      </c>
      <c r="E11018" s="51">
        <f t="shared" si="172"/>
        <v>0</v>
      </c>
    </row>
    <row r="11019" spans="1:5">
      <c r="A11019" s="59">
        <v>24</v>
      </c>
      <c r="B11019" s="59">
        <v>64</v>
      </c>
      <c r="C11019" s="59">
        <v>430</v>
      </c>
      <c r="D11019" s="51">
        <v>22</v>
      </c>
      <c r="E11019" s="51">
        <f t="shared" si="172"/>
        <v>0</v>
      </c>
    </row>
    <row r="11020" spans="1:5">
      <c r="A11020" s="59">
        <v>24</v>
      </c>
      <c r="B11020" s="59">
        <v>43</v>
      </c>
      <c r="C11020" s="59">
        <v>150</v>
      </c>
      <c r="D11020" s="51">
        <v>21</v>
      </c>
      <c r="E11020" s="51">
        <f t="shared" si="172"/>
        <v>0</v>
      </c>
    </row>
    <row r="11021" spans="1:5">
      <c r="A11021" s="59">
        <v>24</v>
      </c>
      <c r="B11021" s="59">
        <v>62</v>
      </c>
      <c r="C11021" s="59">
        <v>110</v>
      </c>
      <c r="D11021" s="51">
        <v>20</v>
      </c>
      <c r="E11021" s="51">
        <f t="shared" si="172"/>
        <v>1</v>
      </c>
    </row>
    <row r="11022" spans="1:5">
      <c r="A11022" s="59">
        <v>24</v>
      </c>
      <c r="B11022" s="59">
        <v>64</v>
      </c>
      <c r="C11022" s="59">
        <v>540</v>
      </c>
      <c r="D11022" s="51">
        <v>20</v>
      </c>
      <c r="E11022" s="51">
        <f t="shared" si="172"/>
        <v>0</v>
      </c>
    </row>
    <row r="11023" spans="1:5">
      <c r="A11023" s="59">
        <v>24</v>
      </c>
      <c r="B11023" s="59">
        <v>71</v>
      </c>
      <c r="C11023" s="59">
        <v>110</v>
      </c>
      <c r="D11023" s="51">
        <v>20</v>
      </c>
      <c r="E11023" s="51">
        <f t="shared" si="172"/>
        <v>0</v>
      </c>
    </row>
    <row r="11024" spans="1:5">
      <c r="A11024" s="59">
        <v>24</v>
      </c>
      <c r="B11024" s="59">
        <v>71</v>
      </c>
      <c r="C11024" s="59">
        <v>620</v>
      </c>
      <c r="D11024" s="51">
        <v>20</v>
      </c>
      <c r="E11024" s="51">
        <f t="shared" si="172"/>
        <v>0</v>
      </c>
    </row>
    <row r="11025" spans="1:5">
      <c r="A11025" s="59">
        <v>24</v>
      </c>
      <c r="B11025" s="59">
        <v>43</v>
      </c>
      <c r="C11025" s="59">
        <v>920</v>
      </c>
      <c r="D11025" s="51">
        <v>19</v>
      </c>
      <c r="E11025" s="51">
        <f t="shared" si="172"/>
        <v>0</v>
      </c>
    </row>
    <row r="11026" spans="1:5">
      <c r="A11026" s="59">
        <v>24</v>
      </c>
      <c r="B11026" s="59">
        <v>64</v>
      </c>
      <c r="C11026" s="59">
        <v>720</v>
      </c>
      <c r="D11026" s="51">
        <v>19</v>
      </c>
      <c r="E11026" s="51">
        <f t="shared" si="172"/>
        <v>0</v>
      </c>
    </row>
    <row r="11027" spans="1:5">
      <c r="A11027" s="59">
        <v>24</v>
      </c>
      <c r="B11027" s="59">
        <v>63</v>
      </c>
      <c r="C11027" s="59">
        <v>320</v>
      </c>
      <c r="D11027" s="51">
        <v>18</v>
      </c>
      <c r="E11027" s="51">
        <f t="shared" si="172"/>
        <v>0</v>
      </c>
    </row>
    <row r="11028" spans="1:5">
      <c r="A11028" s="59">
        <v>24</v>
      </c>
      <c r="B11028" s="59">
        <v>71</v>
      </c>
      <c r="C11028" s="59">
        <v>230</v>
      </c>
      <c r="D11028" s="51">
        <v>18</v>
      </c>
      <c r="E11028" s="51">
        <f t="shared" si="172"/>
        <v>0</v>
      </c>
    </row>
    <row r="11029" spans="1:5">
      <c r="A11029" s="59">
        <v>24</v>
      </c>
      <c r="B11029" s="59">
        <v>43</v>
      </c>
      <c r="C11029" s="59">
        <v>330</v>
      </c>
      <c r="D11029" s="51">
        <v>17</v>
      </c>
      <c r="E11029" s="51">
        <f t="shared" si="172"/>
        <v>0</v>
      </c>
    </row>
    <row r="11030" spans="1:5">
      <c r="A11030" s="59">
        <v>24</v>
      </c>
      <c r="B11030" s="59">
        <v>63</v>
      </c>
      <c r="C11030" s="59">
        <v>930</v>
      </c>
      <c r="D11030" s="51">
        <v>17</v>
      </c>
      <c r="E11030" s="51">
        <f t="shared" si="172"/>
        <v>0</v>
      </c>
    </row>
    <row r="11031" spans="1:5">
      <c r="A11031" s="59">
        <v>24</v>
      </c>
      <c r="B11031" s="59">
        <v>43</v>
      </c>
      <c r="C11031" s="59">
        <v>862</v>
      </c>
      <c r="D11031" s="51">
        <v>16</v>
      </c>
      <c r="E11031" s="51">
        <f t="shared" si="172"/>
        <v>0</v>
      </c>
    </row>
    <row r="11032" spans="1:5">
      <c r="A11032" s="59">
        <v>24</v>
      </c>
      <c r="B11032" s="59">
        <v>42</v>
      </c>
      <c r="C11032" s="59">
        <v>160</v>
      </c>
      <c r="D11032" s="51">
        <v>15</v>
      </c>
      <c r="E11032" s="51">
        <f t="shared" si="172"/>
        <v>0</v>
      </c>
    </row>
    <row r="11033" spans="1:5">
      <c r="A11033" s="59">
        <v>24</v>
      </c>
      <c r="B11033" s="59">
        <v>42</v>
      </c>
      <c r="C11033" s="59">
        <v>620</v>
      </c>
      <c r="D11033" s="51">
        <v>15</v>
      </c>
      <c r="E11033" s="51">
        <f t="shared" si="172"/>
        <v>0</v>
      </c>
    </row>
    <row r="11034" spans="1:5">
      <c r="A11034" s="59">
        <v>24</v>
      </c>
      <c r="B11034" s="59">
        <v>63</v>
      </c>
      <c r="C11034" s="59">
        <v>840</v>
      </c>
      <c r="D11034" s="51">
        <v>15</v>
      </c>
      <c r="E11034" s="51">
        <f t="shared" si="172"/>
        <v>0</v>
      </c>
    </row>
    <row r="11035" spans="1:5">
      <c r="A11035" s="59">
        <v>24</v>
      </c>
      <c r="B11035" s="59">
        <v>71</v>
      </c>
      <c r="C11035" s="59">
        <v>930</v>
      </c>
      <c r="D11035" s="51">
        <v>15</v>
      </c>
      <c r="E11035" s="51">
        <f t="shared" si="172"/>
        <v>0</v>
      </c>
    </row>
    <row r="11036" spans="1:5">
      <c r="A11036" s="59">
        <v>24</v>
      </c>
      <c r="B11036" s="59">
        <v>43</v>
      </c>
      <c r="C11036" s="59">
        <v>750</v>
      </c>
      <c r="D11036" s="51">
        <v>14</v>
      </c>
      <c r="E11036" s="51">
        <f t="shared" si="172"/>
        <v>0</v>
      </c>
    </row>
    <row r="11037" spans="1:5">
      <c r="A11037" s="59">
        <v>24</v>
      </c>
      <c r="B11037" s="59">
        <v>44</v>
      </c>
      <c r="C11037" s="59">
        <v>210</v>
      </c>
      <c r="D11037" s="51">
        <v>14</v>
      </c>
      <c r="E11037" s="51">
        <f t="shared" si="172"/>
        <v>1</v>
      </c>
    </row>
    <row r="11038" spans="1:5">
      <c r="A11038" s="59">
        <v>24</v>
      </c>
      <c r="B11038" s="59">
        <v>62</v>
      </c>
      <c r="C11038" s="59">
        <v>540</v>
      </c>
      <c r="D11038" s="51">
        <v>14</v>
      </c>
      <c r="E11038" s="51">
        <f t="shared" si="172"/>
        <v>1</v>
      </c>
    </row>
    <row r="11039" spans="1:5">
      <c r="A11039" s="59">
        <v>24</v>
      </c>
      <c r="B11039" s="59">
        <v>63</v>
      </c>
      <c r="C11039" s="59">
        <v>150</v>
      </c>
      <c r="D11039" s="51">
        <v>14</v>
      </c>
      <c r="E11039" s="51">
        <f t="shared" si="172"/>
        <v>0</v>
      </c>
    </row>
    <row r="11040" spans="1:5">
      <c r="A11040" s="59">
        <v>24</v>
      </c>
      <c r="B11040" s="59">
        <v>63</v>
      </c>
      <c r="C11040" s="59">
        <v>510</v>
      </c>
      <c r="D11040" s="51">
        <v>14</v>
      </c>
      <c r="E11040" s="51">
        <f t="shared" si="172"/>
        <v>0</v>
      </c>
    </row>
    <row r="11041" spans="1:5">
      <c r="A11041" s="59">
        <v>24</v>
      </c>
      <c r="B11041" s="59">
        <v>64</v>
      </c>
      <c r="C11041" s="59">
        <v>730</v>
      </c>
      <c r="D11041" s="51">
        <v>14</v>
      </c>
      <c r="E11041" s="51">
        <f t="shared" si="172"/>
        <v>0</v>
      </c>
    </row>
    <row r="11042" spans="1:5">
      <c r="A11042" s="59">
        <v>24</v>
      </c>
      <c r="B11042" s="59">
        <v>13</v>
      </c>
      <c r="C11042" s="59">
        <v>530</v>
      </c>
      <c r="D11042" s="51">
        <v>13</v>
      </c>
      <c r="E11042" s="51">
        <f t="shared" si="172"/>
        <v>0</v>
      </c>
    </row>
    <row r="11043" spans="1:5">
      <c r="A11043" s="59">
        <v>24</v>
      </c>
      <c r="B11043" s="59">
        <v>22</v>
      </c>
      <c r="C11043" s="59">
        <v>230</v>
      </c>
      <c r="D11043" s="51">
        <v>12</v>
      </c>
      <c r="E11043" s="51">
        <f t="shared" si="172"/>
        <v>0</v>
      </c>
    </row>
    <row r="11044" spans="1:5">
      <c r="A11044" s="59">
        <v>24</v>
      </c>
      <c r="B11044" s="59">
        <v>41</v>
      </c>
      <c r="C11044" s="59">
        <v>840</v>
      </c>
      <c r="D11044" s="51">
        <v>12</v>
      </c>
      <c r="E11044" s="51">
        <f t="shared" si="172"/>
        <v>1</v>
      </c>
    </row>
    <row r="11045" spans="1:5">
      <c r="A11045" s="59">
        <v>24</v>
      </c>
      <c r="B11045" s="59">
        <v>41</v>
      </c>
      <c r="C11045" s="59">
        <v>930</v>
      </c>
      <c r="D11045" s="51">
        <v>12</v>
      </c>
      <c r="E11045" s="51">
        <f t="shared" si="172"/>
        <v>1</v>
      </c>
    </row>
    <row r="11046" spans="1:5">
      <c r="A11046" s="59">
        <v>24</v>
      </c>
      <c r="B11046" s="59">
        <v>62</v>
      </c>
      <c r="C11046" s="59">
        <v>510</v>
      </c>
      <c r="D11046" s="51">
        <v>12</v>
      </c>
      <c r="E11046" s="51">
        <f t="shared" si="172"/>
        <v>1</v>
      </c>
    </row>
    <row r="11047" spans="1:5">
      <c r="A11047" s="59">
        <v>24</v>
      </c>
      <c r="B11047" s="59">
        <v>62</v>
      </c>
      <c r="C11047" s="59">
        <v>920</v>
      </c>
      <c r="D11047" s="51">
        <v>12</v>
      </c>
      <c r="E11047" s="51">
        <f t="shared" si="172"/>
        <v>1</v>
      </c>
    </row>
    <row r="11048" spans="1:5">
      <c r="A11048" s="59">
        <v>24</v>
      </c>
      <c r="B11048" s="59">
        <v>64</v>
      </c>
      <c r="C11048" s="59">
        <v>860</v>
      </c>
      <c r="D11048" s="51">
        <v>12</v>
      </c>
      <c r="E11048" s="51">
        <f t="shared" si="172"/>
        <v>0</v>
      </c>
    </row>
    <row r="11049" spans="1:5">
      <c r="A11049" s="59">
        <v>24</v>
      </c>
      <c r="B11049" s="59">
        <v>43</v>
      </c>
      <c r="C11049" s="59">
        <v>540</v>
      </c>
      <c r="D11049" s="51">
        <v>11</v>
      </c>
      <c r="E11049" s="51">
        <f t="shared" si="172"/>
        <v>0</v>
      </c>
    </row>
    <row r="11050" spans="1:5">
      <c r="A11050" s="59">
        <v>24</v>
      </c>
      <c r="B11050" s="59">
        <v>62</v>
      </c>
      <c r="C11050" s="59">
        <v>330</v>
      </c>
      <c r="D11050" s="51">
        <v>11</v>
      </c>
      <c r="E11050" s="51">
        <f t="shared" si="172"/>
        <v>1</v>
      </c>
    </row>
    <row r="11051" spans="1:5">
      <c r="A11051" s="59">
        <v>24</v>
      </c>
      <c r="B11051" s="59">
        <v>64</v>
      </c>
      <c r="C11051" s="59">
        <v>750</v>
      </c>
      <c r="D11051" s="51">
        <v>11</v>
      </c>
      <c r="E11051" s="51">
        <f t="shared" si="172"/>
        <v>0</v>
      </c>
    </row>
    <row r="11052" spans="1:5">
      <c r="A11052" s="59">
        <v>24</v>
      </c>
      <c r="B11052" s="59">
        <v>13</v>
      </c>
      <c r="C11052" s="59">
        <v>930</v>
      </c>
      <c r="D11052" s="51">
        <v>10</v>
      </c>
      <c r="E11052" s="51">
        <f t="shared" si="172"/>
        <v>0</v>
      </c>
    </row>
    <row r="11053" spans="1:5">
      <c r="A11053" s="59">
        <v>24</v>
      </c>
      <c r="B11053" s="59">
        <v>62</v>
      </c>
      <c r="C11053" s="59">
        <v>840</v>
      </c>
      <c r="D11053" s="51">
        <v>10</v>
      </c>
      <c r="E11053" s="51">
        <f t="shared" si="172"/>
        <v>1</v>
      </c>
    </row>
    <row r="11054" spans="1:5">
      <c r="A11054" s="59">
        <v>24</v>
      </c>
      <c r="B11054" s="59">
        <v>63</v>
      </c>
      <c r="C11054" s="59">
        <v>240</v>
      </c>
      <c r="D11054" s="51">
        <v>10</v>
      </c>
      <c r="E11054" s="51">
        <f t="shared" si="172"/>
        <v>0</v>
      </c>
    </row>
    <row r="11055" spans="1:5">
      <c r="A11055" s="59">
        <v>24</v>
      </c>
      <c r="B11055" s="59">
        <v>64</v>
      </c>
      <c r="C11055" s="59">
        <v>410</v>
      </c>
      <c r="D11055" s="51">
        <v>10</v>
      </c>
      <c r="E11055" s="51">
        <f t="shared" si="172"/>
        <v>0</v>
      </c>
    </row>
    <row r="11056" spans="1:5">
      <c r="A11056" s="59">
        <v>24</v>
      </c>
      <c r="B11056" s="59">
        <v>81</v>
      </c>
      <c r="C11056" s="59">
        <v>910</v>
      </c>
      <c r="D11056" s="51">
        <v>10</v>
      </c>
      <c r="E11056" s="51">
        <f t="shared" si="172"/>
        <v>0</v>
      </c>
    </row>
    <row r="11057" spans="1:5">
      <c r="A11057" s="59">
        <v>24</v>
      </c>
      <c r="B11057" s="59">
        <v>41</v>
      </c>
      <c r="C11057" s="59">
        <v>210</v>
      </c>
      <c r="D11057" s="51">
        <v>9</v>
      </c>
      <c r="E11057" s="51">
        <f t="shared" si="172"/>
        <v>1</v>
      </c>
    </row>
    <row r="11058" spans="1:5">
      <c r="A11058" s="59">
        <v>24</v>
      </c>
      <c r="B11058" s="59">
        <v>43</v>
      </c>
      <c r="C11058" s="59">
        <v>220</v>
      </c>
      <c r="D11058" s="51">
        <v>9</v>
      </c>
      <c r="E11058" s="51">
        <f t="shared" si="172"/>
        <v>0</v>
      </c>
    </row>
    <row r="11059" spans="1:5">
      <c r="A11059" s="59">
        <v>24</v>
      </c>
      <c r="B11059" s="59">
        <v>43</v>
      </c>
      <c r="C11059" s="59">
        <v>520</v>
      </c>
      <c r="D11059" s="51">
        <v>9</v>
      </c>
      <c r="E11059" s="51">
        <f t="shared" si="172"/>
        <v>0</v>
      </c>
    </row>
    <row r="11060" spans="1:5">
      <c r="A11060" s="59">
        <v>24</v>
      </c>
      <c r="B11060" s="59">
        <v>43</v>
      </c>
      <c r="C11060" s="59">
        <v>940</v>
      </c>
      <c r="D11060" s="51">
        <v>9</v>
      </c>
      <c r="E11060" s="51">
        <f t="shared" si="172"/>
        <v>0</v>
      </c>
    </row>
    <row r="11061" spans="1:5">
      <c r="A11061" s="59">
        <v>24</v>
      </c>
      <c r="B11061" s="59">
        <v>64</v>
      </c>
      <c r="C11061" s="59">
        <v>880</v>
      </c>
      <c r="D11061" s="51">
        <v>9</v>
      </c>
      <c r="E11061" s="51">
        <f t="shared" si="172"/>
        <v>0</v>
      </c>
    </row>
    <row r="11062" spans="1:5">
      <c r="A11062" s="59">
        <v>24</v>
      </c>
      <c r="B11062" s="59">
        <v>41</v>
      </c>
      <c r="C11062" s="59">
        <v>510</v>
      </c>
      <c r="D11062" s="51">
        <v>8</v>
      </c>
      <c r="E11062" s="51">
        <f t="shared" si="172"/>
        <v>1</v>
      </c>
    </row>
    <row r="11063" spans="1:5">
      <c r="A11063" s="59">
        <v>24</v>
      </c>
      <c r="B11063" s="59">
        <v>41</v>
      </c>
      <c r="C11063" s="59">
        <v>530</v>
      </c>
      <c r="D11063" s="51">
        <v>8</v>
      </c>
      <c r="E11063" s="51">
        <f t="shared" si="172"/>
        <v>1</v>
      </c>
    </row>
    <row r="11064" spans="1:5">
      <c r="A11064" s="59">
        <v>24</v>
      </c>
      <c r="B11064" s="59">
        <v>42</v>
      </c>
      <c r="C11064" s="59">
        <v>210</v>
      </c>
      <c r="D11064" s="51">
        <v>8</v>
      </c>
      <c r="E11064" s="51">
        <f t="shared" si="172"/>
        <v>0</v>
      </c>
    </row>
    <row r="11065" spans="1:5">
      <c r="A11065" s="59">
        <v>24</v>
      </c>
      <c r="B11065" s="59">
        <v>42</v>
      </c>
      <c r="C11065" s="59">
        <v>310</v>
      </c>
      <c r="D11065" s="51">
        <v>8</v>
      </c>
      <c r="E11065" s="51">
        <f t="shared" si="172"/>
        <v>0</v>
      </c>
    </row>
    <row r="11066" spans="1:5">
      <c r="A11066" s="59">
        <v>24</v>
      </c>
      <c r="B11066" s="59">
        <v>42</v>
      </c>
      <c r="C11066" s="59">
        <v>540</v>
      </c>
      <c r="D11066" s="51">
        <v>8</v>
      </c>
      <c r="E11066" s="51">
        <f t="shared" si="172"/>
        <v>0</v>
      </c>
    </row>
    <row r="11067" spans="1:5">
      <c r="A11067" s="59">
        <v>24</v>
      </c>
      <c r="B11067" s="59">
        <v>42</v>
      </c>
      <c r="C11067" s="59">
        <v>830</v>
      </c>
      <c r="D11067" s="51">
        <v>8</v>
      </c>
      <c r="E11067" s="51">
        <f t="shared" si="172"/>
        <v>0</v>
      </c>
    </row>
    <row r="11068" spans="1:5">
      <c r="A11068" s="59">
        <v>24</v>
      </c>
      <c r="B11068" s="59">
        <v>62</v>
      </c>
      <c r="C11068" s="59">
        <v>730</v>
      </c>
      <c r="D11068" s="51">
        <v>8</v>
      </c>
      <c r="E11068" s="51">
        <f t="shared" si="172"/>
        <v>1</v>
      </c>
    </row>
    <row r="11069" spans="1:5">
      <c r="A11069" s="59">
        <v>24</v>
      </c>
      <c r="B11069" s="59">
        <v>81</v>
      </c>
      <c r="C11069" s="59">
        <v>920</v>
      </c>
      <c r="D11069" s="51">
        <v>8</v>
      </c>
      <c r="E11069" s="51">
        <f t="shared" si="172"/>
        <v>0</v>
      </c>
    </row>
    <row r="11070" spans="1:5">
      <c r="A11070" s="59">
        <v>24</v>
      </c>
      <c r="B11070" s="59">
        <v>81</v>
      </c>
      <c r="C11070" s="59">
        <v>950</v>
      </c>
      <c r="D11070" s="51">
        <v>8</v>
      </c>
      <c r="E11070" s="51">
        <f t="shared" si="172"/>
        <v>0</v>
      </c>
    </row>
    <row r="11071" spans="1:5">
      <c r="A11071" s="59">
        <v>24</v>
      </c>
      <c r="B11071" s="59">
        <v>41</v>
      </c>
      <c r="C11071" s="59">
        <v>540</v>
      </c>
      <c r="D11071" s="51">
        <v>7</v>
      </c>
      <c r="E11071" s="51">
        <f t="shared" si="172"/>
        <v>1</v>
      </c>
    </row>
    <row r="11072" spans="1:5">
      <c r="A11072" s="59">
        <v>24</v>
      </c>
      <c r="B11072" s="59">
        <v>43</v>
      </c>
      <c r="C11072" s="59">
        <v>320</v>
      </c>
      <c r="D11072" s="51">
        <v>7</v>
      </c>
      <c r="E11072" s="51">
        <f t="shared" si="172"/>
        <v>0</v>
      </c>
    </row>
    <row r="11073" spans="1:5">
      <c r="A11073" s="59">
        <v>24</v>
      </c>
      <c r="B11073" s="59">
        <v>62</v>
      </c>
      <c r="C11073" s="59">
        <v>610</v>
      </c>
      <c r="D11073" s="51">
        <v>7</v>
      </c>
      <c r="E11073" s="51">
        <f t="shared" si="172"/>
        <v>1</v>
      </c>
    </row>
    <row r="11074" spans="1:5">
      <c r="A11074" s="59">
        <v>24</v>
      </c>
      <c r="B11074" s="59">
        <v>62</v>
      </c>
      <c r="C11074" s="59">
        <v>720</v>
      </c>
      <c r="D11074" s="51">
        <v>7</v>
      </c>
      <c r="E11074" s="51">
        <f t="shared" ref="E11074:E11137" si="173">IF(OR(A11074=6,A11074=7,A11074=14,A11074=15,A11074=16,A11074=17,A11074=18,A11074=19,A11074=20,A11074=21,A11074=22,A11074=23,A11074=25,A11074=26,A11074=27,A11074=28,B11074=41,B11074=44,B11074=62),1,0)</f>
        <v>1</v>
      </c>
    </row>
    <row r="11075" spans="1:5">
      <c r="A11075" s="59">
        <v>24</v>
      </c>
      <c r="B11075" s="59">
        <v>63</v>
      </c>
      <c r="C11075" s="59">
        <v>110</v>
      </c>
      <c r="D11075" s="51">
        <v>7</v>
      </c>
      <c r="E11075" s="51">
        <f t="shared" si="173"/>
        <v>0</v>
      </c>
    </row>
    <row r="11076" spans="1:5">
      <c r="A11076" s="59">
        <v>24</v>
      </c>
      <c r="B11076" s="59">
        <v>63</v>
      </c>
      <c r="C11076" s="59">
        <v>610</v>
      </c>
      <c r="D11076" s="51">
        <v>7</v>
      </c>
      <c r="E11076" s="51">
        <f t="shared" si="173"/>
        <v>0</v>
      </c>
    </row>
    <row r="11077" spans="1:5">
      <c r="A11077" s="59">
        <v>24</v>
      </c>
      <c r="B11077" s="59">
        <v>71</v>
      </c>
      <c r="C11077" s="59">
        <v>150</v>
      </c>
      <c r="D11077" s="51">
        <v>7</v>
      </c>
      <c r="E11077" s="51">
        <f t="shared" si="173"/>
        <v>0</v>
      </c>
    </row>
    <row r="11078" spans="1:5">
      <c r="A11078" s="59">
        <v>24</v>
      </c>
      <c r="B11078" s="59">
        <v>13</v>
      </c>
      <c r="C11078" s="59">
        <v>150</v>
      </c>
      <c r="D11078" s="51">
        <v>6</v>
      </c>
      <c r="E11078" s="51">
        <f t="shared" si="173"/>
        <v>0</v>
      </c>
    </row>
    <row r="11079" spans="1:5">
      <c r="A11079" s="59">
        <v>24</v>
      </c>
      <c r="B11079" s="59">
        <v>14</v>
      </c>
      <c r="C11079" s="59">
        <v>230</v>
      </c>
      <c r="D11079" s="51">
        <v>6</v>
      </c>
      <c r="E11079" s="51">
        <f t="shared" si="173"/>
        <v>0</v>
      </c>
    </row>
    <row r="11080" spans="1:5">
      <c r="A11080" s="59">
        <v>24</v>
      </c>
      <c r="B11080" s="59">
        <v>16</v>
      </c>
      <c r="C11080" s="59">
        <v>150</v>
      </c>
      <c r="D11080" s="51">
        <v>6</v>
      </c>
      <c r="E11080" s="51">
        <f t="shared" si="173"/>
        <v>0</v>
      </c>
    </row>
    <row r="11081" spans="1:5">
      <c r="A11081" s="59">
        <v>24</v>
      </c>
      <c r="B11081" s="59">
        <v>62</v>
      </c>
      <c r="C11081" s="59">
        <v>750</v>
      </c>
      <c r="D11081" s="51">
        <v>6</v>
      </c>
      <c r="E11081" s="51">
        <f t="shared" si="173"/>
        <v>1</v>
      </c>
    </row>
    <row r="11082" spans="1:5">
      <c r="A11082" s="59">
        <v>24</v>
      </c>
      <c r="B11082" s="59">
        <v>63</v>
      </c>
      <c r="C11082" s="59">
        <v>540</v>
      </c>
      <c r="D11082" s="51">
        <v>6</v>
      </c>
      <c r="E11082" s="51">
        <f t="shared" si="173"/>
        <v>0</v>
      </c>
    </row>
    <row r="11083" spans="1:5">
      <c r="A11083" s="59">
        <v>24</v>
      </c>
      <c r="B11083" s="59">
        <v>63</v>
      </c>
      <c r="C11083" s="59">
        <v>630</v>
      </c>
      <c r="D11083" s="51">
        <v>6</v>
      </c>
      <c r="E11083" s="51">
        <f t="shared" si="173"/>
        <v>0</v>
      </c>
    </row>
    <row r="11084" spans="1:5">
      <c r="A11084" s="59">
        <v>24</v>
      </c>
      <c r="B11084" s="59">
        <v>71</v>
      </c>
      <c r="C11084" s="59">
        <v>320</v>
      </c>
      <c r="D11084" s="51">
        <v>6</v>
      </c>
      <c r="E11084" s="51">
        <f t="shared" si="173"/>
        <v>0</v>
      </c>
    </row>
    <row r="11085" spans="1:5">
      <c r="A11085" s="59">
        <v>24</v>
      </c>
      <c r="B11085" s="59">
        <v>71</v>
      </c>
      <c r="C11085" s="59">
        <v>610</v>
      </c>
      <c r="D11085" s="51">
        <v>6</v>
      </c>
      <c r="E11085" s="51">
        <f t="shared" si="173"/>
        <v>0</v>
      </c>
    </row>
    <row r="11086" spans="1:5">
      <c r="A11086" s="59">
        <v>24</v>
      </c>
      <c r="B11086" s="59">
        <v>14</v>
      </c>
      <c r="C11086" s="59">
        <v>160</v>
      </c>
      <c r="D11086" s="51">
        <v>5</v>
      </c>
      <c r="E11086" s="51">
        <f t="shared" si="173"/>
        <v>0</v>
      </c>
    </row>
    <row r="11087" spans="1:5">
      <c r="A11087" s="59">
        <v>24</v>
      </c>
      <c r="B11087" s="59">
        <v>22</v>
      </c>
      <c r="C11087" s="59">
        <v>530</v>
      </c>
      <c r="D11087" s="51">
        <v>5</v>
      </c>
      <c r="E11087" s="51">
        <f t="shared" si="173"/>
        <v>0</v>
      </c>
    </row>
    <row r="11088" spans="1:5">
      <c r="A11088" s="59">
        <v>24</v>
      </c>
      <c r="B11088" s="59">
        <v>41</v>
      </c>
      <c r="C11088" s="59">
        <v>910</v>
      </c>
      <c r="D11088" s="51">
        <v>5</v>
      </c>
      <c r="E11088" s="51">
        <f t="shared" si="173"/>
        <v>1</v>
      </c>
    </row>
    <row r="11089" spans="1:5">
      <c r="A11089" s="59">
        <v>24</v>
      </c>
      <c r="B11089" s="59">
        <v>44</v>
      </c>
      <c r="C11089" s="59">
        <v>540</v>
      </c>
      <c r="D11089" s="51">
        <v>5</v>
      </c>
      <c r="E11089" s="51">
        <f t="shared" si="173"/>
        <v>1</v>
      </c>
    </row>
    <row r="11090" spans="1:5">
      <c r="A11090" s="59">
        <v>24</v>
      </c>
      <c r="B11090" s="59">
        <v>62</v>
      </c>
      <c r="C11090" s="59">
        <v>410</v>
      </c>
      <c r="D11090" s="51">
        <v>5</v>
      </c>
      <c r="E11090" s="51">
        <f t="shared" si="173"/>
        <v>1</v>
      </c>
    </row>
    <row r="11091" spans="1:5">
      <c r="A11091" s="59">
        <v>24</v>
      </c>
      <c r="B11091" s="59">
        <v>62</v>
      </c>
      <c r="C11091" s="59">
        <v>710</v>
      </c>
      <c r="D11091" s="51">
        <v>5</v>
      </c>
      <c r="E11091" s="51">
        <f t="shared" si="173"/>
        <v>1</v>
      </c>
    </row>
    <row r="11092" spans="1:5">
      <c r="A11092" s="59">
        <v>24</v>
      </c>
      <c r="B11092" s="59">
        <v>62</v>
      </c>
      <c r="C11092" s="59">
        <v>930</v>
      </c>
      <c r="D11092" s="51">
        <v>5</v>
      </c>
      <c r="E11092" s="51">
        <f t="shared" si="173"/>
        <v>1</v>
      </c>
    </row>
    <row r="11093" spans="1:5">
      <c r="A11093" s="59">
        <v>24</v>
      </c>
      <c r="B11093" s="59">
        <v>63</v>
      </c>
      <c r="C11093" s="59">
        <v>920</v>
      </c>
      <c r="D11093" s="51">
        <v>5</v>
      </c>
      <c r="E11093" s="51">
        <f t="shared" si="173"/>
        <v>0</v>
      </c>
    </row>
    <row r="11094" spans="1:5">
      <c r="A11094" s="59">
        <v>24</v>
      </c>
      <c r="B11094" s="59">
        <v>64</v>
      </c>
      <c r="C11094" s="59">
        <v>520</v>
      </c>
      <c r="D11094" s="51">
        <v>5</v>
      </c>
      <c r="E11094" s="51">
        <f t="shared" si="173"/>
        <v>0</v>
      </c>
    </row>
    <row r="11095" spans="1:5">
      <c r="A11095" s="59">
        <v>24</v>
      </c>
      <c r="B11095" s="59">
        <v>71</v>
      </c>
      <c r="C11095" s="59">
        <v>720</v>
      </c>
      <c r="D11095" s="51">
        <v>5</v>
      </c>
      <c r="E11095" s="51">
        <f t="shared" si="173"/>
        <v>0</v>
      </c>
    </row>
    <row r="11096" spans="1:5">
      <c r="A11096" s="59">
        <v>24</v>
      </c>
      <c r="B11096" s="59">
        <v>81</v>
      </c>
      <c r="C11096" s="59">
        <v>620</v>
      </c>
      <c r="D11096" s="51">
        <v>5</v>
      </c>
      <c r="E11096" s="51">
        <f t="shared" si="173"/>
        <v>0</v>
      </c>
    </row>
    <row r="11097" spans="1:5">
      <c r="A11097" s="59">
        <v>24</v>
      </c>
      <c r="B11097" s="59">
        <v>13</v>
      </c>
      <c r="C11097" s="59">
        <v>910</v>
      </c>
      <c r="D11097" s="51">
        <v>4</v>
      </c>
      <c r="E11097" s="51">
        <f t="shared" si="173"/>
        <v>0</v>
      </c>
    </row>
    <row r="11098" spans="1:5">
      <c r="A11098" s="59">
        <v>24</v>
      </c>
      <c r="B11098" s="59">
        <v>13</v>
      </c>
      <c r="C11098" s="59">
        <v>990</v>
      </c>
      <c r="D11098" s="51">
        <v>4</v>
      </c>
      <c r="E11098" s="51">
        <f t="shared" si="173"/>
        <v>0</v>
      </c>
    </row>
    <row r="11099" spans="1:5">
      <c r="A11099" s="59">
        <v>24</v>
      </c>
      <c r="B11099" s="59">
        <v>41</v>
      </c>
      <c r="C11099" s="59">
        <v>110</v>
      </c>
      <c r="D11099" s="51">
        <v>4</v>
      </c>
      <c r="E11099" s="51">
        <f t="shared" si="173"/>
        <v>1</v>
      </c>
    </row>
    <row r="11100" spans="1:5">
      <c r="A11100" s="59">
        <v>24</v>
      </c>
      <c r="B11100" s="59">
        <v>41</v>
      </c>
      <c r="C11100" s="59">
        <v>920</v>
      </c>
      <c r="D11100" s="51">
        <v>4</v>
      </c>
      <c r="E11100" s="51">
        <f t="shared" si="173"/>
        <v>1</v>
      </c>
    </row>
    <row r="11101" spans="1:5">
      <c r="A11101" s="59">
        <v>24</v>
      </c>
      <c r="B11101" s="59">
        <v>42</v>
      </c>
      <c r="C11101" s="59">
        <v>840</v>
      </c>
      <c r="D11101" s="51">
        <v>4</v>
      </c>
      <c r="E11101" s="51">
        <f t="shared" si="173"/>
        <v>0</v>
      </c>
    </row>
    <row r="11102" spans="1:5">
      <c r="A11102" s="59">
        <v>24</v>
      </c>
      <c r="B11102" s="59">
        <v>43</v>
      </c>
      <c r="C11102" s="59">
        <v>110</v>
      </c>
      <c r="D11102" s="51">
        <v>4</v>
      </c>
      <c r="E11102" s="51">
        <f t="shared" si="173"/>
        <v>0</v>
      </c>
    </row>
    <row r="11103" spans="1:5">
      <c r="A11103" s="59">
        <v>24</v>
      </c>
      <c r="B11103" s="59">
        <v>44</v>
      </c>
      <c r="C11103" s="59">
        <v>930</v>
      </c>
      <c r="D11103" s="51">
        <v>4</v>
      </c>
      <c r="E11103" s="51">
        <f t="shared" si="173"/>
        <v>1</v>
      </c>
    </row>
    <row r="11104" spans="1:5">
      <c r="A11104" s="59">
        <v>24</v>
      </c>
      <c r="B11104" s="59">
        <v>62</v>
      </c>
      <c r="C11104" s="59">
        <v>220</v>
      </c>
      <c r="D11104" s="51">
        <v>4</v>
      </c>
      <c r="E11104" s="51">
        <f t="shared" si="173"/>
        <v>1</v>
      </c>
    </row>
    <row r="11105" spans="1:5">
      <c r="A11105" s="59">
        <v>24</v>
      </c>
      <c r="B11105" s="59">
        <v>62</v>
      </c>
      <c r="C11105" s="59">
        <v>230</v>
      </c>
      <c r="D11105" s="51">
        <v>4</v>
      </c>
      <c r="E11105" s="51">
        <f t="shared" si="173"/>
        <v>1</v>
      </c>
    </row>
    <row r="11106" spans="1:5">
      <c r="A11106" s="59">
        <v>24</v>
      </c>
      <c r="B11106" s="59">
        <v>64</v>
      </c>
      <c r="C11106" s="59">
        <v>550</v>
      </c>
      <c r="D11106" s="51">
        <v>4</v>
      </c>
      <c r="E11106" s="51">
        <f t="shared" si="173"/>
        <v>0</v>
      </c>
    </row>
    <row r="11107" spans="1:5">
      <c r="A11107" s="59">
        <v>24</v>
      </c>
      <c r="B11107" s="59">
        <v>64</v>
      </c>
      <c r="C11107" s="59">
        <v>940</v>
      </c>
      <c r="D11107" s="51">
        <v>4</v>
      </c>
      <c r="E11107" s="51">
        <f t="shared" si="173"/>
        <v>0</v>
      </c>
    </row>
    <row r="11108" spans="1:5">
      <c r="A11108" s="59">
        <v>24</v>
      </c>
      <c r="B11108" s="59">
        <v>71</v>
      </c>
      <c r="C11108" s="59">
        <v>220</v>
      </c>
      <c r="D11108" s="51">
        <v>4</v>
      </c>
      <c r="E11108" s="51">
        <f t="shared" si="173"/>
        <v>0</v>
      </c>
    </row>
    <row r="11109" spans="1:5">
      <c r="A11109" s="59">
        <v>24</v>
      </c>
      <c r="B11109" s="59">
        <v>71</v>
      </c>
      <c r="C11109" s="59">
        <v>730</v>
      </c>
      <c r="D11109" s="51">
        <v>4</v>
      </c>
      <c r="E11109" s="51">
        <f t="shared" si="173"/>
        <v>0</v>
      </c>
    </row>
    <row r="11110" spans="1:5">
      <c r="A11110" s="59">
        <v>24</v>
      </c>
      <c r="B11110" s="59">
        <v>71</v>
      </c>
      <c r="C11110" s="59">
        <v>750</v>
      </c>
      <c r="D11110" s="51">
        <v>4</v>
      </c>
      <c r="E11110" s="51">
        <f t="shared" si="173"/>
        <v>0</v>
      </c>
    </row>
    <row r="11111" spans="1:5">
      <c r="A11111" s="59">
        <v>24</v>
      </c>
      <c r="B11111" s="59">
        <v>81</v>
      </c>
      <c r="C11111" s="59">
        <v>310</v>
      </c>
      <c r="D11111" s="51">
        <v>4</v>
      </c>
      <c r="E11111" s="51">
        <f t="shared" si="173"/>
        <v>0</v>
      </c>
    </row>
    <row r="11112" spans="1:5">
      <c r="A11112" s="59">
        <v>24</v>
      </c>
      <c r="B11112" s="59">
        <v>81</v>
      </c>
      <c r="C11112" s="59">
        <v>510</v>
      </c>
      <c r="D11112" s="51">
        <v>4</v>
      </c>
      <c r="E11112" s="51">
        <f t="shared" si="173"/>
        <v>0</v>
      </c>
    </row>
    <row r="11113" spans="1:5">
      <c r="A11113" s="59">
        <v>24</v>
      </c>
      <c r="B11113" s="59">
        <v>14</v>
      </c>
      <c r="C11113" s="59">
        <v>530</v>
      </c>
      <c r="D11113" s="51">
        <v>3</v>
      </c>
      <c r="E11113" s="51">
        <f t="shared" si="173"/>
        <v>0</v>
      </c>
    </row>
    <row r="11114" spans="1:5">
      <c r="A11114" s="59">
        <v>24</v>
      </c>
      <c r="B11114" s="59">
        <v>14</v>
      </c>
      <c r="C11114" s="59">
        <v>930</v>
      </c>
      <c r="D11114" s="51">
        <v>3</v>
      </c>
      <c r="E11114" s="51">
        <f t="shared" si="173"/>
        <v>0</v>
      </c>
    </row>
    <row r="11115" spans="1:5">
      <c r="A11115" s="59">
        <v>24</v>
      </c>
      <c r="B11115" s="59">
        <v>22</v>
      </c>
      <c r="C11115" s="59">
        <v>150</v>
      </c>
      <c r="D11115" s="51">
        <v>3</v>
      </c>
      <c r="E11115" s="51">
        <f t="shared" si="173"/>
        <v>0</v>
      </c>
    </row>
    <row r="11116" spans="1:5">
      <c r="A11116" s="59">
        <v>24</v>
      </c>
      <c r="B11116" s="59">
        <v>43</v>
      </c>
      <c r="C11116" s="59">
        <v>630</v>
      </c>
      <c r="D11116" s="51">
        <v>3</v>
      </c>
      <c r="E11116" s="51">
        <f t="shared" si="173"/>
        <v>0</v>
      </c>
    </row>
    <row r="11117" spans="1:5">
      <c r="A11117" s="59">
        <v>24</v>
      </c>
      <c r="B11117" s="59">
        <v>44</v>
      </c>
      <c r="C11117" s="59">
        <v>330</v>
      </c>
      <c r="D11117" s="51">
        <v>3</v>
      </c>
      <c r="E11117" s="51">
        <f t="shared" si="173"/>
        <v>1</v>
      </c>
    </row>
    <row r="11118" spans="1:5">
      <c r="A11118" s="59">
        <v>24</v>
      </c>
      <c r="B11118" s="59">
        <v>44</v>
      </c>
      <c r="C11118" s="59">
        <v>620</v>
      </c>
      <c r="D11118" s="51">
        <v>3</v>
      </c>
      <c r="E11118" s="51">
        <f t="shared" si="173"/>
        <v>1</v>
      </c>
    </row>
    <row r="11119" spans="1:5">
      <c r="A11119" s="59">
        <v>24</v>
      </c>
      <c r="B11119" s="59">
        <v>62</v>
      </c>
      <c r="C11119" s="59">
        <v>520</v>
      </c>
      <c r="D11119" s="51">
        <v>3</v>
      </c>
      <c r="E11119" s="51">
        <f t="shared" si="173"/>
        <v>1</v>
      </c>
    </row>
    <row r="11120" spans="1:5">
      <c r="A11120" s="59">
        <v>24</v>
      </c>
      <c r="B11120" s="59">
        <v>64</v>
      </c>
      <c r="C11120" s="59">
        <v>630</v>
      </c>
      <c r="D11120" s="51">
        <v>3</v>
      </c>
      <c r="E11120" s="51">
        <f t="shared" si="173"/>
        <v>0</v>
      </c>
    </row>
    <row r="11121" spans="1:5">
      <c r="A11121" s="59">
        <v>24</v>
      </c>
      <c r="B11121" s="59">
        <v>81</v>
      </c>
      <c r="C11121" s="59">
        <v>720</v>
      </c>
      <c r="D11121" s="51">
        <v>3</v>
      </c>
      <c r="E11121" s="51">
        <f t="shared" si="173"/>
        <v>0</v>
      </c>
    </row>
    <row r="11122" spans="1:5">
      <c r="A11122" s="59">
        <v>24</v>
      </c>
      <c r="B11122" s="59">
        <v>14</v>
      </c>
      <c r="C11122" s="59">
        <v>210</v>
      </c>
      <c r="D11122" s="51">
        <v>2</v>
      </c>
      <c r="E11122" s="51">
        <f t="shared" si="173"/>
        <v>0</v>
      </c>
    </row>
    <row r="11123" spans="1:5">
      <c r="A11123" s="59">
        <v>24</v>
      </c>
      <c r="B11123" s="59">
        <v>41</v>
      </c>
      <c r="C11123" s="59">
        <v>610</v>
      </c>
      <c r="D11123" s="51">
        <v>2</v>
      </c>
      <c r="E11123" s="51">
        <f t="shared" si="173"/>
        <v>1</v>
      </c>
    </row>
    <row r="11124" spans="1:5">
      <c r="A11124" s="59">
        <v>24</v>
      </c>
      <c r="B11124" s="59">
        <v>41</v>
      </c>
      <c r="C11124" s="59">
        <v>720</v>
      </c>
      <c r="D11124" s="51">
        <v>2</v>
      </c>
      <c r="E11124" s="51">
        <f t="shared" si="173"/>
        <v>1</v>
      </c>
    </row>
    <row r="11125" spans="1:5">
      <c r="A11125" s="59">
        <v>24</v>
      </c>
      <c r="B11125" s="59">
        <v>41</v>
      </c>
      <c r="C11125" s="59">
        <v>899</v>
      </c>
      <c r="D11125" s="51">
        <v>2</v>
      </c>
      <c r="E11125" s="51">
        <f t="shared" si="173"/>
        <v>1</v>
      </c>
    </row>
    <row r="11126" spans="1:5">
      <c r="A11126" s="59">
        <v>24</v>
      </c>
      <c r="B11126" s="59">
        <v>42</v>
      </c>
      <c r="C11126" s="59">
        <v>550</v>
      </c>
      <c r="D11126" s="51">
        <v>2</v>
      </c>
      <c r="E11126" s="51">
        <f t="shared" si="173"/>
        <v>0</v>
      </c>
    </row>
    <row r="11127" spans="1:5">
      <c r="A11127" s="59">
        <v>24</v>
      </c>
      <c r="B11127" s="59">
        <v>43</v>
      </c>
      <c r="C11127" s="59">
        <v>120</v>
      </c>
      <c r="D11127" s="51">
        <v>2</v>
      </c>
      <c r="E11127" s="51">
        <f t="shared" si="173"/>
        <v>0</v>
      </c>
    </row>
    <row r="11128" spans="1:5">
      <c r="A11128" s="59">
        <v>24</v>
      </c>
      <c r="B11128" s="59">
        <v>43</v>
      </c>
      <c r="C11128" s="59">
        <v>730</v>
      </c>
      <c r="D11128" s="51">
        <v>2</v>
      </c>
      <c r="E11128" s="51">
        <f t="shared" si="173"/>
        <v>0</v>
      </c>
    </row>
    <row r="11129" spans="1:5">
      <c r="A11129" s="59">
        <v>24</v>
      </c>
      <c r="B11129" s="59">
        <v>62</v>
      </c>
      <c r="C11129" s="59">
        <v>630</v>
      </c>
      <c r="D11129" s="51">
        <v>2</v>
      </c>
      <c r="E11129" s="51">
        <f t="shared" si="173"/>
        <v>1</v>
      </c>
    </row>
    <row r="11130" spans="1:5">
      <c r="A11130" s="59">
        <v>24</v>
      </c>
      <c r="B11130" s="59">
        <v>62</v>
      </c>
      <c r="C11130" s="59">
        <v>950</v>
      </c>
      <c r="D11130" s="51">
        <v>2</v>
      </c>
      <c r="E11130" s="51">
        <f t="shared" si="173"/>
        <v>1</v>
      </c>
    </row>
    <row r="11131" spans="1:5">
      <c r="A11131" s="59">
        <v>24</v>
      </c>
      <c r="B11131" s="59">
        <v>62</v>
      </c>
      <c r="C11131" s="59">
        <v>990</v>
      </c>
      <c r="D11131" s="51">
        <v>2</v>
      </c>
      <c r="E11131" s="51">
        <f t="shared" si="173"/>
        <v>1</v>
      </c>
    </row>
    <row r="11132" spans="1:5">
      <c r="A11132" s="59">
        <v>24</v>
      </c>
      <c r="B11132" s="59">
        <v>63</v>
      </c>
      <c r="C11132" s="59">
        <v>230</v>
      </c>
      <c r="D11132" s="51">
        <v>2</v>
      </c>
      <c r="E11132" s="51">
        <f t="shared" si="173"/>
        <v>0</v>
      </c>
    </row>
    <row r="11133" spans="1:5">
      <c r="A11133" s="59">
        <v>24</v>
      </c>
      <c r="B11133" s="59">
        <v>63</v>
      </c>
      <c r="C11133" s="59">
        <v>550</v>
      </c>
      <c r="D11133" s="51">
        <v>2</v>
      </c>
      <c r="E11133" s="51">
        <f t="shared" si="173"/>
        <v>0</v>
      </c>
    </row>
    <row r="11134" spans="1:5">
      <c r="A11134" s="59">
        <v>24</v>
      </c>
      <c r="B11134" s="59">
        <v>63</v>
      </c>
      <c r="C11134" s="59">
        <v>730</v>
      </c>
      <c r="D11134" s="51">
        <v>2</v>
      </c>
      <c r="E11134" s="51">
        <f t="shared" si="173"/>
        <v>0</v>
      </c>
    </row>
    <row r="11135" spans="1:5">
      <c r="A11135" s="59">
        <v>24</v>
      </c>
      <c r="B11135" s="59">
        <v>63</v>
      </c>
      <c r="C11135" s="59">
        <v>750</v>
      </c>
      <c r="D11135" s="51">
        <v>2</v>
      </c>
      <c r="E11135" s="51">
        <f t="shared" si="173"/>
        <v>0</v>
      </c>
    </row>
    <row r="11136" spans="1:5">
      <c r="A11136" s="59">
        <v>24</v>
      </c>
      <c r="B11136" s="59">
        <v>64</v>
      </c>
      <c r="C11136" s="59">
        <v>870</v>
      </c>
      <c r="D11136" s="51">
        <v>2</v>
      </c>
      <c r="E11136" s="51">
        <f t="shared" si="173"/>
        <v>0</v>
      </c>
    </row>
    <row r="11137" spans="1:5">
      <c r="A11137" s="59">
        <v>24</v>
      </c>
      <c r="B11137" s="59">
        <v>64</v>
      </c>
      <c r="C11137" s="59">
        <v>881</v>
      </c>
      <c r="D11137" s="51">
        <v>2</v>
      </c>
      <c r="E11137" s="51">
        <f t="shared" si="173"/>
        <v>0</v>
      </c>
    </row>
    <row r="11138" spans="1:5">
      <c r="A11138" s="59">
        <v>24</v>
      </c>
      <c r="B11138" s="59">
        <v>71</v>
      </c>
      <c r="C11138" s="59">
        <v>840</v>
      </c>
      <c r="D11138" s="51">
        <v>2</v>
      </c>
      <c r="E11138" s="51">
        <f t="shared" ref="E11138:E11201" si="174">IF(OR(A11138=6,A11138=7,A11138=14,A11138=15,A11138=16,A11138=17,A11138=18,A11138=19,A11138=20,A11138=21,A11138=22,A11138=23,A11138=25,A11138=26,A11138=27,A11138=28,B11138=41,B11138=44,B11138=62),1,0)</f>
        <v>0</v>
      </c>
    </row>
    <row r="11139" spans="1:5">
      <c r="A11139" s="59">
        <v>24</v>
      </c>
      <c r="B11139" s="59">
        <v>81</v>
      </c>
      <c r="C11139" s="59">
        <v>230</v>
      </c>
      <c r="D11139" s="51">
        <v>2</v>
      </c>
      <c r="E11139" s="51">
        <f t="shared" si="174"/>
        <v>0</v>
      </c>
    </row>
    <row r="11140" spans="1:5">
      <c r="A11140" s="59">
        <v>24</v>
      </c>
      <c r="B11140" s="59">
        <v>81</v>
      </c>
      <c r="C11140" s="59">
        <v>730</v>
      </c>
      <c r="D11140" s="51">
        <v>2</v>
      </c>
      <c r="E11140" s="51">
        <f t="shared" si="174"/>
        <v>0</v>
      </c>
    </row>
    <row r="11141" spans="1:5">
      <c r="A11141" s="59">
        <v>24</v>
      </c>
      <c r="B11141" s="59">
        <v>13</v>
      </c>
      <c r="C11141" s="59">
        <v>610</v>
      </c>
      <c r="D11141" s="51">
        <v>1</v>
      </c>
      <c r="E11141" s="51">
        <f t="shared" si="174"/>
        <v>0</v>
      </c>
    </row>
    <row r="11142" spans="1:5">
      <c r="A11142" s="59">
        <v>24</v>
      </c>
      <c r="B11142" s="59">
        <v>13</v>
      </c>
      <c r="C11142" s="59">
        <v>840</v>
      </c>
      <c r="D11142" s="51">
        <v>1</v>
      </c>
      <c r="E11142" s="51">
        <f t="shared" si="174"/>
        <v>0</v>
      </c>
    </row>
    <row r="11143" spans="1:5">
      <c r="A11143" s="59">
        <v>24</v>
      </c>
      <c r="B11143" s="59">
        <v>13</v>
      </c>
      <c r="C11143" s="59">
        <v>920</v>
      </c>
      <c r="D11143" s="51">
        <v>1</v>
      </c>
      <c r="E11143" s="51">
        <f t="shared" si="174"/>
        <v>0</v>
      </c>
    </row>
    <row r="11144" spans="1:5">
      <c r="A11144" s="59">
        <v>24</v>
      </c>
      <c r="B11144" s="59">
        <v>13</v>
      </c>
      <c r="C11144" s="59">
        <v>940</v>
      </c>
      <c r="D11144" s="51">
        <v>1</v>
      </c>
      <c r="E11144" s="51">
        <f t="shared" si="174"/>
        <v>0</v>
      </c>
    </row>
    <row r="11145" spans="1:5">
      <c r="A11145" s="59">
        <v>24</v>
      </c>
      <c r="B11145" s="59">
        <v>14</v>
      </c>
      <c r="C11145" s="59">
        <v>320</v>
      </c>
      <c r="D11145" s="51">
        <v>1</v>
      </c>
      <c r="E11145" s="51">
        <f t="shared" si="174"/>
        <v>0</v>
      </c>
    </row>
    <row r="11146" spans="1:5">
      <c r="A11146" s="59">
        <v>24</v>
      </c>
      <c r="B11146" s="59">
        <v>14</v>
      </c>
      <c r="C11146" s="59">
        <v>330</v>
      </c>
      <c r="D11146" s="51">
        <v>1</v>
      </c>
      <c r="E11146" s="51">
        <f t="shared" si="174"/>
        <v>0</v>
      </c>
    </row>
    <row r="11147" spans="1:5">
      <c r="A11147" s="59">
        <v>24</v>
      </c>
      <c r="B11147" s="59">
        <v>14</v>
      </c>
      <c r="C11147" s="59">
        <v>620</v>
      </c>
      <c r="D11147" s="51">
        <v>1</v>
      </c>
      <c r="E11147" s="51">
        <f t="shared" si="174"/>
        <v>0</v>
      </c>
    </row>
    <row r="11148" spans="1:5">
      <c r="A11148" s="59">
        <v>24</v>
      </c>
      <c r="B11148" s="59">
        <v>14</v>
      </c>
      <c r="C11148" s="59">
        <v>920</v>
      </c>
      <c r="D11148" s="51">
        <v>1</v>
      </c>
      <c r="E11148" s="51">
        <f t="shared" si="174"/>
        <v>0</v>
      </c>
    </row>
    <row r="11149" spans="1:5">
      <c r="A11149" s="59">
        <v>24</v>
      </c>
      <c r="B11149" s="59">
        <v>14</v>
      </c>
      <c r="C11149" s="59">
        <v>950</v>
      </c>
      <c r="D11149" s="51">
        <v>1</v>
      </c>
      <c r="E11149" s="51">
        <f t="shared" si="174"/>
        <v>0</v>
      </c>
    </row>
    <row r="11150" spans="1:5">
      <c r="A11150" s="59">
        <v>24</v>
      </c>
      <c r="B11150" s="59">
        <v>16</v>
      </c>
      <c r="C11150" s="59">
        <v>220</v>
      </c>
      <c r="D11150" s="51">
        <v>1</v>
      </c>
      <c r="E11150" s="51">
        <f t="shared" si="174"/>
        <v>0</v>
      </c>
    </row>
    <row r="11151" spans="1:5">
      <c r="A11151" s="59">
        <v>24</v>
      </c>
      <c r="B11151" s="59">
        <v>16</v>
      </c>
      <c r="C11151" s="59">
        <v>230</v>
      </c>
      <c r="D11151" s="51">
        <v>1</v>
      </c>
      <c r="E11151" s="51">
        <f t="shared" si="174"/>
        <v>0</v>
      </c>
    </row>
    <row r="11152" spans="1:5">
      <c r="A11152" s="59">
        <v>24</v>
      </c>
      <c r="B11152" s="59">
        <v>16</v>
      </c>
      <c r="C11152" s="59">
        <v>530</v>
      </c>
      <c r="D11152" s="51">
        <v>1</v>
      </c>
      <c r="E11152" s="51">
        <f t="shared" si="174"/>
        <v>0</v>
      </c>
    </row>
    <row r="11153" spans="1:5">
      <c r="A11153" s="59">
        <v>24</v>
      </c>
      <c r="B11153" s="59">
        <v>22</v>
      </c>
      <c r="C11153" s="59">
        <v>240</v>
      </c>
      <c r="D11153" s="51">
        <v>1</v>
      </c>
      <c r="E11153" s="51">
        <f t="shared" si="174"/>
        <v>0</v>
      </c>
    </row>
    <row r="11154" spans="1:5">
      <c r="A11154" s="59">
        <v>24</v>
      </c>
      <c r="B11154" s="59">
        <v>22</v>
      </c>
      <c r="C11154" s="59">
        <v>840</v>
      </c>
      <c r="D11154" s="51">
        <v>1</v>
      </c>
      <c r="E11154" s="51">
        <f t="shared" si="174"/>
        <v>0</v>
      </c>
    </row>
    <row r="11155" spans="1:5">
      <c r="A11155" s="59">
        <v>24</v>
      </c>
      <c r="B11155" s="59">
        <v>22</v>
      </c>
      <c r="C11155" s="59">
        <v>910</v>
      </c>
      <c r="D11155" s="51">
        <v>1</v>
      </c>
      <c r="E11155" s="51">
        <f t="shared" si="174"/>
        <v>0</v>
      </c>
    </row>
    <row r="11156" spans="1:5">
      <c r="A11156" s="59">
        <v>24</v>
      </c>
      <c r="B11156" s="59">
        <v>33</v>
      </c>
      <c r="C11156" s="59">
        <v>420</v>
      </c>
      <c r="D11156" s="51">
        <v>1</v>
      </c>
      <c r="E11156" s="51">
        <f t="shared" si="174"/>
        <v>0</v>
      </c>
    </row>
    <row r="11157" spans="1:5">
      <c r="A11157" s="59">
        <v>24</v>
      </c>
      <c r="B11157" s="59">
        <v>41</v>
      </c>
      <c r="C11157" s="59">
        <v>150</v>
      </c>
      <c r="D11157" s="51">
        <v>1</v>
      </c>
      <c r="E11157" s="51">
        <f t="shared" si="174"/>
        <v>1</v>
      </c>
    </row>
    <row r="11158" spans="1:5">
      <c r="A11158" s="59">
        <v>24</v>
      </c>
      <c r="B11158" s="59">
        <v>41</v>
      </c>
      <c r="C11158" s="59">
        <v>950</v>
      </c>
      <c r="D11158" s="51">
        <v>1</v>
      </c>
      <c r="E11158" s="51">
        <f t="shared" si="174"/>
        <v>1</v>
      </c>
    </row>
    <row r="11159" spans="1:5">
      <c r="A11159" s="59">
        <v>24</v>
      </c>
      <c r="B11159" s="59">
        <v>42</v>
      </c>
      <c r="C11159" s="59">
        <v>110</v>
      </c>
      <c r="D11159" s="51">
        <v>1</v>
      </c>
      <c r="E11159" s="51">
        <f t="shared" si="174"/>
        <v>0</v>
      </c>
    </row>
    <row r="11160" spans="1:5">
      <c r="A11160" s="59">
        <v>24</v>
      </c>
      <c r="B11160" s="59">
        <v>42</v>
      </c>
      <c r="C11160" s="59">
        <v>910</v>
      </c>
      <c r="D11160" s="51">
        <v>1</v>
      </c>
      <c r="E11160" s="51">
        <f t="shared" si="174"/>
        <v>0</v>
      </c>
    </row>
    <row r="11161" spans="1:5">
      <c r="A11161" s="59">
        <v>24</v>
      </c>
      <c r="B11161" s="59">
        <v>43</v>
      </c>
      <c r="C11161" s="59">
        <v>410</v>
      </c>
      <c r="D11161" s="51">
        <v>1</v>
      </c>
      <c r="E11161" s="51">
        <f t="shared" si="174"/>
        <v>0</v>
      </c>
    </row>
    <row r="11162" spans="1:5">
      <c r="A11162" s="59">
        <v>24</v>
      </c>
      <c r="B11162" s="59">
        <v>43</v>
      </c>
      <c r="C11162" s="59">
        <v>550</v>
      </c>
      <c r="D11162" s="51">
        <v>1</v>
      </c>
      <c r="E11162" s="51">
        <f t="shared" si="174"/>
        <v>0</v>
      </c>
    </row>
    <row r="11163" spans="1:5">
      <c r="A11163" s="59">
        <v>24</v>
      </c>
      <c r="B11163" s="59">
        <v>44</v>
      </c>
      <c r="C11163" s="59">
        <v>240</v>
      </c>
      <c r="D11163" s="51">
        <v>1</v>
      </c>
      <c r="E11163" s="51">
        <f t="shared" si="174"/>
        <v>1</v>
      </c>
    </row>
    <row r="11164" spans="1:5">
      <c r="A11164" s="59">
        <v>24</v>
      </c>
      <c r="B11164" s="59">
        <v>44</v>
      </c>
      <c r="C11164" s="59">
        <v>610</v>
      </c>
      <c r="D11164" s="51">
        <v>1</v>
      </c>
      <c r="E11164" s="51">
        <f t="shared" si="174"/>
        <v>1</v>
      </c>
    </row>
    <row r="11165" spans="1:5">
      <c r="A11165" s="59">
        <v>24</v>
      </c>
      <c r="B11165" s="59">
        <v>51</v>
      </c>
      <c r="C11165" s="59">
        <v>840</v>
      </c>
      <c r="D11165" s="51">
        <v>1</v>
      </c>
      <c r="E11165" s="51">
        <f t="shared" si="174"/>
        <v>0</v>
      </c>
    </row>
    <row r="11166" spans="1:5">
      <c r="A11166" s="59">
        <v>24</v>
      </c>
      <c r="B11166" s="59">
        <v>62</v>
      </c>
      <c r="C11166" s="59">
        <v>740</v>
      </c>
      <c r="D11166" s="51">
        <v>1</v>
      </c>
      <c r="E11166" s="51">
        <f t="shared" si="174"/>
        <v>1</v>
      </c>
    </row>
    <row r="11167" spans="1:5">
      <c r="A11167" s="59">
        <v>24</v>
      </c>
      <c r="B11167" s="59">
        <v>63</v>
      </c>
      <c r="C11167" s="59">
        <v>720</v>
      </c>
      <c r="D11167" s="51">
        <v>1</v>
      </c>
      <c r="E11167" s="51">
        <f t="shared" si="174"/>
        <v>0</v>
      </c>
    </row>
    <row r="11168" spans="1:5">
      <c r="A11168" s="59">
        <v>24</v>
      </c>
      <c r="B11168" s="59">
        <v>64</v>
      </c>
      <c r="C11168" s="59">
        <v>420</v>
      </c>
      <c r="D11168" s="51">
        <v>1</v>
      </c>
      <c r="E11168" s="51">
        <f t="shared" si="174"/>
        <v>0</v>
      </c>
    </row>
    <row r="11169" spans="1:5">
      <c r="A11169" s="59">
        <v>24</v>
      </c>
      <c r="B11169" s="59">
        <v>64</v>
      </c>
      <c r="C11169" s="59">
        <v>640</v>
      </c>
      <c r="D11169" s="51">
        <v>1</v>
      </c>
      <c r="E11169" s="51">
        <f t="shared" si="174"/>
        <v>0</v>
      </c>
    </row>
    <row r="11170" spans="1:5">
      <c r="A11170" s="59">
        <v>24</v>
      </c>
      <c r="B11170" s="59">
        <v>64</v>
      </c>
      <c r="C11170" s="59">
        <v>862</v>
      </c>
      <c r="D11170" s="51">
        <v>1</v>
      </c>
      <c r="E11170" s="51">
        <f t="shared" si="174"/>
        <v>0</v>
      </c>
    </row>
    <row r="11171" spans="1:5">
      <c r="A11171" s="59">
        <v>24</v>
      </c>
      <c r="B11171" s="59">
        <v>71</v>
      </c>
      <c r="C11171" s="59">
        <v>130</v>
      </c>
      <c r="D11171" s="51">
        <v>1</v>
      </c>
      <c r="E11171" s="51">
        <f t="shared" si="174"/>
        <v>0</v>
      </c>
    </row>
    <row r="11172" spans="1:5">
      <c r="A11172" s="59">
        <v>24</v>
      </c>
      <c r="B11172" s="59">
        <v>71</v>
      </c>
      <c r="C11172" s="59">
        <v>510</v>
      </c>
      <c r="D11172" s="51">
        <v>1</v>
      </c>
      <c r="E11172" s="51">
        <f t="shared" si="174"/>
        <v>0</v>
      </c>
    </row>
    <row r="11173" spans="1:5">
      <c r="A11173" s="59">
        <v>24</v>
      </c>
      <c r="B11173" s="59">
        <v>81</v>
      </c>
      <c r="C11173" s="59">
        <v>110</v>
      </c>
      <c r="D11173" s="51">
        <v>1</v>
      </c>
      <c r="E11173" s="51">
        <f t="shared" si="174"/>
        <v>0</v>
      </c>
    </row>
    <row r="11174" spans="1:5">
      <c r="A11174" s="59">
        <v>24</v>
      </c>
      <c r="B11174" s="59">
        <v>81</v>
      </c>
      <c r="C11174" s="59">
        <v>150</v>
      </c>
      <c r="D11174" s="51">
        <v>1</v>
      </c>
      <c r="E11174" s="51">
        <f t="shared" si="174"/>
        <v>0</v>
      </c>
    </row>
    <row r="11175" spans="1:5">
      <c r="A11175" s="59">
        <v>24</v>
      </c>
      <c r="B11175" s="59">
        <v>81</v>
      </c>
      <c r="C11175" s="59">
        <v>220</v>
      </c>
      <c r="D11175" s="51">
        <v>1</v>
      </c>
      <c r="E11175" s="51">
        <f t="shared" si="174"/>
        <v>0</v>
      </c>
    </row>
    <row r="11176" spans="1:5">
      <c r="A11176" s="59">
        <v>24</v>
      </c>
      <c r="B11176" s="59">
        <v>81</v>
      </c>
      <c r="C11176" s="59">
        <v>750</v>
      </c>
      <c r="D11176" s="51">
        <v>1</v>
      </c>
      <c r="E11176" s="51">
        <f t="shared" si="174"/>
        <v>0</v>
      </c>
    </row>
    <row r="11177" spans="1:5">
      <c r="A11177" s="59">
        <v>25</v>
      </c>
      <c r="B11177" s="59">
        <v>64</v>
      </c>
      <c r="C11177" s="59">
        <v>160</v>
      </c>
      <c r="D11177" s="51">
        <v>12768</v>
      </c>
      <c r="E11177" s="51">
        <f t="shared" si="174"/>
        <v>1</v>
      </c>
    </row>
    <row r="11178" spans="1:5">
      <c r="A11178" s="59">
        <v>25</v>
      </c>
      <c r="B11178" s="59">
        <v>14</v>
      </c>
      <c r="C11178" s="59">
        <v>160</v>
      </c>
      <c r="D11178" s="51">
        <v>6355</v>
      </c>
      <c r="E11178" s="51">
        <f t="shared" si="174"/>
        <v>1</v>
      </c>
    </row>
    <row r="11179" spans="1:5">
      <c r="A11179" s="59">
        <v>25</v>
      </c>
      <c r="B11179" s="59">
        <v>43</v>
      </c>
      <c r="C11179" s="59">
        <v>160</v>
      </c>
      <c r="D11179" s="51">
        <v>5289</v>
      </c>
      <c r="E11179" s="51">
        <f t="shared" si="174"/>
        <v>1</v>
      </c>
    </row>
    <row r="11180" spans="1:5">
      <c r="A11180" s="59">
        <v>25</v>
      </c>
      <c r="B11180" s="59">
        <v>13</v>
      </c>
      <c r="C11180" s="59">
        <v>160</v>
      </c>
      <c r="D11180" s="51">
        <v>4047</v>
      </c>
      <c r="E11180" s="51">
        <f t="shared" si="174"/>
        <v>1</v>
      </c>
    </row>
    <row r="11181" spans="1:5">
      <c r="A11181" s="59">
        <v>25</v>
      </c>
      <c r="B11181" s="59">
        <v>62</v>
      </c>
      <c r="C11181" s="59">
        <v>160</v>
      </c>
      <c r="D11181" s="51">
        <v>3231</v>
      </c>
      <c r="E11181" s="51">
        <f t="shared" si="174"/>
        <v>1</v>
      </c>
    </row>
    <row r="11182" spans="1:5">
      <c r="A11182" s="59">
        <v>25</v>
      </c>
      <c r="B11182" s="59">
        <v>63</v>
      </c>
      <c r="C11182" s="59">
        <v>160</v>
      </c>
      <c r="D11182" s="51">
        <v>1871</v>
      </c>
      <c r="E11182" s="51">
        <f t="shared" si="174"/>
        <v>1</v>
      </c>
    </row>
    <row r="11183" spans="1:5">
      <c r="A11183" s="59">
        <v>25</v>
      </c>
      <c r="B11183" s="59">
        <v>64</v>
      </c>
      <c r="C11183" s="59">
        <v>110</v>
      </c>
      <c r="D11183" s="51">
        <v>1036</v>
      </c>
      <c r="E11183" s="51">
        <f t="shared" si="174"/>
        <v>1</v>
      </c>
    </row>
    <row r="11184" spans="1:5">
      <c r="A11184" s="59">
        <v>25</v>
      </c>
      <c r="B11184" s="59">
        <v>71</v>
      </c>
      <c r="C11184" s="59">
        <v>160</v>
      </c>
      <c r="D11184" s="51">
        <v>1012</v>
      </c>
      <c r="E11184" s="51">
        <f t="shared" si="174"/>
        <v>1</v>
      </c>
    </row>
    <row r="11185" spans="1:5">
      <c r="A11185" s="59">
        <v>25</v>
      </c>
      <c r="B11185" s="59">
        <v>14</v>
      </c>
      <c r="C11185" s="59">
        <v>330</v>
      </c>
      <c r="D11185" s="51">
        <v>933</v>
      </c>
      <c r="E11185" s="51">
        <f t="shared" si="174"/>
        <v>1</v>
      </c>
    </row>
    <row r="11186" spans="1:5">
      <c r="A11186" s="59">
        <v>25</v>
      </c>
      <c r="B11186" s="59">
        <v>81</v>
      </c>
      <c r="C11186" s="59">
        <v>160</v>
      </c>
      <c r="D11186" s="51">
        <v>804</v>
      </c>
      <c r="E11186" s="51">
        <f t="shared" si="174"/>
        <v>1</v>
      </c>
    </row>
    <row r="11187" spans="1:5">
      <c r="A11187" s="59">
        <v>25</v>
      </c>
      <c r="B11187" s="59">
        <v>15</v>
      </c>
      <c r="C11187" s="59">
        <v>160</v>
      </c>
      <c r="D11187" s="51">
        <v>794</v>
      </c>
      <c r="E11187" s="51">
        <f t="shared" si="174"/>
        <v>1</v>
      </c>
    </row>
    <row r="11188" spans="1:5">
      <c r="A11188" s="59">
        <v>25</v>
      </c>
      <c r="B11188" s="59">
        <v>64</v>
      </c>
      <c r="C11188" s="59">
        <v>530</v>
      </c>
      <c r="D11188" s="51">
        <v>789</v>
      </c>
      <c r="E11188" s="51">
        <f t="shared" si="174"/>
        <v>1</v>
      </c>
    </row>
    <row r="11189" spans="1:5">
      <c r="A11189" s="59">
        <v>25</v>
      </c>
      <c r="B11189" s="59">
        <v>44</v>
      </c>
      <c r="C11189" s="59">
        <v>160</v>
      </c>
      <c r="D11189" s="51">
        <v>556</v>
      </c>
      <c r="E11189" s="51">
        <f t="shared" si="174"/>
        <v>1</v>
      </c>
    </row>
    <row r="11190" spans="1:5">
      <c r="A11190" s="59">
        <v>25</v>
      </c>
      <c r="B11190" s="59">
        <v>14</v>
      </c>
      <c r="C11190" s="59">
        <v>240</v>
      </c>
      <c r="D11190" s="51">
        <v>481</v>
      </c>
      <c r="E11190" s="51">
        <f t="shared" si="174"/>
        <v>1</v>
      </c>
    </row>
    <row r="11191" spans="1:5">
      <c r="A11191" s="59">
        <v>25</v>
      </c>
      <c r="B11191" s="59">
        <v>43</v>
      </c>
      <c r="C11191" s="59">
        <v>530</v>
      </c>
      <c r="D11191" s="51">
        <v>461</v>
      </c>
      <c r="E11191" s="51">
        <f t="shared" si="174"/>
        <v>1</v>
      </c>
    </row>
    <row r="11192" spans="1:5">
      <c r="A11192" s="59">
        <v>25</v>
      </c>
      <c r="B11192" s="59">
        <v>62</v>
      </c>
      <c r="C11192" s="59">
        <v>530</v>
      </c>
      <c r="D11192" s="51">
        <v>450</v>
      </c>
      <c r="E11192" s="51">
        <f t="shared" si="174"/>
        <v>1</v>
      </c>
    </row>
    <row r="11193" spans="1:5">
      <c r="A11193" s="59">
        <v>25</v>
      </c>
      <c r="B11193" s="59">
        <v>41</v>
      </c>
      <c r="C11193" s="59">
        <v>160</v>
      </c>
      <c r="D11193" s="51">
        <v>430</v>
      </c>
      <c r="E11193" s="51">
        <f t="shared" si="174"/>
        <v>1</v>
      </c>
    </row>
    <row r="11194" spans="1:5">
      <c r="A11194" s="59">
        <v>25</v>
      </c>
      <c r="B11194" s="59">
        <v>22</v>
      </c>
      <c r="C11194" s="59">
        <v>240</v>
      </c>
      <c r="D11194" s="51">
        <v>413</v>
      </c>
      <c r="E11194" s="51">
        <f t="shared" si="174"/>
        <v>1</v>
      </c>
    </row>
    <row r="11195" spans="1:5">
      <c r="A11195" s="59">
        <v>25</v>
      </c>
      <c r="B11195" s="59">
        <v>16</v>
      </c>
      <c r="C11195" s="59">
        <v>160</v>
      </c>
      <c r="D11195" s="51">
        <v>409</v>
      </c>
      <c r="E11195" s="51">
        <f t="shared" si="174"/>
        <v>1</v>
      </c>
    </row>
    <row r="11196" spans="1:5">
      <c r="A11196" s="59">
        <v>25</v>
      </c>
      <c r="B11196" s="59">
        <v>14</v>
      </c>
      <c r="C11196" s="59">
        <v>150</v>
      </c>
      <c r="D11196" s="51">
        <v>366</v>
      </c>
      <c r="E11196" s="51">
        <f t="shared" si="174"/>
        <v>1</v>
      </c>
    </row>
    <row r="11197" spans="1:5">
      <c r="A11197" s="59">
        <v>25</v>
      </c>
      <c r="B11197" s="59">
        <v>22</v>
      </c>
      <c r="C11197" s="59">
        <v>160</v>
      </c>
      <c r="D11197" s="51">
        <v>353</v>
      </c>
      <c r="E11197" s="51">
        <f t="shared" si="174"/>
        <v>1</v>
      </c>
    </row>
    <row r="11198" spans="1:5">
      <c r="A11198" s="59">
        <v>25</v>
      </c>
      <c r="B11198" s="59">
        <v>64</v>
      </c>
      <c r="C11198" s="59">
        <v>910</v>
      </c>
      <c r="D11198" s="51">
        <v>338</v>
      </c>
      <c r="E11198" s="51">
        <f t="shared" si="174"/>
        <v>1</v>
      </c>
    </row>
    <row r="11199" spans="1:5">
      <c r="A11199" s="59">
        <v>25</v>
      </c>
      <c r="B11199" s="59">
        <v>14</v>
      </c>
      <c r="C11199" s="59">
        <v>110</v>
      </c>
      <c r="D11199" s="51">
        <v>299</v>
      </c>
      <c r="E11199" s="51">
        <f t="shared" si="174"/>
        <v>1</v>
      </c>
    </row>
    <row r="11200" spans="1:5">
      <c r="A11200" s="59">
        <v>25</v>
      </c>
      <c r="B11200" s="59">
        <v>13</v>
      </c>
      <c r="C11200" s="59">
        <v>330</v>
      </c>
      <c r="D11200" s="51">
        <v>291</v>
      </c>
      <c r="E11200" s="51">
        <f t="shared" si="174"/>
        <v>1</v>
      </c>
    </row>
    <row r="11201" spans="1:5">
      <c r="A11201" s="59">
        <v>25</v>
      </c>
      <c r="B11201" s="59">
        <v>64</v>
      </c>
      <c r="C11201" s="59">
        <v>510</v>
      </c>
      <c r="D11201" s="51">
        <v>281</v>
      </c>
      <c r="E11201" s="51">
        <f t="shared" si="174"/>
        <v>1</v>
      </c>
    </row>
    <row r="11202" spans="1:5">
      <c r="A11202" s="59">
        <v>25</v>
      </c>
      <c r="B11202" s="59">
        <v>64</v>
      </c>
      <c r="C11202" s="59">
        <v>150</v>
      </c>
      <c r="D11202" s="51">
        <v>277</v>
      </c>
      <c r="E11202" s="51">
        <f t="shared" ref="E11202:E11265" si="175">IF(OR(A11202=6,A11202=7,A11202=14,A11202=15,A11202=16,A11202=17,A11202=18,A11202=19,A11202=20,A11202=21,A11202=22,A11202=23,A11202=25,A11202=26,A11202=27,A11202=28,B11202=41,B11202=44,B11202=62),1,0)</f>
        <v>1</v>
      </c>
    </row>
    <row r="11203" spans="1:5">
      <c r="A11203" s="59">
        <v>25</v>
      </c>
      <c r="B11203" s="59">
        <v>63</v>
      </c>
      <c r="C11203" s="59">
        <v>530</v>
      </c>
      <c r="D11203" s="51">
        <v>274</v>
      </c>
      <c r="E11203" s="51">
        <f t="shared" si="175"/>
        <v>1</v>
      </c>
    </row>
    <row r="11204" spans="1:5">
      <c r="A11204" s="59">
        <v>25</v>
      </c>
      <c r="B11204" s="59">
        <v>13</v>
      </c>
      <c r="C11204" s="59">
        <v>150</v>
      </c>
      <c r="D11204" s="51">
        <v>266</v>
      </c>
      <c r="E11204" s="51">
        <f t="shared" si="175"/>
        <v>1</v>
      </c>
    </row>
    <row r="11205" spans="1:5">
      <c r="A11205" s="59">
        <v>25</v>
      </c>
      <c r="B11205" s="59">
        <v>14</v>
      </c>
      <c r="C11205" s="59">
        <v>910</v>
      </c>
      <c r="D11205" s="51">
        <v>231</v>
      </c>
      <c r="E11205" s="51">
        <f t="shared" si="175"/>
        <v>1</v>
      </c>
    </row>
    <row r="11206" spans="1:5">
      <c r="A11206" s="59">
        <v>25</v>
      </c>
      <c r="B11206" s="59">
        <v>42</v>
      </c>
      <c r="C11206" s="59">
        <v>160</v>
      </c>
      <c r="D11206" s="51">
        <v>228</v>
      </c>
      <c r="E11206" s="51">
        <f t="shared" si="175"/>
        <v>1</v>
      </c>
    </row>
    <row r="11207" spans="1:5">
      <c r="A11207" s="59">
        <v>25</v>
      </c>
      <c r="B11207" s="59">
        <v>13</v>
      </c>
      <c r="C11207" s="59">
        <v>910</v>
      </c>
      <c r="D11207" s="51">
        <v>205</v>
      </c>
      <c r="E11207" s="51">
        <f t="shared" si="175"/>
        <v>1</v>
      </c>
    </row>
    <row r="11208" spans="1:5">
      <c r="A11208" s="59">
        <v>25</v>
      </c>
      <c r="B11208" s="59">
        <v>13</v>
      </c>
      <c r="C11208" s="59">
        <v>110</v>
      </c>
      <c r="D11208" s="51">
        <v>191</v>
      </c>
      <c r="E11208" s="51">
        <f t="shared" si="175"/>
        <v>1</v>
      </c>
    </row>
    <row r="11209" spans="1:5">
      <c r="A11209" s="59">
        <v>25</v>
      </c>
      <c r="B11209" s="59">
        <v>15</v>
      </c>
      <c r="C11209" s="59">
        <v>330</v>
      </c>
      <c r="D11209" s="51">
        <v>186</v>
      </c>
      <c r="E11209" s="51">
        <f t="shared" si="175"/>
        <v>1</v>
      </c>
    </row>
    <row r="11210" spans="1:5">
      <c r="A11210" s="59">
        <v>25</v>
      </c>
      <c r="B11210" s="59">
        <v>81</v>
      </c>
      <c r="C11210" s="59">
        <v>750</v>
      </c>
      <c r="D11210" s="51">
        <v>173</v>
      </c>
      <c r="E11210" s="51">
        <f t="shared" si="175"/>
        <v>1</v>
      </c>
    </row>
    <row r="11211" spans="1:5">
      <c r="A11211" s="59">
        <v>25</v>
      </c>
      <c r="B11211" s="59">
        <v>22</v>
      </c>
      <c r="C11211" s="59">
        <v>330</v>
      </c>
      <c r="D11211" s="51">
        <v>171</v>
      </c>
      <c r="E11211" s="51">
        <f t="shared" si="175"/>
        <v>1</v>
      </c>
    </row>
    <row r="11212" spans="1:5">
      <c r="A11212" s="59">
        <v>25</v>
      </c>
      <c r="B11212" s="59">
        <v>71</v>
      </c>
      <c r="C11212" s="59">
        <v>530</v>
      </c>
      <c r="D11212" s="51">
        <v>165</v>
      </c>
      <c r="E11212" s="51">
        <f t="shared" si="175"/>
        <v>1</v>
      </c>
    </row>
    <row r="11213" spans="1:5">
      <c r="A11213" s="59">
        <v>25</v>
      </c>
      <c r="B11213" s="59">
        <v>15</v>
      </c>
      <c r="C11213" s="59">
        <v>240</v>
      </c>
      <c r="D11213" s="51">
        <v>160</v>
      </c>
      <c r="E11213" s="51">
        <f t="shared" si="175"/>
        <v>1</v>
      </c>
    </row>
    <row r="11214" spans="1:5">
      <c r="A11214" s="59">
        <v>25</v>
      </c>
      <c r="B11214" s="59">
        <v>16</v>
      </c>
      <c r="C11214" s="59">
        <v>240</v>
      </c>
      <c r="D11214" s="51">
        <v>160</v>
      </c>
      <c r="E11214" s="51">
        <f t="shared" si="175"/>
        <v>1</v>
      </c>
    </row>
    <row r="11215" spans="1:5">
      <c r="A11215" s="59">
        <v>25</v>
      </c>
      <c r="B11215" s="59">
        <v>43</v>
      </c>
      <c r="C11215" s="59">
        <v>110</v>
      </c>
      <c r="D11215" s="51">
        <v>158</v>
      </c>
      <c r="E11215" s="51">
        <f t="shared" si="175"/>
        <v>1</v>
      </c>
    </row>
    <row r="11216" spans="1:5">
      <c r="A11216" s="59">
        <v>25</v>
      </c>
      <c r="B11216" s="59">
        <v>43</v>
      </c>
      <c r="C11216" s="59">
        <v>910</v>
      </c>
      <c r="D11216" s="51">
        <v>152</v>
      </c>
      <c r="E11216" s="51">
        <f t="shared" si="175"/>
        <v>1</v>
      </c>
    </row>
    <row r="11217" spans="1:5">
      <c r="A11217" s="59">
        <v>25</v>
      </c>
      <c r="B11217" s="59">
        <v>43</v>
      </c>
      <c r="C11217" s="59">
        <v>330</v>
      </c>
      <c r="D11217" s="51">
        <v>139</v>
      </c>
      <c r="E11217" s="51">
        <f t="shared" si="175"/>
        <v>1</v>
      </c>
    </row>
    <row r="11218" spans="1:5">
      <c r="A11218" s="59">
        <v>25</v>
      </c>
      <c r="B11218" s="59">
        <v>64</v>
      </c>
      <c r="C11218" s="59">
        <v>620</v>
      </c>
      <c r="D11218" s="51">
        <v>139</v>
      </c>
      <c r="E11218" s="51">
        <f t="shared" si="175"/>
        <v>1</v>
      </c>
    </row>
    <row r="11219" spans="1:5">
      <c r="A11219" s="59">
        <v>25</v>
      </c>
      <c r="B11219" s="59">
        <v>81</v>
      </c>
      <c r="C11219" s="59">
        <v>530</v>
      </c>
      <c r="D11219" s="51">
        <v>127</v>
      </c>
      <c r="E11219" s="51">
        <f t="shared" si="175"/>
        <v>1</v>
      </c>
    </row>
    <row r="11220" spans="1:5">
      <c r="A11220" s="59">
        <v>25</v>
      </c>
      <c r="B11220" s="59">
        <v>16</v>
      </c>
      <c r="C11220" s="59">
        <v>330</v>
      </c>
      <c r="D11220" s="51">
        <v>124</v>
      </c>
      <c r="E11220" s="51">
        <f t="shared" si="175"/>
        <v>1</v>
      </c>
    </row>
    <row r="11221" spans="1:5">
      <c r="A11221" s="59">
        <v>25</v>
      </c>
      <c r="B11221" s="59">
        <v>62</v>
      </c>
      <c r="C11221" s="59">
        <v>750</v>
      </c>
      <c r="D11221" s="51">
        <v>123</v>
      </c>
      <c r="E11221" s="51">
        <f t="shared" si="175"/>
        <v>1</v>
      </c>
    </row>
    <row r="11222" spans="1:5">
      <c r="A11222" s="59">
        <v>25</v>
      </c>
      <c r="B11222" s="59">
        <v>62</v>
      </c>
      <c r="C11222" s="59">
        <v>110</v>
      </c>
      <c r="D11222" s="51">
        <v>114</v>
      </c>
      <c r="E11222" s="51">
        <f t="shared" si="175"/>
        <v>1</v>
      </c>
    </row>
    <row r="11223" spans="1:5">
      <c r="A11223" s="59">
        <v>25</v>
      </c>
      <c r="B11223" s="59">
        <v>62</v>
      </c>
      <c r="C11223" s="59">
        <v>620</v>
      </c>
      <c r="D11223" s="51">
        <v>110</v>
      </c>
      <c r="E11223" s="51">
        <f t="shared" si="175"/>
        <v>1</v>
      </c>
    </row>
    <row r="11224" spans="1:5">
      <c r="A11224" s="59">
        <v>25</v>
      </c>
      <c r="B11224" s="59">
        <v>44</v>
      </c>
      <c r="C11224" s="59">
        <v>530</v>
      </c>
      <c r="D11224" s="51">
        <v>108</v>
      </c>
      <c r="E11224" s="51">
        <f t="shared" si="175"/>
        <v>1</v>
      </c>
    </row>
    <row r="11225" spans="1:5">
      <c r="A11225" s="59">
        <v>25</v>
      </c>
      <c r="B11225" s="59">
        <v>13</v>
      </c>
      <c r="C11225" s="59">
        <v>240</v>
      </c>
      <c r="D11225" s="51">
        <v>104</v>
      </c>
      <c r="E11225" s="51">
        <f t="shared" si="175"/>
        <v>1</v>
      </c>
    </row>
    <row r="11226" spans="1:5">
      <c r="A11226" s="59">
        <v>25</v>
      </c>
      <c r="B11226" s="59">
        <v>43</v>
      </c>
      <c r="C11226" s="59">
        <v>620</v>
      </c>
      <c r="D11226" s="51">
        <v>104</v>
      </c>
      <c r="E11226" s="51">
        <f t="shared" si="175"/>
        <v>1</v>
      </c>
    </row>
    <row r="11227" spans="1:5">
      <c r="A11227" s="59">
        <v>25</v>
      </c>
      <c r="B11227" s="59">
        <v>43</v>
      </c>
      <c r="C11227" s="59">
        <v>510</v>
      </c>
      <c r="D11227" s="51">
        <v>100</v>
      </c>
      <c r="E11227" s="51">
        <f t="shared" si="175"/>
        <v>1</v>
      </c>
    </row>
    <row r="11228" spans="1:5">
      <c r="A11228" s="59">
        <v>25</v>
      </c>
      <c r="B11228" s="59">
        <v>22</v>
      </c>
      <c r="C11228" s="59">
        <v>910</v>
      </c>
      <c r="D11228" s="51">
        <v>98</v>
      </c>
      <c r="E11228" s="51">
        <f t="shared" si="175"/>
        <v>1</v>
      </c>
    </row>
    <row r="11229" spans="1:5">
      <c r="A11229" s="59">
        <v>25</v>
      </c>
      <c r="B11229" s="59">
        <v>62</v>
      </c>
      <c r="C11229" s="59">
        <v>510</v>
      </c>
      <c r="D11229" s="51">
        <v>97</v>
      </c>
      <c r="E11229" s="51">
        <f t="shared" si="175"/>
        <v>1</v>
      </c>
    </row>
    <row r="11230" spans="1:5">
      <c r="A11230" s="59">
        <v>25</v>
      </c>
      <c r="B11230" s="59">
        <v>71</v>
      </c>
      <c r="C11230" s="59">
        <v>750</v>
      </c>
      <c r="D11230" s="51">
        <v>96</v>
      </c>
      <c r="E11230" s="51">
        <f t="shared" si="175"/>
        <v>1</v>
      </c>
    </row>
    <row r="11231" spans="1:5">
      <c r="A11231" s="59">
        <v>25</v>
      </c>
      <c r="B11231" s="59">
        <v>44</v>
      </c>
      <c r="C11231" s="59">
        <v>750</v>
      </c>
      <c r="D11231" s="51">
        <v>95</v>
      </c>
      <c r="E11231" s="51">
        <f t="shared" si="175"/>
        <v>1</v>
      </c>
    </row>
    <row r="11232" spans="1:5">
      <c r="A11232" s="59">
        <v>25</v>
      </c>
      <c r="B11232" s="59">
        <v>43</v>
      </c>
      <c r="C11232" s="59">
        <v>240</v>
      </c>
      <c r="D11232" s="51">
        <v>92</v>
      </c>
      <c r="E11232" s="51">
        <f t="shared" si="175"/>
        <v>1</v>
      </c>
    </row>
    <row r="11233" spans="1:5">
      <c r="A11233" s="59">
        <v>25</v>
      </c>
      <c r="B11233" s="59">
        <v>43</v>
      </c>
      <c r="C11233" s="59">
        <v>150</v>
      </c>
      <c r="D11233" s="51">
        <v>88</v>
      </c>
      <c r="E11233" s="51">
        <f t="shared" si="175"/>
        <v>1</v>
      </c>
    </row>
    <row r="11234" spans="1:5">
      <c r="A11234" s="59">
        <v>25</v>
      </c>
      <c r="B11234" s="59">
        <v>63</v>
      </c>
      <c r="C11234" s="59">
        <v>110</v>
      </c>
      <c r="D11234" s="51">
        <v>88</v>
      </c>
      <c r="E11234" s="51">
        <f t="shared" si="175"/>
        <v>1</v>
      </c>
    </row>
    <row r="11235" spans="1:5">
      <c r="A11235" s="59">
        <v>25</v>
      </c>
      <c r="B11235" s="59">
        <v>64</v>
      </c>
      <c r="C11235" s="59">
        <v>750</v>
      </c>
      <c r="D11235" s="51">
        <v>84</v>
      </c>
      <c r="E11235" s="51">
        <f t="shared" si="175"/>
        <v>1</v>
      </c>
    </row>
    <row r="11236" spans="1:5">
      <c r="A11236" s="59">
        <v>25</v>
      </c>
      <c r="B11236" s="59">
        <v>43</v>
      </c>
      <c r="C11236" s="59">
        <v>750</v>
      </c>
      <c r="D11236" s="51">
        <v>83</v>
      </c>
      <c r="E11236" s="51">
        <f t="shared" si="175"/>
        <v>1</v>
      </c>
    </row>
    <row r="11237" spans="1:5">
      <c r="A11237" s="59">
        <v>25</v>
      </c>
      <c r="B11237" s="59">
        <v>33</v>
      </c>
      <c r="C11237" s="59">
        <v>160</v>
      </c>
      <c r="D11237" s="51">
        <v>81</v>
      </c>
      <c r="E11237" s="51">
        <f t="shared" si="175"/>
        <v>1</v>
      </c>
    </row>
    <row r="11238" spans="1:5">
      <c r="A11238" s="59">
        <v>25</v>
      </c>
      <c r="B11238" s="59">
        <v>63</v>
      </c>
      <c r="C11238" s="59">
        <v>620</v>
      </c>
      <c r="D11238" s="51">
        <v>81</v>
      </c>
      <c r="E11238" s="51">
        <f t="shared" si="175"/>
        <v>1</v>
      </c>
    </row>
    <row r="11239" spans="1:5">
      <c r="A11239" s="59">
        <v>25</v>
      </c>
      <c r="B11239" s="59">
        <v>63</v>
      </c>
      <c r="C11239" s="59">
        <v>510</v>
      </c>
      <c r="D11239" s="51">
        <v>74</v>
      </c>
      <c r="E11239" s="51">
        <f t="shared" si="175"/>
        <v>1</v>
      </c>
    </row>
    <row r="11240" spans="1:5">
      <c r="A11240" s="59">
        <v>25</v>
      </c>
      <c r="B11240" s="59">
        <v>14</v>
      </c>
      <c r="C11240" s="59">
        <v>310</v>
      </c>
      <c r="D11240" s="51">
        <v>71</v>
      </c>
      <c r="E11240" s="51">
        <f t="shared" si="175"/>
        <v>1</v>
      </c>
    </row>
    <row r="11241" spans="1:5">
      <c r="A11241" s="59">
        <v>25</v>
      </c>
      <c r="B11241" s="59">
        <v>62</v>
      </c>
      <c r="C11241" s="59">
        <v>150</v>
      </c>
      <c r="D11241" s="51">
        <v>69</v>
      </c>
      <c r="E11241" s="51">
        <f t="shared" si="175"/>
        <v>1</v>
      </c>
    </row>
    <row r="11242" spans="1:5">
      <c r="A11242" s="59">
        <v>25</v>
      </c>
      <c r="B11242" s="59">
        <v>71</v>
      </c>
      <c r="C11242" s="59">
        <v>620</v>
      </c>
      <c r="D11242" s="51">
        <v>69</v>
      </c>
      <c r="E11242" s="51">
        <f t="shared" si="175"/>
        <v>1</v>
      </c>
    </row>
    <row r="11243" spans="1:5">
      <c r="A11243" s="59">
        <v>25</v>
      </c>
      <c r="B11243" s="59">
        <v>15</v>
      </c>
      <c r="C11243" s="59">
        <v>150</v>
      </c>
      <c r="D11243" s="51">
        <v>67</v>
      </c>
      <c r="E11243" s="51">
        <f t="shared" si="175"/>
        <v>1</v>
      </c>
    </row>
    <row r="11244" spans="1:5">
      <c r="A11244" s="59">
        <v>25</v>
      </c>
      <c r="B11244" s="59">
        <v>64</v>
      </c>
      <c r="C11244" s="59">
        <v>330</v>
      </c>
      <c r="D11244" s="51">
        <v>65</v>
      </c>
      <c r="E11244" s="51">
        <f t="shared" si="175"/>
        <v>1</v>
      </c>
    </row>
    <row r="11245" spans="1:5">
      <c r="A11245" s="59">
        <v>25</v>
      </c>
      <c r="B11245" s="59">
        <v>15</v>
      </c>
      <c r="C11245" s="59">
        <v>140</v>
      </c>
      <c r="D11245" s="51">
        <v>60</v>
      </c>
      <c r="E11245" s="51">
        <f t="shared" si="175"/>
        <v>1</v>
      </c>
    </row>
    <row r="11246" spans="1:5">
      <c r="A11246" s="59">
        <v>25</v>
      </c>
      <c r="B11246" s="59">
        <v>32</v>
      </c>
      <c r="C11246" s="59">
        <v>430</v>
      </c>
      <c r="D11246" s="51">
        <v>60</v>
      </c>
      <c r="E11246" s="51">
        <f t="shared" si="175"/>
        <v>1</v>
      </c>
    </row>
    <row r="11247" spans="1:5">
      <c r="A11247" s="59">
        <v>25</v>
      </c>
      <c r="B11247" s="59">
        <v>21</v>
      </c>
      <c r="C11247" s="59">
        <v>240</v>
      </c>
      <c r="D11247" s="51">
        <v>58</v>
      </c>
      <c r="E11247" s="51">
        <f t="shared" si="175"/>
        <v>1</v>
      </c>
    </row>
    <row r="11248" spans="1:5">
      <c r="A11248" s="59">
        <v>25</v>
      </c>
      <c r="B11248" s="59">
        <v>64</v>
      </c>
      <c r="C11248" s="59">
        <v>610</v>
      </c>
      <c r="D11248" s="51">
        <v>58</v>
      </c>
      <c r="E11248" s="51">
        <f t="shared" si="175"/>
        <v>1</v>
      </c>
    </row>
    <row r="11249" spans="1:5">
      <c r="A11249" s="59">
        <v>25</v>
      </c>
      <c r="B11249" s="59">
        <v>11</v>
      </c>
      <c r="C11249" s="59">
        <v>160</v>
      </c>
      <c r="D11249" s="51">
        <v>54</v>
      </c>
      <c r="E11249" s="51">
        <f t="shared" si="175"/>
        <v>1</v>
      </c>
    </row>
    <row r="11250" spans="1:5">
      <c r="A11250" s="59">
        <v>25</v>
      </c>
      <c r="B11250" s="59">
        <v>14</v>
      </c>
      <c r="C11250" s="59">
        <v>320</v>
      </c>
      <c r="D11250" s="51">
        <v>51</v>
      </c>
      <c r="E11250" s="51">
        <f t="shared" si="175"/>
        <v>1</v>
      </c>
    </row>
    <row r="11251" spans="1:5">
      <c r="A11251" s="59">
        <v>25</v>
      </c>
      <c r="B11251" s="59">
        <v>33</v>
      </c>
      <c r="C11251" s="59">
        <v>430</v>
      </c>
      <c r="D11251" s="51">
        <v>44</v>
      </c>
      <c r="E11251" s="51">
        <f t="shared" si="175"/>
        <v>1</v>
      </c>
    </row>
    <row r="11252" spans="1:5">
      <c r="A11252" s="59">
        <v>25</v>
      </c>
      <c r="B11252" s="59">
        <v>62</v>
      </c>
      <c r="C11252" s="59">
        <v>720</v>
      </c>
      <c r="D11252" s="51">
        <v>43</v>
      </c>
      <c r="E11252" s="51">
        <f t="shared" si="175"/>
        <v>1</v>
      </c>
    </row>
    <row r="11253" spans="1:5">
      <c r="A11253" s="59">
        <v>25</v>
      </c>
      <c r="B11253" s="59">
        <v>14</v>
      </c>
      <c r="C11253" s="59">
        <v>140</v>
      </c>
      <c r="D11253" s="51">
        <v>42</v>
      </c>
      <c r="E11253" s="51">
        <f t="shared" si="175"/>
        <v>1</v>
      </c>
    </row>
    <row r="11254" spans="1:5">
      <c r="A11254" s="59">
        <v>25</v>
      </c>
      <c r="B11254" s="59">
        <v>62</v>
      </c>
      <c r="C11254" s="59">
        <v>910</v>
      </c>
      <c r="D11254" s="51">
        <v>42</v>
      </c>
      <c r="E11254" s="51">
        <f t="shared" si="175"/>
        <v>1</v>
      </c>
    </row>
    <row r="11255" spans="1:5">
      <c r="A11255" s="59">
        <v>25</v>
      </c>
      <c r="B11255" s="59">
        <v>22</v>
      </c>
      <c r="C11255" s="59">
        <v>210</v>
      </c>
      <c r="D11255" s="51">
        <v>41</v>
      </c>
      <c r="E11255" s="51">
        <f t="shared" si="175"/>
        <v>1</v>
      </c>
    </row>
    <row r="11256" spans="1:5">
      <c r="A11256" s="59">
        <v>25</v>
      </c>
      <c r="B11256" s="59">
        <v>41</v>
      </c>
      <c r="C11256" s="59">
        <v>530</v>
      </c>
      <c r="D11256" s="51">
        <v>40</v>
      </c>
      <c r="E11256" s="51">
        <f t="shared" si="175"/>
        <v>1</v>
      </c>
    </row>
    <row r="11257" spans="1:5">
      <c r="A11257" s="59">
        <v>25</v>
      </c>
      <c r="B11257" s="59">
        <v>64</v>
      </c>
      <c r="C11257" s="59">
        <v>240</v>
      </c>
      <c r="D11257" s="51">
        <v>40</v>
      </c>
      <c r="E11257" s="51">
        <f t="shared" si="175"/>
        <v>1</v>
      </c>
    </row>
    <row r="11258" spans="1:5">
      <c r="A11258" s="59">
        <v>25</v>
      </c>
      <c r="B11258" s="59">
        <v>22</v>
      </c>
      <c r="C11258" s="59">
        <v>110</v>
      </c>
      <c r="D11258" s="51">
        <v>39</v>
      </c>
      <c r="E11258" s="51">
        <f t="shared" si="175"/>
        <v>1</v>
      </c>
    </row>
    <row r="11259" spans="1:5">
      <c r="A11259" s="59">
        <v>25</v>
      </c>
      <c r="B11259" s="59">
        <v>32</v>
      </c>
      <c r="C11259" s="59">
        <v>160</v>
      </c>
      <c r="D11259" s="51">
        <v>39</v>
      </c>
      <c r="E11259" s="51">
        <f t="shared" si="175"/>
        <v>1</v>
      </c>
    </row>
    <row r="11260" spans="1:5">
      <c r="A11260" s="59">
        <v>25</v>
      </c>
      <c r="B11260" s="59">
        <v>14</v>
      </c>
      <c r="C11260" s="59">
        <v>210</v>
      </c>
      <c r="D11260" s="51">
        <v>38</v>
      </c>
      <c r="E11260" s="51">
        <f t="shared" si="175"/>
        <v>1</v>
      </c>
    </row>
    <row r="11261" spans="1:5">
      <c r="A11261" s="59">
        <v>25</v>
      </c>
      <c r="B11261" s="59">
        <v>64</v>
      </c>
      <c r="C11261" s="59">
        <v>430</v>
      </c>
      <c r="D11261" s="51">
        <v>38</v>
      </c>
      <c r="E11261" s="51">
        <f t="shared" si="175"/>
        <v>1</v>
      </c>
    </row>
    <row r="11262" spans="1:5">
      <c r="A11262" s="59">
        <v>25</v>
      </c>
      <c r="B11262" s="59">
        <v>43</v>
      </c>
      <c r="C11262" s="59">
        <v>720</v>
      </c>
      <c r="D11262" s="51">
        <v>36</v>
      </c>
      <c r="E11262" s="51">
        <f t="shared" si="175"/>
        <v>1</v>
      </c>
    </row>
    <row r="11263" spans="1:5">
      <c r="A11263" s="59">
        <v>25</v>
      </c>
      <c r="B11263" s="59">
        <v>71</v>
      </c>
      <c r="C11263" s="59">
        <v>110</v>
      </c>
      <c r="D11263" s="51">
        <v>36</v>
      </c>
      <c r="E11263" s="51">
        <f t="shared" si="175"/>
        <v>1</v>
      </c>
    </row>
    <row r="11264" spans="1:5">
      <c r="A11264" s="59">
        <v>25</v>
      </c>
      <c r="B11264" s="59">
        <v>64</v>
      </c>
      <c r="C11264" s="59">
        <v>720</v>
      </c>
      <c r="D11264" s="51">
        <v>35</v>
      </c>
      <c r="E11264" s="51">
        <f t="shared" si="175"/>
        <v>1</v>
      </c>
    </row>
    <row r="11265" spans="1:5">
      <c r="A11265" s="59">
        <v>25</v>
      </c>
      <c r="B11265" s="59">
        <v>63</v>
      </c>
      <c r="C11265" s="59">
        <v>750</v>
      </c>
      <c r="D11265" s="51">
        <v>34</v>
      </c>
      <c r="E11265" s="51">
        <f t="shared" si="175"/>
        <v>1</v>
      </c>
    </row>
    <row r="11266" spans="1:5">
      <c r="A11266" s="59">
        <v>25</v>
      </c>
      <c r="B11266" s="59">
        <v>63</v>
      </c>
      <c r="C11266" s="59">
        <v>910</v>
      </c>
      <c r="D11266" s="51">
        <v>34</v>
      </c>
      <c r="E11266" s="51">
        <f t="shared" ref="E11266:E11329" si="176">IF(OR(A11266=6,A11266=7,A11266=14,A11266=15,A11266=16,A11266=17,A11266=18,A11266=19,A11266=20,A11266=21,A11266=22,A11266=23,A11266=25,A11266=26,A11266=27,A11266=28,B11266=41,B11266=44,B11266=62),1,0)</f>
        <v>1</v>
      </c>
    </row>
    <row r="11267" spans="1:5">
      <c r="A11267" s="59">
        <v>25</v>
      </c>
      <c r="B11267" s="59">
        <v>16</v>
      </c>
      <c r="C11267" s="59">
        <v>150</v>
      </c>
      <c r="D11267" s="51">
        <v>32</v>
      </c>
      <c r="E11267" s="51">
        <f t="shared" si="176"/>
        <v>1</v>
      </c>
    </row>
    <row r="11268" spans="1:5">
      <c r="A11268" s="59">
        <v>25</v>
      </c>
      <c r="B11268" s="59">
        <v>63</v>
      </c>
      <c r="C11268" s="59">
        <v>610</v>
      </c>
      <c r="D11268" s="51">
        <v>32</v>
      </c>
      <c r="E11268" s="51">
        <f t="shared" si="176"/>
        <v>1</v>
      </c>
    </row>
    <row r="11269" spans="1:5">
      <c r="A11269" s="59">
        <v>25</v>
      </c>
      <c r="B11269" s="59">
        <v>15</v>
      </c>
      <c r="C11269" s="59">
        <v>910</v>
      </c>
      <c r="D11269" s="51">
        <v>31</v>
      </c>
      <c r="E11269" s="51">
        <f t="shared" si="176"/>
        <v>1</v>
      </c>
    </row>
    <row r="11270" spans="1:5">
      <c r="A11270" s="59">
        <v>25</v>
      </c>
      <c r="B11270" s="59">
        <v>64</v>
      </c>
      <c r="C11270" s="59">
        <v>990</v>
      </c>
      <c r="D11270" s="51">
        <v>31</v>
      </c>
      <c r="E11270" s="51">
        <f t="shared" si="176"/>
        <v>1</v>
      </c>
    </row>
    <row r="11271" spans="1:5">
      <c r="A11271" s="59">
        <v>25</v>
      </c>
      <c r="B11271" s="59">
        <v>23</v>
      </c>
      <c r="C11271" s="59">
        <v>240</v>
      </c>
      <c r="D11271" s="51">
        <v>30</v>
      </c>
      <c r="E11271" s="51">
        <f t="shared" si="176"/>
        <v>1</v>
      </c>
    </row>
    <row r="11272" spans="1:5">
      <c r="A11272" s="59">
        <v>25</v>
      </c>
      <c r="B11272" s="59">
        <v>44</v>
      </c>
      <c r="C11272" s="59">
        <v>720</v>
      </c>
      <c r="D11272" s="51">
        <v>29</v>
      </c>
      <c r="E11272" s="51">
        <f t="shared" si="176"/>
        <v>1</v>
      </c>
    </row>
    <row r="11273" spans="1:5">
      <c r="A11273" s="59">
        <v>25</v>
      </c>
      <c r="B11273" s="59">
        <v>13</v>
      </c>
      <c r="C11273" s="59">
        <v>530</v>
      </c>
      <c r="D11273" s="51">
        <v>27</v>
      </c>
      <c r="E11273" s="51">
        <f t="shared" si="176"/>
        <v>1</v>
      </c>
    </row>
    <row r="11274" spans="1:5">
      <c r="A11274" s="59">
        <v>25</v>
      </c>
      <c r="B11274" s="59">
        <v>15</v>
      </c>
      <c r="C11274" s="59">
        <v>110</v>
      </c>
      <c r="D11274" s="51">
        <v>27</v>
      </c>
      <c r="E11274" s="51">
        <f t="shared" si="176"/>
        <v>1</v>
      </c>
    </row>
    <row r="11275" spans="1:5">
      <c r="A11275" s="59">
        <v>25</v>
      </c>
      <c r="B11275" s="59">
        <v>22</v>
      </c>
      <c r="C11275" s="59">
        <v>150</v>
      </c>
      <c r="D11275" s="51">
        <v>26</v>
      </c>
      <c r="E11275" s="51">
        <f t="shared" si="176"/>
        <v>1</v>
      </c>
    </row>
    <row r="11276" spans="1:5">
      <c r="A11276" s="59">
        <v>25</v>
      </c>
      <c r="B11276" s="59">
        <v>64</v>
      </c>
      <c r="C11276" s="59">
        <v>310</v>
      </c>
      <c r="D11276" s="51">
        <v>26</v>
      </c>
      <c r="E11276" s="51">
        <f t="shared" si="176"/>
        <v>1</v>
      </c>
    </row>
    <row r="11277" spans="1:5">
      <c r="A11277" s="59">
        <v>25</v>
      </c>
      <c r="B11277" s="59">
        <v>64</v>
      </c>
      <c r="C11277" s="59">
        <v>920</v>
      </c>
      <c r="D11277" s="51">
        <v>26</v>
      </c>
      <c r="E11277" s="51">
        <f t="shared" si="176"/>
        <v>1</v>
      </c>
    </row>
    <row r="11278" spans="1:5">
      <c r="A11278" s="59">
        <v>25</v>
      </c>
      <c r="B11278" s="59">
        <v>71</v>
      </c>
      <c r="C11278" s="59">
        <v>910</v>
      </c>
      <c r="D11278" s="51">
        <v>26</v>
      </c>
      <c r="E11278" s="51">
        <f t="shared" si="176"/>
        <v>1</v>
      </c>
    </row>
    <row r="11279" spans="1:5">
      <c r="A11279" s="59">
        <v>25</v>
      </c>
      <c r="B11279" s="59">
        <v>16</v>
      </c>
      <c r="C11279" s="59">
        <v>110</v>
      </c>
      <c r="D11279" s="51">
        <v>25</v>
      </c>
      <c r="E11279" s="51">
        <f t="shared" si="176"/>
        <v>1</v>
      </c>
    </row>
    <row r="11280" spans="1:5">
      <c r="A11280" s="59">
        <v>25</v>
      </c>
      <c r="B11280" s="59">
        <v>41</v>
      </c>
      <c r="C11280" s="59">
        <v>750</v>
      </c>
      <c r="D11280" s="51">
        <v>25</v>
      </c>
      <c r="E11280" s="51">
        <f t="shared" si="176"/>
        <v>1</v>
      </c>
    </row>
    <row r="11281" spans="1:5">
      <c r="A11281" s="59">
        <v>25</v>
      </c>
      <c r="B11281" s="59">
        <v>62</v>
      </c>
      <c r="C11281" s="59">
        <v>730</v>
      </c>
      <c r="D11281" s="51">
        <v>25</v>
      </c>
      <c r="E11281" s="51">
        <f t="shared" si="176"/>
        <v>1</v>
      </c>
    </row>
    <row r="11282" spans="1:5">
      <c r="A11282" s="59">
        <v>25</v>
      </c>
      <c r="B11282" s="59">
        <v>81</v>
      </c>
      <c r="C11282" s="59">
        <v>110</v>
      </c>
      <c r="D11282" s="51">
        <v>25</v>
      </c>
      <c r="E11282" s="51">
        <f t="shared" si="176"/>
        <v>1</v>
      </c>
    </row>
    <row r="11283" spans="1:5">
      <c r="A11283" s="59">
        <v>25</v>
      </c>
      <c r="B11283" s="59">
        <v>13</v>
      </c>
      <c r="C11283" s="59">
        <v>310</v>
      </c>
      <c r="D11283" s="51">
        <v>24</v>
      </c>
      <c r="E11283" s="51">
        <f t="shared" si="176"/>
        <v>1</v>
      </c>
    </row>
    <row r="11284" spans="1:5">
      <c r="A11284" s="59">
        <v>25</v>
      </c>
      <c r="B11284" s="59">
        <v>13</v>
      </c>
      <c r="C11284" s="59">
        <v>320</v>
      </c>
      <c r="D11284" s="51">
        <v>24</v>
      </c>
      <c r="E11284" s="51">
        <f t="shared" si="176"/>
        <v>1</v>
      </c>
    </row>
    <row r="11285" spans="1:5">
      <c r="A11285" s="59">
        <v>25</v>
      </c>
      <c r="B11285" s="59">
        <v>14</v>
      </c>
      <c r="C11285" s="59">
        <v>230</v>
      </c>
      <c r="D11285" s="51">
        <v>24</v>
      </c>
      <c r="E11285" s="51">
        <f t="shared" si="176"/>
        <v>1</v>
      </c>
    </row>
    <row r="11286" spans="1:5">
      <c r="A11286" s="59">
        <v>25</v>
      </c>
      <c r="B11286" s="59">
        <v>41</v>
      </c>
      <c r="C11286" s="59">
        <v>510</v>
      </c>
      <c r="D11286" s="51">
        <v>24</v>
      </c>
      <c r="E11286" s="51">
        <f t="shared" si="176"/>
        <v>1</v>
      </c>
    </row>
    <row r="11287" spans="1:5">
      <c r="A11287" s="59">
        <v>25</v>
      </c>
      <c r="B11287" s="59">
        <v>81</v>
      </c>
      <c r="C11287" s="59">
        <v>510</v>
      </c>
      <c r="D11287" s="51">
        <v>24</v>
      </c>
      <c r="E11287" s="51">
        <f t="shared" si="176"/>
        <v>1</v>
      </c>
    </row>
    <row r="11288" spans="1:5">
      <c r="A11288" s="59">
        <v>25</v>
      </c>
      <c r="B11288" s="59">
        <v>43</v>
      </c>
      <c r="C11288" s="59">
        <v>430</v>
      </c>
      <c r="D11288" s="51">
        <v>23</v>
      </c>
      <c r="E11288" s="51">
        <f t="shared" si="176"/>
        <v>1</v>
      </c>
    </row>
    <row r="11289" spans="1:5">
      <c r="A11289" s="59">
        <v>25</v>
      </c>
      <c r="B11289" s="59">
        <v>64</v>
      </c>
      <c r="C11289" s="59">
        <v>220</v>
      </c>
      <c r="D11289" s="51">
        <v>23</v>
      </c>
      <c r="E11289" s="51">
        <f t="shared" si="176"/>
        <v>1</v>
      </c>
    </row>
    <row r="11290" spans="1:5">
      <c r="A11290" s="59">
        <v>25</v>
      </c>
      <c r="B11290" s="59">
        <v>81</v>
      </c>
      <c r="C11290" s="59">
        <v>720</v>
      </c>
      <c r="D11290" s="51">
        <v>23</v>
      </c>
      <c r="E11290" s="51">
        <f t="shared" si="176"/>
        <v>1</v>
      </c>
    </row>
    <row r="11291" spans="1:5">
      <c r="A11291" s="59">
        <v>25</v>
      </c>
      <c r="B11291" s="59">
        <v>16</v>
      </c>
      <c r="C11291" s="59">
        <v>910</v>
      </c>
      <c r="D11291" s="51">
        <v>22</v>
      </c>
      <c r="E11291" s="51">
        <f t="shared" si="176"/>
        <v>1</v>
      </c>
    </row>
    <row r="11292" spans="1:5">
      <c r="A11292" s="59">
        <v>25</v>
      </c>
      <c r="B11292" s="59">
        <v>43</v>
      </c>
      <c r="C11292" s="59">
        <v>990</v>
      </c>
      <c r="D11292" s="51">
        <v>22</v>
      </c>
      <c r="E11292" s="51">
        <f t="shared" si="176"/>
        <v>1</v>
      </c>
    </row>
    <row r="11293" spans="1:5">
      <c r="A11293" s="59">
        <v>25</v>
      </c>
      <c r="B11293" s="59">
        <v>22</v>
      </c>
      <c r="C11293" s="59">
        <v>230</v>
      </c>
      <c r="D11293" s="51">
        <v>21</v>
      </c>
      <c r="E11293" s="51">
        <f t="shared" si="176"/>
        <v>1</v>
      </c>
    </row>
    <row r="11294" spans="1:5">
      <c r="A11294" s="59">
        <v>25</v>
      </c>
      <c r="B11294" s="59">
        <v>23</v>
      </c>
      <c r="C11294" s="59">
        <v>330</v>
      </c>
      <c r="D11294" s="51">
        <v>21</v>
      </c>
      <c r="E11294" s="51">
        <f t="shared" si="176"/>
        <v>1</v>
      </c>
    </row>
    <row r="11295" spans="1:5">
      <c r="A11295" s="59">
        <v>25</v>
      </c>
      <c r="B11295" s="59">
        <v>43</v>
      </c>
      <c r="C11295" s="59">
        <v>930</v>
      </c>
      <c r="D11295" s="51">
        <v>21</v>
      </c>
      <c r="E11295" s="51">
        <f t="shared" si="176"/>
        <v>1</v>
      </c>
    </row>
    <row r="11296" spans="1:5">
      <c r="A11296" s="59">
        <v>25</v>
      </c>
      <c r="B11296" s="59">
        <v>63</v>
      </c>
      <c r="C11296" s="59">
        <v>150</v>
      </c>
      <c r="D11296" s="51">
        <v>21</v>
      </c>
      <c r="E11296" s="51">
        <f t="shared" si="176"/>
        <v>1</v>
      </c>
    </row>
    <row r="11297" spans="1:5">
      <c r="A11297" s="59">
        <v>25</v>
      </c>
      <c r="B11297" s="59">
        <v>81</v>
      </c>
      <c r="C11297" s="59">
        <v>930</v>
      </c>
      <c r="D11297" s="51">
        <v>21</v>
      </c>
      <c r="E11297" s="51">
        <f t="shared" si="176"/>
        <v>1</v>
      </c>
    </row>
    <row r="11298" spans="1:5">
      <c r="A11298" s="59">
        <v>25</v>
      </c>
      <c r="B11298" s="59">
        <v>16</v>
      </c>
      <c r="C11298" s="59">
        <v>230</v>
      </c>
      <c r="D11298" s="51">
        <v>20</v>
      </c>
      <c r="E11298" s="51">
        <f t="shared" si="176"/>
        <v>1</v>
      </c>
    </row>
    <row r="11299" spans="1:5">
      <c r="A11299" s="59">
        <v>25</v>
      </c>
      <c r="B11299" s="59">
        <v>33</v>
      </c>
      <c r="C11299" s="59">
        <v>240</v>
      </c>
      <c r="D11299" s="51">
        <v>20</v>
      </c>
      <c r="E11299" s="51">
        <f t="shared" si="176"/>
        <v>1</v>
      </c>
    </row>
    <row r="11300" spans="1:5">
      <c r="A11300" s="59">
        <v>25</v>
      </c>
      <c r="B11300" s="59">
        <v>33</v>
      </c>
      <c r="C11300" s="59">
        <v>330</v>
      </c>
      <c r="D11300" s="51">
        <v>19</v>
      </c>
      <c r="E11300" s="51">
        <f t="shared" si="176"/>
        <v>1</v>
      </c>
    </row>
    <row r="11301" spans="1:5">
      <c r="A11301" s="59">
        <v>25</v>
      </c>
      <c r="B11301" s="59">
        <v>71</v>
      </c>
      <c r="C11301" s="59">
        <v>510</v>
      </c>
      <c r="D11301" s="51">
        <v>19</v>
      </c>
      <c r="E11301" s="51">
        <f t="shared" si="176"/>
        <v>1</v>
      </c>
    </row>
    <row r="11302" spans="1:5">
      <c r="A11302" s="59">
        <v>25</v>
      </c>
      <c r="B11302" s="59">
        <v>71</v>
      </c>
      <c r="C11302" s="59">
        <v>610</v>
      </c>
      <c r="D11302" s="51">
        <v>19</v>
      </c>
      <c r="E11302" s="51">
        <f t="shared" si="176"/>
        <v>1</v>
      </c>
    </row>
    <row r="11303" spans="1:5">
      <c r="A11303" s="59">
        <v>25</v>
      </c>
      <c r="B11303" s="59">
        <v>81</v>
      </c>
      <c r="C11303" s="59">
        <v>620</v>
      </c>
      <c r="D11303" s="51">
        <v>19</v>
      </c>
      <c r="E11303" s="51">
        <f t="shared" si="176"/>
        <v>1</v>
      </c>
    </row>
    <row r="11304" spans="1:5">
      <c r="A11304" s="59">
        <v>25</v>
      </c>
      <c r="B11304" s="59">
        <v>12</v>
      </c>
      <c r="C11304" s="59">
        <v>160</v>
      </c>
      <c r="D11304" s="51">
        <v>18</v>
      </c>
      <c r="E11304" s="51">
        <f t="shared" si="176"/>
        <v>1</v>
      </c>
    </row>
    <row r="11305" spans="1:5">
      <c r="A11305" s="59">
        <v>25</v>
      </c>
      <c r="B11305" s="59">
        <v>64</v>
      </c>
      <c r="C11305" s="59">
        <v>520</v>
      </c>
      <c r="D11305" s="51">
        <v>18</v>
      </c>
      <c r="E11305" s="51">
        <f t="shared" si="176"/>
        <v>1</v>
      </c>
    </row>
    <row r="11306" spans="1:5">
      <c r="A11306" s="59">
        <v>25</v>
      </c>
      <c r="B11306" s="59">
        <v>43</v>
      </c>
      <c r="C11306" s="59">
        <v>610</v>
      </c>
      <c r="D11306" s="51">
        <v>17</v>
      </c>
      <c r="E11306" s="51">
        <f t="shared" si="176"/>
        <v>1</v>
      </c>
    </row>
    <row r="11307" spans="1:5">
      <c r="A11307" s="59">
        <v>25</v>
      </c>
      <c r="B11307" s="59">
        <v>62</v>
      </c>
      <c r="C11307" s="59">
        <v>610</v>
      </c>
      <c r="D11307" s="51">
        <v>17</v>
      </c>
      <c r="E11307" s="51">
        <f t="shared" si="176"/>
        <v>1</v>
      </c>
    </row>
    <row r="11308" spans="1:5">
      <c r="A11308" s="59">
        <v>25</v>
      </c>
      <c r="B11308" s="59">
        <v>64</v>
      </c>
      <c r="C11308" s="59">
        <v>730</v>
      </c>
      <c r="D11308" s="51">
        <v>17</v>
      </c>
      <c r="E11308" s="51">
        <f t="shared" si="176"/>
        <v>1</v>
      </c>
    </row>
    <row r="11309" spans="1:5">
      <c r="A11309" s="59">
        <v>25</v>
      </c>
      <c r="B11309" s="59">
        <v>41</v>
      </c>
      <c r="C11309" s="59">
        <v>620</v>
      </c>
      <c r="D11309" s="51">
        <v>16</v>
      </c>
      <c r="E11309" s="51">
        <f t="shared" si="176"/>
        <v>1</v>
      </c>
    </row>
    <row r="11310" spans="1:5">
      <c r="A11310" s="59">
        <v>25</v>
      </c>
      <c r="B11310" s="59">
        <v>41</v>
      </c>
      <c r="C11310" s="59">
        <v>720</v>
      </c>
      <c r="D11310" s="51">
        <v>16</v>
      </c>
      <c r="E11310" s="51">
        <f t="shared" si="176"/>
        <v>1</v>
      </c>
    </row>
    <row r="11311" spans="1:5">
      <c r="A11311" s="59">
        <v>25</v>
      </c>
      <c r="B11311" s="59">
        <v>43</v>
      </c>
      <c r="C11311" s="59">
        <v>210</v>
      </c>
      <c r="D11311" s="51">
        <v>16</v>
      </c>
      <c r="E11311" s="51">
        <f t="shared" si="176"/>
        <v>1</v>
      </c>
    </row>
    <row r="11312" spans="1:5">
      <c r="A11312" s="59">
        <v>25</v>
      </c>
      <c r="B11312" s="59">
        <v>71</v>
      </c>
      <c r="C11312" s="59">
        <v>720</v>
      </c>
      <c r="D11312" s="51">
        <v>16</v>
      </c>
      <c r="E11312" s="51">
        <f t="shared" si="176"/>
        <v>1</v>
      </c>
    </row>
    <row r="11313" spans="1:5">
      <c r="A11313" s="59">
        <v>25</v>
      </c>
      <c r="B11313" s="59">
        <v>44</v>
      </c>
      <c r="C11313" s="59">
        <v>620</v>
      </c>
      <c r="D11313" s="51">
        <v>15</v>
      </c>
      <c r="E11313" s="51">
        <f t="shared" si="176"/>
        <v>1</v>
      </c>
    </row>
    <row r="11314" spans="1:5">
      <c r="A11314" s="59">
        <v>25</v>
      </c>
      <c r="B11314" s="59">
        <v>63</v>
      </c>
      <c r="C11314" s="59">
        <v>720</v>
      </c>
      <c r="D11314" s="51">
        <v>15</v>
      </c>
      <c r="E11314" s="51">
        <f t="shared" si="176"/>
        <v>1</v>
      </c>
    </row>
    <row r="11315" spans="1:5">
      <c r="A11315" s="59">
        <v>25</v>
      </c>
      <c r="B11315" s="59">
        <v>21</v>
      </c>
      <c r="C11315" s="59">
        <v>160</v>
      </c>
      <c r="D11315" s="51">
        <v>14</v>
      </c>
      <c r="E11315" s="51">
        <f t="shared" si="176"/>
        <v>1</v>
      </c>
    </row>
    <row r="11316" spans="1:5">
      <c r="A11316" s="59">
        <v>25</v>
      </c>
      <c r="B11316" s="59">
        <v>22</v>
      </c>
      <c r="C11316" s="59">
        <v>220</v>
      </c>
      <c r="D11316" s="51">
        <v>14</v>
      </c>
      <c r="E11316" s="51">
        <f t="shared" si="176"/>
        <v>1</v>
      </c>
    </row>
    <row r="11317" spans="1:5">
      <c r="A11317" s="59">
        <v>25</v>
      </c>
      <c r="B11317" s="59">
        <v>43</v>
      </c>
      <c r="C11317" s="59">
        <v>730</v>
      </c>
      <c r="D11317" s="51">
        <v>14</v>
      </c>
      <c r="E11317" s="51">
        <f t="shared" si="176"/>
        <v>1</v>
      </c>
    </row>
    <row r="11318" spans="1:5">
      <c r="A11318" s="59">
        <v>25</v>
      </c>
      <c r="B11318" s="59">
        <v>44</v>
      </c>
      <c r="C11318" s="59">
        <v>110</v>
      </c>
      <c r="D11318" s="51">
        <v>14</v>
      </c>
      <c r="E11318" s="51">
        <f t="shared" si="176"/>
        <v>1</v>
      </c>
    </row>
    <row r="11319" spans="1:5">
      <c r="A11319" s="59">
        <v>25</v>
      </c>
      <c r="B11319" s="59">
        <v>44</v>
      </c>
      <c r="C11319" s="59">
        <v>510</v>
      </c>
      <c r="D11319" s="51">
        <v>14</v>
      </c>
      <c r="E11319" s="51">
        <f t="shared" si="176"/>
        <v>1</v>
      </c>
    </row>
    <row r="11320" spans="1:5">
      <c r="A11320" s="59">
        <v>25</v>
      </c>
      <c r="B11320" s="59">
        <v>16</v>
      </c>
      <c r="C11320" s="59">
        <v>310</v>
      </c>
      <c r="D11320" s="51">
        <v>13</v>
      </c>
      <c r="E11320" s="51">
        <f t="shared" si="176"/>
        <v>1</v>
      </c>
    </row>
    <row r="11321" spans="1:5">
      <c r="A11321" s="59">
        <v>25</v>
      </c>
      <c r="B11321" s="59">
        <v>43</v>
      </c>
      <c r="C11321" s="59">
        <v>310</v>
      </c>
      <c r="D11321" s="51">
        <v>13</v>
      </c>
      <c r="E11321" s="51">
        <f t="shared" si="176"/>
        <v>1</v>
      </c>
    </row>
    <row r="11322" spans="1:5">
      <c r="A11322" s="59">
        <v>25</v>
      </c>
      <c r="B11322" s="59">
        <v>64</v>
      </c>
      <c r="C11322" s="59">
        <v>210</v>
      </c>
      <c r="D11322" s="51">
        <v>13</v>
      </c>
      <c r="E11322" s="51">
        <f t="shared" si="176"/>
        <v>1</v>
      </c>
    </row>
    <row r="11323" spans="1:5">
      <c r="A11323" s="59">
        <v>25</v>
      </c>
      <c r="B11323" s="59">
        <v>71</v>
      </c>
      <c r="C11323" s="59">
        <v>150</v>
      </c>
      <c r="D11323" s="51">
        <v>13</v>
      </c>
      <c r="E11323" s="51">
        <f t="shared" si="176"/>
        <v>1</v>
      </c>
    </row>
    <row r="11324" spans="1:5">
      <c r="A11324" s="59">
        <v>25</v>
      </c>
      <c r="B11324" s="59">
        <v>23</v>
      </c>
      <c r="C11324" s="59">
        <v>160</v>
      </c>
      <c r="D11324" s="51">
        <v>11</v>
      </c>
      <c r="E11324" s="51">
        <f t="shared" si="176"/>
        <v>1</v>
      </c>
    </row>
    <row r="11325" spans="1:5">
      <c r="A11325" s="59">
        <v>25</v>
      </c>
      <c r="B11325" s="59">
        <v>32</v>
      </c>
      <c r="C11325" s="59">
        <v>420</v>
      </c>
      <c r="D11325" s="51">
        <v>11</v>
      </c>
      <c r="E11325" s="51">
        <f t="shared" si="176"/>
        <v>1</v>
      </c>
    </row>
    <row r="11326" spans="1:5">
      <c r="A11326" s="59">
        <v>25</v>
      </c>
      <c r="B11326" s="59">
        <v>41</v>
      </c>
      <c r="C11326" s="59">
        <v>110</v>
      </c>
      <c r="D11326" s="51">
        <v>11</v>
      </c>
      <c r="E11326" s="51">
        <f t="shared" si="176"/>
        <v>1</v>
      </c>
    </row>
    <row r="11327" spans="1:5">
      <c r="A11327" s="59">
        <v>25</v>
      </c>
      <c r="B11327" s="59">
        <v>42</v>
      </c>
      <c r="C11327" s="59">
        <v>530</v>
      </c>
      <c r="D11327" s="51">
        <v>11</v>
      </c>
      <c r="E11327" s="51">
        <f t="shared" si="176"/>
        <v>1</v>
      </c>
    </row>
    <row r="11328" spans="1:5">
      <c r="A11328" s="59">
        <v>25</v>
      </c>
      <c r="B11328" s="59">
        <v>42</v>
      </c>
      <c r="C11328" s="59">
        <v>620</v>
      </c>
      <c r="D11328" s="51">
        <v>11</v>
      </c>
      <c r="E11328" s="51">
        <f t="shared" si="176"/>
        <v>1</v>
      </c>
    </row>
    <row r="11329" spans="1:5">
      <c r="A11329" s="59">
        <v>25</v>
      </c>
      <c r="B11329" s="59">
        <v>43</v>
      </c>
      <c r="C11329" s="59">
        <v>520</v>
      </c>
      <c r="D11329" s="51">
        <v>11</v>
      </c>
      <c r="E11329" s="51">
        <f t="shared" si="176"/>
        <v>1</v>
      </c>
    </row>
    <row r="11330" spans="1:5">
      <c r="A11330" s="59">
        <v>25</v>
      </c>
      <c r="B11330" s="59">
        <v>81</v>
      </c>
      <c r="C11330" s="59">
        <v>910</v>
      </c>
      <c r="D11330" s="51">
        <v>11</v>
      </c>
      <c r="E11330" s="51">
        <f t="shared" ref="E11330:E11393" si="177">IF(OR(A11330=6,A11330=7,A11330=14,A11330=15,A11330=16,A11330=17,A11330=18,A11330=19,A11330=20,A11330=21,A11330=22,A11330=23,A11330=25,A11330=26,A11330=27,A11330=28,B11330=41,B11330=44,B11330=62),1,0)</f>
        <v>1</v>
      </c>
    </row>
    <row r="11331" spans="1:5">
      <c r="A11331" s="59">
        <v>25</v>
      </c>
      <c r="B11331" s="59">
        <v>13</v>
      </c>
      <c r="C11331" s="59">
        <v>720</v>
      </c>
      <c r="D11331" s="51">
        <v>10</v>
      </c>
      <c r="E11331" s="51">
        <f t="shared" si="177"/>
        <v>1</v>
      </c>
    </row>
    <row r="11332" spans="1:5">
      <c r="A11332" s="59">
        <v>25</v>
      </c>
      <c r="B11332" s="59">
        <v>13</v>
      </c>
      <c r="C11332" s="59">
        <v>930</v>
      </c>
      <c r="D11332" s="51">
        <v>10</v>
      </c>
      <c r="E11332" s="51">
        <f t="shared" si="177"/>
        <v>1</v>
      </c>
    </row>
    <row r="11333" spans="1:5">
      <c r="A11333" s="59">
        <v>25</v>
      </c>
      <c r="B11333" s="59">
        <v>14</v>
      </c>
      <c r="C11333" s="59">
        <v>430</v>
      </c>
      <c r="D11333" s="51">
        <v>10</v>
      </c>
      <c r="E11333" s="51">
        <f t="shared" si="177"/>
        <v>1</v>
      </c>
    </row>
    <row r="11334" spans="1:5">
      <c r="A11334" s="59">
        <v>25</v>
      </c>
      <c r="B11334" s="59">
        <v>14</v>
      </c>
      <c r="C11334" s="59">
        <v>530</v>
      </c>
      <c r="D11334" s="51">
        <v>10</v>
      </c>
      <c r="E11334" s="51">
        <f t="shared" si="177"/>
        <v>1</v>
      </c>
    </row>
    <row r="11335" spans="1:5">
      <c r="A11335" s="59">
        <v>25</v>
      </c>
      <c r="B11335" s="59">
        <v>14</v>
      </c>
      <c r="C11335" s="59">
        <v>950</v>
      </c>
      <c r="D11335" s="51">
        <v>10</v>
      </c>
      <c r="E11335" s="51">
        <f t="shared" si="177"/>
        <v>1</v>
      </c>
    </row>
    <row r="11336" spans="1:5">
      <c r="A11336" s="59">
        <v>25</v>
      </c>
      <c r="B11336" s="59">
        <v>16</v>
      </c>
      <c r="C11336" s="59">
        <v>430</v>
      </c>
      <c r="D11336" s="51">
        <v>10</v>
      </c>
      <c r="E11336" s="51">
        <f t="shared" si="177"/>
        <v>1</v>
      </c>
    </row>
    <row r="11337" spans="1:5">
      <c r="A11337" s="59">
        <v>25</v>
      </c>
      <c r="B11337" s="59">
        <v>22</v>
      </c>
      <c r="C11337" s="59">
        <v>310</v>
      </c>
      <c r="D11337" s="51">
        <v>10</v>
      </c>
      <c r="E11337" s="51">
        <f t="shared" si="177"/>
        <v>1</v>
      </c>
    </row>
    <row r="11338" spans="1:5">
      <c r="A11338" s="59">
        <v>25</v>
      </c>
      <c r="B11338" s="59">
        <v>44</v>
      </c>
      <c r="C11338" s="59">
        <v>910</v>
      </c>
      <c r="D11338" s="51">
        <v>10</v>
      </c>
      <c r="E11338" s="51">
        <f t="shared" si="177"/>
        <v>1</v>
      </c>
    </row>
    <row r="11339" spans="1:5">
      <c r="A11339" s="59">
        <v>25</v>
      </c>
      <c r="B11339" s="59">
        <v>62</v>
      </c>
      <c r="C11339" s="59">
        <v>920</v>
      </c>
      <c r="D11339" s="51">
        <v>10</v>
      </c>
      <c r="E11339" s="51">
        <f t="shared" si="177"/>
        <v>1</v>
      </c>
    </row>
    <row r="11340" spans="1:5">
      <c r="A11340" s="59">
        <v>25</v>
      </c>
      <c r="B11340" s="59">
        <v>64</v>
      </c>
      <c r="C11340" s="59">
        <v>950</v>
      </c>
      <c r="D11340" s="51">
        <v>10</v>
      </c>
      <c r="E11340" s="51">
        <f t="shared" si="177"/>
        <v>1</v>
      </c>
    </row>
    <row r="11341" spans="1:5">
      <c r="A11341" s="59">
        <v>25</v>
      </c>
      <c r="B11341" s="59">
        <v>71</v>
      </c>
      <c r="C11341" s="59">
        <v>920</v>
      </c>
      <c r="D11341" s="51">
        <v>10</v>
      </c>
      <c r="E11341" s="51">
        <f t="shared" si="177"/>
        <v>1</v>
      </c>
    </row>
    <row r="11342" spans="1:5">
      <c r="A11342" s="59">
        <v>25</v>
      </c>
      <c r="B11342" s="59">
        <v>81</v>
      </c>
      <c r="C11342" s="59">
        <v>150</v>
      </c>
      <c r="D11342" s="51">
        <v>10</v>
      </c>
      <c r="E11342" s="51">
        <f t="shared" si="177"/>
        <v>1</v>
      </c>
    </row>
    <row r="11343" spans="1:5">
      <c r="A11343" s="59">
        <v>25</v>
      </c>
      <c r="B11343" s="59">
        <v>13</v>
      </c>
      <c r="C11343" s="59">
        <v>230</v>
      </c>
      <c r="D11343" s="51">
        <v>9</v>
      </c>
      <c r="E11343" s="51">
        <f t="shared" si="177"/>
        <v>1</v>
      </c>
    </row>
    <row r="11344" spans="1:5">
      <c r="A11344" s="59">
        <v>25</v>
      </c>
      <c r="B11344" s="59">
        <v>13</v>
      </c>
      <c r="C11344" s="59">
        <v>510</v>
      </c>
      <c r="D11344" s="51">
        <v>9</v>
      </c>
      <c r="E11344" s="51">
        <f t="shared" si="177"/>
        <v>1</v>
      </c>
    </row>
    <row r="11345" spans="1:5">
      <c r="A11345" s="59">
        <v>25</v>
      </c>
      <c r="B11345" s="59">
        <v>13</v>
      </c>
      <c r="C11345" s="59">
        <v>950</v>
      </c>
      <c r="D11345" s="51">
        <v>9</v>
      </c>
      <c r="E11345" s="51">
        <f t="shared" si="177"/>
        <v>1</v>
      </c>
    </row>
    <row r="11346" spans="1:5">
      <c r="A11346" s="59">
        <v>25</v>
      </c>
      <c r="B11346" s="59">
        <v>14</v>
      </c>
      <c r="C11346" s="59">
        <v>510</v>
      </c>
      <c r="D11346" s="51">
        <v>9</v>
      </c>
      <c r="E11346" s="51">
        <f t="shared" si="177"/>
        <v>1</v>
      </c>
    </row>
    <row r="11347" spans="1:5">
      <c r="A11347" s="59">
        <v>25</v>
      </c>
      <c r="B11347" s="59">
        <v>15</v>
      </c>
      <c r="C11347" s="59">
        <v>210</v>
      </c>
      <c r="D11347" s="51">
        <v>9</v>
      </c>
      <c r="E11347" s="51">
        <f t="shared" si="177"/>
        <v>1</v>
      </c>
    </row>
    <row r="11348" spans="1:5">
      <c r="A11348" s="59">
        <v>25</v>
      </c>
      <c r="B11348" s="59">
        <v>16</v>
      </c>
      <c r="C11348" s="59">
        <v>140</v>
      </c>
      <c r="D11348" s="51">
        <v>9</v>
      </c>
      <c r="E11348" s="51">
        <f t="shared" si="177"/>
        <v>1</v>
      </c>
    </row>
    <row r="11349" spans="1:5">
      <c r="A11349" s="59">
        <v>25</v>
      </c>
      <c r="B11349" s="59">
        <v>42</v>
      </c>
      <c r="C11349" s="59">
        <v>430</v>
      </c>
      <c r="D11349" s="51">
        <v>9</v>
      </c>
      <c r="E11349" s="51">
        <f t="shared" si="177"/>
        <v>1</v>
      </c>
    </row>
    <row r="11350" spans="1:5">
      <c r="A11350" s="59">
        <v>25</v>
      </c>
      <c r="B11350" s="59">
        <v>43</v>
      </c>
      <c r="C11350" s="59">
        <v>920</v>
      </c>
      <c r="D11350" s="51">
        <v>9</v>
      </c>
      <c r="E11350" s="51">
        <f t="shared" si="177"/>
        <v>1</v>
      </c>
    </row>
    <row r="11351" spans="1:5">
      <c r="A11351" s="59">
        <v>25</v>
      </c>
      <c r="B11351" s="59">
        <v>63</v>
      </c>
      <c r="C11351" s="59">
        <v>920</v>
      </c>
      <c r="D11351" s="51">
        <v>9</v>
      </c>
      <c r="E11351" s="51">
        <f t="shared" si="177"/>
        <v>1</v>
      </c>
    </row>
    <row r="11352" spans="1:5">
      <c r="A11352" s="59">
        <v>25</v>
      </c>
      <c r="B11352" s="59">
        <v>71</v>
      </c>
      <c r="C11352" s="59">
        <v>730</v>
      </c>
      <c r="D11352" s="51">
        <v>9</v>
      </c>
      <c r="E11352" s="51">
        <f t="shared" si="177"/>
        <v>1</v>
      </c>
    </row>
    <row r="11353" spans="1:5">
      <c r="A11353" s="59">
        <v>25</v>
      </c>
      <c r="B11353" s="59">
        <v>81</v>
      </c>
      <c r="C11353" s="59">
        <v>730</v>
      </c>
      <c r="D11353" s="51">
        <v>9</v>
      </c>
      <c r="E11353" s="51">
        <f t="shared" si="177"/>
        <v>1</v>
      </c>
    </row>
    <row r="11354" spans="1:5">
      <c r="A11354" s="59">
        <v>25</v>
      </c>
      <c r="B11354" s="59">
        <v>13</v>
      </c>
      <c r="C11354" s="59">
        <v>750</v>
      </c>
      <c r="D11354" s="51">
        <v>8</v>
      </c>
      <c r="E11354" s="51">
        <f t="shared" si="177"/>
        <v>1</v>
      </c>
    </row>
    <row r="11355" spans="1:5">
      <c r="A11355" s="59">
        <v>25</v>
      </c>
      <c r="B11355" s="59">
        <v>14</v>
      </c>
      <c r="C11355" s="59">
        <v>220</v>
      </c>
      <c r="D11355" s="51">
        <v>8</v>
      </c>
      <c r="E11355" s="51">
        <f t="shared" si="177"/>
        <v>1</v>
      </c>
    </row>
    <row r="11356" spans="1:5">
      <c r="A11356" s="59">
        <v>25</v>
      </c>
      <c r="B11356" s="59">
        <v>14</v>
      </c>
      <c r="C11356" s="59">
        <v>930</v>
      </c>
      <c r="D11356" s="51">
        <v>8</v>
      </c>
      <c r="E11356" s="51">
        <f t="shared" si="177"/>
        <v>1</v>
      </c>
    </row>
    <row r="11357" spans="1:5">
      <c r="A11357" s="59">
        <v>25</v>
      </c>
      <c r="B11357" s="59">
        <v>15</v>
      </c>
      <c r="C11357" s="59">
        <v>320</v>
      </c>
      <c r="D11357" s="51">
        <v>8</v>
      </c>
      <c r="E11357" s="51">
        <f t="shared" si="177"/>
        <v>1</v>
      </c>
    </row>
    <row r="11358" spans="1:5">
      <c r="A11358" s="59">
        <v>25</v>
      </c>
      <c r="B11358" s="59">
        <v>41</v>
      </c>
      <c r="C11358" s="59">
        <v>910</v>
      </c>
      <c r="D11358" s="51">
        <v>8</v>
      </c>
      <c r="E11358" s="51">
        <f t="shared" si="177"/>
        <v>1</v>
      </c>
    </row>
    <row r="11359" spans="1:5">
      <c r="A11359" s="59">
        <v>25</v>
      </c>
      <c r="B11359" s="59">
        <v>41</v>
      </c>
      <c r="C11359" s="59">
        <v>930</v>
      </c>
      <c r="D11359" s="51">
        <v>8</v>
      </c>
      <c r="E11359" s="51">
        <f t="shared" si="177"/>
        <v>1</v>
      </c>
    </row>
    <row r="11360" spans="1:5">
      <c r="A11360" s="59">
        <v>25</v>
      </c>
      <c r="B11360" s="59">
        <v>51</v>
      </c>
      <c r="C11360" s="59">
        <v>160</v>
      </c>
      <c r="D11360" s="51">
        <v>8</v>
      </c>
      <c r="E11360" s="51">
        <f t="shared" si="177"/>
        <v>1</v>
      </c>
    </row>
    <row r="11361" spans="1:5">
      <c r="A11361" s="59">
        <v>25</v>
      </c>
      <c r="B11361" s="59">
        <v>62</v>
      </c>
      <c r="C11361" s="59">
        <v>540</v>
      </c>
      <c r="D11361" s="51">
        <v>8</v>
      </c>
      <c r="E11361" s="51">
        <f t="shared" si="177"/>
        <v>1</v>
      </c>
    </row>
    <row r="11362" spans="1:5">
      <c r="A11362" s="59">
        <v>25</v>
      </c>
      <c r="B11362" s="59">
        <v>63</v>
      </c>
      <c r="C11362" s="59">
        <v>210</v>
      </c>
      <c r="D11362" s="51">
        <v>8</v>
      </c>
      <c r="E11362" s="51">
        <f t="shared" si="177"/>
        <v>1</v>
      </c>
    </row>
    <row r="11363" spans="1:5">
      <c r="A11363" s="59">
        <v>25</v>
      </c>
      <c r="B11363" s="59">
        <v>64</v>
      </c>
      <c r="C11363" s="59">
        <v>710</v>
      </c>
      <c r="D11363" s="51">
        <v>8</v>
      </c>
      <c r="E11363" s="51">
        <f t="shared" si="177"/>
        <v>1</v>
      </c>
    </row>
    <row r="11364" spans="1:5">
      <c r="A11364" s="59">
        <v>25</v>
      </c>
      <c r="B11364" s="59">
        <v>13</v>
      </c>
      <c r="C11364" s="59">
        <v>120</v>
      </c>
      <c r="D11364" s="51">
        <v>7</v>
      </c>
      <c r="E11364" s="51">
        <f t="shared" si="177"/>
        <v>1</v>
      </c>
    </row>
    <row r="11365" spans="1:5">
      <c r="A11365" s="59">
        <v>25</v>
      </c>
      <c r="B11365" s="59">
        <v>13</v>
      </c>
      <c r="C11365" s="59">
        <v>130</v>
      </c>
      <c r="D11365" s="51">
        <v>7</v>
      </c>
      <c r="E11365" s="51">
        <f t="shared" si="177"/>
        <v>1</v>
      </c>
    </row>
    <row r="11366" spans="1:5">
      <c r="A11366" s="59">
        <v>25</v>
      </c>
      <c r="B11366" s="59">
        <v>13</v>
      </c>
      <c r="C11366" s="59">
        <v>210</v>
      </c>
      <c r="D11366" s="51">
        <v>7</v>
      </c>
      <c r="E11366" s="51">
        <f t="shared" si="177"/>
        <v>1</v>
      </c>
    </row>
    <row r="11367" spans="1:5">
      <c r="A11367" s="59">
        <v>25</v>
      </c>
      <c r="B11367" s="59">
        <v>13</v>
      </c>
      <c r="C11367" s="59">
        <v>920</v>
      </c>
      <c r="D11367" s="51">
        <v>7</v>
      </c>
      <c r="E11367" s="51">
        <f t="shared" si="177"/>
        <v>1</v>
      </c>
    </row>
    <row r="11368" spans="1:5">
      <c r="A11368" s="59">
        <v>25</v>
      </c>
      <c r="B11368" s="59">
        <v>14</v>
      </c>
      <c r="C11368" s="59">
        <v>130</v>
      </c>
      <c r="D11368" s="51">
        <v>7</v>
      </c>
      <c r="E11368" s="51">
        <f t="shared" si="177"/>
        <v>1</v>
      </c>
    </row>
    <row r="11369" spans="1:5">
      <c r="A11369" s="59">
        <v>25</v>
      </c>
      <c r="B11369" s="59">
        <v>16</v>
      </c>
      <c r="C11369" s="59">
        <v>210</v>
      </c>
      <c r="D11369" s="51">
        <v>7</v>
      </c>
      <c r="E11369" s="51">
        <f t="shared" si="177"/>
        <v>1</v>
      </c>
    </row>
    <row r="11370" spans="1:5">
      <c r="A11370" s="59">
        <v>25</v>
      </c>
      <c r="B11370" s="59">
        <v>22</v>
      </c>
      <c r="C11370" s="59">
        <v>950</v>
      </c>
      <c r="D11370" s="51">
        <v>7</v>
      </c>
      <c r="E11370" s="51">
        <f t="shared" si="177"/>
        <v>1</v>
      </c>
    </row>
    <row r="11371" spans="1:5">
      <c r="A11371" s="59">
        <v>25</v>
      </c>
      <c r="B11371" s="59">
        <v>41</v>
      </c>
      <c r="C11371" s="59">
        <v>730</v>
      </c>
      <c r="D11371" s="51">
        <v>7</v>
      </c>
      <c r="E11371" s="51">
        <f t="shared" si="177"/>
        <v>1</v>
      </c>
    </row>
    <row r="11372" spans="1:5">
      <c r="A11372" s="59">
        <v>25</v>
      </c>
      <c r="B11372" s="59">
        <v>42</v>
      </c>
      <c r="C11372" s="59">
        <v>910</v>
      </c>
      <c r="D11372" s="51">
        <v>7</v>
      </c>
      <c r="E11372" s="51">
        <f t="shared" si="177"/>
        <v>1</v>
      </c>
    </row>
    <row r="11373" spans="1:5">
      <c r="A11373" s="59">
        <v>25</v>
      </c>
      <c r="B11373" s="59">
        <v>43</v>
      </c>
      <c r="C11373" s="59">
        <v>220</v>
      </c>
      <c r="D11373" s="51">
        <v>7</v>
      </c>
      <c r="E11373" s="51">
        <f t="shared" si="177"/>
        <v>1</v>
      </c>
    </row>
    <row r="11374" spans="1:5">
      <c r="A11374" s="59">
        <v>25</v>
      </c>
      <c r="B11374" s="59">
        <v>62</v>
      </c>
      <c r="C11374" s="59">
        <v>330</v>
      </c>
      <c r="D11374" s="51">
        <v>7</v>
      </c>
      <c r="E11374" s="51">
        <f t="shared" si="177"/>
        <v>1</v>
      </c>
    </row>
    <row r="11375" spans="1:5">
      <c r="A11375" s="59">
        <v>25</v>
      </c>
      <c r="B11375" s="59">
        <v>62</v>
      </c>
      <c r="C11375" s="59">
        <v>990</v>
      </c>
      <c r="D11375" s="51">
        <v>7</v>
      </c>
      <c r="E11375" s="51">
        <f t="shared" si="177"/>
        <v>1</v>
      </c>
    </row>
    <row r="11376" spans="1:5">
      <c r="A11376" s="59">
        <v>25</v>
      </c>
      <c r="B11376" s="59">
        <v>63</v>
      </c>
      <c r="C11376" s="59">
        <v>730</v>
      </c>
      <c r="D11376" s="51">
        <v>7</v>
      </c>
      <c r="E11376" s="51">
        <f t="shared" si="177"/>
        <v>1</v>
      </c>
    </row>
    <row r="11377" spans="1:5">
      <c r="A11377" s="59">
        <v>25</v>
      </c>
      <c r="B11377" s="59">
        <v>64</v>
      </c>
      <c r="C11377" s="59">
        <v>930</v>
      </c>
      <c r="D11377" s="51">
        <v>7</v>
      </c>
      <c r="E11377" s="51">
        <f t="shared" si="177"/>
        <v>1</v>
      </c>
    </row>
    <row r="11378" spans="1:5">
      <c r="A11378" s="59">
        <v>25</v>
      </c>
      <c r="B11378" s="59">
        <v>71</v>
      </c>
      <c r="C11378" s="59">
        <v>240</v>
      </c>
      <c r="D11378" s="51">
        <v>7</v>
      </c>
      <c r="E11378" s="51">
        <f t="shared" si="177"/>
        <v>1</v>
      </c>
    </row>
    <row r="11379" spans="1:5">
      <c r="A11379" s="59">
        <v>25</v>
      </c>
      <c r="B11379" s="59">
        <v>81</v>
      </c>
      <c r="C11379" s="59">
        <v>240</v>
      </c>
      <c r="D11379" s="51">
        <v>7</v>
      </c>
      <c r="E11379" s="51">
        <f t="shared" si="177"/>
        <v>1</v>
      </c>
    </row>
    <row r="11380" spans="1:5">
      <c r="A11380" s="59">
        <v>25</v>
      </c>
      <c r="B11380" s="59">
        <v>14</v>
      </c>
      <c r="C11380" s="59">
        <v>720</v>
      </c>
      <c r="D11380" s="51">
        <v>6</v>
      </c>
      <c r="E11380" s="51">
        <f t="shared" si="177"/>
        <v>1</v>
      </c>
    </row>
    <row r="11381" spans="1:5">
      <c r="A11381" s="59">
        <v>25</v>
      </c>
      <c r="B11381" s="59">
        <v>15</v>
      </c>
      <c r="C11381" s="59">
        <v>310</v>
      </c>
      <c r="D11381" s="51">
        <v>6</v>
      </c>
      <c r="E11381" s="51">
        <f t="shared" si="177"/>
        <v>1</v>
      </c>
    </row>
    <row r="11382" spans="1:5">
      <c r="A11382" s="59">
        <v>25</v>
      </c>
      <c r="B11382" s="59">
        <v>15</v>
      </c>
      <c r="C11382" s="59">
        <v>430</v>
      </c>
      <c r="D11382" s="51">
        <v>6</v>
      </c>
      <c r="E11382" s="51">
        <f t="shared" si="177"/>
        <v>1</v>
      </c>
    </row>
    <row r="11383" spans="1:5">
      <c r="A11383" s="59">
        <v>25</v>
      </c>
      <c r="B11383" s="59">
        <v>16</v>
      </c>
      <c r="C11383" s="59">
        <v>320</v>
      </c>
      <c r="D11383" s="51">
        <v>6</v>
      </c>
      <c r="E11383" s="51">
        <f t="shared" si="177"/>
        <v>1</v>
      </c>
    </row>
    <row r="11384" spans="1:5">
      <c r="A11384" s="59">
        <v>25</v>
      </c>
      <c r="B11384" s="59">
        <v>32</v>
      </c>
      <c r="C11384" s="59">
        <v>330</v>
      </c>
      <c r="D11384" s="51">
        <v>6</v>
      </c>
      <c r="E11384" s="51">
        <f t="shared" si="177"/>
        <v>1</v>
      </c>
    </row>
    <row r="11385" spans="1:5">
      <c r="A11385" s="59">
        <v>25</v>
      </c>
      <c r="B11385" s="59">
        <v>42</v>
      </c>
      <c r="C11385" s="59">
        <v>110</v>
      </c>
      <c r="D11385" s="51">
        <v>6</v>
      </c>
      <c r="E11385" s="51">
        <f t="shared" si="177"/>
        <v>1</v>
      </c>
    </row>
    <row r="11386" spans="1:5">
      <c r="A11386" s="59">
        <v>25</v>
      </c>
      <c r="B11386" s="59">
        <v>42</v>
      </c>
      <c r="C11386" s="59">
        <v>240</v>
      </c>
      <c r="D11386" s="51">
        <v>6</v>
      </c>
      <c r="E11386" s="51">
        <f t="shared" si="177"/>
        <v>1</v>
      </c>
    </row>
    <row r="11387" spans="1:5">
      <c r="A11387" s="59">
        <v>25</v>
      </c>
      <c r="B11387" s="59">
        <v>62</v>
      </c>
      <c r="C11387" s="59">
        <v>240</v>
      </c>
      <c r="D11387" s="51">
        <v>6</v>
      </c>
      <c r="E11387" s="51">
        <f t="shared" si="177"/>
        <v>1</v>
      </c>
    </row>
    <row r="11388" spans="1:5">
      <c r="A11388" s="59">
        <v>25</v>
      </c>
      <c r="B11388" s="59">
        <v>81</v>
      </c>
      <c r="C11388" s="59">
        <v>610</v>
      </c>
      <c r="D11388" s="51">
        <v>6</v>
      </c>
      <c r="E11388" s="51">
        <f t="shared" si="177"/>
        <v>1</v>
      </c>
    </row>
    <row r="11389" spans="1:5">
      <c r="A11389" s="59">
        <v>25</v>
      </c>
      <c r="B11389" s="59">
        <v>81</v>
      </c>
      <c r="C11389" s="59">
        <v>990</v>
      </c>
      <c r="D11389" s="51">
        <v>6</v>
      </c>
      <c r="E11389" s="51">
        <f t="shared" si="177"/>
        <v>1</v>
      </c>
    </row>
    <row r="11390" spans="1:5">
      <c r="A11390" s="59">
        <v>25</v>
      </c>
      <c r="B11390" s="59">
        <v>13</v>
      </c>
      <c r="C11390" s="59">
        <v>220</v>
      </c>
      <c r="D11390" s="51">
        <v>5</v>
      </c>
      <c r="E11390" s="51">
        <f t="shared" si="177"/>
        <v>1</v>
      </c>
    </row>
    <row r="11391" spans="1:5">
      <c r="A11391" s="59">
        <v>25</v>
      </c>
      <c r="B11391" s="59">
        <v>13</v>
      </c>
      <c r="C11391" s="59">
        <v>620</v>
      </c>
      <c r="D11391" s="51">
        <v>5</v>
      </c>
      <c r="E11391" s="51">
        <f t="shared" si="177"/>
        <v>1</v>
      </c>
    </row>
    <row r="11392" spans="1:5">
      <c r="A11392" s="59">
        <v>25</v>
      </c>
      <c r="B11392" s="59">
        <v>21</v>
      </c>
      <c r="C11392" s="59">
        <v>330</v>
      </c>
      <c r="D11392" s="51">
        <v>5</v>
      </c>
      <c r="E11392" s="51">
        <f t="shared" si="177"/>
        <v>1</v>
      </c>
    </row>
    <row r="11393" spans="1:5">
      <c r="A11393" s="59">
        <v>25</v>
      </c>
      <c r="B11393" s="59">
        <v>22</v>
      </c>
      <c r="C11393" s="59">
        <v>320</v>
      </c>
      <c r="D11393" s="51">
        <v>5</v>
      </c>
      <c r="E11393" s="51">
        <f t="shared" si="177"/>
        <v>1</v>
      </c>
    </row>
    <row r="11394" spans="1:5">
      <c r="A11394" s="59">
        <v>25</v>
      </c>
      <c r="B11394" s="59">
        <v>32</v>
      </c>
      <c r="C11394" s="59">
        <v>240</v>
      </c>
      <c r="D11394" s="51">
        <v>5</v>
      </c>
      <c r="E11394" s="51">
        <f t="shared" ref="E11394:E11457" si="178">IF(OR(A11394=6,A11394=7,A11394=14,A11394=15,A11394=16,A11394=17,A11394=18,A11394=19,A11394=20,A11394=21,A11394=22,A11394=23,A11394=25,A11394=26,A11394=27,A11394=28,B11394=41,B11394=44,B11394=62),1,0)</f>
        <v>1</v>
      </c>
    </row>
    <row r="11395" spans="1:5">
      <c r="A11395" s="59">
        <v>25</v>
      </c>
      <c r="B11395" s="59">
        <v>43</v>
      </c>
      <c r="C11395" s="59">
        <v>130</v>
      </c>
      <c r="D11395" s="51">
        <v>5</v>
      </c>
      <c r="E11395" s="51">
        <f t="shared" si="178"/>
        <v>1</v>
      </c>
    </row>
    <row r="11396" spans="1:5">
      <c r="A11396" s="59">
        <v>25</v>
      </c>
      <c r="B11396" s="59">
        <v>43</v>
      </c>
      <c r="C11396" s="59">
        <v>230</v>
      </c>
      <c r="D11396" s="51">
        <v>5</v>
      </c>
      <c r="E11396" s="51">
        <f t="shared" si="178"/>
        <v>1</v>
      </c>
    </row>
    <row r="11397" spans="1:5">
      <c r="A11397" s="59">
        <v>25</v>
      </c>
      <c r="B11397" s="59">
        <v>43</v>
      </c>
      <c r="C11397" s="59">
        <v>320</v>
      </c>
      <c r="D11397" s="51">
        <v>5</v>
      </c>
      <c r="E11397" s="51">
        <f t="shared" si="178"/>
        <v>1</v>
      </c>
    </row>
    <row r="11398" spans="1:5">
      <c r="A11398" s="59">
        <v>25</v>
      </c>
      <c r="B11398" s="59">
        <v>44</v>
      </c>
      <c r="C11398" s="59">
        <v>150</v>
      </c>
      <c r="D11398" s="51">
        <v>5</v>
      </c>
      <c r="E11398" s="51">
        <f t="shared" si="178"/>
        <v>1</v>
      </c>
    </row>
    <row r="11399" spans="1:5">
      <c r="A11399" s="59">
        <v>25</v>
      </c>
      <c r="B11399" s="59">
        <v>62</v>
      </c>
      <c r="C11399" s="59">
        <v>310</v>
      </c>
      <c r="D11399" s="51">
        <v>5</v>
      </c>
      <c r="E11399" s="51">
        <f t="shared" si="178"/>
        <v>1</v>
      </c>
    </row>
    <row r="11400" spans="1:5">
      <c r="A11400" s="59">
        <v>25</v>
      </c>
      <c r="B11400" s="59">
        <v>11</v>
      </c>
      <c r="C11400" s="59">
        <v>150</v>
      </c>
      <c r="D11400" s="51">
        <v>4</v>
      </c>
      <c r="E11400" s="51">
        <f t="shared" si="178"/>
        <v>1</v>
      </c>
    </row>
    <row r="11401" spans="1:5">
      <c r="A11401" s="59">
        <v>25</v>
      </c>
      <c r="B11401" s="59">
        <v>13</v>
      </c>
      <c r="C11401" s="59">
        <v>730</v>
      </c>
      <c r="D11401" s="51">
        <v>4</v>
      </c>
      <c r="E11401" s="51">
        <f t="shared" si="178"/>
        <v>1</v>
      </c>
    </row>
    <row r="11402" spans="1:5">
      <c r="A11402" s="59">
        <v>25</v>
      </c>
      <c r="B11402" s="59">
        <v>32</v>
      </c>
      <c r="C11402" s="59">
        <v>910</v>
      </c>
      <c r="D11402" s="51">
        <v>4</v>
      </c>
      <c r="E11402" s="51">
        <f t="shared" si="178"/>
        <v>1</v>
      </c>
    </row>
    <row r="11403" spans="1:5">
      <c r="A11403" s="59">
        <v>25</v>
      </c>
      <c r="B11403" s="59">
        <v>33</v>
      </c>
      <c r="C11403" s="59">
        <v>110</v>
      </c>
      <c r="D11403" s="51">
        <v>4</v>
      </c>
      <c r="E11403" s="51">
        <f t="shared" si="178"/>
        <v>1</v>
      </c>
    </row>
    <row r="11404" spans="1:5">
      <c r="A11404" s="59">
        <v>25</v>
      </c>
      <c r="B11404" s="59">
        <v>33</v>
      </c>
      <c r="C11404" s="59">
        <v>150</v>
      </c>
      <c r="D11404" s="51">
        <v>4</v>
      </c>
      <c r="E11404" s="51">
        <f t="shared" si="178"/>
        <v>1</v>
      </c>
    </row>
    <row r="11405" spans="1:5">
      <c r="A11405" s="59">
        <v>25</v>
      </c>
      <c r="B11405" s="59">
        <v>33</v>
      </c>
      <c r="C11405" s="59">
        <v>530</v>
      </c>
      <c r="D11405" s="51">
        <v>4</v>
      </c>
      <c r="E11405" s="51">
        <f t="shared" si="178"/>
        <v>1</v>
      </c>
    </row>
    <row r="11406" spans="1:5">
      <c r="A11406" s="59">
        <v>25</v>
      </c>
      <c r="B11406" s="59">
        <v>41</v>
      </c>
      <c r="C11406" s="59">
        <v>210</v>
      </c>
      <c r="D11406" s="51">
        <v>4</v>
      </c>
      <c r="E11406" s="51">
        <f t="shared" si="178"/>
        <v>1</v>
      </c>
    </row>
    <row r="11407" spans="1:5">
      <c r="A11407" s="59">
        <v>25</v>
      </c>
      <c r="B11407" s="59">
        <v>41</v>
      </c>
      <c r="C11407" s="59">
        <v>330</v>
      </c>
      <c r="D11407" s="51">
        <v>4</v>
      </c>
      <c r="E11407" s="51">
        <f t="shared" si="178"/>
        <v>1</v>
      </c>
    </row>
    <row r="11408" spans="1:5">
      <c r="A11408" s="59">
        <v>25</v>
      </c>
      <c r="B11408" s="59">
        <v>43</v>
      </c>
      <c r="C11408" s="59">
        <v>540</v>
      </c>
      <c r="D11408" s="51">
        <v>4</v>
      </c>
      <c r="E11408" s="51">
        <f t="shared" si="178"/>
        <v>1</v>
      </c>
    </row>
    <row r="11409" spans="1:5">
      <c r="A11409" s="59">
        <v>25</v>
      </c>
      <c r="B11409" s="59">
        <v>43</v>
      </c>
      <c r="C11409" s="59">
        <v>840</v>
      </c>
      <c r="D11409" s="51">
        <v>4</v>
      </c>
      <c r="E11409" s="51">
        <f t="shared" si="178"/>
        <v>1</v>
      </c>
    </row>
    <row r="11410" spans="1:5">
      <c r="A11410" s="59">
        <v>25</v>
      </c>
      <c r="B11410" s="59">
        <v>62</v>
      </c>
      <c r="C11410" s="59">
        <v>520</v>
      </c>
      <c r="D11410" s="51">
        <v>4</v>
      </c>
      <c r="E11410" s="51">
        <f t="shared" si="178"/>
        <v>1</v>
      </c>
    </row>
    <row r="11411" spans="1:5">
      <c r="A11411" s="59">
        <v>25</v>
      </c>
      <c r="B11411" s="59">
        <v>63</v>
      </c>
      <c r="C11411" s="59">
        <v>520</v>
      </c>
      <c r="D11411" s="51">
        <v>4</v>
      </c>
      <c r="E11411" s="51">
        <f t="shared" si="178"/>
        <v>1</v>
      </c>
    </row>
    <row r="11412" spans="1:5">
      <c r="A11412" s="59">
        <v>25</v>
      </c>
      <c r="B11412" s="59">
        <v>64</v>
      </c>
      <c r="C11412" s="59">
        <v>230</v>
      </c>
      <c r="D11412" s="51">
        <v>4</v>
      </c>
      <c r="E11412" s="51">
        <f t="shared" si="178"/>
        <v>1</v>
      </c>
    </row>
    <row r="11413" spans="1:5">
      <c r="A11413" s="59">
        <v>25</v>
      </c>
      <c r="B11413" s="59">
        <v>11</v>
      </c>
      <c r="C11413" s="59">
        <v>330</v>
      </c>
      <c r="D11413" s="51">
        <v>3</v>
      </c>
      <c r="E11413" s="51">
        <f t="shared" si="178"/>
        <v>1</v>
      </c>
    </row>
    <row r="11414" spans="1:5">
      <c r="A11414" s="59">
        <v>25</v>
      </c>
      <c r="B11414" s="59">
        <v>11</v>
      </c>
      <c r="C11414" s="59">
        <v>750</v>
      </c>
      <c r="D11414" s="51">
        <v>3</v>
      </c>
      <c r="E11414" s="51">
        <f t="shared" si="178"/>
        <v>1</v>
      </c>
    </row>
    <row r="11415" spans="1:5">
      <c r="A11415" s="59">
        <v>25</v>
      </c>
      <c r="B11415" s="59">
        <v>13</v>
      </c>
      <c r="C11415" s="59">
        <v>430</v>
      </c>
      <c r="D11415" s="51">
        <v>3</v>
      </c>
      <c r="E11415" s="51">
        <f t="shared" si="178"/>
        <v>1</v>
      </c>
    </row>
    <row r="11416" spans="1:5">
      <c r="A11416" s="59">
        <v>25</v>
      </c>
      <c r="B11416" s="59">
        <v>13</v>
      </c>
      <c r="C11416" s="59">
        <v>520</v>
      </c>
      <c r="D11416" s="51">
        <v>3</v>
      </c>
      <c r="E11416" s="51">
        <f t="shared" si="178"/>
        <v>1</v>
      </c>
    </row>
    <row r="11417" spans="1:5">
      <c r="A11417" s="59">
        <v>25</v>
      </c>
      <c r="B11417" s="59">
        <v>13</v>
      </c>
      <c r="C11417" s="59">
        <v>990</v>
      </c>
      <c r="D11417" s="51">
        <v>3</v>
      </c>
      <c r="E11417" s="51">
        <f t="shared" si="178"/>
        <v>1</v>
      </c>
    </row>
    <row r="11418" spans="1:5">
      <c r="A11418" s="59">
        <v>25</v>
      </c>
      <c r="B11418" s="59">
        <v>14</v>
      </c>
      <c r="C11418" s="59">
        <v>120</v>
      </c>
      <c r="D11418" s="51">
        <v>3</v>
      </c>
      <c r="E11418" s="51">
        <f t="shared" si="178"/>
        <v>1</v>
      </c>
    </row>
    <row r="11419" spans="1:5">
      <c r="A11419" s="59">
        <v>25</v>
      </c>
      <c r="B11419" s="59">
        <v>15</v>
      </c>
      <c r="C11419" s="59">
        <v>220</v>
      </c>
      <c r="D11419" s="51">
        <v>3</v>
      </c>
      <c r="E11419" s="51">
        <f t="shared" si="178"/>
        <v>1</v>
      </c>
    </row>
    <row r="11420" spans="1:5">
      <c r="A11420" s="59">
        <v>25</v>
      </c>
      <c r="B11420" s="59">
        <v>15</v>
      </c>
      <c r="C11420" s="59">
        <v>950</v>
      </c>
      <c r="D11420" s="51">
        <v>3</v>
      </c>
      <c r="E11420" s="51">
        <f t="shared" si="178"/>
        <v>1</v>
      </c>
    </row>
    <row r="11421" spans="1:5">
      <c r="A11421" s="59">
        <v>25</v>
      </c>
      <c r="B11421" s="59">
        <v>16</v>
      </c>
      <c r="C11421" s="59">
        <v>530</v>
      </c>
      <c r="D11421" s="51">
        <v>3</v>
      </c>
      <c r="E11421" s="51">
        <f t="shared" si="178"/>
        <v>1</v>
      </c>
    </row>
    <row r="11422" spans="1:5">
      <c r="A11422" s="59">
        <v>25</v>
      </c>
      <c r="B11422" s="59">
        <v>21</v>
      </c>
      <c r="C11422" s="59">
        <v>210</v>
      </c>
      <c r="D11422" s="51">
        <v>3</v>
      </c>
      <c r="E11422" s="51">
        <f t="shared" si="178"/>
        <v>1</v>
      </c>
    </row>
    <row r="11423" spans="1:5">
      <c r="A11423" s="59">
        <v>25</v>
      </c>
      <c r="B11423" s="59">
        <v>22</v>
      </c>
      <c r="C11423" s="59">
        <v>140</v>
      </c>
      <c r="D11423" s="51">
        <v>3</v>
      </c>
      <c r="E11423" s="51">
        <f t="shared" si="178"/>
        <v>1</v>
      </c>
    </row>
    <row r="11424" spans="1:5">
      <c r="A11424" s="59">
        <v>25</v>
      </c>
      <c r="B11424" s="59">
        <v>22</v>
      </c>
      <c r="C11424" s="59">
        <v>930</v>
      </c>
      <c r="D11424" s="51">
        <v>3</v>
      </c>
      <c r="E11424" s="51">
        <f t="shared" si="178"/>
        <v>1</v>
      </c>
    </row>
    <row r="11425" spans="1:5">
      <c r="A11425" s="59">
        <v>25</v>
      </c>
      <c r="B11425" s="59">
        <v>24</v>
      </c>
      <c r="C11425" s="59">
        <v>150</v>
      </c>
      <c r="D11425" s="51">
        <v>3</v>
      </c>
      <c r="E11425" s="51">
        <f t="shared" si="178"/>
        <v>1</v>
      </c>
    </row>
    <row r="11426" spans="1:5">
      <c r="A11426" s="59">
        <v>25</v>
      </c>
      <c r="B11426" s="59">
        <v>32</v>
      </c>
      <c r="C11426" s="59">
        <v>110</v>
      </c>
      <c r="D11426" s="51">
        <v>3</v>
      </c>
      <c r="E11426" s="51">
        <f t="shared" si="178"/>
        <v>1</v>
      </c>
    </row>
    <row r="11427" spans="1:5">
      <c r="A11427" s="59">
        <v>25</v>
      </c>
      <c r="B11427" s="59">
        <v>33</v>
      </c>
      <c r="C11427" s="59">
        <v>910</v>
      </c>
      <c r="D11427" s="51">
        <v>3</v>
      </c>
      <c r="E11427" s="51">
        <f t="shared" si="178"/>
        <v>1</v>
      </c>
    </row>
    <row r="11428" spans="1:5">
      <c r="A11428" s="59">
        <v>25</v>
      </c>
      <c r="B11428" s="59">
        <v>41</v>
      </c>
      <c r="C11428" s="59">
        <v>150</v>
      </c>
      <c r="D11428" s="51">
        <v>3</v>
      </c>
      <c r="E11428" s="51">
        <f t="shared" si="178"/>
        <v>1</v>
      </c>
    </row>
    <row r="11429" spans="1:5">
      <c r="A11429" s="59">
        <v>25</v>
      </c>
      <c r="B11429" s="59">
        <v>42</v>
      </c>
      <c r="C11429" s="59">
        <v>330</v>
      </c>
      <c r="D11429" s="51">
        <v>3</v>
      </c>
      <c r="E11429" s="51">
        <f t="shared" si="178"/>
        <v>1</v>
      </c>
    </row>
    <row r="11430" spans="1:5">
      <c r="A11430" s="59">
        <v>25</v>
      </c>
      <c r="B11430" s="59">
        <v>42</v>
      </c>
      <c r="C11430" s="59">
        <v>510</v>
      </c>
      <c r="D11430" s="51">
        <v>3</v>
      </c>
      <c r="E11430" s="51">
        <f t="shared" si="178"/>
        <v>1</v>
      </c>
    </row>
    <row r="11431" spans="1:5">
      <c r="A11431" s="59">
        <v>25</v>
      </c>
      <c r="B11431" s="59">
        <v>51</v>
      </c>
      <c r="C11431" s="59">
        <v>210</v>
      </c>
      <c r="D11431" s="51">
        <v>3</v>
      </c>
      <c r="E11431" s="51">
        <f t="shared" si="178"/>
        <v>1</v>
      </c>
    </row>
    <row r="11432" spans="1:5">
      <c r="A11432" s="59">
        <v>25</v>
      </c>
      <c r="B11432" s="59">
        <v>63</v>
      </c>
      <c r="C11432" s="59">
        <v>990</v>
      </c>
      <c r="D11432" s="51">
        <v>3</v>
      </c>
      <c r="E11432" s="51">
        <f t="shared" si="178"/>
        <v>1</v>
      </c>
    </row>
    <row r="11433" spans="1:5">
      <c r="A11433" s="59">
        <v>25</v>
      </c>
      <c r="B11433" s="59">
        <v>64</v>
      </c>
      <c r="C11433" s="59">
        <v>540</v>
      </c>
      <c r="D11433" s="51">
        <v>3</v>
      </c>
      <c r="E11433" s="51">
        <f t="shared" si="178"/>
        <v>1</v>
      </c>
    </row>
    <row r="11434" spans="1:5">
      <c r="A11434" s="59">
        <v>25</v>
      </c>
      <c r="B11434" s="59">
        <v>71</v>
      </c>
      <c r="C11434" s="59">
        <v>520</v>
      </c>
      <c r="D11434" s="51">
        <v>3</v>
      </c>
      <c r="E11434" s="51">
        <f t="shared" si="178"/>
        <v>1</v>
      </c>
    </row>
    <row r="11435" spans="1:5">
      <c r="A11435" s="59">
        <v>25</v>
      </c>
      <c r="B11435" s="59">
        <v>71</v>
      </c>
      <c r="C11435" s="59">
        <v>710</v>
      </c>
      <c r="D11435" s="51">
        <v>3</v>
      </c>
      <c r="E11435" s="51">
        <f t="shared" si="178"/>
        <v>1</v>
      </c>
    </row>
    <row r="11436" spans="1:5">
      <c r="A11436" s="59">
        <v>25</v>
      </c>
      <c r="B11436" s="59">
        <v>12</v>
      </c>
      <c r="C11436" s="59">
        <v>150</v>
      </c>
      <c r="D11436" s="51">
        <v>2</v>
      </c>
      <c r="E11436" s="51">
        <f t="shared" si="178"/>
        <v>1</v>
      </c>
    </row>
    <row r="11437" spans="1:5">
      <c r="A11437" s="59">
        <v>25</v>
      </c>
      <c r="B11437" s="59">
        <v>14</v>
      </c>
      <c r="C11437" s="59">
        <v>920</v>
      </c>
      <c r="D11437" s="51">
        <v>2</v>
      </c>
      <c r="E11437" s="51">
        <f t="shared" si="178"/>
        <v>1</v>
      </c>
    </row>
    <row r="11438" spans="1:5">
      <c r="A11438" s="59">
        <v>25</v>
      </c>
      <c r="B11438" s="59">
        <v>14</v>
      </c>
      <c r="C11438" s="59">
        <v>990</v>
      </c>
      <c r="D11438" s="51">
        <v>2</v>
      </c>
      <c r="E11438" s="51">
        <f t="shared" si="178"/>
        <v>1</v>
      </c>
    </row>
    <row r="11439" spans="1:5">
      <c r="A11439" s="59">
        <v>25</v>
      </c>
      <c r="B11439" s="59">
        <v>15</v>
      </c>
      <c r="C11439" s="59">
        <v>230</v>
      </c>
      <c r="D11439" s="51">
        <v>2</v>
      </c>
      <c r="E11439" s="51">
        <f t="shared" si="178"/>
        <v>1</v>
      </c>
    </row>
    <row r="11440" spans="1:5">
      <c r="A11440" s="59">
        <v>25</v>
      </c>
      <c r="B11440" s="59">
        <v>15</v>
      </c>
      <c r="C11440" s="59">
        <v>930</v>
      </c>
      <c r="D11440" s="51">
        <v>2</v>
      </c>
      <c r="E11440" s="51">
        <f t="shared" si="178"/>
        <v>1</v>
      </c>
    </row>
    <row r="11441" spans="1:5">
      <c r="A11441" s="59">
        <v>25</v>
      </c>
      <c r="B11441" s="59">
        <v>16</v>
      </c>
      <c r="C11441" s="59">
        <v>220</v>
      </c>
      <c r="D11441" s="51">
        <v>2</v>
      </c>
      <c r="E11441" s="51">
        <f t="shared" si="178"/>
        <v>1</v>
      </c>
    </row>
    <row r="11442" spans="1:5">
      <c r="A11442" s="59">
        <v>25</v>
      </c>
      <c r="B11442" s="59">
        <v>16</v>
      </c>
      <c r="C11442" s="59">
        <v>950</v>
      </c>
      <c r="D11442" s="51">
        <v>2</v>
      </c>
      <c r="E11442" s="51">
        <f t="shared" si="178"/>
        <v>1</v>
      </c>
    </row>
    <row r="11443" spans="1:5">
      <c r="A11443" s="59">
        <v>25</v>
      </c>
      <c r="B11443" s="59">
        <v>16</v>
      </c>
      <c r="C11443" s="59">
        <v>990</v>
      </c>
      <c r="D11443" s="51">
        <v>2</v>
      </c>
      <c r="E11443" s="51">
        <f t="shared" si="178"/>
        <v>1</v>
      </c>
    </row>
    <row r="11444" spans="1:5">
      <c r="A11444" s="59">
        <v>25</v>
      </c>
      <c r="B11444" s="59">
        <v>21</v>
      </c>
      <c r="C11444" s="59">
        <v>110</v>
      </c>
      <c r="D11444" s="51">
        <v>2</v>
      </c>
      <c r="E11444" s="51">
        <f t="shared" si="178"/>
        <v>1</v>
      </c>
    </row>
    <row r="11445" spans="1:5">
      <c r="A11445" s="59">
        <v>25</v>
      </c>
      <c r="B11445" s="59">
        <v>21</v>
      </c>
      <c r="C11445" s="59">
        <v>220</v>
      </c>
      <c r="D11445" s="51">
        <v>2</v>
      </c>
      <c r="E11445" s="51">
        <f t="shared" si="178"/>
        <v>1</v>
      </c>
    </row>
    <row r="11446" spans="1:5">
      <c r="A11446" s="59">
        <v>25</v>
      </c>
      <c r="B11446" s="59">
        <v>21</v>
      </c>
      <c r="C11446" s="59">
        <v>230</v>
      </c>
      <c r="D11446" s="51">
        <v>2</v>
      </c>
      <c r="E11446" s="51">
        <f t="shared" si="178"/>
        <v>1</v>
      </c>
    </row>
    <row r="11447" spans="1:5">
      <c r="A11447" s="59">
        <v>25</v>
      </c>
      <c r="B11447" s="59">
        <v>21</v>
      </c>
      <c r="C11447" s="59">
        <v>910</v>
      </c>
      <c r="D11447" s="51">
        <v>2</v>
      </c>
      <c r="E11447" s="51">
        <f t="shared" si="178"/>
        <v>1</v>
      </c>
    </row>
    <row r="11448" spans="1:5">
      <c r="A11448" s="59">
        <v>25</v>
      </c>
      <c r="B11448" s="59">
        <v>22</v>
      </c>
      <c r="C11448" s="59">
        <v>510</v>
      </c>
      <c r="D11448" s="51">
        <v>2</v>
      </c>
      <c r="E11448" s="51">
        <f t="shared" si="178"/>
        <v>1</v>
      </c>
    </row>
    <row r="11449" spans="1:5">
      <c r="A11449" s="59">
        <v>25</v>
      </c>
      <c r="B11449" s="59">
        <v>23</v>
      </c>
      <c r="C11449" s="59">
        <v>230</v>
      </c>
      <c r="D11449" s="51">
        <v>2</v>
      </c>
      <c r="E11449" s="51">
        <f t="shared" si="178"/>
        <v>1</v>
      </c>
    </row>
    <row r="11450" spans="1:5">
      <c r="A11450" s="59">
        <v>25</v>
      </c>
      <c r="B11450" s="59">
        <v>32</v>
      </c>
      <c r="C11450" s="59">
        <v>220</v>
      </c>
      <c r="D11450" s="51">
        <v>2</v>
      </c>
      <c r="E11450" s="51">
        <f t="shared" si="178"/>
        <v>1</v>
      </c>
    </row>
    <row r="11451" spans="1:5">
      <c r="A11451" s="59">
        <v>25</v>
      </c>
      <c r="B11451" s="59">
        <v>32</v>
      </c>
      <c r="C11451" s="59">
        <v>410</v>
      </c>
      <c r="D11451" s="51">
        <v>2</v>
      </c>
      <c r="E11451" s="51">
        <f t="shared" si="178"/>
        <v>1</v>
      </c>
    </row>
    <row r="11452" spans="1:5">
      <c r="A11452" s="59">
        <v>25</v>
      </c>
      <c r="B11452" s="59">
        <v>41</v>
      </c>
      <c r="C11452" s="59">
        <v>220</v>
      </c>
      <c r="D11452" s="51">
        <v>2</v>
      </c>
      <c r="E11452" s="51">
        <f t="shared" si="178"/>
        <v>1</v>
      </c>
    </row>
    <row r="11453" spans="1:5">
      <c r="A11453" s="59">
        <v>25</v>
      </c>
      <c r="B11453" s="59">
        <v>41</v>
      </c>
      <c r="C11453" s="59">
        <v>430</v>
      </c>
      <c r="D11453" s="51">
        <v>2</v>
      </c>
      <c r="E11453" s="51">
        <f t="shared" si="178"/>
        <v>1</v>
      </c>
    </row>
    <row r="11454" spans="1:5">
      <c r="A11454" s="59">
        <v>25</v>
      </c>
      <c r="B11454" s="59">
        <v>41</v>
      </c>
      <c r="C11454" s="59">
        <v>990</v>
      </c>
      <c r="D11454" s="51">
        <v>2</v>
      </c>
      <c r="E11454" s="51">
        <f t="shared" si="178"/>
        <v>1</v>
      </c>
    </row>
    <row r="11455" spans="1:5">
      <c r="A11455" s="59">
        <v>25</v>
      </c>
      <c r="B11455" s="59">
        <v>42</v>
      </c>
      <c r="C11455" s="59">
        <v>610</v>
      </c>
      <c r="D11455" s="51">
        <v>2</v>
      </c>
      <c r="E11455" s="51">
        <f t="shared" si="178"/>
        <v>1</v>
      </c>
    </row>
    <row r="11456" spans="1:5">
      <c r="A11456" s="59">
        <v>25</v>
      </c>
      <c r="B11456" s="59">
        <v>43</v>
      </c>
      <c r="C11456" s="59">
        <v>410</v>
      </c>
      <c r="D11456" s="51">
        <v>2</v>
      </c>
      <c r="E11456" s="51">
        <f t="shared" si="178"/>
        <v>1</v>
      </c>
    </row>
    <row r="11457" spans="1:5">
      <c r="A11457" s="59">
        <v>25</v>
      </c>
      <c r="B11457" s="59">
        <v>43</v>
      </c>
      <c r="C11457" s="59">
        <v>420</v>
      </c>
      <c r="D11457" s="51">
        <v>2</v>
      </c>
      <c r="E11457" s="51">
        <f t="shared" si="178"/>
        <v>1</v>
      </c>
    </row>
    <row r="11458" spans="1:5">
      <c r="A11458" s="59">
        <v>25</v>
      </c>
      <c r="B11458" s="59">
        <v>43</v>
      </c>
      <c r="C11458" s="59">
        <v>950</v>
      </c>
      <c r="D11458" s="51">
        <v>2</v>
      </c>
      <c r="E11458" s="51">
        <f t="shared" ref="E11458:E11521" si="179">IF(OR(A11458=6,A11458=7,A11458=14,A11458=15,A11458=16,A11458=17,A11458=18,A11458=19,A11458=20,A11458=21,A11458=22,A11458=23,A11458=25,A11458=26,A11458=27,A11458=28,B11458=41,B11458=44,B11458=62),1,0)</f>
        <v>1</v>
      </c>
    </row>
    <row r="11459" spans="1:5">
      <c r="A11459" s="59">
        <v>25</v>
      </c>
      <c r="B11459" s="59">
        <v>43</v>
      </c>
      <c r="C11459" s="59">
        <v>970</v>
      </c>
      <c r="D11459" s="51">
        <v>2</v>
      </c>
      <c r="E11459" s="51">
        <f t="shared" si="179"/>
        <v>1</v>
      </c>
    </row>
    <row r="11460" spans="1:5">
      <c r="A11460" s="59">
        <v>25</v>
      </c>
      <c r="B11460" s="59">
        <v>44</v>
      </c>
      <c r="C11460" s="59">
        <v>240</v>
      </c>
      <c r="D11460" s="51">
        <v>2</v>
      </c>
      <c r="E11460" s="51">
        <f t="shared" si="179"/>
        <v>1</v>
      </c>
    </row>
    <row r="11461" spans="1:5">
      <c r="A11461" s="59">
        <v>25</v>
      </c>
      <c r="B11461" s="59">
        <v>44</v>
      </c>
      <c r="C11461" s="59">
        <v>540</v>
      </c>
      <c r="D11461" s="51">
        <v>2</v>
      </c>
      <c r="E11461" s="51">
        <f t="shared" si="179"/>
        <v>1</v>
      </c>
    </row>
    <row r="11462" spans="1:5">
      <c r="A11462" s="59">
        <v>25</v>
      </c>
      <c r="B11462" s="59">
        <v>44</v>
      </c>
      <c r="C11462" s="59">
        <v>610</v>
      </c>
      <c r="D11462" s="51">
        <v>2</v>
      </c>
      <c r="E11462" s="51">
        <f t="shared" si="179"/>
        <v>1</v>
      </c>
    </row>
    <row r="11463" spans="1:5">
      <c r="A11463" s="59">
        <v>25</v>
      </c>
      <c r="B11463" s="59">
        <v>62</v>
      </c>
      <c r="C11463" s="59">
        <v>430</v>
      </c>
      <c r="D11463" s="51">
        <v>2</v>
      </c>
      <c r="E11463" s="51">
        <f t="shared" si="179"/>
        <v>1</v>
      </c>
    </row>
    <row r="11464" spans="1:5">
      <c r="A11464" s="59">
        <v>25</v>
      </c>
      <c r="B11464" s="59">
        <v>62</v>
      </c>
      <c r="C11464" s="59">
        <v>710</v>
      </c>
      <c r="D11464" s="51">
        <v>2</v>
      </c>
      <c r="E11464" s="51">
        <f t="shared" si="179"/>
        <v>1</v>
      </c>
    </row>
    <row r="11465" spans="1:5">
      <c r="A11465" s="59">
        <v>25</v>
      </c>
      <c r="B11465" s="59">
        <v>62</v>
      </c>
      <c r="C11465" s="59">
        <v>940</v>
      </c>
      <c r="D11465" s="51">
        <v>2</v>
      </c>
      <c r="E11465" s="51">
        <f t="shared" si="179"/>
        <v>1</v>
      </c>
    </row>
    <row r="11466" spans="1:5">
      <c r="A11466" s="59">
        <v>25</v>
      </c>
      <c r="B11466" s="59">
        <v>63</v>
      </c>
      <c r="C11466" s="59">
        <v>220</v>
      </c>
      <c r="D11466" s="51">
        <v>2</v>
      </c>
      <c r="E11466" s="51">
        <f t="shared" si="179"/>
        <v>1</v>
      </c>
    </row>
    <row r="11467" spans="1:5">
      <c r="A11467" s="59">
        <v>25</v>
      </c>
      <c r="B11467" s="59">
        <v>63</v>
      </c>
      <c r="C11467" s="59">
        <v>540</v>
      </c>
      <c r="D11467" s="51">
        <v>2</v>
      </c>
      <c r="E11467" s="51">
        <f t="shared" si="179"/>
        <v>1</v>
      </c>
    </row>
    <row r="11468" spans="1:5">
      <c r="A11468" s="59">
        <v>25</v>
      </c>
      <c r="B11468" s="59">
        <v>63</v>
      </c>
      <c r="C11468" s="59">
        <v>950</v>
      </c>
      <c r="D11468" s="51">
        <v>2</v>
      </c>
      <c r="E11468" s="51">
        <f t="shared" si="179"/>
        <v>1</v>
      </c>
    </row>
    <row r="11469" spans="1:5">
      <c r="A11469" s="59">
        <v>25</v>
      </c>
      <c r="B11469" s="59">
        <v>64</v>
      </c>
      <c r="C11469" s="59">
        <v>320</v>
      </c>
      <c r="D11469" s="51">
        <v>2</v>
      </c>
      <c r="E11469" s="51">
        <f t="shared" si="179"/>
        <v>1</v>
      </c>
    </row>
    <row r="11470" spans="1:5">
      <c r="A11470" s="59">
        <v>25</v>
      </c>
      <c r="B11470" s="59">
        <v>64</v>
      </c>
      <c r="C11470" s="59">
        <v>410</v>
      </c>
      <c r="D11470" s="51">
        <v>2</v>
      </c>
      <c r="E11470" s="51">
        <f t="shared" si="179"/>
        <v>1</v>
      </c>
    </row>
    <row r="11471" spans="1:5">
      <c r="A11471" s="59">
        <v>25</v>
      </c>
      <c r="B11471" s="59">
        <v>64</v>
      </c>
      <c r="C11471" s="59">
        <v>550</v>
      </c>
      <c r="D11471" s="51">
        <v>2</v>
      </c>
      <c r="E11471" s="51">
        <f t="shared" si="179"/>
        <v>1</v>
      </c>
    </row>
    <row r="11472" spans="1:5">
      <c r="A11472" s="59">
        <v>25</v>
      </c>
      <c r="B11472" s="59">
        <v>64</v>
      </c>
      <c r="C11472" s="59">
        <v>970</v>
      </c>
      <c r="D11472" s="51">
        <v>2</v>
      </c>
      <c r="E11472" s="51">
        <f t="shared" si="179"/>
        <v>1</v>
      </c>
    </row>
    <row r="11473" spans="1:5">
      <c r="A11473" s="59">
        <v>25</v>
      </c>
      <c r="B11473" s="59">
        <v>71</v>
      </c>
      <c r="C11473" s="59">
        <v>330</v>
      </c>
      <c r="D11473" s="51">
        <v>2</v>
      </c>
      <c r="E11473" s="51">
        <f t="shared" si="179"/>
        <v>1</v>
      </c>
    </row>
    <row r="11474" spans="1:5">
      <c r="A11474" s="59">
        <v>25</v>
      </c>
      <c r="B11474" s="59">
        <v>71</v>
      </c>
      <c r="C11474" s="59">
        <v>990</v>
      </c>
      <c r="D11474" s="51">
        <v>2</v>
      </c>
      <c r="E11474" s="51">
        <f t="shared" si="179"/>
        <v>1</v>
      </c>
    </row>
    <row r="11475" spans="1:5">
      <c r="A11475" s="59">
        <v>25</v>
      </c>
      <c r="B11475" s="59">
        <v>81</v>
      </c>
      <c r="C11475" s="59">
        <v>540</v>
      </c>
      <c r="D11475" s="51">
        <v>2</v>
      </c>
      <c r="E11475" s="51">
        <f t="shared" si="179"/>
        <v>1</v>
      </c>
    </row>
    <row r="11476" spans="1:5">
      <c r="A11476" s="59">
        <v>25</v>
      </c>
      <c r="B11476" s="59">
        <v>11</v>
      </c>
      <c r="C11476" s="59">
        <v>110</v>
      </c>
      <c r="D11476" s="51">
        <v>1</v>
      </c>
      <c r="E11476" s="51">
        <f t="shared" si="179"/>
        <v>1</v>
      </c>
    </row>
    <row r="11477" spans="1:5">
      <c r="A11477" s="59">
        <v>25</v>
      </c>
      <c r="B11477" s="59">
        <v>11</v>
      </c>
      <c r="C11477" s="59">
        <v>240</v>
      </c>
      <c r="D11477" s="51">
        <v>1</v>
      </c>
      <c r="E11477" s="51">
        <f t="shared" si="179"/>
        <v>1</v>
      </c>
    </row>
    <row r="11478" spans="1:5">
      <c r="A11478" s="59">
        <v>25</v>
      </c>
      <c r="B11478" s="59">
        <v>11</v>
      </c>
      <c r="C11478" s="59">
        <v>720</v>
      </c>
      <c r="D11478" s="51">
        <v>1</v>
      </c>
      <c r="E11478" s="51">
        <f t="shared" si="179"/>
        <v>1</v>
      </c>
    </row>
    <row r="11479" spans="1:5">
      <c r="A11479" s="59">
        <v>25</v>
      </c>
      <c r="B11479" s="59">
        <v>11</v>
      </c>
      <c r="C11479" s="59">
        <v>910</v>
      </c>
      <c r="D11479" s="51">
        <v>1</v>
      </c>
      <c r="E11479" s="51">
        <f t="shared" si="179"/>
        <v>1</v>
      </c>
    </row>
    <row r="11480" spans="1:5">
      <c r="A11480" s="59">
        <v>25</v>
      </c>
      <c r="B11480" s="59">
        <v>13</v>
      </c>
      <c r="C11480" s="59">
        <v>140</v>
      </c>
      <c r="D11480" s="51">
        <v>1</v>
      </c>
      <c r="E11480" s="51">
        <f t="shared" si="179"/>
        <v>1</v>
      </c>
    </row>
    <row r="11481" spans="1:5">
      <c r="A11481" s="59">
        <v>25</v>
      </c>
      <c r="B11481" s="59">
        <v>13</v>
      </c>
      <c r="C11481" s="59">
        <v>420</v>
      </c>
      <c r="D11481" s="51">
        <v>1</v>
      </c>
      <c r="E11481" s="51">
        <f t="shared" si="179"/>
        <v>1</v>
      </c>
    </row>
    <row r="11482" spans="1:5">
      <c r="A11482" s="59">
        <v>25</v>
      </c>
      <c r="B11482" s="59">
        <v>14</v>
      </c>
      <c r="C11482" s="59">
        <v>410</v>
      </c>
      <c r="D11482" s="51">
        <v>1</v>
      </c>
      <c r="E11482" s="51">
        <f t="shared" si="179"/>
        <v>1</v>
      </c>
    </row>
    <row r="11483" spans="1:5">
      <c r="A11483" s="59">
        <v>25</v>
      </c>
      <c r="B11483" s="59">
        <v>14</v>
      </c>
      <c r="C11483" s="59">
        <v>420</v>
      </c>
      <c r="D11483" s="51">
        <v>1</v>
      </c>
      <c r="E11483" s="51">
        <f t="shared" si="179"/>
        <v>1</v>
      </c>
    </row>
    <row r="11484" spans="1:5">
      <c r="A11484" s="59">
        <v>25</v>
      </c>
      <c r="B11484" s="59">
        <v>14</v>
      </c>
      <c r="C11484" s="59">
        <v>520</v>
      </c>
      <c r="D11484" s="51">
        <v>1</v>
      </c>
      <c r="E11484" s="51">
        <f t="shared" si="179"/>
        <v>1</v>
      </c>
    </row>
    <row r="11485" spans="1:5">
      <c r="A11485" s="59">
        <v>25</v>
      </c>
      <c r="B11485" s="59">
        <v>14</v>
      </c>
      <c r="C11485" s="59">
        <v>610</v>
      </c>
      <c r="D11485" s="51">
        <v>1</v>
      </c>
      <c r="E11485" s="51">
        <f t="shared" si="179"/>
        <v>1</v>
      </c>
    </row>
    <row r="11486" spans="1:5">
      <c r="A11486" s="59">
        <v>25</v>
      </c>
      <c r="B11486" s="59">
        <v>14</v>
      </c>
      <c r="C11486" s="59">
        <v>620</v>
      </c>
      <c r="D11486" s="51">
        <v>1</v>
      </c>
      <c r="E11486" s="51">
        <f t="shared" si="179"/>
        <v>1</v>
      </c>
    </row>
    <row r="11487" spans="1:5">
      <c r="A11487" s="59">
        <v>25</v>
      </c>
      <c r="B11487" s="59">
        <v>14</v>
      </c>
      <c r="C11487" s="59">
        <v>750</v>
      </c>
      <c r="D11487" s="51">
        <v>1</v>
      </c>
      <c r="E11487" s="51">
        <f t="shared" si="179"/>
        <v>1</v>
      </c>
    </row>
    <row r="11488" spans="1:5">
      <c r="A11488" s="59">
        <v>25</v>
      </c>
      <c r="B11488" s="59">
        <v>15</v>
      </c>
      <c r="C11488" s="59">
        <v>120</v>
      </c>
      <c r="D11488" s="51">
        <v>1</v>
      </c>
      <c r="E11488" s="51">
        <f t="shared" si="179"/>
        <v>1</v>
      </c>
    </row>
    <row r="11489" spans="1:5">
      <c r="A11489" s="59">
        <v>25</v>
      </c>
      <c r="B11489" s="59">
        <v>15</v>
      </c>
      <c r="C11489" s="59">
        <v>530</v>
      </c>
      <c r="D11489" s="51">
        <v>1</v>
      </c>
      <c r="E11489" s="51">
        <f t="shared" si="179"/>
        <v>1</v>
      </c>
    </row>
    <row r="11490" spans="1:5">
      <c r="A11490" s="59">
        <v>25</v>
      </c>
      <c r="B11490" s="59">
        <v>16</v>
      </c>
      <c r="C11490" s="59">
        <v>420</v>
      </c>
      <c r="D11490" s="51">
        <v>1</v>
      </c>
      <c r="E11490" s="51">
        <f t="shared" si="179"/>
        <v>1</v>
      </c>
    </row>
    <row r="11491" spans="1:5">
      <c r="A11491" s="59">
        <v>25</v>
      </c>
      <c r="B11491" s="59">
        <v>16</v>
      </c>
      <c r="C11491" s="59">
        <v>930</v>
      </c>
      <c r="D11491" s="51">
        <v>1</v>
      </c>
      <c r="E11491" s="51">
        <f t="shared" si="179"/>
        <v>1</v>
      </c>
    </row>
    <row r="11492" spans="1:5">
      <c r="A11492" s="59">
        <v>25</v>
      </c>
      <c r="B11492" s="59">
        <v>21</v>
      </c>
      <c r="C11492" s="59">
        <v>140</v>
      </c>
      <c r="D11492" s="51">
        <v>1</v>
      </c>
      <c r="E11492" s="51">
        <f t="shared" si="179"/>
        <v>1</v>
      </c>
    </row>
    <row r="11493" spans="1:5">
      <c r="A11493" s="59">
        <v>25</v>
      </c>
      <c r="B11493" s="59">
        <v>21</v>
      </c>
      <c r="C11493" s="59">
        <v>310</v>
      </c>
      <c r="D11493" s="51">
        <v>1</v>
      </c>
      <c r="E11493" s="51">
        <f t="shared" si="179"/>
        <v>1</v>
      </c>
    </row>
    <row r="11494" spans="1:5">
      <c r="A11494" s="59">
        <v>25</v>
      </c>
      <c r="B11494" s="59">
        <v>22</v>
      </c>
      <c r="C11494" s="59">
        <v>430</v>
      </c>
      <c r="D11494" s="51">
        <v>1</v>
      </c>
      <c r="E11494" s="51">
        <f t="shared" si="179"/>
        <v>1</v>
      </c>
    </row>
    <row r="11495" spans="1:5">
      <c r="A11495" s="59">
        <v>25</v>
      </c>
      <c r="B11495" s="59">
        <v>22</v>
      </c>
      <c r="C11495" s="59">
        <v>610</v>
      </c>
      <c r="D11495" s="51">
        <v>1</v>
      </c>
      <c r="E11495" s="51">
        <f t="shared" si="179"/>
        <v>1</v>
      </c>
    </row>
    <row r="11496" spans="1:5">
      <c r="A11496" s="59">
        <v>25</v>
      </c>
      <c r="B11496" s="59">
        <v>23</v>
      </c>
      <c r="C11496" s="59">
        <v>110</v>
      </c>
      <c r="D11496" s="51">
        <v>1</v>
      </c>
      <c r="E11496" s="51">
        <f t="shared" si="179"/>
        <v>1</v>
      </c>
    </row>
    <row r="11497" spans="1:5">
      <c r="A11497" s="59">
        <v>25</v>
      </c>
      <c r="B11497" s="59">
        <v>23</v>
      </c>
      <c r="C11497" s="59">
        <v>150</v>
      </c>
      <c r="D11497" s="51">
        <v>1</v>
      </c>
      <c r="E11497" s="51">
        <f t="shared" si="179"/>
        <v>1</v>
      </c>
    </row>
    <row r="11498" spans="1:5">
      <c r="A11498" s="59">
        <v>25</v>
      </c>
      <c r="B11498" s="59">
        <v>23</v>
      </c>
      <c r="C11498" s="59">
        <v>220</v>
      </c>
      <c r="D11498" s="51">
        <v>1</v>
      </c>
      <c r="E11498" s="51">
        <f t="shared" si="179"/>
        <v>1</v>
      </c>
    </row>
    <row r="11499" spans="1:5">
      <c r="A11499" s="59">
        <v>25</v>
      </c>
      <c r="B11499" s="59">
        <v>24</v>
      </c>
      <c r="C11499" s="59">
        <v>160</v>
      </c>
      <c r="D11499" s="51">
        <v>1</v>
      </c>
      <c r="E11499" s="51">
        <f t="shared" si="179"/>
        <v>1</v>
      </c>
    </row>
    <row r="11500" spans="1:5">
      <c r="A11500" s="59">
        <v>25</v>
      </c>
      <c r="B11500" s="59">
        <v>31</v>
      </c>
      <c r="C11500" s="59">
        <v>430</v>
      </c>
      <c r="D11500" s="51">
        <v>1</v>
      </c>
      <c r="E11500" s="51">
        <f t="shared" si="179"/>
        <v>1</v>
      </c>
    </row>
    <row r="11501" spans="1:5">
      <c r="A11501" s="59">
        <v>25</v>
      </c>
      <c r="B11501" s="59">
        <v>32</v>
      </c>
      <c r="C11501" s="59">
        <v>150</v>
      </c>
      <c r="D11501" s="51">
        <v>1</v>
      </c>
      <c r="E11501" s="51">
        <f t="shared" si="179"/>
        <v>1</v>
      </c>
    </row>
    <row r="11502" spans="1:5">
      <c r="A11502" s="59">
        <v>25</v>
      </c>
      <c r="B11502" s="59">
        <v>32</v>
      </c>
      <c r="C11502" s="59">
        <v>310</v>
      </c>
      <c r="D11502" s="51">
        <v>1</v>
      </c>
      <c r="E11502" s="51">
        <f t="shared" si="179"/>
        <v>1</v>
      </c>
    </row>
    <row r="11503" spans="1:5">
      <c r="A11503" s="59">
        <v>25</v>
      </c>
      <c r="B11503" s="59">
        <v>32</v>
      </c>
      <c r="C11503" s="59">
        <v>510</v>
      </c>
      <c r="D11503" s="51">
        <v>1</v>
      </c>
      <c r="E11503" s="51">
        <f t="shared" si="179"/>
        <v>1</v>
      </c>
    </row>
    <row r="11504" spans="1:5">
      <c r="A11504" s="59">
        <v>25</v>
      </c>
      <c r="B11504" s="59">
        <v>32</v>
      </c>
      <c r="C11504" s="59">
        <v>620</v>
      </c>
      <c r="D11504" s="51">
        <v>1</v>
      </c>
      <c r="E11504" s="51">
        <f t="shared" si="179"/>
        <v>1</v>
      </c>
    </row>
    <row r="11505" spans="1:5">
      <c r="A11505" s="59">
        <v>25</v>
      </c>
      <c r="B11505" s="59">
        <v>32</v>
      </c>
      <c r="C11505" s="59">
        <v>930</v>
      </c>
      <c r="D11505" s="51">
        <v>1</v>
      </c>
      <c r="E11505" s="51">
        <f t="shared" si="179"/>
        <v>1</v>
      </c>
    </row>
    <row r="11506" spans="1:5">
      <c r="A11506" s="59">
        <v>25</v>
      </c>
      <c r="B11506" s="59">
        <v>32</v>
      </c>
      <c r="C11506" s="59">
        <v>970</v>
      </c>
      <c r="D11506" s="51">
        <v>1</v>
      </c>
      <c r="E11506" s="51">
        <f t="shared" si="179"/>
        <v>1</v>
      </c>
    </row>
    <row r="11507" spans="1:5">
      <c r="A11507" s="59">
        <v>25</v>
      </c>
      <c r="B11507" s="59">
        <v>33</v>
      </c>
      <c r="C11507" s="59">
        <v>210</v>
      </c>
      <c r="D11507" s="51">
        <v>1</v>
      </c>
      <c r="E11507" s="51">
        <f t="shared" si="179"/>
        <v>1</v>
      </c>
    </row>
    <row r="11508" spans="1:5">
      <c r="A11508" s="59">
        <v>25</v>
      </c>
      <c r="B11508" s="59">
        <v>33</v>
      </c>
      <c r="C11508" s="59">
        <v>230</v>
      </c>
      <c r="D11508" s="51">
        <v>1</v>
      </c>
      <c r="E11508" s="51">
        <f t="shared" si="179"/>
        <v>1</v>
      </c>
    </row>
    <row r="11509" spans="1:5">
      <c r="A11509" s="59">
        <v>25</v>
      </c>
      <c r="B11509" s="59">
        <v>33</v>
      </c>
      <c r="C11509" s="59">
        <v>320</v>
      </c>
      <c r="D11509" s="51">
        <v>1</v>
      </c>
      <c r="E11509" s="51">
        <f t="shared" si="179"/>
        <v>1</v>
      </c>
    </row>
    <row r="11510" spans="1:5">
      <c r="A11510" s="59">
        <v>25</v>
      </c>
      <c r="B11510" s="59">
        <v>33</v>
      </c>
      <c r="C11510" s="59">
        <v>410</v>
      </c>
      <c r="D11510" s="51">
        <v>1</v>
      </c>
      <c r="E11510" s="51">
        <f t="shared" si="179"/>
        <v>1</v>
      </c>
    </row>
    <row r="11511" spans="1:5">
      <c r="A11511" s="59">
        <v>25</v>
      </c>
      <c r="B11511" s="59">
        <v>33</v>
      </c>
      <c r="C11511" s="59">
        <v>420</v>
      </c>
      <c r="D11511" s="51">
        <v>1</v>
      </c>
      <c r="E11511" s="51">
        <f t="shared" si="179"/>
        <v>1</v>
      </c>
    </row>
    <row r="11512" spans="1:5">
      <c r="A11512" s="59">
        <v>25</v>
      </c>
      <c r="B11512" s="59">
        <v>33</v>
      </c>
      <c r="C11512" s="59">
        <v>620</v>
      </c>
      <c r="D11512" s="51">
        <v>1</v>
      </c>
      <c r="E11512" s="51">
        <f t="shared" si="179"/>
        <v>1</v>
      </c>
    </row>
    <row r="11513" spans="1:5">
      <c r="A11513" s="59">
        <v>25</v>
      </c>
      <c r="B11513" s="59">
        <v>41</v>
      </c>
      <c r="C11513" s="59">
        <v>240</v>
      </c>
      <c r="D11513" s="51">
        <v>1</v>
      </c>
      <c r="E11513" s="51">
        <f t="shared" si="179"/>
        <v>1</v>
      </c>
    </row>
    <row r="11514" spans="1:5">
      <c r="A11514" s="59">
        <v>25</v>
      </c>
      <c r="B11514" s="59">
        <v>41</v>
      </c>
      <c r="C11514" s="59">
        <v>310</v>
      </c>
      <c r="D11514" s="51">
        <v>1</v>
      </c>
      <c r="E11514" s="51">
        <f t="shared" si="179"/>
        <v>1</v>
      </c>
    </row>
    <row r="11515" spans="1:5">
      <c r="A11515" s="59">
        <v>25</v>
      </c>
      <c r="B11515" s="59">
        <v>41</v>
      </c>
      <c r="C11515" s="59">
        <v>610</v>
      </c>
      <c r="D11515" s="51">
        <v>1</v>
      </c>
      <c r="E11515" s="51">
        <f t="shared" si="179"/>
        <v>1</v>
      </c>
    </row>
    <row r="11516" spans="1:5">
      <c r="A11516" s="59">
        <v>25</v>
      </c>
      <c r="B11516" s="59">
        <v>42</v>
      </c>
      <c r="C11516" s="59">
        <v>150</v>
      </c>
      <c r="D11516" s="51">
        <v>1</v>
      </c>
      <c r="E11516" s="51">
        <f t="shared" si="179"/>
        <v>1</v>
      </c>
    </row>
    <row r="11517" spans="1:5">
      <c r="A11517" s="59">
        <v>25</v>
      </c>
      <c r="B11517" s="59">
        <v>42</v>
      </c>
      <c r="C11517" s="59">
        <v>230</v>
      </c>
      <c r="D11517" s="51">
        <v>1</v>
      </c>
      <c r="E11517" s="51">
        <f t="shared" si="179"/>
        <v>1</v>
      </c>
    </row>
    <row r="11518" spans="1:5">
      <c r="A11518" s="59">
        <v>25</v>
      </c>
      <c r="B11518" s="59">
        <v>42</v>
      </c>
      <c r="C11518" s="59">
        <v>730</v>
      </c>
      <c r="D11518" s="51">
        <v>1</v>
      </c>
      <c r="E11518" s="51">
        <f t="shared" si="179"/>
        <v>1</v>
      </c>
    </row>
    <row r="11519" spans="1:5">
      <c r="A11519" s="59">
        <v>25</v>
      </c>
      <c r="B11519" s="59">
        <v>43</v>
      </c>
      <c r="C11519" s="59">
        <v>140</v>
      </c>
      <c r="D11519" s="51">
        <v>1</v>
      </c>
      <c r="E11519" s="51">
        <f t="shared" si="179"/>
        <v>1</v>
      </c>
    </row>
    <row r="11520" spans="1:5">
      <c r="A11520" s="59">
        <v>25</v>
      </c>
      <c r="B11520" s="59">
        <v>43</v>
      </c>
      <c r="C11520" s="59">
        <v>550</v>
      </c>
      <c r="D11520" s="51">
        <v>1</v>
      </c>
      <c r="E11520" s="51">
        <f t="shared" si="179"/>
        <v>1</v>
      </c>
    </row>
    <row r="11521" spans="1:5">
      <c r="A11521" s="59">
        <v>25</v>
      </c>
      <c r="B11521" s="59">
        <v>43</v>
      </c>
      <c r="C11521" s="59">
        <v>630</v>
      </c>
      <c r="D11521" s="51">
        <v>1</v>
      </c>
      <c r="E11521" s="51">
        <f t="shared" si="179"/>
        <v>1</v>
      </c>
    </row>
    <row r="11522" spans="1:5">
      <c r="A11522" s="59">
        <v>25</v>
      </c>
      <c r="B11522" s="59">
        <v>44</v>
      </c>
      <c r="C11522" s="59">
        <v>220</v>
      </c>
      <c r="D11522" s="51">
        <v>1</v>
      </c>
      <c r="E11522" s="51">
        <f t="shared" ref="E11522:E11585" si="180">IF(OR(A11522=6,A11522=7,A11522=14,A11522=15,A11522=16,A11522=17,A11522=18,A11522=19,A11522=20,A11522=21,A11522=22,A11522=23,A11522=25,A11522=26,A11522=27,A11522=28,B11522=41,B11522=44,B11522=62),1,0)</f>
        <v>1</v>
      </c>
    </row>
    <row r="11523" spans="1:5">
      <c r="A11523" s="59">
        <v>25</v>
      </c>
      <c r="B11523" s="59">
        <v>44</v>
      </c>
      <c r="C11523" s="59">
        <v>330</v>
      </c>
      <c r="D11523" s="51">
        <v>1</v>
      </c>
      <c r="E11523" s="51">
        <f t="shared" si="180"/>
        <v>1</v>
      </c>
    </row>
    <row r="11524" spans="1:5">
      <c r="A11524" s="59">
        <v>25</v>
      </c>
      <c r="B11524" s="59">
        <v>44</v>
      </c>
      <c r="C11524" s="59">
        <v>410</v>
      </c>
      <c r="D11524" s="51">
        <v>1</v>
      </c>
      <c r="E11524" s="51">
        <f t="shared" si="180"/>
        <v>1</v>
      </c>
    </row>
    <row r="11525" spans="1:5">
      <c r="A11525" s="59">
        <v>25</v>
      </c>
      <c r="B11525" s="59">
        <v>44</v>
      </c>
      <c r="C11525" s="59">
        <v>520</v>
      </c>
      <c r="D11525" s="51">
        <v>1</v>
      </c>
      <c r="E11525" s="51">
        <f t="shared" si="180"/>
        <v>1</v>
      </c>
    </row>
    <row r="11526" spans="1:5">
      <c r="A11526" s="59">
        <v>25</v>
      </c>
      <c r="B11526" s="59">
        <v>44</v>
      </c>
      <c r="C11526" s="59">
        <v>630</v>
      </c>
      <c r="D11526" s="51">
        <v>1</v>
      </c>
      <c r="E11526" s="51">
        <f t="shared" si="180"/>
        <v>1</v>
      </c>
    </row>
    <row r="11527" spans="1:5">
      <c r="A11527" s="59">
        <v>25</v>
      </c>
      <c r="B11527" s="59">
        <v>44</v>
      </c>
      <c r="C11527" s="59">
        <v>710</v>
      </c>
      <c r="D11527" s="51">
        <v>1</v>
      </c>
      <c r="E11527" s="51">
        <f t="shared" si="180"/>
        <v>1</v>
      </c>
    </row>
    <row r="11528" spans="1:5">
      <c r="A11528" s="59">
        <v>25</v>
      </c>
      <c r="B11528" s="59">
        <v>44</v>
      </c>
      <c r="C11528" s="59">
        <v>840</v>
      </c>
      <c r="D11528" s="51">
        <v>1</v>
      </c>
      <c r="E11528" s="51">
        <f t="shared" si="180"/>
        <v>1</v>
      </c>
    </row>
    <row r="11529" spans="1:5">
      <c r="A11529" s="59">
        <v>25</v>
      </c>
      <c r="B11529" s="59">
        <v>44</v>
      </c>
      <c r="C11529" s="59">
        <v>920</v>
      </c>
      <c r="D11529" s="51">
        <v>1</v>
      </c>
      <c r="E11529" s="51">
        <f t="shared" si="180"/>
        <v>1</v>
      </c>
    </row>
    <row r="11530" spans="1:5">
      <c r="A11530" s="59">
        <v>25</v>
      </c>
      <c r="B11530" s="59">
        <v>44</v>
      </c>
      <c r="C11530" s="59">
        <v>930</v>
      </c>
      <c r="D11530" s="51">
        <v>1</v>
      </c>
      <c r="E11530" s="51">
        <f t="shared" si="180"/>
        <v>1</v>
      </c>
    </row>
    <row r="11531" spans="1:5">
      <c r="A11531" s="59">
        <v>25</v>
      </c>
      <c r="B11531" s="59">
        <v>44</v>
      </c>
      <c r="C11531" s="59">
        <v>970</v>
      </c>
      <c r="D11531" s="51">
        <v>1</v>
      </c>
      <c r="E11531" s="51">
        <f t="shared" si="180"/>
        <v>1</v>
      </c>
    </row>
    <row r="11532" spans="1:5">
      <c r="A11532" s="59">
        <v>25</v>
      </c>
      <c r="B11532" s="59">
        <v>51</v>
      </c>
      <c r="C11532" s="59">
        <v>240</v>
      </c>
      <c r="D11532" s="51">
        <v>1</v>
      </c>
      <c r="E11532" s="51">
        <f t="shared" si="180"/>
        <v>1</v>
      </c>
    </row>
    <row r="11533" spans="1:5">
      <c r="A11533" s="59">
        <v>25</v>
      </c>
      <c r="B11533" s="59">
        <v>61</v>
      </c>
      <c r="C11533" s="59">
        <v>160</v>
      </c>
      <c r="D11533" s="51">
        <v>1</v>
      </c>
      <c r="E11533" s="51">
        <f t="shared" si="180"/>
        <v>1</v>
      </c>
    </row>
    <row r="11534" spans="1:5">
      <c r="A11534" s="59">
        <v>25</v>
      </c>
      <c r="B11534" s="59">
        <v>61</v>
      </c>
      <c r="C11534" s="59">
        <v>620</v>
      </c>
      <c r="D11534" s="51">
        <v>1</v>
      </c>
      <c r="E11534" s="51">
        <f t="shared" si="180"/>
        <v>1</v>
      </c>
    </row>
    <row r="11535" spans="1:5">
      <c r="A11535" s="59">
        <v>25</v>
      </c>
      <c r="B11535" s="59">
        <v>62</v>
      </c>
      <c r="C11535" s="59">
        <v>130</v>
      </c>
      <c r="D11535" s="51">
        <v>1</v>
      </c>
      <c r="E11535" s="51">
        <f t="shared" si="180"/>
        <v>1</v>
      </c>
    </row>
    <row r="11536" spans="1:5">
      <c r="A11536" s="59">
        <v>25</v>
      </c>
      <c r="B11536" s="59">
        <v>62</v>
      </c>
      <c r="C11536" s="59">
        <v>210</v>
      </c>
      <c r="D11536" s="51">
        <v>1</v>
      </c>
      <c r="E11536" s="51">
        <f t="shared" si="180"/>
        <v>1</v>
      </c>
    </row>
    <row r="11537" spans="1:5">
      <c r="A11537" s="59">
        <v>25</v>
      </c>
      <c r="B11537" s="59">
        <v>62</v>
      </c>
      <c r="C11537" s="59">
        <v>220</v>
      </c>
      <c r="D11537" s="51">
        <v>1</v>
      </c>
      <c r="E11537" s="51">
        <f t="shared" si="180"/>
        <v>1</v>
      </c>
    </row>
    <row r="11538" spans="1:5">
      <c r="A11538" s="59">
        <v>25</v>
      </c>
      <c r="B11538" s="59">
        <v>62</v>
      </c>
      <c r="C11538" s="59">
        <v>320</v>
      </c>
      <c r="D11538" s="51">
        <v>1</v>
      </c>
      <c r="E11538" s="51">
        <f t="shared" si="180"/>
        <v>1</v>
      </c>
    </row>
    <row r="11539" spans="1:5">
      <c r="A11539" s="59">
        <v>25</v>
      </c>
      <c r="B11539" s="59">
        <v>62</v>
      </c>
      <c r="C11539" s="59">
        <v>440</v>
      </c>
      <c r="D11539" s="51">
        <v>1</v>
      </c>
      <c r="E11539" s="51">
        <f t="shared" si="180"/>
        <v>1</v>
      </c>
    </row>
    <row r="11540" spans="1:5">
      <c r="A11540" s="59">
        <v>25</v>
      </c>
      <c r="B11540" s="59">
        <v>62</v>
      </c>
      <c r="C11540" s="59">
        <v>630</v>
      </c>
      <c r="D11540" s="51">
        <v>1</v>
      </c>
      <c r="E11540" s="51">
        <f t="shared" si="180"/>
        <v>1</v>
      </c>
    </row>
    <row r="11541" spans="1:5">
      <c r="A11541" s="59">
        <v>25</v>
      </c>
      <c r="B11541" s="59">
        <v>62</v>
      </c>
      <c r="C11541" s="59">
        <v>950</v>
      </c>
      <c r="D11541" s="51">
        <v>1</v>
      </c>
      <c r="E11541" s="51">
        <f t="shared" si="180"/>
        <v>1</v>
      </c>
    </row>
    <row r="11542" spans="1:5">
      <c r="A11542" s="59">
        <v>25</v>
      </c>
      <c r="B11542" s="59">
        <v>63</v>
      </c>
      <c r="C11542" s="59">
        <v>240</v>
      </c>
      <c r="D11542" s="51">
        <v>1</v>
      </c>
      <c r="E11542" s="51">
        <f t="shared" si="180"/>
        <v>1</v>
      </c>
    </row>
    <row r="11543" spans="1:5">
      <c r="A11543" s="59">
        <v>25</v>
      </c>
      <c r="B11543" s="59">
        <v>63</v>
      </c>
      <c r="C11543" s="59">
        <v>310</v>
      </c>
      <c r="D11543" s="51">
        <v>1</v>
      </c>
      <c r="E11543" s="51">
        <f t="shared" si="180"/>
        <v>1</v>
      </c>
    </row>
    <row r="11544" spans="1:5">
      <c r="A11544" s="59">
        <v>25</v>
      </c>
      <c r="B11544" s="59">
        <v>63</v>
      </c>
      <c r="C11544" s="59">
        <v>430</v>
      </c>
      <c r="D11544" s="51">
        <v>1</v>
      </c>
      <c r="E11544" s="51">
        <f t="shared" si="180"/>
        <v>1</v>
      </c>
    </row>
    <row r="11545" spans="1:5">
      <c r="A11545" s="59">
        <v>25</v>
      </c>
      <c r="B11545" s="59">
        <v>63</v>
      </c>
      <c r="C11545" s="59">
        <v>440</v>
      </c>
      <c r="D11545" s="51">
        <v>1</v>
      </c>
      <c r="E11545" s="51">
        <f t="shared" si="180"/>
        <v>1</v>
      </c>
    </row>
    <row r="11546" spans="1:5">
      <c r="A11546" s="59">
        <v>25</v>
      </c>
      <c r="B11546" s="59">
        <v>63</v>
      </c>
      <c r="C11546" s="59">
        <v>550</v>
      </c>
      <c r="D11546" s="51">
        <v>1</v>
      </c>
      <c r="E11546" s="51">
        <f t="shared" si="180"/>
        <v>1</v>
      </c>
    </row>
    <row r="11547" spans="1:5">
      <c r="A11547" s="59">
        <v>25</v>
      </c>
      <c r="B11547" s="59">
        <v>63</v>
      </c>
      <c r="C11547" s="59">
        <v>710</v>
      </c>
      <c r="D11547" s="51">
        <v>1</v>
      </c>
      <c r="E11547" s="51">
        <f t="shared" si="180"/>
        <v>1</v>
      </c>
    </row>
    <row r="11548" spans="1:5">
      <c r="A11548" s="59">
        <v>25</v>
      </c>
      <c r="B11548" s="59">
        <v>63</v>
      </c>
      <c r="C11548" s="59">
        <v>970</v>
      </c>
      <c r="D11548" s="51">
        <v>1</v>
      </c>
      <c r="E11548" s="51">
        <f t="shared" si="180"/>
        <v>1</v>
      </c>
    </row>
    <row r="11549" spans="1:5">
      <c r="A11549" s="59">
        <v>25</v>
      </c>
      <c r="B11549" s="59">
        <v>64</v>
      </c>
      <c r="C11549" s="59">
        <v>130</v>
      </c>
      <c r="D11549" s="51">
        <v>1</v>
      </c>
      <c r="E11549" s="51">
        <f t="shared" si="180"/>
        <v>1</v>
      </c>
    </row>
    <row r="11550" spans="1:5">
      <c r="A11550" s="59">
        <v>25</v>
      </c>
      <c r="B11550" s="59">
        <v>64</v>
      </c>
      <c r="C11550" s="59">
        <v>140</v>
      </c>
      <c r="D11550" s="51">
        <v>1</v>
      </c>
      <c r="E11550" s="51">
        <f t="shared" si="180"/>
        <v>1</v>
      </c>
    </row>
    <row r="11551" spans="1:5">
      <c r="A11551" s="59">
        <v>25</v>
      </c>
      <c r="B11551" s="59">
        <v>64</v>
      </c>
      <c r="C11551" s="59">
        <v>630</v>
      </c>
      <c r="D11551" s="51">
        <v>1</v>
      </c>
      <c r="E11551" s="51">
        <f t="shared" si="180"/>
        <v>1</v>
      </c>
    </row>
    <row r="11552" spans="1:5">
      <c r="A11552" s="59">
        <v>25</v>
      </c>
      <c r="B11552" s="59">
        <v>64</v>
      </c>
      <c r="C11552" s="59">
        <v>640</v>
      </c>
      <c r="D11552" s="51">
        <v>1</v>
      </c>
      <c r="E11552" s="51">
        <f t="shared" si="180"/>
        <v>1</v>
      </c>
    </row>
    <row r="11553" spans="1:5">
      <c r="A11553" s="59">
        <v>25</v>
      </c>
      <c r="B11553" s="59">
        <v>64</v>
      </c>
      <c r="C11553" s="59">
        <v>840</v>
      </c>
      <c r="D11553" s="51">
        <v>1</v>
      </c>
      <c r="E11553" s="51">
        <f t="shared" si="180"/>
        <v>1</v>
      </c>
    </row>
    <row r="11554" spans="1:5">
      <c r="A11554" s="59">
        <v>25</v>
      </c>
      <c r="B11554" s="59">
        <v>64</v>
      </c>
      <c r="C11554" s="59">
        <v>870</v>
      </c>
      <c r="D11554" s="51">
        <v>1</v>
      </c>
      <c r="E11554" s="51">
        <f t="shared" si="180"/>
        <v>1</v>
      </c>
    </row>
    <row r="11555" spans="1:5">
      <c r="A11555" s="59">
        <v>25</v>
      </c>
      <c r="B11555" s="59">
        <v>64</v>
      </c>
      <c r="C11555" s="59">
        <v>891</v>
      </c>
      <c r="D11555" s="51">
        <v>1</v>
      </c>
      <c r="E11555" s="51">
        <f t="shared" si="180"/>
        <v>1</v>
      </c>
    </row>
    <row r="11556" spans="1:5">
      <c r="A11556" s="59">
        <v>25</v>
      </c>
      <c r="B11556" s="59">
        <v>71</v>
      </c>
      <c r="C11556" s="59">
        <v>310</v>
      </c>
      <c r="D11556" s="51">
        <v>1</v>
      </c>
      <c r="E11556" s="51">
        <f t="shared" si="180"/>
        <v>1</v>
      </c>
    </row>
    <row r="11557" spans="1:5">
      <c r="A11557" s="59">
        <v>25</v>
      </c>
      <c r="B11557" s="59">
        <v>71</v>
      </c>
      <c r="C11557" s="59">
        <v>540</v>
      </c>
      <c r="D11557" s="51">
        <v>1</v>
      </c>
      <c r="E11557" s="51">
        <f t="shared" si="180"/>
        <v>1</v>
      </c>
    </row>
    <row r="11558" spans="1:5">
      <c r="A11558" s="59">
        <v>25</v>
      </c>
      <c r="B11558" s="59">
        <v>71</v>
      </c>
      <c r="C11558" s="59">
        <v>550</v>
      </c>
      <c r="D11558" s="51">
        <v>1</v>
      </c>
      <c r="E11558" s="51">
        <f t="shared" si="180"/>
        <v>1</v>
      </c>
    </row>
    <row r="11559" spans="1:5">
      <c r="A11559" s="59">
        <v>25</v>
      </c>
      <c r="B11559" s="59">
        <v>71</v>
      </c>
      <c r="C11559" s="59">
        <v>640</v>
      </c>
      <c r="D11559" s="51">
        <v>1</v>
      </c>
      <c r="E11559" s="51">
        <f t="shared" si="180"/>
        <v>1</v>
      </c>
    </row>
    <row r="11560" spans="1:5">
      <c r="A11560" s="59">
        <v>25</v>
      </c>
      <c r="B11560" s="59">
        <v>81</v>
      </c>
      <c r="C11560" s="59">
        <v>330</v>
      </c>
      <c r="D11560" s="51">
        <v>1</v>
      </c>
      <c r="E11560" s="51">
        <f t="shared" si="180"/>
        <v>1</v>
      </c>
    </row>
    <row r="11561" spans="1:5">
      <c r="A11561" s="59">
        <v>25</v>
      </c>
      <c r="B11561" s="59">
        <v>81</v>
      </c>
      <c r="C11561" s="59">
        <v>550</v>
      </c>
      <c r="D11561" s="51">
        <v>1</v>
      </c>
      <c r="E11561" s="51">
        <f t="shared" si="180"/>
        <v>1</v>
      </c>
    </row>
    <row r="11562" spans="1:5">
      <c r="A11562" s="59">
        <v>25</v>
      </c>
      <c r="B11562" s="59">
        <v>81</v>
      </c>
      <c r="C11562" s="59">
        <v>740</v>
      </c>
      <c r="D11562" s="51">
        <v>1</v>
      </c>
      <c r="E11562" s="51">
        <f t="shared" si="180"/>
        <v>1</v>
      </c>
    </row>
    <row r="11563" spans="1:5">
      <c r="A11563" s="59">
        <v>25</v>
      </c>
      <c r="B11563" s="59">
        <v>81</v>
      </c>
      <c r="C11563" s="59">
        <v>950</v>
      </c>
      <c r="D11563" s="51">
        <v>1</v>
      </c>
      <c r="E11563" s="51">
        <f t="shared" si="180"/>
        <v>1</v>
      </c>
    </row>
    <row r="11564" spans="1:5">
      <c r="A11564" s="59">
        <v>25</v>
      </c>
      <c r="B11564" s="59">
        <v>81</v>
      </c>
      <c r="C11564" s="59">
        <v>970</v>
      </c>
      <c r="D11564" s="51">
        <v>1</v>
      </c>
      <c r="E11564" s="51">
        <f t="shared" si="180"/>
        <v>1</v>
      </c>
    </row>
    <row r="11565" spans="1:5">
      <c r="A11565" s="59">
        <v>26</v>
      </c>
      <c r="B11565" s="59">
        <v>43</v>
      </c>
      <c r="C11565" s="59">
        <v>930</v>
      </c>
      <c r="D11565" s="51">
        <v>941</v>
      </c>
      <c r="E11565" s="51">
        <f t="shared" si="180"/>
        <v>1</v>
      </c>
    </row>
    <row r="11566" spans="1:5">
      <c r="A11566" s="59">
        <v>26</v>
      </c>
      <c r="B11566" s="59">
        <v>64</v>
      </c>
      <c r="C11566" s="59">
        <v>930</v>
      </c>
      <c r="D11566" s="51">
        <v>438</v>
      </c>
      <c r="E11566" s="51">
        <f t="shared" si="180"/>
        <v>1</v>
      </c>
    </row>
    <row r="11567" spans="1:5">
      <c r="A11567" s="59">
        <v>26</v>
      </c>
      <c r="B11567" s="59">
        <v>81</v>
      </c>
      <c r="C11567" s="59">
        <v>930</v>
      </c>
      <c r="D11567" s="51">
        <v>388</v>
      </c>
      <c r="E11567" s="51">
        <f t="shared" si="180"/>
        <v>1</v>
      </c>
    </row>
    <row r="11568" spans="1:5">
      <c r="A11568" s="59">
        <v>26</v>
      </c>
      <c r="B11568" s="59">
        <v>62</v>
      </c>
      <c r="C11568" s="59">
        <v>930</v>
      </c>
      <c r="D11568" s="51">
        <v>230</v>
      </c>
      <c r="E11568" s="51">
        <f t="shared" si="180"/>
        <v>1</v>
      </c>
    </row>
    <row r="11569" spans="1:5">
      <c r="A11569" s="59">
        <v>26</v>
      </c>
      <c r="B11569" s="59">
        <v>14</v>
      </c>
      <c r="C11569" s="59">
        <v>150</v>
      </c>
      <c r="D11569" s="51">
        <v>198</v>
      </c>
      <c r="E11569" s="51">
        <f t="shared" si="180"/>
        <v>1</v>
      </c>
    </row>
    <row r="11570" spans="1:5">
      <c r="A11570" s="59">
        <v>26</v>
      </c>
      <c r="B11570" s="59">
        <v>13</v>
      </c>
      <c r="C11570" s="59">
        <v>930</v>
      </c>
      <c r="D11570" s="51">
        <v>177</v>
      </c>
      <c r="E11570" s="51">
        <f t="shared" si="180"/>
        <v>1</v>
      </c>
    </row>
    <row r="11571" spans="1:5">
      <c r="A11571" s="59">
        <v>26</v>
      </c>
      <c r="B11571" s="59">
        <v>44</v>
      </c>
      <c r="C11571" s="59">
        <v>930</v>
      </c>
      <c r="D11571" s="51">
        <v>131</v>
      </c>
      <c r="E11571" s="51">
        <f t="shared" si="180"/>
        <v>1</v>
      </c>
    </row>
    <row r="11572" spans="1:5">
      <c r="A11572" s="59">
        <v>26</v>
      </c>
      <c r="B11572" s="59">
        <v>43</v>
      </c>
      <c r="C11572" s="59">
        <v>160</v>
      </c>
      <c r="D11572" s="51">
        <v>127</v>
      </c>
      <c r="E11572" s="51">
        <f t="shared" si="180"/>
        <v>1</v>
      </c>
    </row>
    <row r="11573" spans="1:5">
      <c r="A11573" s="59">
        <v>26</v>
      </c>
      <c r="B11573" s="59">
        <v>64</v>
      </c>
      <c r="C11573" s="59">
        <v>160</v>
      </c>
      <c r="D11573" s="51">
        <v>127</v>
      </c>
      <c r="E11573" s="51">
        <f t="shared" si="180"/>
        <v>1</v>
      </c>
    </row>
    <row r="11574" spans="1:5">
      <c r="A11574" s="59">
        <v>26</v>
      </c>
      <c r="B11574" s="59">
        <v>13</v>
      </c>
      <c r="C11574" s="59">
        <v>110</v>
      </c>
      <c r="D11574" s="51">
        <v>112</v>
      </c>
      <c r="E11574" s="51">
        <f t="shared" si="180"/>
        <v>1</v>
      </c>
    </row>
    <row r="11575" spans="1:5">
      <c r="A11575" s="59">
        <v>26</v>
      </c>
      <c r="B11575" s="59">
        <v>62</v>
      </c>
      <c r="C11575" s="59">
        <v>510</v>
      </c>
      <c r="D11575" s="51">
        <v>84</v>
      </c>
      <c r="E11575" s="51">
        <f t="shared" si="180"/>
        <v>1</v>
      </c>
    </row>
    <row r="11576" spans="1:5">
      <c r="A11576" s="59">
        <v>26</v>
      </c>
      <c r="B11576" s="59">
        <v>64</v>
      </c>
      <c r="C11576" s="59">
        <v>150</v>
      </c>
      <c r="D11576" s="51">
        <v>72</v>
      </c>
      <c r="E11576" s="51">
        <f t="shared" si="180"/>
        <v>1</v>
      </c>
    </row>
    <row r="11577" spans="1:5">
      <c r="A11577" s="59">
        <v>26</v>
      </c>
      <c r="B11577" s="59">
        <v>14</v>
      </c>
      <c r="C11577" s="59">
        <v>930</v>
      </c>
      <c r="D11577" s="51">
        <v>70</v>
      </c>
      <c r="E11577" s="51">
        <f t="shared" si="180"/>
        <v>1</v>
      </c>
    </row>
    <row r="11578" spans="1:5">
      <c r="A11578" s="59">
        <v>26</v>
      </c>
      <c r="B11578" s="59">
        <v>41</v>
      </c>
      <c r="C11578" s="59">
        <v>930</v>
      </c>
      <c r="D11578" s="51">
        <v>70</v>
      </c>
      <c r="E11578" s="51">
        <f t="shared" si="180"/>
        <v>1</v>
      </c>
    </row>
    <row r="11579" spans="1:5">
      <c r="A11579" s="59">
        <v>26</v>
      </c>
      <c r="B11579" s="59">
        <v>64</v>
      </c>
      <c r="C11579" s="59">
        <v>530</v>
      </c>
      <c r="D11579" s="51">
        <v>66</v>
      </c>
      <c r="E11579" s="51">
        <f t="shared" si="180"/>
        <v>1</v>
      </c>
    </row>
    <row r="11580" spans="1:5">
      <c r="A11580" s="59">
        <v>26</v>
      </c>
      <c r="B11580" s="59">
        <v>43</v>
      </c>
      <c r="C11580" s="59">
        <v>510</v>
      </c>
      <c r="D11580" s="51">
        <v>65</v>
      </c>
      <c r="E11580" s="51">
        <f t="shared" si="180"/>
        <v>1</v>
      </c>
    </row>
    <row r="11581" spans="1:5">
      <c r="A11581" s="59">
        <v>26</v>
      </c>
      <c r="B11581" s="59">
        <v>43</v>
      </c>
      <c r="C11581" s="59">
        <v>530</v>
      </c>
      <c r="D11581" s="51">
        <v>61</v>
      </c>
      <c r="E11581" s="51">
        <f t="shared" si="180"/>
        <v>1</v>
      </c>
    </row>
    <row r="11582" spans="1:5">
      <c r="A11582" s="59">
        <v>26</v>
      </c>
      <c r="B11582" s="59">
        <v>13</v>
      </c>
      <c r="C11582" s="59">
        <v>150</v>
      </c>
      <c r="D11582" s="51">
        <v>60</v>
      </c>
      <c r="E11582" s="51">
        <f t="shared" si="180"/>
        <v>1</v>
      </c>
    </row>
    <row r="11583" spans="1:5">
      <c r="A11583" s="59">
        <v>26</v>
      </c>
      <c r="B11583" s="59">
        <v>62</v>
      </c>
      <c r="C11583" s="59">
        <v>530</v>
      </c>
      <c r="D11583" s="51">
        <v>60</v>
      </c>
      <c r="E11583" s="51">
        <f t="shared" si="180"/>
        <v>1</v>
      </c>
    </row>
    <row r="11584" spans="1:5">
      <c r="A11584" s="59">
        <v>26</v>
      </c>
      <c r="B11584" s="59">
        <v>64</v>
      </c>
      <c r="C11584" s="59">
        <v>510</v>
      </c>
      <c r="D11584" s="51">
        <v>47</v>
      </c>
      <c r="E11584" s="51">
        <f t="shared" si="180"/>
        <v>1</v>
      </c>
    </row>
    <row r="11585" spans="1:5">
      <c r="A11585" s="59">
        <v>26</v>
      </c>
      <c r="B11585" s="59">
        <v>14</v>
      </c>
      <c r="C11585" s="59">
        <v>910</v>
      </c>
      <c r="D11585" s="51">
        <v>42</v>
      </c>
      <c r="E11585" s="51">
        <f t="shared" si="180"/>
        <v>1</v>
      </c>
    </row>
    <row r="11586" spans="1:5">
      <c r="A11586" s="59">
        <v>26</v>
      </c>
      <c r="B11586" s="59">
        <v>71</v>
      </c>
      <c r="C11586" s="59">
        <v>930</v>
      </c>
      <c r="D11586" s="51">
        <v>41</v>
      </c>
      <c r="E11586" s="51">
        <f t="shared" ref="E11586:E11649" si="181">IF(OR(A11586=6,A11586=7,A11586=14,A11586=15,A11586=16,A11586=17,A11586=18,A11586=19,A11586=20,A11586=21,A11586=22,A11586=23,A11586=25,A11586=26,A11586=27,A11586=28,B11586=41,B11586=44,B11586=62),1,0)</f>
        <v>1</v>
      </c>
    </row>
    <row r="11587" spans="1:5">
      <c r="A11587" s="59">
        <v>26</v>
      </c>
      <c r="B11587" s="59">
        <v>64</v>
      </c>
      <c r="C11587" s="59">
        <v>910</v>
      </c>
      <c r="D11587" s="51">
        <v>40</v>
      </c>
      <c r="E11587" s="51">
        <f t="shared" si="181"/>
        <v>1</v>
      </c>
    </row>
    <row r="11588" spans="1:5">
      <c r="A11588" s="59">
        <v>26</v>
      </c>
      <c r="B11588" s="59">
        <v>13</v>
      </c>
      <c r="C11588" s="59">
        <v>160</v>
      </c>
      <c r="D11588" s="51">
        <v>38</v>
      </c>
      <c r="E11588" s="51">
        <f t="shared" si="181"/>
        <v>1</v>
      </c>
    </row>
    <row r="11589" spans="1:5">
      <c r="A11589" s="59">
        <v>26</v>
      </c>
      <c r="B11589" s="59">
        <v>13</v>
      </c>
      <c r="C11589" s="59">
        <v>910</v>
      </c>
      <c r="D11589" s="51">
        <v>36</v>
      </c>
      <c r="E11589" s="51">
        <f t="shared" si="181"/>
        <v>1</v>
      </c>
    </row>
    <row r="11590" spans="1:5">
      <c r="A11590" s="59">
        <v>26</v>
      </c>
      <c r="B11590" s="59">
        <v>64</v>
      </c>
      <c r="C11590" s="59">
        <v>110</v>
      </c>
      <c r="D11590" s="51">
        <v>35</v>
      </c>
      <c r="E11590" s="51">
        <f t="shared" si="181"/>
        <v>1</v>
      </c>
    </row>
    <row r="11591" spans="1:5">
      <c r="A11591" s="59">
        <v>26</v>
      </c>
      <c r="B11591" s="59">
        <v>22</v>
      </c>
      <c r="C11591" s="59">
        <v>930</v>
      </c>
      <c r="D11591" s="51">
        <v>34</v>
      </c>
      <c r="E11591" s="51">
        <f t="shared" si="181"/>
        <v>1</v>
      </c>
    </row>
    <row r="11592" spans="1:5">
      <c r="A11592" s="59">
        <v>26</v>
      </c>
      <c r="B11592" s="59">
        <v>22</v>
      </c>
      <c r="C11592" s="59">
        <v>910</v>
      </c>
      <c r="D11592" s="51">
        <v>33</v>
      </c>
      <c r="E11592" s="51">
        <f t="shared" si="181"/>
        <v>1</v>
      </c>
    </row>
    <row r="11593" spans="1:5">
      <c r="A11593" s="59">
        <v>26</v>
      </c>
      <c r="B11593" s="59">
        <v>43</v>
      </c>
      <c r="C11593" s="59">
        <v>720</v>
      </c>
      <c r="D11593" s="51">
        <v>33</v>
      </c>
      <c r="E11593" s="51">
        <f t="shared" si="181"/>
        <v>1</v>
      </c>
    </row>
    <row r="11594" spans="1:5">
      <c r="A11594" s="59">
        <v>26</v>
      </c>
      <c r="B11594" s="59">
        <v>14</v>
      </c>
      <c r="C11594" s="59">
        <v>160</v>
      </c>
      <c r="D11594" s="51">
        <v>32</v>
      </c>
      <c r="E11594" s="51">
        <f t="shared" si="181"/>
        <v>1</v>
      </c>
    </row>
    <row r="11595" spans="1:5">
      <c r="A11595" s="59">
        <v>26</v>
      </c>
      <c r="B11595" s="59">
        <v>62</v>
      </c>
      <c r="C11595" s="59">
        <v>160</v>
      </c>
      <c r="D11595" s="51">
        <v>32</v>
      </c>
      <c r="E11595" s="51">
        <f t="shared" si="181"/>
        <v>1</v>
      </c>
    </row>
    <row r="11596" spans="1:5">
      <c r="A11596" s="59">
        <v>26</v>
      </c>
      <c r="B11596" s="59">
        <v>63</v>
      </c>
      <c r="C11596" s="59">
        <v>530</v>
      </c>
      <c r="D11596" s="51">
        <v>31</v>
      </c>
      <c r="E11596" s="51">
        <f t="shared" si="181"/>
        <v>1</v>
      </c>
    </row>
    <row r="11597" spans="1:5">
      <c r="A11597" s="59">
        <v>26</v>
      </c>
      <c r="B11597" s="59">
        <v>14</v>
      </c>
      <c r="C11597" s="59">
        <v>320</v>
      </c>
      <c r="D11597" s="51">
        <v>30</v>
      </c>
      <c r="E11597" s="51">
        <f t="shared" si="181"/>
        <v>1</v>
      </c>
    </row>
    <row r="11598" spans="1:5">
      <c r="A11598" s="59">
        <v>26</v>
      </c>
      <c r="B11598" s="59">
        <v>11</v>
      </c>
      <c r="C11598" s="59">
        <v>730</v>
      </c>
      <c r="D11598" s="51">
        <v>29</v>
      </c>
      <c r="E11598" s="51">
        <f t="shared" si="181"/>
        <v>1</v>
      </c>
    </row>
    <row r="11599" spans="1:5">
      <c r="A11599" s="59">
        <v>26</v>
      </c>
      <c r="B11599" s="59">
        <v>43</v>
      </c>
      <c r="C11599" s="59">
        <v>910</v>
      </c>
      <c r="D11599" s="51">
        <v>29</v>
      </c>
      <c r="E11599" s="51">
        <f t="shared" si="181"/>
        <v>1</v>
      </c>
    </row>
    <row r="11600" spans="1:5">
      <c r="A11600" s="59">
        <v>26</v>
      </c>
      <c r="B11600" s="59">
        <v>62</v>
      </c>
      <c r="C11600" s="59">
        <v>990</v>
      </c>
      <c r="D11600" s="51">
        <v>26</v>
      </c>
      <c r="E11600" s="51">
        <f t="shared" si="181"/>
        <v>1</v>
      </c>
    </row>
    <row r="11601" spans="1:5">
      <c r="A11601" s="59">
        <v>26</v>
      </c>
      <c r="B11601" s="59">
        <v>62</v>
      </c>
      <c r="C11601" s="59">
        <v>720</v>
      </c>
      <c r="D11601" s="51">
        <v>24</v>
      </c>
      <c r="E11601" s="51">
        <f t="shared" si="181"/>
        <v>1</v>
      </c>
    </row>
    <row r="11602" spans="1:5">
      <c r="A11602" s="59">
        <v>26</v>
      </c>
      <c r="B11602" s="59">
        <v>43</v>
      </c>
      <c r="C11602" s="59">
        <v>750</v>
      </c>
      <c r="D11602" s="51">
        <v>22</v>
      </c>
      <c r="E11602" s="51">
        <f t="shared" si="181"/>
        <v>1</v>
      </c>
    </row>
    <row r="11603" spans="1:5">
      <c r="A11603" s="59">
        <v>26</v>
      </c>
      <c r="B11603" s="59">
        <v>63</v>
      </c>
      <c r="C11603" s="59">
        <v>930</v>
      </c>
      <c r="D11603" s="51">
        <v>21</v>
      </c>
      <c r="E11603" s="51">
        <f t="shared" si="181"/>
        <v>1</v>
      </c>
    </row>
    <row r="11604" spans="1:5">
      <c r="A11604" s="59">
        <v>26</v>
      </c>
      <c r="B11604" s="59">
        <v>71</v>
      </c>
      <c r="C11604" s="59">
        <v>510</v>
      </c>
      <c r="D11604" s="51">
        <v>21</v>
      </c>
      <c r="E11604" s="51">
        <f t="shared" si="181"/>
        <v>1</v>
      </c>
    </row>
    <row r="11605" spans="1:5">
      <c r="A11605" s="59">
        <v>26</v>
      </c>
      <c r="B11605" s="59">
        <v>81</v>
      </c>
      <c r="C11605" s="59">
        <v>750</v>
      </c>
      <c r="D11605" s="51">
        <v>21</v>
      </c>
      <c r="E11605" s="51">
        <f t="shared" si="181"/>
        <v>1</v>
      </c>
    </row>
    <row r="11606" spans="1:5">
      <c r="A11606" s="59">
        <v>26</v>
      </c>
      <c r="B11606" s="59">
        <v>43</v>
      </c>
      <c r="C11606" s="59">
        <v>990</v>
      </c>
      <c r="D11606" s="51">
        <v>20</v>
      </c>
      <c r="E11606" s="51">
        <f t="shared" si="181"/>
        <v>1</v>
      </c>
    </row>
    <row r="11607" spans="1:5">
      <c r="A11607" s="59">
        <v>26</v>
      </c>
      <c r="B11607" s="59">
        <v>63</v>
      </c>
      <c r="C11607" s="59">
        <v>160</v>
      </c>
      <c r="D11607" s="51">
        <v>20</v>
      </c>
      <c r="E11607" s="51">
        <f t="shared" si="181"/>
        <v>1</v>
      </c>
    </row>
    <row r="11608" spans="1:5">
      <c r="A11608" s="59">
        <v>26</v>
      </c>
      <c r="B11608" s="59">
        <v>64</v>
      </c>
      <c r="C11608" s="59">
        <v>990</v>
      </c>
      <c r="D11608" s="51">
        <v>20</v>
      </c>
      <c r="E11608" s="51">
        <f t="shared" si="181"/>
        <v>1</v>
      </c>
    </row>
    <row r="11609" spans="1:5">
      <c r="A11609" s="59">
        <v>26</v>
      </c>
      <c r="B11609" s="59">
        <v>62</v>
      </c>
      <c r="C11609" s="59">
        <v>750</v>
      </c>
      <c r="D11609" s="51">
        <v>18</v>
      </c>
      <c r="E11609" s="51">
        <f t="shared" si="181"/>
        <v>1</v>
      </c>
    </row>
    <row r="11610" spans="1:5">
      <c r="A11610" s="59">
        <v>26</v>
      </c>
      <c r="B11610" s="59">
        <v>62</v>
      </c>
      <c r="C11610" s="59">
        <v>910</v>
      </c>
      <c r="D11610" s="51">
        <v>17</v>
      </c>
      <c r="E11610" s="51">
        <f t="shared" si="181"/>
        <v>1</v>
      </c>
    </row>
    <row r="11611" spans="1:5">
      <c r="A11611" s="59">
        <v>26</v>
      </c>
      <c r="B11611" s="59">
        <v>71</v>
      </c>
      <c r="C11611" s="59">
        <v>610</v>
      </c>
      <c r="D11611" s="51">
        <v>17</v>
      </c>
      <c r="E11611" s="51">
        <f t="shared" si="181"/>
        <v>1</v>
      </c>
    </row>
    <row r="11612" spans="1:5">
      <c r="A11612" s="59">
        <v>26</v>
      </c>
      <c r="B11612" s="59">
        <v>16</v>
      </c>
      <c r="C11612" s="59">
        <v>110</v>
      </c>
      <c r="D11612" s="51">
        <v>16</v>
      </c>
      <c r="E11612" s="51">
        <f t="shared" si="181"/>
        <v>1</v>
      </c>
    </row>
    <row r="11613" spans="1:5">
      <c r="A11613" s="59">
        <v>26</v>
      </c>
      <c r="B11613" s="59">
        <v>81</v>
      </c>
      <c r="C11613" s="59">
        <v>160</v>
      </c>
      <c r="D11613" s="51">
        <v>16</v>
      </c>
      <c r="E11613" s="51">
        <f t="shared" si="181"/>
        <v>1</v>
      </c>
    </row>
    <row r="11614" spans="1:5">
      <c r="A11614" s="59">
        <v>26</v>
      </c>
      <c r="B11614" s="59">
        <v>81</v>
      </c>
      <c r="C11614" s="59">
        <v>510</v>
      </c>
      <c r="D11614" s="51">
        <v>15</v>
      </c>
      <c r="E11614" s="51">
        <f t="shared" si="181"/>
        <v>1</v>
      </c>
    </row>
    <row r="11615" spans="1:5">
      <c r="A11615" s="59">
        <v>26</v>
      </c>
      <c r="B11615" s="59">
        <v>63</v>
      </c>
      <c r="C11615" s="59">
        <v>510</v>
      </c>
      <c r="D11615" s="51">
        <v>14</v>
      </c>
      <c r="E11615" s="51">
        <f t="shared" si="181"/>
        <v>1</v>
      </c>
    </row>
    <row r="11616" spans="1:5">
      <c r="A11616" s="59">
        <v>26</v>
      </c>
      <c r="B11616" s="59">
        <v>63</v>
      </c>
      <c r="C11616" s="59">
        <v>610</v>
      </c>
      <c r="D11616" s="51">
        <v>14</v>
      </c>
      <c r="E11616" s="51">
        <f t="shared" si="181"/>
        <v>1</v>
      </c>
    </row>
    <row r="11617" spans="1:5">
      <c r="A11617" s="59">
        <v>26</v>
      </c>
      <c r="B11617" s="59">
        <v>71</v>
      </c>
      <c r="C11617" s="59">
        <v>530</v>
      </c>
      <c r="D11617" s="51">
        <v>14</v>
      </c>
      <c r="E11617" s="51">
        <f t="shared" si="181"/>
        <v>1</v>
      </c>
    </row>
    <row r="11618" spans="1:5">
      <c r="A11618" s="59">
        <v>26</v>
      </c>
      <c r="B11618" s="59">
        <v>71</v>
      </c>
      <c r="C11618" s="59">
        <v>720</v>
      </c>
      <c r="D11618" s="51">
        <v>14</v>
      </c>
      <c r="E11618" s="51">
        <f t="shared" si="181"/>
        <v>1</v>
      </c>
    </row>
    <row r="11619" spans="1:5">
      <c r="A11619" s="59">
        <v>26</v>
      </c>
      <c r="B11619" s="59">
        <v>14</v>
      </c>
      <c r="C11619" s="59">
        <v>110</v>
      </c>
      <c r="D11619" s="51">
        <v>13</v>
      </c>
      <c r="E11619" s="51">
        <f t="shared" si="181"/>
        <v>1</v>
      </c>
    </row>
    <row r="11620" spans="1:5">
      <c r="A11620" s="59">
        <v>26</v>
      </c>
      <c r="B11620" s="59">
        <v>42</v>
      </c>
      <c r="C11620" s="59">
        <v>930</v>
      </c>
      <c r="D11620" s="51">
        <v>13</v>
      </c>
      <c r="E11620" s="51">
        <f t="shared" si="181"/>
        <v>1</v>
      </c>
    </row>
    <row r="11621" spans="1:5">
      <c r="A11621" s="59">
        <v>26</v>
      </c>
      <c r="B11621" s="59">
        <v>43</v>
      </c>
      <c r="C11621" s="59">
        <v>240</v>
      </c>
      <c r="D11621" s="51">
        <v>13</v>
      </c>
      <c r="E11621" s="51">
        <f t="shared" si="181"/>
        <v>1</v>
      </c>
    </row>
    <row r="11622" spans="1:5">
      <c r="A11622" s="59">
        <v>26</v>
      </c>
      <c r="B11622" s="59">
        <v>71</v>
      </c>
      <c r="C11622" s="59">
        <v>990</v>
      </c>
      <c r="D11622" s="51">
        <v>13</v>
      </c>
      <c r="E11622" s="51">
        <f t="shared" si="181"/>
        <v>1</v>
      </c>
    </row>
    <row r="11623" spans="1:5">
      <c r="A11623" s="59">
        <v>26</v>
      </c>
      <c r="B11623" s="59">
        <v>44</v>
      </c>
      <c r="C11623" s="59">
        <v>720</v>
      </c>
      <c r="D11623" s="51">
        <v>12</v>
      </c>
      <c r="E11623" s="51">
        <f t="shared" si="181"/>
        <v>1</v>
      </c>
    </row>
    <row r="11624" spans="1:5">
      <c r="A11624" s="59">
        <v>26</v>
      </c>
      <c r="B11624" s="59">
        <v>63</v>
      </c>
      <c r="C11624" s="59">
        <v>620</v>
      </c>
      <c r="D11624" s="51">
        <v>12</v>
      </c>
      <c r="E11624" s="51">
        <f t="shared" si="181"/>
        <v>1</v>
      </c>
    </row>
    <row r="11625" spans="1:5">
      <c r="A11625" s="59">
        <v>26</v>
      </c>
      <c r="B11625" s="59">
        <v>71</v>
      </c>
      <c r="C11625" s="59">
        <v>620</v>
      </c>
      <c r="D11625" s="51">
        <v>12</v>
      </c>
      <c r="E11625" s="51">
        <f t="shared" si="181"/>
        <v>1</v>
      </c>
    </row>
    <row r="11626" spans="1:5">
      <c r="A11626" s="59">
        <v>26</v>
      </c>
      <c r="B11626" s="59">
        <v>13</v>
      </c>
      <c r="C11626" s="59">
        <v>510</v>
      </c>
      <c r="D11626" s="51">
        <v>11</v>
      </c>
      <c r="E11626" s="51">
        <f t="shared" si="181"/>
        <v>1</v>
      </c>
    </row>
    <row r="11627" spans="1:5">
      <c r="A11627" s="59">
        <v>26</v>
      </c>
      <c r="B11627" s="59">
        <v>64</v>
      </c>
      <c r="C11627" s="59">
        <v>620</v>
      </c>
      <c r="D11627" s="51">
        <v>11</v>
      </c>
      <c r="E11627" s="51">
        <f t="shared" si="181"/>
        <v>1</v>
      </c>
    </row>
    <row r="11628" spans="1:5">
      <c r="A11628" s="59">
        <v>26</v>
      </c>
      <c r="B11628" s="59">
        <v>11</v>
      </c>
      <c r="C11628" s="59">
        <v>150</v>
      </c>
      <c r="D11628" s="51">
        <v>10</v>
      </c>
      <c r="E11628" s="51">
        <f t="shared" si="181"/>
        <v>1</v>
      </c>
    </row>
    <row r="11629" spans="1:5">
      <c r="A11629" s="59">
        <v>26</v>
      </c>
      <c r="B11629" s="59">
        <v>16</v>
      </c>
      <c r="C11629" s="59">
        <v>930</v>
      </c>
      <c r="D11629" s="51">
        <v>10</v>
      </c>
      <c r="E11629" s="51">
        <f t="shared" si="181"/>
        <v>1</v>
      </c>
    </row>
    <row r="11630" spans="1:5">
      <c r="A11630" s="59">
        <v>26</v>
      </c>
      <c r="B11630" s="59">
        <v>44</v>
      </c>
      <c r="C11630" s="59">
        <v>750</v>
      </c>
      <c r="D11630" s="51">
        <v>10</v>
      </c>
      <c r="E11630" s="51">
        <f t="shared" si="181"/>
        <v>1</v>
      </c>
    </row>
    <row r="11631" spans="1:5">
      <c r="A11631" s="59">
        <v>26</v>
      </c>
      <c r="B11631" s="59">
        <v>64</v>
      </c>
      <c r="C11631" s="59">
        <v>610</v>
      </c>
      <c r="D11631" s="51">
        <v>10</v>
      </c>
      <c r="E11631" s="51">
        <f t="shared" si="181"/>
        <v>1</v>
      </c>
    </row>
    <row r="11632" spans="1:5">
      <c r="A11632" s="59">
        <v>26</v>
      </c>
      <c r="B11632" s="59">
        <v>22</v>
      </c>
      <c r="C11632" s="59">
        <v>210</v>
      </c>
      <c r="D11632" s="51">
        <v>9</v>
      </c>
      <c r="E11632" s="51">
        <f t="shared" si="181"/>
        <v>1</v>
      </c>
    </row>
    <row r="11633" spans="1:5">
      <c r="A11633" s="59">
        <v>26</v>
      </c>
      <c r="B11633" s="59">
        <v>62</v>
      </c>
      <c r="C11633" s="59">
        <v>150</v>
      </c>
      <c r="D11633" s="51">
        <v>9</v>
      </c>
      <c r="E11633" s="51">
        <f t="shared" si="181"/>
        <v>1</v>
      </c>
    </row>
    <row r="11634" spans="1:5">
      <c r="A11634" s="59">
        <v>26</v>
      </c>
      <c r="B11634" s="59">
        <v>64</v>
      </c>
      <c r="C11634" s="59">
        <v>750</v>
      </c>
      <c r="D11634" s="51">
        <v>9</v>
      </c>
      <c r="E11634" s="51">
        <f t="shared" si="181"/>
        <v>1</v>
      </c>
    </row>
    <row r="11635" spans="1:5">
      <c r="A11635" s="59">
        <v>26</v>
      </c>
      <c r="B11635" s="59">
        <v>71</v>
      </c>
      <c r="C11635" s="59">
        <v>750</v>
      </c>
      <c r="D11635" s="51">
        <v>9</v>
      </c>
      <c r="E11635" s="51">
        <f t="shared" si="181"/>
        <v>1</v>
      </c>
    </row>
    <row r="11636" spans="1:5">
      <c r="A11636" s="59">
        <v>26</v>
      </c>
      <c r="B11636" s="59">
        <v>81</v>
      </c>
      <c r="C11636" s="59">
        <v>720</v>
      </c>
      <c r="D11636" s="51">
        <v>9</v>
      </c>
      <c r="E11636" s="51">
        <f t="shared" si="181"/>
        <v>1</v>
      </c>
    </row>
    <row r="11637" spans="1:5">
      <c r="A11637" s="59">
        <v>26</v>
      </c>
      <c r="B11637" s="59">
        <v>81</v>
      </c>
      <c r="C11637" s="59">
        <v>730</v>
      </c>
      <c r="D11637" s="51">
        <v>9</v>
      </c>
      <c r="E11637" s="51">
        <f t="shared" si="181"/>
        <v>1</v>
      </c>
    </row>
    <row r="11638" spans="1:5">
      <c r="A11638" s="59">
        <v>26</v>
      </c>
      <c r="B11638" s="59">
        <v>14</v>
      </c>
      <c r="C11638" s="59">
        <v>410</v>
      </c>
      <c r="D11638" s="51">
        <v>8</v>
      </c>
      <c r="E11638" s="51">
        <f t="shared" si="181"/>
        <v>1</v>
      </c>
    </row>
    <row r="11639" spans="1:5">
      <c r="A11639" s="59">
        <v>26</v>
      </c>
      <c r="B11639" s="59">
        <v>15</v>
      </c>
      <c r="C11639" s="59">
        <v>150</v>
      </c>
      <c r="D11639" s="51">
        <v>8</v>
      </c>
      <c r="E11639" s="51">
        <f t="shared" si="181"/>
        <v>1</v>
      </c>
    </row>
    <row r="11640" spans="1:5">
      <c r="A11640" s="59">
        <v>26</v>
      </c>
      <c r="B11640" s="59">
        <v>43</v>
      </c>
      <c r="C11640" s="59">
        <v>110</v>
      </c>
      <c r="D11640" s="51">
        <v>8</v>
      </c>
      <c r="E11640" s="51">
        <f t="shared" si="181"/>
        <v>1</v>
      </c>
    </row>
    <row r="11641" spans="1:5">
      <c r="A11641" s="59">
        <v>26</v>
      </c>
      <c r="B11641" s="59">
        <v>43</v>
      </c>
      <c r="C11641" s="59">
        <v>730</v>
      </c>
      <c r="D11641" s="51">
        <v>8</v>
      </c>
      <c r="E11641" s="51">
        <f t="shared" si="181"/>
        <v>1</v>
      </c>
    </row>
    <row r="11642" spans="1:5">
      <c r="A11642" s="59">
        <v>26</v>
      </c>
      <c r="B11642" s="59">
        <v>71</v>
      </c>
      <c r="C11642" s="59">
        <v>110</v>
      </c>
      <c r="D11642" s="51">
        <v>8</v>
      </c>
      <c r="E11642" s="51">
        <f t="shared" si="181"/>
        <v>1</v>
      </c>
    </row>
    <row r="11643" spans="1:5">
      <c r="A11643" s="59">
        <v>26</v>
      </c>
      <c r="B11643" s="59">
        <v>22</v>
      </c>
      <c r="C11643" s="59">
        <v>240</v>
      </c>
      <c r="D11643" s="51">
        <v>7</v>
      </c>
      <c r="E11643" s="51">
        <f t="shared" si="181"/>
        <v>1</v>
      </c>
    </row>
    <row r="11644" spans="1:5">
      <c r="A11644" s="59">
        <v>26</v>
      </c>
      <c r="B11644" s="59">
        <v>41</v>
      </c>
      <c r="C11644" s="59">
        <v>160</v>
      </c>
      <c r="D11644" s="51">
        <v>7</v>
      </c>
      <c r="E11644" s="51">
        <f t="shared" si="181"/>
        <v>1</v>
      </c>
    </row>
    <row r="11645" spans="1:5">
      <c r="A11645" s="59">
        <v>26</v>
      </c>
      <c r="B11645" s="59">
        <v>42</v>
      </c>
      <c r="C11645" s="59">
        <v>160</v>
      </c>
      <c r="D11645" s="51">
        <v>7</v>
      </c>
      <c r="E11645" s="51">
        <f t="shared" si="181"/>
        <v>1</v>
      </c>
    </row>
    <row r="11646" spans="1:5">
      <c r="A11646" s="59">
        <v>26</v>
      </c>
      <c r="B11646" s="59">
        <v>43</v>
      </c>
      <c r="C11646" s="59">
        <v>150</v>
      </c>
      <c r="D11646" s="51">
        <v>7</v>
      </c>
      <c r="E11646" s="51">
        <f t="shared" si="181"/>
        <v>1</v>
      </c>
    </row>
    <row r="11647" spans="1:5">
      <c r="A11647" s="59">
        <v>26</v>
      </c>
      <c r="B11647" s="59">
        <v>44</v>
      </c>
      <c r="C11647" s="59">
        <v>530</v>
      </c>
      <c r="D11647" s="51">
        <v>7</v>
      </c>
      <c r="E11647" s="51">
        <f t="shared" si="181"/>
        <v>1</v>
      </c>
    </row>
    <row r="11648" spans="1:5">
      <c r="A11648" s="59">
        <v>26</v>
      </c>
      <c r="B11648" s="59">
        <v>63</v>
      </c>
      <c r="C11648" s="59">
        <v>910</v>
      </c>
      <c r="D11648" s="51">
        <v>7</v>
      </c>
      <c r="E11648" s="51">
        <f t="shared" si="181"/>
        <v>1</v>
      </c>
    </row>
    <row r="11649" spans="1:5">
      <c r="A11649" s="59">
        <v>26</v>
      </c>
      <c r="B11649" s="59">
        <v>64</v>
      </c>
      <c r="C11649" s="59">
        <v>720</v>
      </c>
      <c r="D11649" s="51">
        <v>7</v>
      </c>
      <c r="E11649" s="51">
        <f t="shared" si="181"/>
        <v>1</v>
      </c>
    </row>
    <row r="11650" spans="1:5">
      <c r="A11650" s="59">
        <v>26</v>
      </c>
      <c r="B11650" s="59">
        <v>71</v>
      </c>
      <c r="C11650" s="59">
        <v>160</v>
      </c>
      <c r="D11650" s="51">
        <v>7</v>
      </c>
      <c r="E11650" s="51">
        <f t="shared" ref="E11650:E11713" si="182">IF(OR(A11650=6,A11650=7,A11650=14,A11650=15,A11650=16,A11650=17,A11650=18,A11650=19,A11650=20,A11650=21,A11650=22,A11650=23,A11650=25,A11650=26,A11650=27,A11650=28,B11650=41,B11650=44,B11650=62),1,0)</f>
        <v>1</v>
      </c>
    </row>
    <row r="11651" spans="1:5">
      <c r="A11651" s="59">
        <v>26</v>
      </c>
      <c r="B11651" s="59">
        <v>81</v>
      </c>
      <c r="C11651" s="59">
        <v>910</v>
      </c>
      <c r="D11651" s="51">
        <v>7</v>
      </c>
      <c r="E11651" s="51">
        <f t="shared" si="182"/>
        <v>1</v>
      </c>
    </row>
    <row r="11652" spans="1:5">
      <c r="A11652" s="59">
        <v>26</v>
      </c>
      <c r="B11652" s="59">
        <v>81</v>
      </c>
      <c r="C11652" s="59">
        <v>990</v>
      </c>
      <c r="D11652" s="51">
        <v>7</v>
      </c>
      <c r="E11652" s="51">
        <f t="shared" si="182"/>
        <v>1</v>
      </c>
    </row>
    <row r="11653" spans="1:5">
      <c r="A11653" s="59">
        <v>26</v>
      </c>
      <c r="B11653" s="59">
        <v>41</v>
      </c>
      <c r="C11653" s="59">
        <v>610</v>
      </c>
      <c r="D11653" s="51">
        <v>6</v>
      </c>
      <c r="E11653" s="51">
        <f t="shared" si="182"/>
        <v>1</v>
      </c>
    </row>
    <row r="11654" spans="1:5">
      <c r="A11654" s="59">
        <v>26</v>
      </c>
      <c r="B11654" s="59">
        <v>41</v>
      </c>
      <c r="C11654" s="59">
        <v>750</v>
      </c>
      <c r="D11654" s="51">
        <v>6</v>
      </c>
      <c r="E11654" s="51">
        <f t="shared" si="182"/>
        <v>1</v>
      </c>
    </row>
    <row r="11655" spans="1:5">
      <c r="A11655" s="59">
        <v>26</v>
      </c>
      <c r="B11655" s="59">
        <v>43</v>
      </c>
      <c r="C11655" s="59">
        <v>899</v>
      </c>
      <c r="D11655" s="51">
        <v>6</v>
      </c>
      <c r="E11655" s="51">
        <f t="shared" si="182"/>
        <v>1</v>
      </c>
    </row>
    <row r="11656" spans="1:5">
      <c r="A11656" s="59">
        <v>26</v>
      </c>
      <c r="B11656" s="59">
        <v>51</v>
      </c>
      <c r="C11656" s="59">
        <v>160</v>
      </c>
      <c r="D11656" s="51">
        <v>6</v>
      </c>
      <c r="E11656" s="51">
        <f t="shared" si="182"/>
        <v>1</v>
      </c>
    </row>
    <row r="11657" spans="1:5">
      <c r="A11657" s="59">
        <v>26</v>
      </c>
      <c r="B11657" s="59">
        <v>62</v>
      </c>
      <c r="C11657" s="59">
        <v>620</v>
      </c>
      <c r="D11657" s="51">
        <v>6</v>
      </c>
      <c r="E11657" s="51">
        <f t="shared" si="182"/>
        <v>1</v>
      </c>
    </row>
    <row r="11658" spans="1:5">
      <c r="A11658" s="59">
        <v>26</v>
      </c>
      <c r="B11658" s="59">
        <v>71</v>
      </c>
      <c r="C11658" s="59">
        <v>730</v>
      </c>
      <c r="D11658" s="51">
        <v>6</v>
      </c>
      <c r="E11658" s="51">
        <f t="shared" si="182"/>
        <v>1</v>
      </c>
    </row>
    <row r="11659" spans="1:5">
      <c r="A11659" s="59">
        <v>26</v>
      </c>
      <c r="B11659" s="59">
        <v>71</v>
      </c>
      <c r="C11659" s="59">
        <v>910</v>
      </c>
      <c r="D11659" s="51">
        <v>6</v>
      </c>
      <c r="E11659" s="51">
        <f t="shared" si="182"/>
        <v>1</v>
      </c>
    </row>
    <row r="11660" spans="1:5">
      <c r="A11660" s="59">
        <v>26</v>
      </c>
      <c r="B11660" s="59">
        <v>13</v>
      </c>
      <c r="C11660" s="59">
        <v>310</v>
      </c>
      <c r="D11660" s="51">
        <v>5</v>
      </c>
      <c r="E11660" s="51">
        <f t="shared" si="182"/>
        <v>1</v>
      </c>
    </row>
    <row r="11661" spans="1:5">
      <c r="A11661" s="59">
        <v>26</v>
      </c>
      <c r="B11661" s="59">
        <v>13</v>
      </c>
      <c r="C11661" s="59">
        <v>530</v>
      </c>
      <c r="D11661" s="51">
        <v>5</v>
      </c>
      <c r="E11661" s="51">
        <f t="shared" si="182"/>
        <v>1</v>
      </c>
    </row>
    <row r="11662" spans="1:5">
      <c r="A11662" s="59">
        <v>26</v>
      </c>
      <c r="B11662" s="59">
        <v>41</v>
      </c>
      <c r="C11662" s="59">
        <v>510</v>
      </c>
      <c r="D11662" s="51">
        <v>5</v>
      </c>
      <c r="E11662" s="51">
        <f t="shared" si="182"/>
        <v>1</v>
      </c>
    </row>
    <row r="11663" spans="1:5">
      <c r="A11663" s="59">
        <v>26</v>
      </c>
      <c r="B11663" s="59">
        <v>41</v>
      </c>
      <c r="C11663" s="59">
        <v>530</v>
      </c>
      <c r="D11663" s="51">
        <v>5</v>
      </c>
      <c r="E11663" s="51">
        <f t="shared" si="182"/>
        <v>1</v>
      </c>
    </row>
    <row r="11664" spans="1:5">
      <c r="A11664" s="59">
        <v>26</v>
      </c>
      <c r="B11664" s="59">
        <v>43</v>
      </c>
      <c r="C11664" s="59">
        <v>920</v>
      </c>
      <c r="D11664" s="51">
        <v>5</v>
      </c>
      <c r="E11664" s="51">
        <f t="shared" si="182"/>
        <v>1</v>
      </c>
    </row>
    <row r="11665" spans="1:5">
      <c r="A11665" s="59">
        <v>26</v>
      </c>
      <c r="B11665" s="59">
        <v>44</v>
      </c>
      <c r="C11665" s="59">
        <v>510</v>
      </c>
      <c r="D11665" s="51">
        <v>5</v>
      </c>
      <c r="E11665" s="51">
        <f t="shared" si="182"/>
        <v>1</v>
      </c>
    </row>
    <row r="11666" spans="1:5">
      <c r="A11666" s="59">
        <v>26</v>
      </c>
      <c r="B11666" s="59">
        <v>44</v>
      </c>
      <c r="C11666" s="59">
        <v>910</v>
      </c>
      <c r="D11666" s="51">
        <v>5</v>
      </c>
      <c r="E11666" s="51">
        <f t="shared" si="182"/>
        <v>1</v>
      </c>
    </row>
    <row r="11667" spans="1:5">
      <c r="A11667" s="59">
        <v>26</v>
      </c>
      <c r="B11667" s="59">
        <v>62</v>
      </c>
      <c r="C11667" s="59">
        <v>110</v>
      </c>
      <c r="D11667" s="51">
        <v>5</v>
      </c>
      <c r="E11667" s="51">
        <f t="shared" si="182"/>
        <v>1</v>
      </c>
    </row>
    <row r="11668" spans="1:5">
      <c r="A11668" s="59">
        <v>26</v>
      </c>
      <c r="B11668" s="59">
        <v>63</v>
      </c>
      <c r="C11668" s="59">
        <v>990</v>
      </c>
      <c r="D11668" s="51">
        <v>5</v>
      </c>
      <c r="E11668" s="51">
        <f t="shared" si="182"/>
        <v>1</v>
      </c>
    </row>
    <row r="11669" spans="1:5">
      <c r="A11669" s="59">
        <v>26</v>
      </c>
      <c r="B11669" s="59">
        <v>64</v>
      </c>
      <c r="C11669" s="59">
        <v>320</v>
      </c>
      <c r="D11669" s="51">
        <v>5</v>
      </c>
      <c r="E11669" s="51">
        <f t="shared" si="182"/>
        <v>1</v>
      </c>
    </row>
    <row r="11670" spans="1:5">
      <c r="A11670" s="59">
        <v>26</v>
      </c>
      <c r="B11670" s="59">
        <v>81</v>
      </c>
      <c r="C11670" s="59">
        <v>530</v>
      </c>
      <c r="D11670" s="51">
        <v>5</v>
      </c>
      <c r="E11670" s="51">
        <f t="shared" si="182"/>
        <v>1</v>
      </c>
    </row>
    <row r="11671" spans="1:5">
      <c r="A11671" s="59">
        <v>26</v>
      </c>
      <c r="B11671" s="59">
        <v>15</v>
      </c>
      <c r="C11671" s="59">
        <v>930</v>
      </c>
      <c r="D11671" s="51">
        <v>4</v>
      </c>
      <c r="E11671" s="51">
        <f t="shared" si="182"/>
        <v>1</v>
      </c>
    </row>
    <row r="11672" spans="1:5">
      <c r="A11672" s="59">
        <v>26</v>
      </c>
      <c r="B11672" s="59">
        <v>16</v>
      </c>
      <c r="C11672" s="59">
        <v>910</v>
      </c>
      <c r="D11672" s="51">
        <v>4</v>
      </c>
      <c r="E11672" s="51">
        <f t="shared" si="182"/>
        <v>1</v>
      </c>
    </row>
    <row r="11673" spans="1:5">
      <c r="A11673" s="59">
        <v>26</v>
      </c>
      <c r="B11673" s="59">
        <v>22</v>
      </c>
      <c r="C11673" s="59">
        <v>230</v>
      </c>
      <c r="D11673" s="51">
        <v>4</v>
      </c>
      <c r="E11673" s="51">
        <f t="shared" si="182"/>
        <v>1</v>
      </c>
    </row>
    <row r="11674" spans="1:5">
      <c r="A11674" s="59">
        <v>26</v>
      </c>
      <c r="B11674" s="59">
        <v>41</v>
      </c>
      <c r="C11674" s="59">
        <v>950</v>
      </c>
      <c r="D11674" s="51">
        <v>4</v>
      </c>
      <c r="E11674" s="51">
        <f t="shared" si="182"/>
        <v>1</v>
      </c>
    </row>
    <row r="11675" spans="1:5">
      <c r="A11675" s="59">
        <v>26</v>
      </c>
      <c r="B11675" s="59">
        <v>44</v>
      </c>
      <c r="C11675" s="59">
        <v>160</v>
      </c>
      <c r="D11675" s="51">
        <v>4</v>
      </c>
      <c r="E11675" s="51">
        <f t="shared" si="182"/>
        <v>1</v>
      </c>
    </row>
    <row r="11676" spans="1:5">
      <c r="A11676" s="59">
        <v>26</v>
      </c>
      <c r="B11676" s="59">
        <v>63</v>
      </c>
      <c r="C11676" s="59">
        <v>750</v>
      </c>
      <c r="D11676" s="51">
        <v>4</v>
      </c>
      <c r="E11676" s="51">
        <f t="shared" si="182"/>
        <v>1</v>
      </c>
    </row>
    <row r="11677" spans="1:5">
      <c r="A11677" s="59">
        <v>26</v>
      </c>
      <c r="B11677" s="59">
        <v>71</v>
      </c>
      <c r="C11677" s="59">
        <v>920</v>
      </c>
      <c r="D11677" s="51">
        <v>4</v>
      </c>
      <c r="E11677" s="51">
        <f t="shared" si="182"/>
        <v>1</v>
      </c>
    </row>
    <row r="11678" spans="1:5">
      <c r="A11678" s="59">
        <v>26</v>
      </c>
      <c r="B11678" s="59">
        <v>81</v>
      </c>
      <c r="C11678" s="59">
        <v>920</v>
      </c>
      <c r="D11678" s="51">
        <v>4</v>
      </c>
      <c r="E11678" s="51">
        <f t="shared" si="182"/>
        <v>1</v>
      </c>
    </row>
    <row r="11679" spans="1:5">
      <c r="A11679" s="59">
        <v>26</v>
      </c>
      <c r="B11679" s="59">
        <v>13</v>
      </c>
      <c r="C11679" s="59">
        <v>610</v>
      </c>
      <c r="D11679" s="51">
        <v>3</v>
      </c>
      <c r="E11679" s="51">
        <f t="shared" si="182"/>
        <v>1</v>
      </c>
    </row>
    <row r="11680" spans="1:5">
      <c r="A11680" s="59">
        <v>26</v>
      </c>
      <c r="B11680" s="59">
        <v>13</v>
      </c>
      <c r="C11680" s="59">
        <v>920</v>
      </c>
      <c r="D11680" s="51">
        <v>3</v>
      </c>
      <c r="E11680" s="51">
        <f t="shared" si="182"/>
        <v>1</v>
      </c>
    </row>
    <row r="11681" spans="1:5">
      <c r="A11681" s="59">
        <v>26</v>
      </c>
      <c r="B11681" s="59">
        <v>14</v>
      </c>
      <c r="C11681" s="59">
        <v>230</v>
      </c>
      <c r="D11681" s="51">
        <v>3</v>
      </c>
      <c r="E11681" s="51">
        <f t="shared" si="182"/>
        <v>1</v>
      </c>
    </row>
    <row r="11682" spans="1:5">
      <c r="A11682" s="59">
        <v>26</v>
      </c>
      <c r="B11682" s="59">
        <v>15</v>
      </c>
      <c r="C11682" s="59">
        <v>910</v>
      </c>
      <c r="D11682" s="51">
        <v>3</v>
      </c>
      <c r="E11682" s="51">
        <f t="shared" si="182"/>
        <v>1</v>
      </c>
    </row>
    <row r="11683" spans="1:5">
      <c r="A11683" s="59">
        <v>26</v>
      </c>
      <c r="B11683" s="59">
        <v>16</v>
      </c>
      <c r="C11683" s="59">
        <v>310</v>
      </c>
      <c r="D11683" s="51">
        <v>3</v>
      </c>
      <c r="E11683" s="51">
        <f t="shared" si="182"/>
        <v>1</v>
      </c>
    </row>
    <row r="11684" spans="1:5">
      <c r="A11684" s="59">
        <v>26</v>
      </c>
      <c r="B11684" s="59">
        <v>22</v>
      </c>
      <c r="C11684" s="59">
        <v>940</v>
      </c>
      <c r="D11684" s="51">
        <v>3</v>
      </c>
      <c r="E11684" s="51">
        <f t="shared" si="182"/>
        <v>1</v>
      </c>
    </row>
    <row r="11685" spans="1:5">
      <c r="A11685" s="59">
        <v>26</v>
      </c>
      <c r="B11685" s="59">
        <v>41</v>
      </c>
      <c r="C11685" s="59">
        <v>990</v>
      </c>
      <c r="D11685" s="51">
        <v>3</v>
      </c>
      <c r="E11685" s="51">
        <f t="shared" si="182"/>
        <v>1</v>
      </c>
    </row>
    <row r="11686" spans="1:5">
      <c r="A11686" s="59">
        <v>26</v>
      </c>
      <c r="B11686" s="59">
        <v>44</v>
      </c>
      <c r="C11686" s="59">
        <v>990</v>
      </c>
      <c r="D11686" s="51">
        <v>3</v>
      </c>
      <c r="E11686" s="51">
        <f t="shared" si="182"/>
        <v>1</v>
      </c>
    </row>
    <row r="11687" spans="1:5">
      <c r="A11687" s="59">
        <v>26</v>
      </c>
      <c r="B11687" s="59">
        <v>63</v>
      </c>
      <c r="C11687" s="59">
        <v>110</v>
      </c>
      <c r="D11687" s="51">
        <v>3</v>
      </c>
      <c r="E11687" s="51">
        <f t="shared" si="182"/>
        <v>1</v>
      </c>
    </row>
    <row r="11688" spans="1:5">
      <c r="A11688" s="59">
        <v>26</v>
      </c>
      <c r="B11688" s="59">
        <v>81</v>
      </c>
      <c r="C11688" s="59">
        <v>110</v>
      </c>
      <c r="D11688" s="51">
        <v>3</v>
      </c>
      <c r="E11688" s="51">
        <f t="shared" si="182"/>
        <v>1</v>
      </c>
    </row>
    <row r="11689" spans="1:5">
      <c r="A11689" s="59">
        <v>26</v>
      </c>
      <c r="B11689" s="59">
        <v>81</v>
      </c>
      <c r="C11689" s="59">
        <v>710</v>
      </c>
      <c r="D11689" s="51">
        <v>3</v>
      </c>
      <c r="E11689" s="51">
        <f t="shared" si="182"/>
        <v>1</v>
      </c>
    </row>
    <row r="11690" spans="1:5">
      <c r="A11690" s="59">
        <v>26</v>
      </c>
      <c r="B11690" s="59">
        <v>13</v>
      </c>
      <c r="C11690" s="59">
        <v>230</v>
      </c>
      <c r="D11690" s="51">
        <v>2</v>
      </c>
      <c r="E11690" s="51">
        <f t="shared" si="182"/>
        <v>1</v>
      </c>
    </row>
    <row r="11691" spans="1:5">
      <c r="A11691" s="59">
        <v>26</v>
      </c>
      <c r="B11691" s="59">
        <v>14</v>
      </c>
      <c r="C11691" s="59">
        <v>330</v>
      </c>
      <c r="D11691" s="51">
        <v>2</v>
      </c>
      <c r="E11691" s="51">
        <f t="shared" si="182"/>
        <v>1</v>
      </c>
    </row>
    <row r="11692" spans="1:5">
      <c r="A11692" s="59">
        <v>26</v>
      </c>
      <c r="B11692" s="59">
        <v>14</v>
      </c>
      <c r="C11692" s="59">
        <v>990</v>
      </c>
      <c r="D11692" s="51">
        <v>2</v>
      </c>
      <c r="E11692" s="51">
        <f t="shared" si="182"/>
        <v>1</v>
      </c>
    </row>
    <row r="11693" spans="1:5">
      <c r="A11693" s="59">
        <v>26</v>
      </c>
      <c r="B11693" s="59">
        <v>15</v>
      </c>
      <c r="C11693" s="59">
        <v>160</v>
      </c>
      <c r="D11693" s="51">
        <v>2</v>
      </c>
      <c r="E11693" s="51">
        <f t="shared" si="182"/>
        <v>1</v>
      </c>
    </row>
    <row r="11694" spans="1:5">
      <c r="A11694" s="59">
        <v>26</v>
      </c>
      <c r="B11694" s="59">
        <v>16</v>
      </c>
      <c r="C11694" s="59">
        <v>160</v>
      </c>
      <c r="D11694" s="51">
        <v>2</v>
      </c>
      <c r="E11694" s="51">
        <f t="shared" si="182"/>
        <v>1</v>
      </c>
    </row>
    <row r="11695" spans="1:5">
      <c r="A11695" s="59">
        <v>26</v>
      </c>
      <c r="B11695" s="59">
        <v>16</v>
      </c>
      <c r="C11695" s="59">
        <v>330</v>
      </c>
      <c r="D11695" s="51">
        <v>2</v>
      </c>
      <c r="E11695" s="51">
        <f t="shared" si="182"/>
        <v>1</v>
      </c>
    </row>
    <row r="11696" spans="1:5">
      <c r="A11696" s="59">
        <v>26</v>
      </c>
      <c r="B11696" s="59">
        <v>16</v>
      </c>
      <c r="C11696" s="59">
        <v>840</v>
      </c>
      <c r="D11696" s="51">
        <v>2</v>
      </c>
      <c r="E11696" s="51">
        <f t="shared" si="182"/>
        <v>1</v>
      </c>
    </row>
    <row r="11697" spans="1:5">
      <c r="A11697" s="59">
        <v>26</v>
      </c>
      <c r="B11697" s="59">
        <v>22</v>
      </c>
      <c r="C11697" s="59">
        <v>330</v>
      </c>
      <c r="D11697" s="51">
        <v>2</v>
      </c>
      <c r="E11697" s="51">
        <f t="shared" si="182"/>
        <v>1</v>
      </c>
    </row>
    <row r="11698" spans="1:5">
      <c r="A11698" s="59">
        <v>26</v>
      </c>
      <c r="B11698" s="59">
        <v>41</v>
      </c>
      <c r="C11698" s="59">
        <v>910</v>
      </c>
      <c r="D11698" s="51">
        <v>2</v>
      </c>
      <c r="E11698" s="51">
        <f t="shared" si="182"/>
        <v>1</v>
      </c>
    </row>
    <row r="11699" spans="1:5">
      <c r="A11699" s="59">
        <v>26</v>
      </c>
      <c r="B11699" s="59">
        <v>42</v>
      </c>
      <c r="C11699" s="59">
        <v>920</v>
      </c>
      <c r="D11699" s="51">
        <v>2</v>
      </c>
      <c r="E11699" s="51">
        <f t="shared" si="182"/>
        <v>1</v>
      </c>
    </row>
    <row r="11700" spans="1:5">
      <c r="A11700" s="59">
        <v>26</v>
      </c>
      <c r="B11700" s="59">
        <v>43</v>
      </c>
      <c r="C11700" s="59">
        <v>620</v>
      </c>
      <c r="D11700" s="51">
        <v>2</v>
      </c>
      <c r="E11700" s="51">
        <f t="shared" si="182"/>
        <v>1</v>
      </c>
    </row>
    <row r="11701" spans="1:5">
      <c r="A11701" s="59">
        <v>26</v>
      </c>
      <c r="B11701" s="59">
        <v>44</v>
      </c>
      <c r="C11701" s="59">
        <v>950</v>
      </c>
      <c r="D11701" s="51">
        <v>2</v>
      </c>
      <c r="E11701" s="51">
        <f t="shared" si="182"/>
        <v>1</v>
      </c>
    </row>
    <row r="11702" spans="1:5">
      <c r="A11702" s="59">
        <v>26</v>
      </c>
      <c r="B11702" s="59">
        <v>51</v>
      </c>
      <c r="C11702" s="59">
        <v>530</v>
      </c>
      <c r="D11702" s="51">
        <v>2</v>
      </c>
      <c r="E11702" s="51">
        <f t="shared" si="182"/>
        <v>1</v>
      </c>
    </row>
    <row r="11703" spans="1:5">
      <c r="A11703" s="59">
        <v>26</v>
      </c>
      <c r="B11703" s="59">
        <v>51</v>
      </c>
      <c r="C11703" s="59">
        <v>750</v>
      </c>
      <c r="D11703" s="51">
        <v>2</v>
      </c>
      <c r="E11703" s="51">
        <f t="shared" si="182"/>
        <v>1</v>
      </c>
    </row>
    <row r="11704" spans="1:5">
      <c r="A11704" s="59">
        <v>26</v>
      </c>
      <c r="B11704" s="59">
        <v>62</v>
      </c>
      <c r="C11704" s="59">
        <v>899</v>
      </c>
      <c r="D11704" s="51">
        <v>2</v>
      </c>
      <c r="E11704" s="51">
        <f t="shared" si="182"/>
        <v>1</v>
      </c>
    </row>
    <row r="11705" spans="1:5">
      <c r="A11705" s="59">
        <v>26</v>
      </c>
      <c r="B11705" s="59">
        <v>62</v>
      </c>
      <c r="C11705" s="59">
        <v>920</v>
      </c>
      <c r="D11705" s="51">
        <v>2</v>
      </c>
      <c r="E11705" s="51">
        <f t="shared" si="182"/>
        <v>1</v>
      </c>
    </row>
    <row r="11706" spans="1:5">
      <c r="A11706" s="59">
        <v>26</v>
      </c>
      <c r="B11706" s="59">
        <v>63</v>
      </c>
      <c r="C11706" s="59">
        <v>720</v>
      </c>
      <c r="D11706" s="51">
        <v>2</v>
      </c>
      <c r="E11706" s="51">
        <f t="shared" si="182"/>
        <v>1</v>
      </c>
    </row>
    <row r="11707" spans="1:5">
      <c r="A11707" s="59">
        <v>26</v>
      </c>
      <c r="B11707" s="59">
        <v>64</v>
      </c>
      <c r="C11707" s="59">
        <v>550</v>
      </c>
      <c r="D11707" s="51">
        <v>2</v>
      </c>
      <c r="E11707" s="51">
        <f t="shared" si="182"/>
        <v>1</v>
      </c>
    </row>
    <row r="11708" spans="1:5">
      <c r="A11708" s="59">
        <v>26</v>
      </c>
      <c r="B11708" s="59">
        <v>64</v>
      </c>
      <c r="C11708" s="59">
        <v>730</v>
      </c>
      <c r="D11708" s="51">
        <v>2</v>
      </c>
      <c r="E11708" s="51">
        <f t="shared" si="182"/>
        <v>1</v>
      </c>
    </row>
    <row r="11709" spans="1:5">
      <c r="A11709" s="59">
        <v>26</v>
      </c>
      <c r="B11709" s="59">
        <v>11</v>
      </c>
      <c r="C11709" s="59">
        <v>110</v>
      </c>
      <c r="D11709" s="51">
        <v>1</v>
      </c>
      <c r="E11709" s="51">
        <f t="shared" si="182"/>
        <v>1</v>
      </c>
    </row>
    <row r="11710" spans="1:5">
      <c r="A11710" s="59">
        <v>26</v>
      </c>
      <c r="B11710" s="59">
        <v>11</v>
      </c>
      <c r="C11710" s="59">
        <v>160</v>
      </c>
      <c r="D11710" s="51">
        <v>1</v>
      </c>
      <c r="E11710" s="51">
        <f t="shared" si="182"/>
        <v>1</v>
      </c>
    </row>
    <row r="11711" spans="1:5">
      <c r="A11711" s="59">
        <v>26</v>
      </c>
      <c r="B11711" s="59">
        <v>11</v>
      </c>
      <c r="C11711" s="59">
        <v>930</v>
      </c>
      <c r="D11711" s="51">
        <v>1</v>
      </c>
      <c r="E11711" s="51">
        <f t="shared" si="182"/>
        <v>1</v>
      </c>
    </row>
    <row r="11712" spans="1:5">
      <c r="A11712" s="59">
        <v>26</v>
      </c>
      <c r="B11712" s="59">
        <v>13</v>
      </c>
      <c r="C11712" s="59">
        <v>220</v>
      </c>
      <c r="D11712" s="51">
        <v>1</v>
      </c>
      <c r="E11712" s="51">
        <f t="shared" si="182"/>
        <v>1</v>
      </c>
    </row>
    <row r="11713" spans="1:5">
      <c r="A11713" s="59">
        <v>26</v>
      </c>
      <c r="B11713" s="59">
        <v>13</v>
      </c>
      <c r="C11713" s="59">
        <v>320</v>
      </c>
      <c r="D11713" s="51">
        <v>1</v>
      </c>
      <c r="E11713" s="51">
        <f t="shared" si="182"/>
        <v>1</v>
      </c>
    </row>
    <row r="11714" spans="1:5">
      <c r="A11714" s="59">
        <v>26</v>
      </c>
      <c r="B11714" s="59">
        <v>13</v>
      </c>
      <c r="C11714" s="59">
        <v>330</v>
      </c>
      <c r="D11714" s="51">
        <v>1</v>
      </c>
      <c r="E11714" s="51">
        <f t="shared" ref="E11714:E11777" si="183">IF(OR(A11714=6,A11714=7,A11714=14,A11714=15,A11714=16,A11714=17,A11714=18,A11714=19,A11714=20,A11714=21,A11714=22,A11714=23,A11714=25,A11714=26,A11714=27,A11714=28,B11714=41,B11714=44,B11714=62),1,0)</f>
        <v>1</v>
      </c>
    </row>
    <row r="11715" spans="1:5">
      <c r="A11715" s="59">
        <v>26</v>
      </c>
      <c r="B11715" s="59">
        <v>13</v>
      </c>
      <c r="C11715" s="59">
        <v>410</v>
      </c>
      <c r="D11715" s="51">
        <v>1</v>
      </c>
      <c r="E11715" s="51">
        <f t="shared" si="183"/>
        <v>1</v>
      </c>
    </row>
    <row r="11716" spans="1:5">
      <c r="A11716" s="59">
        <v>26</v>
      </c>
      <c r="B11716" s="59">
        <v>13</v>
      </c>
      <c r="C11716" s="59">
        <v>720</v>
      </c>
      <c r="D11716" s="51">
        <v>1</v>
      </c>
      <c r="E11716" s="51">
        <f t="shared" si="183"/>
        <v>1</v>
      </c>
    </row>
    <row r="11717" spans="1:5">
      <c r="A11717" s="59">
        <v>26</v>
      </c>
      <c r="B11717" s="59">
        <v>14</v>
      </c>
      <c r="C11717" s="59">
        <v>140</v>
      </c>
      <c r="D11717" s="51">
        <v>1</v>
      </c>
      <c r="E11717" s="51">
        <f t="shared" si="183"/>
        <v>1</v>
      </c>
    </row>
    <row r="11718" spans="1:5">
      <c r="A11718" s="59">
        <v>26</v>
      </c>
      <c r="B11718" s="59">
        <v>14</v>
      </c>
      <c r="C11718" s="59">
        <v>210</v>
      </c>
      <c r="D11718" s="51">
        <v>1</v>
      </c>
      <c r="E11718" s="51">
        <f t="shared" si="183"/>
        <v>1</v>
      </c>
    </row>
    <row r="11719" spans="1:5">
      <c r="A11719" s="59">
        <v>26</v>
      </c>
      <c r="B11719" s="59">
        <v>14</v>
      </c>
      <c r="C11719" s="59">
        <v>220</v>
      </c>
      <c r="D11719" s="51">
        <v>1</v>
      </c>
      <c r="E11719" s="51">
        <f t="shared" si="183"/>
        <v>1</v>
      </c>
    </row>
    <row r="11720" spans="1:5">
      <c r="A11720" s="59">
        <v>26</v>
      </c>
      <c r="B11720" s="59">
        <v>14</v>
      </c>
      <c r="C11720" s="59">
        <v>240</v>
      </c>
      <c r="D11720" s="51">
        <v>1</v>
      </c>
      <c r="E11720" s="51">
        <f t="shared" si="183"/>
        <v>1</v>
      </c>
    </row>
    <row r="11721" spans="1:5">
      <c r="A11721" s="59">
        <v>26</v>
      </c>
      <c r="B11721" s="59">
        <v>14</v>
      </c>
      <c r="C11721" s="59">
        <v>310</v>
      </c>
      <c r="D11721" s="51">
        <v>1</v>
      </c>
      <c r="E11721" s="51">
        <f t="shared" si="183"/>
        <v>1</v>
      </c>
    </row>
    <row r="11722" spans="1:5">
      <c r="A11722" s="59">
        <v>26</v>
      </c>
      <c r="B11722" s="59">
        <v>14</v>
      </c>
      <c r="C11722" s="59">
        <v>720</v>
      </c>
      <c r="D11722" s="51">
        <v>1</v>
      </c>
      <c r="E11722" s="51">
        <f t="shared" si="183"/>
        <v>1</v>
      </c>
    </row>
    <row r="11723" spans="1:5">
      <c r="A11723" s="59">
        <v>26</v>
      </c>
      <c r="B11723" s="59">
        <v>14</v>
      </c>
      <c r="C11723" s="59">
        <v>920</v>
      </c>
      <c r="D11723" s="51">
        <v>1</v>
      </c>
      <c r="E11723" s="51">
        <f t="shared" si="183"/>
        <v>1</v>
      </c>
    </row>
    <row r="11724" spans="1:5">
      <c r="A11724" s="59">
        <v>26</v>
      </c>
      <c r="B11724" s="59">
        <v>15</v>
      </c>
      <c r="C11724" s="59">
        <v>240</v>
      </c>
      <c r="D11724" s="51">
        <v>1</v>
      </c>
      <c r="E11724" s="51">
        <f t="shared" si="183"/>
        <v>1</v>
      </c>
    </row>
    <row r="11725" spans="1:5">
      <c r="A11725" s="59">
        <v>26</v>
      </c>
      <c r="B11725" s="59">
        <v>15</v>
      </c>
      <c r="C11725" s="59">
        <v>320</v>
      </c>
      <c r="D11725" s="51">
        <v>1</v>
      </c>
      <c r="E11725" s="51">
        <f t="shared" si="183"/>
        <v>1</v>
      </c>
    </row>
    <row r="11726" spans="1:5">
      <c r="A11726" s="59">
        <v>26</v>
      </c>
      <c r="B11726" s="59">
        <v>16</v>
      </c>
      <c r="C11726" s="59">
        <v>150</v>
      </c>
      <c r="D11726" s="51">
        <v>1</v>
      </c>
      <c r="E11726" s="51">
        <f t="shared" si="183"/>
        <v>1</v>
      </c>
    </row>
    <row r="11727" spans="1:5">
      <c r="A11727" s="59">
        <v>26</v>
      </c>
      <c r="B11727" s="59">
        <v>16</v>
      </c>
      <c r="C11727" s="59">
        <v>240</v>
      </c>
      <c r="D11727" s="51">
        <v>1</v>
      </c>
      <c r="E11727" s="51">
        <f t="shared" si="183"/>
        <v>1</v>
      </c>
    </row>
    <row r="11728" spans="1:5">
      <c r="A11728" s="59">
        <v>26</v>
      </c>
      <c r="B11728" s="59">
        <v>16</v>
      </c>
      <c r="C11728" s="59">
        <v>530</v>
      </c>
      <c r="D11728" s="51">
        <v>1</v>
      </c>
      <c r="E11728" s="51">
        <f t="shared" si="183"/>
        <v>1</v>
      </c>
    </row>
    <row r="11729" spans="1:5">
      <c r="A11729" s="59">
        <v>26</v>
      </c>
      <c r="B11729" s="59">
        <v>22</v>
      </c>
      <c r="C11729" s="59">
        <v>110</v>
      </c>
      <c r="D11729" s="51">
        <v>1</v>
      </c>
      <c r="E11729" s="51">
        <f t="shared" si="183"/>
        <v>1</v>
      </c>
    </row>
    <row r="11730" spans="1:5">
      <c r="A11730" s="59">
        <v>26</v>
      </c>
      <c r="B11730" s="59">
        <v>22</v>
      </c>
      <c r="C11730" s="59">
        <v>130</v>
      </c>
      <c r="D11730" s="51">
        <v>1</v>
      </c>
      <c r="E11730" s="51">
        <f t="shared" si="183"/>
        <v>1</v>
      </c>
    </row>
    <row r="11731" spans="1:5">
      <c r="A11731" s="59">
        <v>26</v>
      </c>
      <c r="B11731" s="59">
        <v>22</v>
      </c>
      <c r="C11731" s="59">
        <v>150</v>
      </c>
      <c r="D11731" s="51">
        <v>1</v>
      </c>
      <c r="E11731" s="51">
        <f t="shared" si="183"/>
        <v>1</v>
      </c>
    </row>
    <row r="11732" spans="1:5">
      <c r="A11732" s="59">
        <v>26</v>
      </c>
      <c r="B11732" s="59">
        <v>22</v>
      </c>
      <c r="C11732" s="59">
        <v>160</v>
      </c>
      <c r="D11732" s="51">
        <v>1</v>
      </c>
      <c r="E11732" s="51">
        <f t="shared" si="183"/>
        <v>1</v>
      </c>
    </row>
    <row r="11733" spans="1:5">
      <c r="A11733" s="59">
        <v>26</v>
      </c>
      <c r="B11733" s="59">
        <v>22</v>
      </c>
      <c r="C11733" s="59">
        <v>310</v>
      </c>
      <c r="D11733" s="51">
        <v>1</v>
      </c>
      <c r="E11733" s="51">
        <f t="shared" si="183"/>
        <v>1</v>
      </c>
    </row>
    <row r="11734" spans="1:5">
      <c r="A11734" s="59">
        <v>26</v>
      </c>
      <c r="B11734" s="59">
        <v>22</v>
      </c>
      <c r="C11734" s="59">
        <v>750</v>
      </c>
      <c r="D11734" s="51">
        <v>1</v>
      </c>
      <c r="E11734" s="51">
        <f t="shared" si="183"/>
        <v>1</v>
      </c>
    </row>
    <row r="11735" spans="1:5">
      <c r="A11735" s="59">
        <v>26</v>
      </c>
      <c r="B11735" s="59">
        <v>33</v>
      </c>
      <c r="C11735" s="59">
        <v>160</v>
      </c>
      <c r="D11735" s="51">
        <v>1</v>
      </c>
      <c r="E11735" s="51">
        <f t="shared" si="183"/>
        <v>1</v>
      </c>
    </row>
    <row r="11736" spans="1:5">
      <c r="A11736" s="59">
        <v>26</v>
      </c>
      <c r="B11736" s="59">
        <v>41</v>
      </c>
      <c r="C11736" s="59">
        <v>150</v>
      </c>
      <c r="D11736" s="51">
        <v>1</v>
      </c>
      <c r="E11736" s="51">
        <f t="shared" si="183"/>
        <v>1</v>
      </c>
    </row>
    <row r="11737" spans="1:5">
      <c r="A11737" s="59">
        <v>26</v>
      </c>
      <c r="B11737" s="59">
        <v>41</v>
      </c>
      <c r="C11737" s="59">
        <v>720</v>
      </c>
      <c r="D11737" s="51">
        <v>1</v>
      </c>
      <c r="E11737" s="51">
        <f t="shared" si="183"/>
        <v>1</v>
      </c>
    </row>
    <row r="11738" spans="1:5">
      <c r="A11738" s="59">
        <v>26</v>
      </c>
      <c r="B11738" s="59">
        <v>41</v>
      </c>
      <c r="C11738" s="59">
        <v>730</v>
      </c>
      <c r="D11738" s="51">
        <v>1</v>
      </c>
      <c r="E11738" s="51">
        <f t="shared" si="183"/>
        <v>1</v>
      </c>
    </row>
    <row r="11739" spans="1:5">
      <c r="A11739" s="59">
        <v>26</v>
      </c>
      <c r="B11739" s="59">
        <v>42</v>
      </c>
      <c r="C11739" s="59">
        <v>899</v>
      </c>
      <c r="D11739" s="51">
        <v>1</v>
      </c>
      <c r="E11739" s="51">
        <f t="shared" si="183"/>
        <v>1</v>
      </c>
    </row>
    <row r="11740" spans="1:5">
      <c r="A11740" s="59">
        <v>26</v>
      </c>
      <c r="B11740" s="59">
        <v>43</v>
      </c>
      <c r="C11740" s="59">
        <v>430</v>
      </c>
      <c r="D11740" s="51">
        <v>1</v>
      </c>
      <c r="E11740" s="51">
        <f t="shared" si="183"/>
        <v>1</v>
      </c>
    </row>
    <row r="11741" spans="1:5">
      <c r="A11741" s="59">
        <v>26</v>
      </c>
      <c r="B11741" s="59">
        <v>43</v>
      </c>
      <c r="C11741" s="59">
        <v>610</v>
      </c>
      <c r="D11741" s="51">
        <v>1</v>
      </c>
      <c r="E11741" s="51">
        <f t="shared" si="183"/>
        <v>1</v>
      </c>
    </row>
    <row r="11742" spans="1:5">
      <c r="A11742" s="59">
        <v>26</v>
      </c>
      <c r="B11742" s="59">
        <v>43</v>
      </c>
      <c r="C11742" s="59">
        <v>710</v>
      </c>
      <c r="D11742" s="51">
        <v>1</v>
      </c>
      <c r="E11742" s="51">
        <f t="shared" si="183"/>
        <v>1</v>
      </c>
    </row>
    <row r="11743" spans="1:5">
      <c r="A11743" s="59">
        <v>26</v>
      </c>
      <c r="B11743" s="59">
        <v>44</v>
      </c>
      <c r="C11743" s="59">
        <v>610</v>
      </c>
      <c r="D11743" s="51">
        <v>1</v>
      </c>
      <c r="E11743" s="51">
        <f t="shared" si="183"/>
        <v>1</v>
      </c>
    </row>
    <row r="11744" spans="1:5">
      <c r="A11744" s="59">
        <v>26</v>
      </c>
      <c r="B11744" s="59">
        <v>51</v>
      </c>
      <c r="C11744" s="59">
        <v>110</v>
      </c>
      <c r="D11744" s="51">
        <v>1</v>
      </c>
      <c r="E11744" s="51">
        <f t="shared" si="183"/>
        <v>1</v>
      </c>
    </row>
    <row r="11745" spans="1:5">
      <c r="A11745" s="59">
        <v>26</v>
      </c>
      <c r="B11745" s="59">
        <v>51</v>
      </c>
      <c r="C11745" s="59">
        <v>510</v>
      </c>
      <c r="D11745" s="51">
        <v>1</v>
      </c>
      <c r="E11745" s="51">
        <f t="shared" si="183"/>
        <v>1</v>
      </c>
    </row>
    <row r="11746" spans="1:5">
      <c r="A11746" s="59">
        <v>26</v>
      </c>
      <c r="B11746" s="59">
        <v>62</v>
      </c>
      <c r="C11746" s="59">
        <v>610</v>
      </c>
      <c r="D11746" s="51">
        <v>1</v>
      </c>
      <c r="E11746" s="51">
        <f t="shared" si="183"/>
        <v>1</v>
      </c>
    </row>
    <row r="11747" spans="1:5">
      <c r="A11747" s="59">
        <v>26</v>
      </c>
      <c r="B11747" s="59">
        <v>62</v>
      </c>
      <c r="C11747" s="59">
        <v>730</v>
      </c>
      <c r="D11747" s="51">
        <v>1</v>
      </c>
      <c r="E11747" s="51">
        <f t="shared" si="183"/>
        <v>1</v>
      </c>
    </row>
    <row r="11748" spans="1:5">
      <c r="A11748" s="59">
        <v>26</v>
      </c>
      <c r="B11748" s="59">
        <v>62</v>
      </c>
      <c r="C11748" s="59">
        <v>950</v>
      </c>
      <c r="D11748" s="51">
        <v>1</v>
      </c>
      <c r="E11748" s="51">
        <f t="shared" si="183"/>
        <v>1</v>
      </c>
    </row>
    <row r="11749" spans="1:5">
      <c r="A11749" s="59">
        <v>26</v>
      </c>
      <c r="B11749" s="59">
        <v>63</v>
      </c>
      <c r="C11749" s="59">
        <v>150</v>
      </c>
      <c r="D11749" s="51">
        <v>1</v>
      </c>
      <c r="E11749" s="51">
        <f t="shared" si="183"/>
        <v>1</v>
      </c>
    </row>
    <row r="11750" spans="1:5">
      <c r="A11750" s="59">
        <v>26</v>
      </c>
      <c r="B11750" s="59">
        <v>63</v>
      </c>
      <c r="C11750" s="59">
        <v>520</v>
      </c>
      <c r="D11750" s="51">
        <v>1</v>
      </c>
      <c r="E11750" s="51">
        <f t="shared" si="183"/>
        <v>1</v>
      </c>
    </row>
    <row r="11751" spans="1:5">
      <c r="A11751" s="59">
        <v>26</v>
      </c>
      <c r="B11751" s="59">
        <v>63</v>
      </c>
      <c r="C11751" s="59">
        <v>710</v>
      </c>
      <c r="D11751" s="51">
        <v>1</v>
      </c>
      <c r="E11751" s="51">
        <f t="shared" si="183"/>
        <v>1</v>
      </c>
    </row>
    <row r="11752" spans="1:5">
      <c r="A11752" s="59">
        <v>26</v>
      </c>
      <c r="B11752" s="59">
        <v>63</v>
      </c>
      <c r="C11752" s="59">
        <v>730</v>
      </c>
      <c r="D11752" s="51">
        <v>1</v>
      </c>
      <c r="E11752" s="51">
        <f t="shared" si="183"/>
        <v>1</v>
      </c>
    </row>
    <row r="11753" spans="1:5">
      <c r="A11753" s="59">
        <v>26</v>
      </c>
      <c r="B11753" s="59">
        <v>64</v>
      </c>
      <c r="C11753" s="59">
        <v>210</v>
      </c>
      <c r="D11753" s="51">
        <v>1</v>
      </c>
      <c r="E11753" s="51">
        <f t="shared" si="183"/>
        <v>1</v>
      </c>
    </row>
    <row r="11754" spans="1:5">
      <c r="A11754" s="59">
        <v>26</v>
      </c>
      <c r="B11754" s="59">
        <v>64</v>
      </c>
      <c r="C11754" s="59">
        <v>520</v>
      </c>
      <c r="D11754" s="51">
        <v>1</v>
      </c>
      <c r="E11754" s="51">
        <f t="shared" si="183"/>
        <v>1</v>
      </c>
    </row>
    <row r="11755" spans="1:5">
      <c r="A11755" s="59">
        <v>26</v>
      </c>
      <c r="B11755" s="59">
        <v>64</v>
      </c>
      <c r="C11755" s="59">
        <v>920</v>
      </c>
      <c r="D11755" s="51">
        <v>1</v>
      </c>
      <c r="E11755" s="51">
        <f t="shared" si="183"/>
        <v>1</v>
      </c>
    </row>
    <row r="11756" spans="1:5">
      <c r="A11756" s="59">
        <v>26</v>
      </c>
      <c r="B11756" s="59">
        <v>64</v>
      </c>
      <c r="C11756" s="59">
        <v>950</v>
      </c>
      <c r="D11756" s="51">
        <v>1</v>
      </c>
      <c r="E11756" s="51">
        <f t="shared" si="183"/>
        <v>1</v>
      </c>
    </row>
    <row r="11757" spans="1:5">
      <c r="A11757" s="59">
        <v>26</v>
      </c>
      <c r="B11757" s="59">
        <v>64</v>
      </c>
      <c r="C11757" s="59">
        <v>970</v>
      </c>
      <c r="D11757" s="51">
        <v>1</v>
      </c>
      <c r="E11757" s="51">
        <f t="shared" si="183"/>
        <v>1</v>
      </c>
    </row>
    <row r="11758" spans="1:5">
      <c r="A11758" s="59">
        <v>26</v>
      </c>
      <c r="B11758" s="59">
        <v>71</v>
      </c>
      <c r="C11758" s="59">
        <v>150</v>
      </c>
      <c r="D11758" s="51">
        <v>1</v>
      </c>
      <c r="E11758" s="51">
        <f t="shared" si="183"/>
        <v>1</v>
      </c>
    </row>
    <row r="11759" spans="1:5">
      <c r="A11759" s="59">
        <v>26</v>
      </c>
      <c r="B11759" s="59">
        <v>71</v>
      </c>
      <c r="C11759" s="59">
        <v>550</v>
      </c>
      <c r="D11759" s="51">
        <v>1</v>
      </c>
      <c r="E11759" s="51">
        <f t="shared" si="183"/>
        <v>1</v>
      </c>
    </row>
    <row r="11760" spans="1:5">
      <c r="A11760" s="59">
        <v>26</v>
      </c>
      <c r="B11760" s="59">
        <v>81</v>
      </c>
      <c r="C11760" s="59">
        <v>520</v>
      </c>
      <c r="D11760" s="51">
        <v>1</v>
      </c>
      <c r="E11760" s="51">
        <f t="shared" si="183"/>
        <v>1</v>
      </c>
    </row>
    <row r="11761" spans="1:5">
      <c r="A11761" s="59">
        <v>27</v>
      </c>
      <c r="B11761" s="59">
        <v>64</v>
      </c>
      <c r="C11761" s="59">
        <v>530</v>
      </c>
      <c r="D11761" s="51">
        <v>17825</v>
      </c>
      <c r="E11761" s="51">
        <f t="shared" si="183"/>
        <v>1</v>
      </c>
    </row>
    <row r="11762" spans="1:5">
      <c r="A11762" s="59">
        <v>27</v>
      </c>
      <c r="B11762" s="59">
        <v>63</v>
      </c>
      <c r="C11762" s="59">
        <v>530</v>
      </c>
      <c r="D11762" s="51">
        <v>10153</v>
      </c>
      <c r="E11762" s="51">
        <f t="shared" si="183"/>
        <v>1</v>
      </c>
    </row>
    <row r="11763" spans="1:5">
      <c r="A11763" s="59">
        <v>27</v>
      </c>
      <c r="B11763" s="59">
        <v>64</v>
      </c>
      <c r="C11763" s="59">
        <v>510</v>
      </c>
      <c r="D11763" s="51">
        <v>10057</v>
      </c>
      <c r="E11763" s="51">
        <f t="shared" si="183"/>
        <v>1</v>
      </c>
    </row>
    <row r="11764" spans="1:5">
      <c r="A11764" s="59">
        <v>27</v>
      </c>
      <c r="B11764" s="59">
        <v>64</v>
      </c>
      <c r="C11764" s="59">
        <v>750</v>
      </c>
      <c r="D11764" s="51">
        <v>7750</v>
      </c>
      <c r="E11764" s="51">
        <f t="shared" si="183"/>
        <v>1</v>
      </c>
    </row>
    <row r="11765" spans="1:5">
      <c r="A11765" s="59">
        <v>27</v>
      </c>
      <c r="B11765" s="59">
        <v>62</v>
      </c>
      <c r="C11765" s="59">
        <v>750</v>
      </c>
      <c r="D11765" s="51">
        <v>6657</v>
      </c>
      <c r="E11765" s="51">
        <f t="shared" si="183"/>
        <v>1</v>
      </c>
    </row>
    <row r="11766" spans="1:5">
      <c r="A11766" s="59">
        <v>27</v>
      </c>
      <c r="B11766" s="59">
        <v>62</v>
      </c>
      <c r="C11766" s="59">
        <v>530</v>
      </c>
      <c r="D11766" s="51">
        <v>6234</v>
      </c>
      <c r="E11766" s="51">
        <f t="shared" si="183"/>
        <v>1</v>
      </c>
    </row>
    <row r="11767" spans="1:5">
      <c r="A11767" s="59">
        <v>27</v>
      </c>
      <c r="B11767" s="59">
        <v>43</v>
      </c>
      <c r="C11767" s="59">
        <v>530</v>
      </c>
      <c r="D11767" s="51">
        <v>6209</v>
      </c>
      <c r="E11767" s="51">
        <f t="shared" si="183"/>
        <v>1</v>
      </c>
    </row>
    <row r="11768" spans="1:5">
      <c r="A11768" s="59">
        <v>27</v>
      </c>
      <c r="B11768" s="59">
        <v>64</v>
      </c>
      <c r="C11768" s="59">
        <v>730</v>
      </c>
      <c r="D11768" s="51">
        <v>4828</v>
      </c>
      <c r="E11768" s="51">
        <f t="shared" si="183"/>
        <v>1</v>
      </c>
    </row>
    <row r="11769" spans="1:5">
      <c r="A11769" s="59">
        <v>27</v>
      </c>
      <c r="B11769" s="59">
        <v>63</v>
      </c>
      <c r="C11769" s="59">
        <v>510</v>
      </c>
      <c r="D11769" s="51">
        <v>4607</v>
      </c>
      <c r="E11769" s="51">
        <f t="shared" si="183"/>
        <v>1</v>
      </c>
    </row>
    <row r="11770" spans="1:5">
      <c r="A11770" s="59">
        <v>27</v>
      </c>
      <c r="B11770" s="59">
        <v>63</v>
      </c>
      <c r="C11770" s="59">
        <v>750</v>
      </c>
      <c r="D11770" s="51">
        <v>3772</v>
      </c>
      <c r="E11770" s="51">
        <f t="shared" si="183"/>
        <v>1</v>
      </c>
    </row>
    <row r="11771" spans="1:5">
      <c r="A11771" s="59">
        <v>27</v>
      </c>
      <c r="B11771" s="59">
        <v>43</v>
      </c>
      <c r="C11771" s="59">
        <v>510</v>
      </c>
      <c r="D11771" s="51">
        <v>3703</v>
      </c>
      <c r="E11771" s="51">
        <f t="shared" si="183"/>
        <v>1</v>
      </c>
    </row>
    <row r="11772" spans="1:5">
      <c r="A11772" s="59">
        <v>27</v>
      </c>
      <c r="B11772" s="59">
        <v>64</v>
      </c>
      <c r="C11772" s="59">
        <v>720</v>
      </c>
      <c r="D11772" s="51">
        <v>3510</v>
      </c>
      <c r="E11772" s="51">
        <f t="shared" si="183"/>
        <v>1</v>
      </c>
    </row>
    <row r="11773" spans="1:5">
      <c r="A11773" s="59">
        <v>27</v>
      </c>
      <c r="B11773" s="59">
        <v>62</v>
      </c>
      <c r="C11773" s="59">
        <v>720</v>
      </c>
      <c r="D11773" s="51">
        <v>3374</v>
      </c>
      <c r="E11773" s="51">
        <f t="shared" si="183"/>
        <v>1</v>
      </c>
    </row>
    <row r="11774" spans="1:5">
      <c r="A11774" s="59">
        <v>27</v>
      </c>
      <c r="B11774" s="59">
        <v>71</v>
      </c>
      <c r="C11774" s="59">
        <v>530</v>
      </c>
      <c r="D11774" s="51">
        <v>3241</v>
      </c>
      <c r="E11774" s="51">
        <f t="shared" si="183"/>
        <v>1</v>
      </c>
    </row>
    <row r="11775" spans="1:5">
      <c r="A11775" s="59">
        <v>27</v>
      </c>
      <c r="B11775" s="59">
        <v>62</v>
      </c>
      <c r="C11775" s="59">
        <v>510</v>
      </c>
      <c r="D11775" s="51">
        <v>2961</v>
      </c>
      <c r="E11775" s="51">
        <f t="shared" si="183"/>
        <v>1</v>
      </c>
    </row>
    <row r="11776" spans="1:5">
      <c r="A11776" s="59">
        <v>27</v>
      </c>
      <c r="B11776" s="59">
        <v>71</v>
      </c>
      <c r="C11776" s="59">
        <v>750</v>
      </c>
      <c r="D11776" s="51">
        <v>2909</v>
      </c>
      <c r="E11776" s="51">
        <f t="shared" si="183"/>
        <v>1</v>
      </c>
    </row>
    <row r="11777" spans="1:5">
      <c r="A11777" s="59">
        <v>27</v>
      </c>
      <c r="B11777" s="59">
        <v>64</v>
      </c>
      <c r="C11777" s="59">
        <v>910</v>
      </c>
      <c r="D11777" s="51">
        <v>2618</v>
      </c>
      <c r="E11777" s="51">
        <f t="shared" si="183"/>
        <v>1</v>
      </c>
    </row>
    <row r="11778" spans="1:5">
      <c r="A11778" s="59">
        <v>27</v>
      </c>
      <c r="B11778" s="59">
        <v>62</v>
      </c>
      <c r="C11778" s="59">
        <v>730</v>
      </c>
      <c r="D11778" s="51">
        <v>2595</v>
      </c>
      <c r="E11778" s="51">
        <f t="shared" ref="E11778:E11841" si="184">IF(OR(A11778=6,A11778=7,A11778=14,A11778=15,A11778=16,A11778=17,A11778=18,A11778=19,A11778=20,A11778=21,A11778=22,A11778=23,A11778=25,A11778=26,A11778=27,A11778=28,B11778=41,B11778=44,B11778=62),1,0)</f>
        <v>1</v>
      </c>
    </row>
    <row r="11779" spans="1:5">
      <c r="A11779" s="59">
        <v>27</v>
      </c>
      <c r="B11779" s="59">
        <v>43</v>
      </c>
      <c r="C11779" s="59">
        <v>750</v>
      </c>
      <c r="D11779" s="51">
        <v>2516</v>
      </c>
      <c r="E11779" s="51">
        <f t="shared" si="184"/>
        <v>1</v>
      </c>
    </row>
    <row r="11780" spans="1:5">
      <c r="A11780" s="59">
        <v>27</v>
      </c>
      <c r="B11780" s="59">
        <v>64</v>
      </c>
      <c r="C11780" s="59">
        <v>970</v>
      </c>
      <c r="D11780" s="51">
        <v>2516</v>
      </c>
      <c r="E11780" s="51">
        <f t="shared" si="184"/>
        <v>1</v>
      </c>
    </row>
    <row r="11781" spans="1:5">
      <c r="A11781" s="59">
        <v>27</v>
      </c>
      <c r="B11781" s="59">
        <v>63</v>
      </c>
      <c r="C11781" s="59">
        <v>730</v>
      </c>
      <c r="D11781" s="51">
        <v>2110</v>
      </c>
      <c r="E11781" s="51">
        <f t="shared" si="184"/>
        <v>1</v>
      </c>
    </row>
    <row r="11782" spans="1:5">
      <c r="A11782" s="59">
        <v>27</v>
      </c>
      <c r="B11782" s="59">
        <v>71</v>
      </c>
      <c r="C11782" s="59">
        <v>510</v>
      </c>
      <c r="D11782" s="51">
        <v>2091</v>
      </c>
      <c r="E11782" s="51">
        <f t="shared" si="184"/>
        <v>1</v>
      </c>
    </row>
    <row r="11783" spans="1:5">
      <c r="A11783" s="59">
        <v>27</v>
      </c>
      <c r="B11783" s="59">
        <v>81</v>
      </c>
      <c r="C11783" s="59">
        <v>530</v>
      </c>
      <c r="D11783" s="51">
        <v>1914</v>
      </c>
      <c r="E11783" s="51">
        <f t="shared" si="184"/>
        <v>1</v>
      </c>
    </row>
    <row r="11784" spans="1:5">
      <c r="A11784" s="59">
        <v>27</v>
      </c>
      <c r="B11784" s="59">
        <v>43</v>
      </c>
      <c r="C11784" s="59">
        <v>720</v>
      </c>
      <c r="D11784" s="51">
        <v>1692</v>
      </c>
      <c r="E11784" s="51">
        <f t="shared" si="184"/>
        <v>1</v>
      </c>
    </row>
    <row r="11785" spans="1:5">
      <c r="A11785" s="59">
        <v>27</v>
      </c>
      <c r="B11785" s="59">
        <v>44</v>
      </c>
      <c r="C11785" s="59">
        <v>530</v>
      </c>
      <c r="D11785" s="51">
        <v>1673</v>
      </c>
      <c r="E11785" s="51">
        <f t="shared" si="184"/>
        <v>1</v>
      </c>
    </row>
    <row r="11786" spans="1:5">
      <c r="A11786" s="59">
        <v>27</v>
      </c>
      <c r="B11786" s="59">
        <v>71</v>
      </c>
      <c r="C11786" s="59">
        <v>730</v>
      </c>
      <c r="D11786" s="51">
        <v>1389</v>
      </c>
      <c r="E11786" s="51">
        <f t="shared" si="184"/>
        <v>1</v>
      </c>
    </row>
    <row r="11787" spans="1:5">
      <c r="A11787" s="59">
        <v>27</v>
      </c>
      <c r="B11787" s="59">
        <v>43</v>
      </c>
      <c r="C11787" s="59">
        <v>730</v>
      </c>
      <c r="D11787" s="51">
        <v>1329</v>
      </c>
      <c r="E11787" s="51">
        <f t="shared" si="184"/>
        <v>1</v>
      </c>
    </row>
    <row r="11788" spans="1:5">
      <c r="A11788" s="59">
        <v>27</v>
      </c>
      <c r="B11788" s="59">
        <v>63</v>
      </c>
      <c r="C11788" s="59">
        <v>720</v>
      </c>
      <c r="D11788" s="51">
        <v>1323</v>
      </c>
      <c r="E11788" s="51">
        <f t="shared" si="184"/>
        <v>1</v>
      </c>
    </row>
    <row r="11789" spans="1:5">
      <c r="A11789" s="59">
        <v>27</v>
      </c>
      <c r="B11789" s="59">
        <v>62</v>
      </c>
      <c r="C11789" s="59">
        <v>970</v>
      </c>
      <c r="D11789" s="51">
        <v>1171</v>
      </c>
      <c r="E11789" s="51">
        <f t="shared" si="184"/>
        <v>1</v>
      </c>
    </row>
    <row r="11790" spans="1:5">
      <c r="A11790" s="59">
        <v>27</v>
      </c>
      <c r="B11790" s="59">
        <v>44</v>
      </c>
      <c r="C11790" s="59">
        <v>510</v>
      </c>
      <c r="D11790" s="51">
        <v>1082</v>
      </c>
      <c r="E11790" s="51">
        <f t="shared" si="184"/>
        <v>1</v>
      </c>
    </row>
    <row r="11791" spans="1:5">
      <c r="A11791" s="59">
        <v>27</v>
      </c>
      <c r="B11791" s="59">
        <v>43</v>
      </c>
      <c r="C11791" s="59">
        <v>910</v>
      </c>
      <c r="D11791" s="51">
        <v>1047</v>
      </c>
      <c r="E11791" s="51">
        <f t="shared" si="184"/>
        <v>1</v>
      </c>
    </row>
    <row r="11792" spans="1:5">
      <c r="A11792" s="59">
        <v>27</v>
      </c>
      <c r="B11792" s="59">
        <v>64</v>
      </c>
      <c r="C11792" s="59">
        <v>620</v>
      </c>
      <c r="D11792" s="51">
        <v>981</v>
      </c>
      <c r="E11792" s="51">
        <f t="shared" si="184"/>
        <v>1</v>
      </c>
    </row>
    <row r="11793" spans="1:5">
      <c r="A11793" s="59">
        <v>27</v>
      </c>
      <c r="B11793" s="59">
        <v>63</v>
      </c>
      <c r="C11793" s="59">
        <v>970</v>
      </c>
      <c r="D11793" s="51">
        <v>923</v>
      </c>
      <c r="E11793" s="51">
        <f t="shared" si="184"/>
        <v>1</v>
      </c>
    </row>
    <row r="11794" spans="1:5">
      <c r="A11794" s="59">
        <v>27</v>
      </c>
      <c r="B11794" s="59">
        <v>63</v>
      </c>
      <c r="C11794" s="59">
        <v>910</v>
      </c>
      <c r="D11794" s="51">
        <v>902</v>
      </c>
      <c r="E11794" s="51">
        <f t="shared" si="184"/>
        <v>1</v>
      </c>
    </row>
    <row r="11795" spans="1:5">
      <c r="A11795" s="59">
        <v>27</v>
      </c>
      <c r="B11795" s="59">
        <v>71</v>
      </c>
      <c r="C11795" s="59">
        <v>620</v>
      </c>
      <c r="D11795" s="51">
        <v>874</v>
      </c>
      <c r="E11795" s="51">
        <f t="shared" si="184"/>
        <v>1</v>
      </c>
    </row>
    <row r="11796" spans="1:5">
      <c r="A11796" s="59">
        <v>27</v>
      </c>
      <c r="B11796" s="59">
        <v>64</v>
      </c>
      <c r="C11796" s="59">
        <v>610</v>
      </c>
      <c r="D11796" s="51">
        <v>871</v>
      </c>
      <c r="E11796" s="51">
        <f t="shared" si="184"/>
        <v>1</v>
      </c>
    </row>
    <row r="11797" spans="1:5">
      <c r="A11797" s="59">
        <v>27</v>
      </c>
      <c r="B11797" s="59">
        <v>64</v>
      </c>
      <c r="C11797" s="59">
        <v>110</v>
      </c>
      <c r="D11797" s="51">
        <v>864</v>
      </c>
      <c r="E11797" s="51">
        <f t="shared" si="184"/>
        <v>1</v>
      </c>
    </row>
    <row r="11798" spans="1:5">
      <c r="A11798" s="59">
        <v>27</v>
      </c>
      <c r="B11798" s="59">
        <v>14</v>
      </c>
      <c r="C11798" s="59">
        <v>150</v>
      </c>
      <c r="D11798" s="51">
        <v>823</v>
      </c>
      <c r="E11798" s="51">
        <f t="shared" si="184"/>
        <v>1</v>
      </c>
    </row>
    <row r="11799" spans="1:5">
      <c r="A11799" s="59">
        <v>27</v>
      </c>
      <c r="B11799" s="59">
        <v>71</v>
      </c>
      <c r="C11799" s="59">
        <v>720</v>
      </c>
      <c r="D11799" s="51">
        <v>767</v>
      </c>
      <c r="E11799" s="51">
        <f t="shared" si="184"/>
        <v>1</v>
      </c>
    </row>
    <row r="11800" spans="1:5">
      <c r="A11800" s="59">
        <v>27</v>
      </c>
      <c r="B11800" s="59">
        <v>62</v>
      </c>
      <c r="C11800" s="59">
        <v>910</v>
      </c>
      <c r="D11800" s="51">
        <v>752</v>
      </c>
      <c r="E11800" s="51">
        <f t="shared" si="184"/>
        <v>1</v>
      </c>
    </row>
    <row r="11801" spans="1:5">
      <c r="A11801" s="59">
        <v>27</v>
      </c>
      <c r="B11801" s="59">
        <v>13</v>
      </c>
      <c r="C11801" s="59">
        <v>530</v>
      </c>
      <c r="D11801" s="51">
        <v>750</v>
      </c>
      <c r="E11801" s="51">
        <f t="shared" si="184"/>
        <v>1</v>
      </c>
    </row>
    <row r="11802" spans="1:5">
      <c r="A11802" s="59">
        <v>27</v>
      </c>
      <c r="B11802" s="59">
        <v>64</v>
      </c>
      <c r="C11802" s="59">
        <v>520</v>
      </c>
      <c r="D11802" s="51">
        <v>741</v>
      </c>
      <c r="E11802" s="51">
        <f t="shared" si="184"/>
        <v>1</v>
      </c>
    </row>
    <row r="11803" spans="1:5">
      <c r="A11803" s="59">
        <v>27</v>
      </c>
      <c r="B11803" s="59">
        <v>44</v>
      </c>
      <c r="C11803" s="59">
        <v>720</v>
      </c>
      <c r="D11803" s="51">
        <v>736</v>
      </c>
      <c r="E11803" s="51">
        <f t="shared" si="184"/>
        <v>1</v>
      </c>
    </row>
    <row r="11804" spans="1:5">
      <c r="A11804" s="59">
        <v>27</v>
      </c>
      <c r="B11804" s="59">
        <v>41</v>
      </c>
      <c r="C11804" s="59">
        <v>530</v>
      </c>
      <c r="D11804" s="51">
        <v>733</v>
      </c>
      <c r="E11804" s="51">
        <f t="shared" si="184"/>
        <v>1</v>
      </c>
    </row>
    <row r="11805" spans="1:5">
      <c r="A11805" s="59">
        <v>27</v>
      </c>
      <c r="B11805" s="59">
        <v>71</v>
      </c>
      <c r="C11805" s="59">
        <v>610</v>
      </c>
      <c r="D11805" s="51">
        <v>710</v>
      </c>
      <c r="E11805" s="51">
        <f t="shared" si="184"/>
        <v>1</v>
      </c>
    </row>
    <row r="11806" spans="1:5">
      <c r="A11806" s="59">
        <v>27</v>
      </c>
      <c r="B11806" s="59">
        <v>43</v>
      </c>
      <c r="C11806" s="59">
        <v>520</v>
      </c>
      <c r="D11806" s="51">
        <v>664</v>
      </c>
      <c r="E11806" s="51">
        <f t="shared" si="184"/>
        <v>1</v>
      </c>
    </row>
    <row r="11807" spans="1:5">
      <c r="A11807" s="59">
        <v>27</v>
      </c>
      <c r="B11807" s="59">
        <v>63</v>
      </c>
      <c r="C11807" s="59">
        <v>620</v>
      </c>
      <c r="D11807" s="51">
        <v>655</v>
      </c>
      <c r="E11807" s="51">
        <f t="shared" si="184"/>
        <v>1</v>
      </c>
    </row>
    <row r="11808" spans="1:5">
      <c r="A11808" s="59">
        <v>27</v>
      </c>
      <c r="B11808" s="59">
        <v>44</v>
      </c>
      <c r="C11808" s="59">
        <v>750</v>
      </c>
      <c r="D11808" s="51">
        <v>648</v>
      </c>
      <c r="E11808" s="51">
        <f t="shared" si="184"/>
        <v>1</v>
      </c>
    </row>
    <row r="11809" spans="1:5">
      <c r="A11809" s="59">
        <v>27</v>
      </c>
      <c r="B11809" s="59">
        <v>13</v>
      </c>
      <c r="C11809" s="59">
        <v>150</v>
      </c>
      <c r="D11809" s="51">
        <v>644</v>
      </c>
      <c r="E11809" s="51">
        <f t="shared" si="184"/>
        <v>1</v>
      </c>
    </row>
    <row r="11810" spans="1:5">
      <c r="A11810" s="59">
        <v>27</v>
      </c>
      <c r="B11810" s="59">
        <v>71</v>
      </c>
      <c r="C11810" s="59">
        <v>910</v>
      </c>
      <c r="D11810" s="51">
        <v>586</v>
      </c>
      <c r="E11810" s="51">
        <f t="shared" si="184"/>
        <v>1</v>
      </c>
    </row>
    <row r="11811" spans="1:5">
      <c r="A11811" s="59">
        <v>27</v>
      </c>
      <c r="B11811" s="59">
        <v>64</v>
      </c>
      <c r="C11811" s="59">
        <v>990</v>
      </c>
      <c r="D11811" s="51">
        <v>584</v>
      </c>
      <c r="E11811" s="51">
        <f t="shared" si="184"/>
        <v>1</v>
      </c>
    </row>
    <row r="11812" spans="1:5">
      <c r="A11812" s="59">
        <v>27</v>
      </c>
      <c r="B11812" s="59">
        <v>43</v>
      </c>
      <c r="C11812" s="59">
        <v>970</v>
      </c>
      <c r="D11812" s="51">
        <v>554</v>
      </c>
      <c r="E11812" s="51">
        <f t="shared" si="184"/>
        <v>1</v>
      </c>
    </row>
    <row r="11813" spans="1:5">
      <c r="A11813" s="59">
        <v>27</v>
      </c>
      <c r="B11813" s="59">
        <v>63</v>
      </c>
      <c r="C11813" s="59">
        <v>610</v>
      </c>
      <c r="D11813" s="51">
        <v>503</v>
      </c>
      <c r="E11813" s="51">
        <f t="shared" si="184"/>
        <v>1</v>
      </c>
    </row>
    <row r="11814" spans="1:5">
      <c r="A11814" s="59">
        <v>27</v>
      </c>
      <c r="B11814" s="59">
        <v>14</v>
      </c>
      <c r="C11814" s="59">
        <v>530</v>
      </c>
      <c r="D11814" s="51">
        <v>492</v>
      </c>
      <c r="E11814" s="51">
        <f t="shared" si="184"/>
        <v>1</v>
      </c>
    </row>
    <row r="11815" spans="1:5">
      <c r="A11815" s="59">
        <v>27</v>
      </c>
      <c r="B11815" s="59">
        <v>41</v>
      </c>
      <c r="C11815" s="59">
        <v>750</v>
      </c>
      <c r="D11815" s="51">
        <v>491</v>
      </c>
      <c r="E11815" s="51">
        <f t="shared" si="184"/>
        <v>1</v>
      </c>
    </row>
    <row r="11816" spans="1:5">
      <c r="A11816" s="59">
        <v>27</v>
      </c>
      <c r="B11816" s="59">
        <v>13</v>
      </c>
      <c r="C11816" s="59">
        <v>510</v>
      </c>
      <c r="D11816" s="51">
        <v>486</v>
      </c>
      <c r="E11816" s="51">
        <f t="shared" si="184"/>
        <v>1</v>
      </c>
    </row>
    <row r="11817" spans="1:5">
      <c r="A11817" s="59">
        <v>27</v>
      </c>
      <c r="B11817" s="59">
        <v>62</v>
      </c>
      <c r="C11817" s="59">
        <v>620</v>
      </c>
      <c r="D11817" s="51">
        <v>478</v>
      </c>
      <c r="E11817" s="51">
        <f t="shared" si="184"/>
        <v>1</v>
      </c>
    </row>
    <row r="11818" spans="1:5">
      <c r="A11818" s="59">
        <v>27</v>
      </c>
      <c r="B11818" s="59">
        <v>81</v>
      </c>
      <c r="C11818" s="59">
        <v>750</v>
      </c>
      <c r="D11818" s="51">
        <v>476</v>
      </c>
      <c r="E11818" s="51">
        <f t="shared" si="184"/>
        <v>1</v>
      </c>
    </row>
    <row r="11819" spans="1:5">
      <c r="A11819" s="59">
        <v>27</v>
      </c>
      <c r="B11819" s="59">
        <v>64</v>
      </c>
      <c r="C11819" s="59">
        <v>160</v>
      </c>
      <c r="D11819" s="51">
        <v>440</v>
      </c>
      <c r="E11819" s="51">
        <f t="shared" si="184"/>
        <v>1</v>
      </c>
    </row>
    <row r="11820" spans="1:5">
      <c r="A11820" s="59">
        <v>27</v>
      </c>
      <c r="B11820" s="59">
        <v>42</v>
      </c>
      <c r="C11820" s="59">
        <v>530</v>
      </c>
      <c r="D11820" s="51">
        <v>431</v>
      </c>
      <c r="E11820" s="51">
        <f t="shared" si="184"/>
        <v>1</v>
      </c>
    </row>
    <row r="11821" spans="1:5">
      <c r="A11821" s="59">
        <v>27</v>
      </c>
      <c r="B11821" s="59">
        <v>71</v>
      </c>
      <c r="C11821" s="59">
        <v>970</v>
      </c>
      <c r="D11821" s="51">
        <v>428</v>
      </c>
      <c r="E11821" s="51">
        <f t="shared" si="184"/>
        <v>1</v>
      </c>
    </row>
    <row r="11822" spans="1:5">
      <c r="A11822" s="59">
        <v>27</v>
      </c>
      <c r="B11822" s="59">
        <v>14</v>
      </c>
      <c r="C11822" s="59">
        <v>910</v>
      </c>
      <c r="D11822" s="51">
        <v>424</v>
      </c>
      <c r="E11822" s="51">
        <f t="shared" si="184"/>
        <v>1</v>
      </c>
    </row>
    <row r="11823" spans="1:5">
      <c r="A11823" s="59">
        <v>27</v>
      </c>
      <c r="B11823" s="59">
        <v>14</v>
      </c>
      <c r="C11823" s="59">
        <v>160</v>
      </c>
      <c r="D11823" s="51">
        <v>423</v>
      </c>
      <c r="E11823" s="51">
        <f t="shared" si="184"/>
        <v>1</v>
      </c>
    </row>
    <row r="11824" spans="1:5">
      <c r="A11824" s="59">
        <v>27</v>
      </c>
      <c r="B11824" s="59">
        <v>43</v>
      </c>
      <c r="C11824" s="59">
        <v>610</v>
      </c>
      <c r="D11824" s="51">
        <v>415</v>
      </c>
      <c r="E11824" s="51">
        <f t="shared" si="184"/>
        <v>1</v>
      </c>
    </row>
    <row r="11825" spans="1:5">
      <c r="A11825" s="59">
        <v>27</v>
      </c>
      <c r="B11825" s="59">
        <v>81</v>
      </c>
      <c r="C11825" s="59">
        <v>510</v>
      </c>
      <c r="D11825" s="51">
        <v>401</v>
      </c>
      <c r="E11825" s="51">
        <f t="shared" si="184"/>
        <v>1</v>
      </c>
    </row>
    <row r="11826" spans="1:5">
      <c r="A11826" s="59">
        <v>27</v>
      </c>
      <c r="B11826" s="59">
        <v>43</v>
      </c>
      <c r="C11826" s="59">
        <v>620</v>
      </c>
      <c r="D11826" s="51">
        <v>390</v>
      </c>
      <c r="E11826" s="51">
        <f t="shared" si="184"/>
        <v>1</v>
      </c>
    </row>
    <row r="11827" spans="1:5">
      <c r="A11827" s="59">
        <v>27</v>
      </c>
      <c r="B11827" s="59">
        <v>64</v>
      </c>
      <c r="C11827" s="59">
        <v>920</v>
      </c>
      <c r="D11827" s="51">
        <v>380</v>
      </c>
      <c r="E11827" s="51">
        <f t="shared" si="184"/>
        <v>1</v>
      </c>
    </row>
    <row r="11828" spans="1:5">
      <c r="A11828" s="59">
        <v>27</v>
      </c>
      <c r="B11828" s="59">
        <v>81</v>
      </c>
      <c r="C11828" s="59">
        <v>720</v>
      </c>
      <c r="D11828" s="51">
        <v>360</v>
      </c>
      <c r="E11828" s="51">
        <f t="shared" si="184"/>
        <v>1</v>
      </c>
    </row>
    <row r="11829" spans="1:5">
      <c r="A11829" s="59">
        <v>27</v>
      </c>
      <c r="B11829" s="59">
        <v>41</v>
      </c>
      <c r="C11829" s="59">
        <v>730</v>
      </c>
      <c r="D11829" s="51">
        <v>354</v>
      </c>
      <c r="E11829" s="51">
        <f t="shared" si="184"/>
        <v>1</v>
      </c>
    </row>
    <row r="11830" spans="1:5">
      <c r="A11830" s="59">
        <v>27</v>
      </c>
      <c r="B11830" s="59">
        <v>44</v>
      </c>
      <c r="C11830" s="59">
        <v>730</v>
      </c>
      <c r="D11830" s="51">
        <v>353</v>
      </c>
      <c r="E11830" s="51">
        <f t="shared" si="184"/>
        <v>1</v>
      </c>
    </row>
    <row r="11831" spans="1:5">
      <c r="A11831" s="59">
        <v>27</v>
      </c>
      <c r="B11831" s="59">
        <v>64</v>
      </c>
      <c r="C11831" s="59">
        <v>150</v>
      </c>
      <c r="D11831" s="51">
        <v>349</v>
      </c>
      <c r="E11831" s="51">
        <f t="shared" si="184"/>
        <v>1</v>
      </c>
    </row>
    <row r="11832" spans="1:5">
      <c r="A11832" s="59">
        <v>27</v>
      </c>
      <c r="B11832" s="59">
        <v>14</v>
      </c>
      <c r="C11832" s="59">
        <v>510</v>
      </c>
      <c r="D11832" s="51">
        <v>345</v>
      </c>
      <c r="E11832" s="51">
        <f t="shared" si="184"/>
        <v>1</v>
      </c>
    </row>
    <row r="11833" spans="1:5">
      <c r="A11833" s="59">
        <v>27</v>
      </c>
      <c r="B11833" s="59">
        <v>64</v>
      </c>
      <c r="C11833" s="59">
        <v>850</v>
      </c>
      <c r="D11833" s="51">
        <v>335</v>
      </c>
      <c r="E11833" s="51">
        <f t="shared" si="184"/>
        <v>1</v>
      </c>
    </row>
    <row r="11834" spans="1:5">
      <c r="A11834" s="59">
        <v>27</v>
      </c>
      <c r="B11834" s="59">
        <v>13</v>
      </c>
      <c r="C11834" s="59">
        <v>910</v>
      </c>
      <c r="D11834" s="51">
        <v>329</v>
      </c>
      <c r="E11834" s="51">
        <f t="shared" si="184"/>
        <v>1</v>
      </c>
    </row>
    <row r="11835" spans="1:5">
      <c r="A11835" s="59">
        <v>27</v>
      </c>
      <c r="B11835" s="59">
        <v>41</v>
      </c>
      <c r="C11835" s="59">
        <v>720</v>
      </c>
      <c r="D11835" s="51">
        <v>329</v>
      </c>
      <c r="E11835" s="51">
        <f t="shared" si="184"/>
        <v>1</v>
      </c>
    </row>
    <row r="11836" spans="1:5">
      <c r="A11836" s="59">
        <v>27</v>
      </c>
      <c r="B11836" s="59">
        <v>81</v>
      </c>
      <c r="C11836" s="59">
        <v>730</v>
      </c>
      <c r="D11836" s="51">
        <v>326</v>
      </c>
      <c r="E11836" s="51">
        <f t="shared" si="184"/>
        <v>1</v>
      </c>
    </row>
    <row r="11837" spans="1:5">
      <c r="A11837" s="59">
        <v>27</v>
      </c>
      <c r="B11837" s="59">
        <v>62</v>
      </c>
      <c r="C11837" s="59">
        <v>920</v>
      </c>
      <c r="D11837" s="51">
        <v>325</v>
      </c>
      <c r="E11837" s="51">
        <f t="shared" si="184"/>
        <v>1</v>
      </c>
    </row>
    <row r="11838" spans="1:5">
      <c r="A11838" s="59">
        <v>27</v>
      </c>
      <c r="B11838" s="59">
        <v>44</v>
      </c>
      <c r="C11838" s="59">
        <v>910</v>
      </c>
      <c r="D11838" s="51">
        <v>305</v>
      </c>
      <c r="E11838" s="51">
        <f t="shared" si="184"/>
        <v>1</v>
      </c>
    </row>
    <row r="11839" spans="1:5">
      <c r="A11839" s="59">
        <v>27</v>
      </c>
      <c r="B11839" s="59">
        <v>43</v>
      </c>
      <c r="C11839" s="59">
        <v>930</v>
      </c>
      <c r="D11839" s="51">
        <v>296</v>
      </c>
      <c r="E11839" s="51">
        <f t="shared" si="184"/>
        <v>1</v>
      </c>
    </row>
    <row r="11840" spans="1:5">
      <c r="A11840" s="59">
        <v>27</v>
      </c>
      <c r="B11840" s="59">
        <v>62</v>
      </c>
      <c r="C11840" s="59">
        <v>990</v>
      </c>
      <c r="D11840" s="51">
        <v>279</v>
      </c>
      <c r="E11840" s="51">
        <f t="shared" si="184"/>
        <v>1</v>
      </c>
    </row>
    <row r="11841" spans="1:5">
      <c r="A11841" s="59">
        <v>27</v>
      </c>
      <c r="B11841" s="59">
        <v>43</v>
      </c>
      <c r="C11841" s="59">
        <v>850</v>
      </c>
      <c r="D11841" s="51">
        <v>277</v>
      </c>
      <c r="E11841" s="51">
        <f t="shared" si="184"/>
        <v>1</v>
      </c>
    </row>
    <row r="11842" spans="1:5">
      <c r="A11842" s="59">
        <v>27</v>
      </c>
      <c r="B11842" s="59">
        <v>63</v>
      </c>
      <c r="C11842" s="59">
        <v>520</v>
      </c>
      <c r="D11842" s="51">
        <v>274</v>
      </c>
      <c r="E11842" s="51">
        <f t="shared" ref="E11842:E11905" si="185">IF(OR(A11842=6,A11842=7,A11842=14,A11842=15,A11842=16,A11842=17,A11842=18,A11842=19,A11842=20,A11842=21,A11842=22,A11842=23,A11842=25,A11842=26,A11842=27,A11842=28,B11842=41,B11842=44,B11842=62),1,0)</f>
        <v>1</v>
      </c>
    </row>
    <row r="11843" spans="1:5">
      <c r="A11843" s="59">
        <v>27</v>
      </c>
      <c r="B11843" s="59">
        <v>71</v>
      </c>
      <c r="C11843" s="59">
        <v>920</v>
      </c>
      <c r="D11843" s="51">
        <v>273</v>
      </c>
      <c r="E11843" s="51">
        <f t="shared" si="185"/>
        <v>1</v>
      </c>
    </row>
    <row r="11844" spans="1:5">
      <c r="A11844" s="59">
        <v>27</v>
      </c>
      <c r="B11844" s="59">
        <v>44</v>
      </c>
      <c r="C11844" s="59">
        <v>610</v>
      </c>
      <c r="D11844" s="51">
        <v>249</v>
      </c>
      <c r="E11844" s="51">
        <f t="shared" si="185"/>
        <v>1</v>
      </c>
    </row>
    <row r="11845" spans="1:5">
      <c r="A11845" s="59">
        <v>27</v>
      </c>
      <c r="B11845" s="59">
        <v>41</v>
      </c>
      <c r="C11845" s="59">
        <v>510</v>
      </c>
      <c r="D11845" s="51">
        <v>245</v>
      </c>
      <c r="E11845" s="51">
        <f t="shared" si="185"/>
        <v>1</v>
      </c>
    </row>
    <row r="11846" spans="1:5">
      <c r="A11846" s="59">
        <v>27</v>
      </c>
      <c r="B11846" s="59">
        <v>62</v>
      </c>
      <c r="C11846" s="59">
        <v>610</v>
      </c>
      <c r="D11846" s="51">
        <v>242</v>
      </c>
      <c r="E11846" s="51">
        <f t="shared" si="185"/>
        <v>1</v>
      </c>
    </row>
    <row r="11847" spans="1:5">
      <c r="A11847" s="59">
        <v>27</v>
      </c>
      <c r="B11847" s="59">
        <v>63</v>
      </c>
      <c r="C11847" s="59">
        <v>990</v>
      </c>
      <c r="D11847" s="51">
        <v>242</v>
      </c>
      <c r="E11847" s="51">
        <f t="shared" si="185"/>
        <v>1</v>
      </c>
    </row>
    <row r="11848" spans="1:5">
      <c r="A11848" s="59">
        <v>27</v>
      </c>
      <c r="B11848" s="59">
        <v>13</v>
      </c>
      <c r="C11848" s="59">
        <v>110</v>
      </c>
      <c r="D11848" s="51">
        <v>237</v>
      </c>
      <c r="E11848" s="51">
        <f t="shared" si="185"/>
        <v>1</v>
      </c>
    </row>
    <row r="11849" spans="1:5">
      <c r="A11849" s="59">
        <v>27</v>
      </c>
      <c r="B11849" s="59">
        <v>13</v>
      </c>
      <c r="C11849" s="59">
        <v>160</v>
      </c>
      <c r="D11849" s="51">
        <v>236</v>
      </c>
      <c r="E11849" s="51">
        <f t="shared" si="185"/>
        <v>1</v>
      </c>
    </row>
    <row r="11850" spans="1:5">
      <c r="A11850" s="59">
        <v>27</v>
      </c>
      <c r="B11850" s="59">
        <v>42</v>
      </c>
      <c r="C11850" s="59">
        <v>510</v>
      </c>
      <c r="D11850" s="51">
        <v>221</v>
      </c>
      <c r="E11850" s="51">
        <f t="shared" si="185"/>
        <v>1</v>
      </c>
    </row>
    <row r="11851" spans="1:5">
      <c r="A11851" s="59">
        <v>27</v>
      </c>
      <c r="B11851" s="59">
        <v>81</v>
      </c>
      <c r="C11851" s="59">
        <v>990</v>
      </c>
      <c r="D11851" s="51">
        <v>219</v>
      </c>
      <c r="E11851" s="51">
        <f t="shared" si="185"/>
        <v>1</v>
      </c>
    </row>
    <row r="11852" spans="1:5">
      <c r="A11852" s="59">
        <v>27</v>
      </c>
      <c r="B11852" s="59">
        <v>44</v>
      </c>
      <c r="C11852" s="59">
        <v>620</v>
      </c>
      <c r="D11852" s="51">
        <v>211</v>
      </c>
      <c r="E11852" s="51">
        <f t="shared" si="185"/>
        <v>1</v>
      </c>
    </row>
    <row r="11853" spans="1:5">
      <c r="A11853" s="59">
        <v>27</v>
      </c>
      <c r="B11853" s="59">
        <v>43</v>
      </c>
      <c r="C11853" s="59">
        <v>160</v>
      </c>
      <c r="D11853" s="51">
        <v>203</v>
      </c>
      <c r="E11853" s="51">
        <f t="shared" si="185"/>
        <v>1</v>
      </c>
    </row>
    <row r="11854" spans="1:5">
      <c r="A11854" s="59">
        <v>27</v>
      </c>
      <c r="B11854" s="59">
        <v>14</v>
      </c>
      <c r="C11854" s="59">
        <v>110</v>
      </c>
      <c r="D11854" s="51">
        <v>198</v>
      </c>
      <c r="E11854" s="51">
        <f t="shared" si="185"/>
        <v>1</v>
      </c>
    </row>
    <row r="11855" spans="1:5">
      <c r="A11855" s="59">
        <v>27</v>
      </c>
      <c r="B11855" s="59">
        <v>43</v>
      </c>
      <c r="C11855" s="59">
        <v>990</v>
      </c>
      <c r="D11855" s="51">
        <v>178</v>
      </c>
      <c r="E11855" s="51">
        <f t="shared" si="185"/>
        <v>1</v>
      </c>
    </row>
    <row r="11856" spans="1:5">
      <c r="A11856" s="59">
        <v>27</v>
      </c>
      <c r="B11856" s="59">
        <v>63</v>
      </c>
      <c r="C11856" s="59">
        <v>920</v>
      </c>
      <c r="D11856" s="51">
        <v>172</v>
      </c>
      <c r="E11856" s="51">
        <f t="shared" si="185"/>
        <v>1</v>
      </c>
    </row>
    <row r="11857" spans="1:5">
      <c r="A11857" s="59">
        <v>27</v>
      </c>
      <c r="B11857" s="59">
        <v>42</v>
      </c>
      <c r="C11857" s="59">
        <v>730</v>
      </c>
      <c r="D11857" s="51">
        <v>170</v>
      </c>
      <c r="E11857" s="51">
        <f t="shared" si="185"/>
        <v>1</v>
      </c>
    </row>
    <row r="11858" spans="1:5">
      <c r="A11858" s="59">
        <v>27</v>
      </c>
      <c r="B11858" s="59">
        <v>13</v>
      </c>
      <c r="C11858" s="59">
        <v>720</v>
      </c>
      <c r="D11858" s="51">
        <v>164</v>
      </c>
      <c r="E11858" s="51">
        <f t="shared" si="185"/>
        <v>1</v>
      </c>
    </row>
    <row r="11859" spans="1:5">
      <c r="A11859" s="59">
        <v>27</v>
      </c>
      <c r="B11859" s="59">
        <v>13</v>
      </c>
      <c r="C11859" s="59">
        <v>730</v>
      </c>
      <c r="D11859" s="51">
        <v>163</v>
      </c>
      <c r="E11859" s="51">
        <f t="shared" si="185"/>
        <v>1</v>
      </c>
    </row>
    <row r="11860" spans="1:5">
      <c r="A11860" s="59">
        <v>27</v>
      </c>
      <c r="B11860" s="59">
        <v>62</v>
      </c>
      <c r="C11860" s="59">
        <v>850</v>
      </c>
      <c r="D11860" s="51">
        <v>163</v>
      </c>
      <c r="E11860" s="51">
        <f t="shared" si="185"/>
        <v>1</v>
      </c>
    </row>
    <row r="11861" spans="1:5">
      <c r="A11861" s="59">
        <v>27</v>
      </c>
      <c r="B11861" s="59">
        <v>71</v>
      </c>
      <c r="C11861" s="59">
        <v>520</v>
      </c>
      <c r="D11861" s="51">
        <v>157</v>
      </c>
      <c r="E11861" s="51">
        <f t="shared" si="185"/>
        <v>1</v>
      </c>
    </row>
    <row r="11862" spans="1:5">
      <c r="A11862" s="59">
        <v>27</v>
      </c>
      <c r="B11862" s="59">
        <v>43</v>
      </c>
      <c r="C11862" s="59">
        <v>110</v>
      </c>
      <c r="D11862" s="51">
        <v>151</v>
      </c>
      <c r="E11862" s="51">
        <f t="shared" si="185"/>
        <v>1</v>
      </c>
    </row>
    <row r="11863" spans="1:5">
      <c r="A11863" s="59">
        <v>27</v>
      </c>
      <c r="B11863" s="59">
        <v>62</v>
      </c>
      <c r="C11863" s="59">
        <v>520</v>
      </c>
      <c r="D11863" s="51">
        <v>146</v>
      </c>
      <c r="E11863" s="51">
        <f t="shared" si="185"/>
        <v>1</v>
      </c>
    </row>
    <row r="11864" spans="1:5">
      <c r="A11864" s="59">
        <v>27</v>
      </c>
      <c r="B11864" s="59">
        <v>62</v>
      </c>
      <c r="C11864" s="59">
        <v>710</v>
      </c>
      <c r="D11864" s="51">
        <v>146</v>
      </c>
      <c r="E11864" s="51">
        <f t="shared" si="185"/>
        <v>1</v>
      </c>
    </row>
    <row r="11865" spans="1:5">
      <c r="A11865" s="59">
        <v>27</v>
      </c>
      <c r="B11865" s="59">
        <v>81</v>
      </c>
      <c r="C11865" s="59">
        <v>970</v>
      </c>
      <c r="D11865" s="51">
        <v>144</v>
      </c>
      <c r="E11865" s="51">
        <f t="shared" si="185"/>
        <v>1</v>
      </c>
    </row>
    <row r="11866" spans="1:5">
      <c r="A11866" s="59">
        <v>27</v>
      </c>
      <c r="B11866" s="59">
        <v>44</v>
      </c>
      <c r="C11866" s="59">
        <v>520</v>
      </c>
      <c r="D11866" s="51">
        <v>139</v>
      </c>
      <c r="E11866" s="51">
        <f t="shared" si="185"/>
        <v>1</v>
      </c>
    </row>
    <row r="11867" spans="1:5">
      <c r="A11867" s="59">
        <v>27</v>
      </c>
      <c r="B11867" s="59">
        <v>32</v>
      </c>
      <c r="C11867" s="59">
        <v>530</v>
      </c>
      <c r="D11867" s="51">
        <v>134</v>
      </c>
      <c r="E11867" s="51">
        <f t="shared" si="185"/>
        <v>1</v>
      </c>
    </row>
    <row r="11868" spans="1:5">
      <c r="A11868" s="59">
        <v>27</v>
      </c>
      <c r="B11868" s="59">
        <v>13</v>
      </c>
      <c r="C11868" s="59">
        <v>750</v>
      </c>
      <c r="D11868" s="51">
        <v>128</v>
      </c>
      <c r="E11868" s="51">
        <f t="shared" si="185"/>
        <v>1</v>
      </c>
    </row>
    <row r="11869" spans="1:5">
      <c r="A11869" s="59">
        <v>27</v>
      </c>
      <c r="B11869" s="59">
        <v>43</v>
      </c>
      <c r="C11869" s="59">
        <v>920</v>
      </c>
      <c r="D11869" s="51">
        <v>127</v>
      </c>
      <c r="E11869" s="51">
        <f t="shared" si="185"/>
        <v>1</v>
      </c>
    </row>
    <row r="11870" spans="1:5">
      <c r="A11870" s="59">
        <v>27</v>
      </c>
      <c r="B11870" s="59">
        <v>32</v>
      </c>
      <c r="C11870" s="59">
        <v>510</v>
      </c>
      <c r="D11870" s="51">
        <v>122</v>
      </c>
      <c r="E11870" s="51">
        <f t="shared" si="185"/>
        <v>1</v>
      </c>
    </row>
    <row r="11871" spans="1:5">
      <c r="A11871" s="59">
        <v>27</v>
      </c>
      <c r="B11871" s="59">
        <v>43</v>
      </c>
      <c r="C11871" s="59">
        <v>150</v>
      </c>
      <c r="D11871" s="51">
        <v>120</v>
      </c>
      <c r="E11871" s="51">
        <f t="shared" si="185"/>
        <v>1</v>
      </c>
    </row>
    <row r="11872" spans="1:5">
      <c r="A11872" s="59">
        <v>27</v>
      </c>
      <c r="B11872" s="59">
        <v>81</v>
      </c>
      <c r="C11872" s="59">
        <v>910</v>
      </c>
      <c r="D11872" s="51">
        <v>117</v>
      </c>
      <c r="E11872" s="51">
        <f t="shared" si="185"/>
        <v>1</v>
      </c>
    </row>
    <row r="11873" spans="1:5">
      <c r="A11873" s="59">
        <v>27</v>
      </c>
      <c r="B11873" s="59">
        <v>64</v>
      </c>
      <c r="C11873" s="59">
        <v>930</v>
      </c>
      <c r="D11873" s="51">
        <v>115</v>
      </c>
      <c r="E11873" s="51">
        <f t="shared" si="185"/>
        <v>1</v>
      </c>
    </row>
    <row r="11874" spans="1:5">
      <c r="A11874" s="59">
        <v>27</v>
      </c>
      <c r="B11874" s="59">
        <v>44</v>
      </c>
      <c r="C11874" s="59">
        <v>970</v>
      </c>
      <c r="D11874" s="51">
        <v>112</v>
      </c>
      <c r="E11874" s="51">
        <f t="shared" si="185"/>
        <v>1</v>
      </c>
    </row>
    <row r="11875" spans="1:5">
      <c r="A11875" s="59">
        <v>27</v>
      </c>
      <c r="B11875" s="59">
        <v>44</v>
      </c>
      <c r="C11875" s="59">
        <v>930</v>
      </c>
      <c r="D11875" s="51">
        <v>107</v>
      </c>
      <c r="E11875" s="51">
        <f t="shared" si="185"/>
        <v>1</v>
      </c>
    </row>
    <row r="11876" spans="1:5">
      <c r="A11876" s="59">
        <v>27</v>
      </c>
      <c r="B11876" s="59">
        <v>64</v>
      </c>
      <c r="C11876" s="59">
        <v>710</v>
      </c>
      <c r="D11876" s="51">
        <v>105</v>
      </c>
      <c r="E11876" s="51">
        <f t="shared" si="185"/>
        <v>1</v>
      </c>
    </row>
    <row r="11877" spans="1:5">
      <c r="A11877" s="59">
        <v>27</v>
      </c>
      <c r="B11877" s="59">
        <v>42</v>
      </c>
      <c r="C11877" s="59">
        <v>620</v>
      </c>
      <c r="D11877" s="51">
        <v>104</v>
      </c>
      <c r="E11877" s="51">
        <f t="shared" si="185"/>
        <v>1</v>
      </c>
    </row>
    <row r="11878" spans="1:5">
      <c r="A11878" s="59">
        <v>27</v>
      </c>
      <c r="B11878" s="59">
        <v>81</v>
      </c>
      <c r="C11878" s="59">
        <v>620</v>
      </c>
      <c r="D11878" s="51">
        <v>102</v>
      </c>
      <c r="E11878" s="51">
        <f t="shared" si="185"/>
        <v>1</v>
      </c>
    </row>
    <row r="11879" spans="1:5">
      <c r="A11879" s="59">
        <v>27</v>
      </c>
      <c r="B11879" s="59">
        <v>42</v>
      </c>
      <c r="C11879" s="59">
        <v>610</v>
      </c>
      <c r="D11879" s="51">
        <v>98</v>
      </c>
      <c r="E11879" s="51">
        <f t="shared" si="185"/>
        <v>1</v>
      </c>
    </row>
    <row r="11880" spans="1:5">
      <c r="A11880" s="59">
        <v>27</v>
      </c>
      <c r="B11880" s="59">
        <v>14</v>
      </c>
      <c r="C11880" s="59">
        <v>750</v>
      </c>
      <c r="D11880" s="51">
        <v>97</v>
      </c>
      <c r="E11880" s="51">
        <f t="shared" si="185"/>
        <v>1</v>
      </c>
    </row>
    <row r="11881" spans="1:5">
      <c r="A11881" s="59">
        <v>27</v>
      </c>
      <c r="B11881" s="59">
        <v>43</v>
      </c>
      <c r="C11881" s="59">
        <v>230</v>
      </c>
      <c r="D11881" s="51">
        <v>94</v>
      </c>
      <c r="E11881" s="51">
        <f t="shared" si="185"/>
        <v>1</v>
      </c>
    </row>
    <row r="11882" spans="1:5">
      <c r="A11882" s="59">
        <v>27</v>
      </c>
      <c r="B11882" s="59">
        <v>32</v>
      </c>
      <c r="C11882" s="59">
        <v>420</v>
      </c>
      <c r="D11882" s="51">
        <v>92</v>
      </c>
      <c r="E11882" s="51">
        <f t="shared" si="185"/>
        <v>1</v>
      </c>
    </row>
    <row r="11883" spans="1:5">
      <c r="A11883" s="59">
        <v>27</v>
      </c>
      <c r="B11883" s="59">
        <v>15</v>
      </c>
      <c r="C11883" s="59">
        <v>910</v>
      </c>
      <c r="D11883" s="51">
        <v>89</v>
      </c>
      <c r="E11883" s="51">
        <f t="shared" si="185"/>
        <v>1</v>
      </c>
    </row>
    <row r="11884" spans="1:5">
      <c r="A11884" s="59">
        <v>27</v>
      </c>
      <c r="B11884" s="59">
        <v>64</v>
      </c>
      <c r="C11884" s="59">
        <v>550</v>
      </c>
      <c r="D11884" s="51">
        <v>88</v>
      </c>
      <c r="E11884" s="51">
        <f t="shared" si="185"/>
        <v>1</v>
      </c>
    </row>
    <row r="11885" spans="1:5">
      <c r="A11885" s="59">
        <v>27</v>
      </c>
      <c r="B11885" s="59">
        <v>71</v>
      </c>
      <c r="C11885" s="59">
        <v>990</v>
      </c>
      <c r="D11885" s="51">
        <v>87</v>
      </c>
      <c r="E11885" s="51">
        <f t="shared" si="185"/>
        <v>1</v>
      </c>
    </row>
    <row r="11886" spans="1:5">
      <c r="A11886" s="59">
        <v>27</v>
      </c>
      <c r="B11886" s="59">
        <v>64</v>
      </c>
      <c r="C11886" s="59">
        <v>861</v>
      </c>
      <c r="D11886" s="51">
        <v>85</v>
      </c>
      <c r="E11886" s="51">
        <f t="shared" si="185"/>
        <v>1</v>
      </c>
    </row>
    <row r="11887" spans="1:5">
      <c r="A11887" s="59">
        <v>27</v>
      </c>
      <c r="B11887" s="59">
        <v>64</v>
      </c>
      <c r="C11887" s="59">
        <v>740</v>
      </c>
      <c r="D11887" s="51">
        <v>84</v>
      </c>
      <c r="E11887" s="51">
        <f t="shared" si="185"/>
        <v>1</v>
      </c>
    </row>
    <row r="11888" spans="1:5">
      <c r="A11888" s="59">
        <v>27</v>
      </c>
      <c r="B11888" s="59">
        <v>42</v>
      </c>
      <c r="C11888" s="59">
        <v>750</v>
      </c>
      <c r="D11888" s="51">
        <v>80</v>
      </c>
      <c r="E11888" s="51">
        <f t="shared" si="185"/>
        <v>1</v>
      </c>
    </row>
    <row r="11889" spans="1:5">
      <c r="A11889" s="59">
        <v>27</v>
      </c>
      <c r="B11889" s="59">
        <v>41</v>
      </c>
      <c r="C11889" s="59">
        <v>910</v>
      </c>
      <c r="D11889" s="51">
        <v>78</v>
      </c>
      <c r="E11889" s="51">
        <f t="shared" si="185"/>
        <v>1</v>
      </c>
    </row>
    <row r="11890" spans="1:5">
      <c r="A11890" s="59">
        <v>27</v>
      </c>
      <c r="B11890" s="59">
        <v>43</v>
      </c>
      <c r="C11890" s="59">
        <v>710</v>
      </c>
      <c r="D11890" s="51">
        <v>77</v>
      </c>
      <c r="E11890" s="51">
        <f t="shared" si="185"/>
        <v>1</v>
      </c>
    </row>
    <row r="11891" spans="1:5">
      <c r="A11891" s="59">
        <v>27</v>
      </c>
      <c r="B11891" s="59">
        <v>14</v>
      </c>
      <c r="C11891" s="59">
        <v>140</v>
      </c>
      <c r="D11891" s="51">
        <v>75</v>
      </c>
      <c r="E11891" s="51">
        <f t="shared" si="185"/>
        <v>1</v>
      </c>
    </row>
    <row r="11892" spans="1:5">
      <c r="A11892" s="59">
        <v>27</v>
      </c>
      <c r="B11892" s="59">
        <v>14</v>
      </c>
      <c r="C11892" s="59">
        <v>730</v>
      </c>
      <c r="D11892" s="51">
        <v>73</v>
      </c>
      <c r="E11892" s="51">
        <f t="shared" si="185"/>
        <v>1</v>
      </c>
    </row>
    <row r="11893" spans="1:5">
      <c r="A11893" s="59">
        <v>27</v>
      </c>
      <c r="B11893" s="59">
        <v>16</v>
      </c>
      <c r="C11893" s="59">
        <v>150</v>
      </c>
      <c r="D11893" s="51">
        <v>73</v>
      </c>
      <c r="E11893" s="51">
        <f t="shared" si="185"/>
        <v>1</v>
      </c>
    </row>
    <row r="11894" spans="1:5">
      <c r="A11894" s="59">
        <v>27</v>
      </c>
      <c r="B11894" s="59">
        <v>63</v>
      </c>
      <c r="C11894" s="59">
        <v>110</v>
      </c>
      <c r="D11894" s="51">
        <v>72</v>
      </c>
      <c r="E11894" s="51">
        <f t="shared" si="185"/>
        <v>1</v>
      </c>
    </row>
    <row r="11895" spans="1:5">
      <c r="A11895" s="59">
        <v>27</v>
      </c>
      <c r="B11895" s="59">
        <v>32</v>
      </c>
      <c r="C11895" s="59">
        <v>750</v>
      </c>
      <c r="D11895" s="51">
        <v>65</v>
      </c>
      <c r="E11895" s="51">
        <f t="shared" si="185"/>
        <v>1</v>
      </c>
    </row>
    <row r="11896" spans="1:5">
      <c r="A11896" s="59">
        <v>27</v>
      </c>
      <c r="B11896" s="59">
        <v>32</v>
      </c>
      <c r="C11896" s="59">
        <v>910</v>
      </c>
      <c r="D11896" s="51">
        <v>63</v>
      </c>
      <c r="E11896" s="51">
        <f t="shared" si="185"/>
        <v>1</v>
      </c>
    </row>
    <row r="11897" spans="1:5">
      <c r="A11897" s="59">
        <v>27</v>
      </c>
      <c r="B11897" s="59">
        <v>42</v>
      </c>
      <c r="C11897" s="59">
        <v>910</v>
      </c>
      <c r="D11897" s="51">
        <v>63</v>
      </c>
      <c r="E11897" s="51">
        <f t="shared" si="185"/>
        <v>1</v>
      </c>
    </row>
    <row r="11898" spans="1:5">
      <c r="A11898" s="59">
        <v>27</v>
      </c>
      <c r="B11898" s="59">
        <v>41</v>
      </c>
      <c r="C11898" s="59">
        <v>610</v>
      </c>
      <c r="D11898" s="51">
        <v>59</v>
      </c>
      <c r="E11898" s="51">
        <f t="shared" si="185"/>
        <v>1</v>
      </c>
    </row>
    <row r="11899" spans="1:5">
      <c r="A11899" s="59">
        <v>27</v>
      </c>
      <c r="B11899" s="59">
        <v>43</v>
      </c>
      <c r="C11899" s="59">
        <v>940</v>
      </c>
      <c r="D11899" s="51">
        <v>57</v>
      </c>
      <c r="E11899" s="51">
        <f t="shared" si="185"/>
        <v>1</v>
      </c>
    </row>
    <row r="11900" spans="1:5">
      <c r="A11900" s="59">
        <v>27</v>
      </c>
      <c r="B11900" s="59">
        <v>44</v>
      </c>
      <c r="C11900" s="59">
        <v>850</v>
      </c>
      <c r="D11900" s="51">
        <v>54</v>
      </c>
      <c r="E11900" s="51">
        <f t="shared" si="185"/>
        <v>1</v>
      </c>
    </row>
    <row r="11901" spans="1:5">
      <c r="A11901" s="59">
        <v>27</v>
      </c>
      <c r="B11901" s="59">
        <v>13</v>
      </c>
      <c r="C11901" s="59">
        <v>970</v>
      </c>
      <c r="D11901" s="51">
        <v>53</v>
      </c>
      <c r="E11901" s="51">
        <f t="shared" si="185"/>
        <v>1</v>
      </c>
    </row>
    <row r="11902" spans="1:5">
      <c r="A11902" s="59">
        <v>27</v>
      </c>
      <c r="B11902" s="59">
        <v>81</v>
      </c>
      <c r="C11902" s="59">
        <v>920</v>
      </c>
      <c r="D11902" s="51">
        <v>53</v>
      </c>
      <c r="E11902" s="51">
        <f t="shared" si="185"/>
        <v>1</v>
      </c>
    </row>
    <row r="11903" spans="1:5">
      <c r="A11903" s="59">
        <v>27</v>
      </c>
      <c r="B11903" s="59">
        <v>62</v>
      </c>
      <c r="C11903" s="59">
        <v>160</v>
      </c>
      <c r="D11903" s="51">
        <v>52</v>
      </c>
      <c r="E11903" s="51">
        <f t="shared" si="185"/>
        <v>1</v>
      </c>
    </row>
    <row r="11904" spans="1:5">
      <c r="A11904" s="59">
        <v>27</v>
      </c>
      <c r="B11904" s="59">
        <v>15</v>
      </c>
      <c r="C11904" s="59">
        <v>150</v>
      </c>
      <c r="D11904" s="51">
        <v>51</v>
      </c>
      <c r="E11904" s="51">
        <f t="shared" si="185"/>
        <v>1</v>
      </c>
    </row>
    <row r="11905" spans="1:5">
      <c r="A11905" s="59">
        <v>27</v>
      </c>
      <c r="B11905" s="59">
        <v>32</v>
      </c>
      <c r="C11905" s="59">
        <v>720</v>
      </c>
      <c r="D11905" s="51">
        <v>50</v>
      </c>
      <c r="E11905" s="51">
        <f t="shared" si="185"/>
        <v>1</v>
      </c>
    </row>
    <row r="11906" spans="1:5">
      <c r="A11906" s="59">
        <v>27</v>
      </c>
      <c r="B11906" s="59">
        <v>33</v>
      </c>
      <c r="C11906" s="59">
        <v>420</v>
      </c>
      <c r="D11906" s="51">
        <v>50</v>
      </c>
      <c r="E11906" s="51">
        <f t="shared" ref="E11906:E11969" si="186">IF(OR(A11906=6,A11906=7,A11906=14,A11906=15,A11906=16,A11906=17,A11906=18,A11906=19,A11906=20,A11906=21,A11906=22,A11906=23,A11906=25,A11906=26,A11906=27,A11906=28,B11906=41,B11906=44,B11906=62),1,0)</f>
        <v>1</v>
      </c>
    </row>
    <row r="11907" spans="1:5">
      <c r="A11907" s="59">
        <v>27</v>
      </c>
      <c r="B11907" s="59">
        <v>14</v>
      </c>
      <c r="C11907" s="59">
        <v>720</v>
      </c>
      <c r="D11907" s="51">
        <v>49</v>
      </c>
      <c r="E11907" s="51">
        <f t="shared" si="186"/>
        <v>1</v>
      </c>
    </row>
    <row r="11908" spans="1:5">
      <c r="A11908" s="59">
        <v>27</v>
      </c>
      <c r="B11908" s="59">
        <v>63</v>
      </c>
      <c r="C11908" s="59">
        <v>740</v>
      </c>
      <c r="D11908" s="51">
        <v>49</v>
      </c>
      <c r="E11908" s="51">
        <f t="shared" si="186"/>
        <v>1</v>
      </c>
    </row>
    <row r="11909" spans="1:5">
      <c r="A11909" s="59">
        <v>27</v>
      </c>
      <c r="B11909" s="59">
        <v>43</v>
      </c>
      <c r="C11909" s="59">
        <v>430</v>
      </c>
      <c r="D11909" s="51">
        <v>48</v>
      </c>
      <c r="E11909" s="51">
        <f t="shared" si="186"/>
        <v>1</v>
      </c>
    </row>
    <row r="11910" spans="1:5">
      <c r="A11910" s="59">
        <v>27</v>
      </c>
      <c r="B11910" s="59">
        <v>14</v>
      </c>
      <c r="C11910" s="59">
        <v>970</v>
      </c>
      <c r="D11910" s="51">
        <v>46</v>
      </c>
      <c r="E11910" s="51">
        <f t="shared" si="186"/>
        <v>1</v>
      </c>
    </row>
    <row r="11911" spans="1:5">
      <c r="A11911" s="59">
        <v>27</v>
      </c>
      <c r="B11911" s="59">
        <v>33</v>
      </c>
      <c r="C11911" s="59">
        <v>510</v>
      </c>
      <c r="D11911" s="51">
        <v>46</v>
      </c>
      <c r="E11911" s="51">
        <f t="shared" si="186"/>
        <v>1</v>
      </c>
    </row>
    <row r="11912" spans="1:5">
      <c r="A11912" s="59">
        <v>27</v>
      </c>
      <c r="B11912" s="59">
        <v>32</v>
      </c>
      <c r="C11912" s="59">
        <v>730</v>
      </c>
      <c r="D11912" s="51">
        <v>45</v>
      </c>
      <c r="E11912" s="51">
        <f t="shared" si="186"/>
        <v>1</v>
      </c>
    </row>
    <row r="11913" spans="1:5">
      <c r="A11913" s="59">
        <v>27</v>
      </c>
      <c r="B11913" s="59">
        <v>71</v>
      </c>
      <c r="C11913" s="59">
        <v>110</v>
      </c>
      <c r="D11913" s="51">
        <v>45</v>
      </c>
      <c r="E11913" s="51">
        <f t="shared" si="186"/>
        <v>1</v>
      </c>
    </row>
    <row r="11914" spans="1:5">
      <c r="A11914" s="59">
        <v>27</v>
      </c>
      <c r="B11914" s="59">
        <v>81</v>
      </c>
      <c r="C11914" s="59">
        <v>610</v>
      </c>
      <c r="D11914" s="51">
        <v>45</v>
      </c>
      <c r="E11914" s="51">
        <f t="shared" si="186"/>
        <v>1</v>
      </c>
    </row>
    <row r="11915" spans="1:5">
      <c r="A11915" s="59">
        <v>27</v>
      </c>
      <c r="B11915" s="59">
        <v>41</v>
      </c>
      <c r="C11915" s="59">
        <v>970</v>
      </c>
      <c r="D11915" s="51">
        <v>44</v>
      </c>
      <c r="E11915" s="51">
        <f t="shared" si="186"/>
        <v>1</v>
      </c>
    </row>
    <row r="11916" spans="1:5">
      <c r="A11916" s="59">
        <v>27</v>
      </c>
      <c r="B11916" s="59">
        <v>64</v>
      </c>
      <c r="C11916" s="59">
        <v>540</v>
      </c>
      <c r="D11916" s="51">
        <v>44</v>
      </c>
      <c r="E11916" s="51">
        <f t="shared" si="186"/>
        <v>1</v>
      </c>
    </row>
    <row r="11917" spans="1:5">
      <c r="A11917" s="59">
        <v>27</v>
      </c>
      <c r="B11917" s="59">
        <v>62</v>
      </c>
      <c r="C11917" s="59">
        <v>740</v>
      </c>
      <c r="D11917" s="51">
        <v>43</v>
      </c>
      <c r="E11917" s="51">
        <f t="shared" si="186"/>
        <v>1</v>
      </c>
    </row>
    <row r="11918" spans="1:5">
      <c r="A11918" s="59">
        <v>27</v>
      </c>
      <c r="B11918" s="59">
        <v>63</v>
      </c>
      <c r="C11918" s="59">
        <v>160</v>
      </c>
      <c r="D11918" s="51">
        <v>43</v>
      </c>
      <c r="E11918" s="51">
        <f t="shared" si="186"/>
        <v>1</v>
      </c>
    </row>
    <row r="11919" spans="1:5">
      <c r="A11919" s="59">
        <v>27</v>
      </c>
      <c r="B11919" s="59">
        <v>63</v>
      </c>
      <c r="C11919" s="59">
        <v>710</v>
      </c>
      <c r="D11919" s="51">
        <v>42</v>
      </c>
      <c r="E11919" s="51">
        <f t="shared" si="186"/>
        <v>1</v>
      </c>
    </row>
    <row r="11920" spans="1:5">
      <c r="A11920" s="59">
        <v>27</v>
      </c>
      <c r="B11920" s="59">
        <v>64</v>
      </c>
      <c r="C11920" s="59">
        <v>410</v>
      </c>
      <c r="D11920" s="51">
        <v>42</v>
      </c>
      <c r="E11920" s="51">
        <f t="shared" si="186"/>
        <v>1</v>
      </c>
    </row>
    <row r="11921" spans="1:5">
      <c r="A11921" s="59">
        <v>27</v>
      </c>
      <c r="B11921" s="59">
        <v>15</v>
      </c>
      <c r="C11921" s="59">
        <v>530</v>
      </c>
      <c r="D11921" s="51">
        <v>41</v>
      </c>
      <c r="E11921" s="51">
        <f t="shared" si="186"/>
        <v>1</v>
      </c>
    </row>
    <row r="11922" spans="1:5">
      <c r="A11922" s="59">
        <v>27</v>
      </c>
      <c r="B11922" s="59">
        <v>32</v>
      </c>
      <c r="C11922" s="59">
        <v>410</v>
      </c>
      <c r="D11922" s="51">
        <v>41</v>
      </c>
      <c r="E11922" s="51">
        <f t="shared" si="186"/>
        <v>1</v>
      </c>
    </row>
    <row r="11923" spans="1:5">
      <c r="A11923" s="59">
        <v>27</v>
      </c>
      <c r="B11923" s="59">
        <v>33</v>
      </c>
      <c r="C11923" s="59">
        <v>530</v>
      </c>
      <c r="D11923" s="51">
        <v>41</v>
      </c>
      <c r="E11923" s="51">
        <f t="shared" si="186"/>
        <v>1</v>
      </c>
    </row>
    <row r="11924" spans="1:5">
      <c r="A11924" s="59">
        <v>27</v>
      </c>
      <c r="B11924" s="59">
        <v>71</v>
      </c>
      <c r="C11924" s="59">
        <v>710</v>
      </c>
      <c r="D11924" s="51">
        <v>40</v>
      </c>
      <c r="E11924" s="51">
        <f t="shared" si="186"/>
        <v>1</v>
      </c>
    </row>
    <row r="11925" spans="1:5">
      <c r="A11925" s="59">
        <v>27</v>
      </c>
      <c r="B11925" s="59">
        <v>41</v>
      </c>
      <c r="C11925" s="59">
        <v>990</v>
      </c>
      <c r="D11925" s="51">
        <v>39</v>
      </c>
      <c r="E11925" s="51">
        <f t="shared" si="186"/>
        <v>1</v>
      </c>
    </row>
    <row r="11926" spans="1:5">
      <c r="A11926" s="59">
        <v>27</v>
      </c>
      <c r="B11926" s="59">
        <v>13</v>
      </c>
      <c r="C11926" s="59">
        <v>610</v>
      </c>
      <c r="D11926" s="51">
        <v>38</v>
      </c>
      <c r="E11926" s="51">
        <f t="shared" si="186"/>
        <v>1</v>
      </c>
    </row>
    <row r="11927" spans="1:5">
      <c r="A11927" s="59">
        <v>27</v>
      </c>
      <c r="B11927" s="59">
        <v>15</v>
      </c>
      <c r="C11927" s="59">
        <v>140</v>
      </c>
      <c r="D11927" s="51">
        <v>38</v>
      </c>
      <c r="E11927" s="51">
        <f t="shared" si="186"/>
        <v>1</v>
      </c>
    </row>
    <row r="11928" spans="1:5">
      <c r="A11928" s="59">
        <v>27</v>
      </c>
      <c r="B11928" s="59">
        <v>42</v>
      </c>
      <c r="C11928" s="59">
        <v>720</v>
      </c>
      <c r="D11928" s="51">
        <v>38</v>
      </c>
      <c r="E11928" s="51">
        <f t="shared" si="186"/>
        <v>1</v>
      </c>
    </row>
    <row r="11929" spans="1:5">
      <c r="A11929" s="59">
        <v>27</v>
      </c>
      <c r="B11929" s="59">
        <v>63</v>
      </c>
      <c r="C11929" s="59">
        <v>550</v>
      </c>
      <c r="D11929" s="51">
        <v>38</v>
      </c>
      <c r="E11929" s="51">
        <f t="shared" si="186"/>
        <v>1</v>
      </c>
    </row>
    <row r="11930" spans="1:5">
      <c r="A11930" s="59">
        <v>27</v>
      </c>
      <c r="B11930" s="59">
        <v>13</v>
      </c>
      <c r="C11930" s="59">
        <v>620</v>
      </c>
      <c r="D11930" s="51">
        <v>37</v>
      </c>
      <c r="E11930" s="51">
        <f t="shared" si="186"/>
        <v>1</v>
      </c>
    </row>
    <row r="11931" spans="1:5">
      <c r="A11931" s="59">
        <v>27</v>
      </c>
      <c r="B11931" s="59">
        <v>33</v>
      </c>
      <c r="C11931" s="59">
        <v>910</v>
      </c>
      <c r="D11931" s="51">
        <v>37</v>
      </c>
      <c r="E11931" s="51">
        <f t="shared" si="186"/>
        <v>1</v>
      </c>
    </row>
    <row r="11932" spans="1:5">
      <c r="A11932" s="59">
        <v>27</v>
      </c>
      <c r="B11932" s="59">
        <v>44</v>
      </c>
      <c r="C11932" s="59">
        <v>990</v>
      </c>
      <c r="D11932" s="51">
        <v>37</v>
      </c>
      <c r="E11932" s="51">
        <f t="shared" si="186"/>
        <v>1</v>
      </c>
    </row>
    <row r="11933" spans="1:5">
      <c r="A11933" s="59">
        <v>27</v>
      </c>
      <c r="B11933" s="59">
        <v>15</v>
      </c>
      <c r="C11933" s="59">
        <v>510</v>
      </c>
      <c r="D11933" s="51">
        <v>34</v>
      </c>
      <c r="E11933" s="51">
        <f t="shared" si="186"/>
        <v>1</v>
      </c>
    </row>
    <row r="11934" spans="1:5">
      <c r="A11934" s="59">
        <v>27</v>
      </c>
      <c r="B11934" s="59">
        <v>43</v>
      </c>
      <c r="C11934" s="59">
        <v>210</v>
      </c>
      <c r="D11934" s="51">
        <v>34</v>
      </c>
      <c r="E11934" s="51">
        <f t="shared" si="186"/>
        <v>1</v>
      </c>
    </row>
    <row r="11935" spans="1:5">
      <c r="A11935" s="59">
        <v>27</v>
      </c>
      <c r="B11935" s="59">
        <v>43</v>
      </c>
      <c r="C11935" s="59">
        <v>950</v>
      </c>
      <c r="D11935" s="51">
        <v>34</v>
      </c>
      <c r="E11935" s="51">
        <f t="shared" si="186"/>
        <v>1</v>
      </c>
    </row>
    <row r="11936" spans="1:5">
      <c r="A11936" s="59">
        <v>27</v>
      </c>
      <c r="B11936" s="59">
        <v>11</v>
      </c>
      <c r="C11936" s="59">
        <v>530</v>
      </c>
      <c r="D11936" s="51">
        <v>33</v>
      </c>
      <c r="E11936" s="51">
        <f t="shared" si="186"/>
        <v>1</v>
      </c>
    </row>
    <row r="11937" spans="1:5">
      <c r="A11937" s="59">
        <v>27</v>
      </c>
      <c r="B11937" s="59">
        <v>43</v>
      </c>
      <c r="C11937" s="59">
        <v>861</v>
      </c>
      <c r="D11937" s="51">
        <v>33</v>
      </c>
      <c r="E11937" s="51">
        <f t="shared" si="186"/>
        <v>1</v>
      </c>
    </row>
    <row r="11938" spans="1:5">
      <c r="A11938" s="59">
        <v>27</v>
      </c>
      <c r="B11938" s="59">
        <v>62</v>
      </c>
      <c r="C11938" s="59">
        <v>930</v>
      </c>
      <c r="D11938" s="51">
        <v>33</v>
      </c>
      <c r="E11938" s="51">
        <f t="shared" si="186"/>
        <v>1</v>
      </c>
    </row>
    <row r="11939" spans="1:5">
      <c r="A11939" s="59">
        <v>27</v>
      </c>
      <c r="B11939" s="59">
        <v>22</v>
      </c>
      <c r="C11939" s="59">
        <v>150</v>
      </c>
      <c r="D11939" s="51">
        <v>32</v>
      </c>
      <c r="E11939" s="51">
        <f t="shared" si="186"/>
        <v>1</v>
      </c>
    </row>
    <row r="11940" spans="1:5">
      <c r="A11940" s="59">
        <v>27</v>
      </c>
      <c r="B11940" s="59">
        <v>44</v>
      </c>
      <c r="C11940" s="59">
        <v>920</v>
      </c>
      <c r="D11940" s="51">
        <v>31</v>
      </c>
      <c r="E11940" s="51">
        <f t="shared" si="186"/>
        <v>1</v>
      </c>
    </row>
    <row r="11941" spans="1:5">
      <c r="A11941" s="59">
        <v>27</v>
      </c>
      <c r="B11941" s="59">
        <v>32</v>
      </c>
      <c r="C11941" s="59">
        <v>430</v>
      </c>
      <c r="D11941" s="51">
        <v>30</v>
      </c>
      <c r="E11941" s="51">
        <f t="shared" si="186"/>
        <v>1</v>
      </c>
    </row>
    <row r="11942" spans="1:5">
      <c r="A11942" s="59">
        <v>27</v>
      </c>
      <c r="B11942" s="59">
        <v>43</v>
      </c>
      <c r="C11942" s="59">
        <v>895</v>
      </c>
      <c r="D11942" s="51">
        <v>30</v>
      </c>
      <c r="E11942" s="51">
        <f t="shared" si="186"/>
        <v>1</v>
      </c>
    </row>
    <row r="11943" spans="1:5">
      <c r="A11943" s="59">
        <v>27</v>
      </c>
      <c r="B11943" s="59">
        <v>13</v>
      </c>
      <c r="C11943" s="59">
        <v>930</v>
      </c>
      <c r="D11943" s="51">
        <v>29</v>
      </c>
      <c r="E11943" s="51">
        <f t="shared" si="186"/>
        <v>1</v>
      </c>
    </row>
    <row r="11944" spans="1:5">
      <c r="A11944" s="59">
        <v>27</v>
      </c>
      <c r="B11944" s="59">
        <v>15</v>
      </c>
      <c r="C11944" s="59">
        <v>110</v>
      </c>
      <c r="D11944" s="51">
        <v>29</v>
      </c>
      <c r="E11944" s="51">
        <f t="shared" si="186"/>
        <v>1</v>
      </c>
    </row>
    <row r="11945" spans="1:5">
      <c r="A11945" s="59">
        <v>27</v>
      </c>
      <c r="B11945" s="59">
        <v>22</v>
      </c>
      <c r="C11945" s="59">
        <v>910</v>
      </c>
      <c r="D11945" s="51">
        <v>29</v>
      </c>
      <c r="E11945" s="51">
        <f t="shared" si="186"/>
        <v>1</v>
      </c>
    </row>
    <row r="11946" spans="1:5">
      <c r="A11946" s="59">
        <v>27</v>
      </c>
      <c r="B11946" s="59">
        <v>62</v>
      </c>
      <c r="C11946" s="59">
        <v>110</v>
      </c>
      <c r="D11946" s="51">
        <v>29</v>
      </c>
      <c r="E11946" s="51">
        <f t="shared" si="186"/>
        <v>1</v>
      </c>
    </row>
    <row r="11947" spans="1:5">
      <c r="A11947" s="59">
        <v>27</v>
      </c>
      <c r="B11947" s="59">
        <v>16</v>
      </c>
      <c r="C11947" s="59">
        <v>510</v>
      </c>
      <c r="D11947" s="51">
        <v>28</v>
      </c>
      <c r="E11947" s="51">
        <f t="shared" si="186"/>
        <v>1</v>
      </c>
    </row>
    <row r="11948" spans="1:5">
      <c r="A11948" s="59">
        <v>27</v>
      </c>
      <c r="B11948" s="59">
        <v>22</v>
      </c>
      <c r="C11948" s="59">
        <v>510</v>
      </c>
      <c r="D11948" s="51">
        <v>28</v>
      </c>
      <c r="E11948" s="51">
        <f t="shared" si="186"/>
        <v>1</v>
      </c>
    </row>
    <row r="11949" spans="1:5">
      <c r="A11949" s="59">
        <v>27</v>
      </c>
      <c r="B11949" s="59">
        <v>41</v>
      </c>
      <c r="C11949" s="59">
        <v>930</v>
      </c>
      <c r="D11949" s="51">
        <v>28</v>
      </c>
      <c r="E11949" s="51">
        <f t="shared" si="186"/>
        <v>1</v>
      </c>
    </row>
    <row r="11950" spans="1:5">
      <c r="A11950" s="59">
        <v>27</v>
      </c>
      <c r="B11950" s="59">
        <v>14</v>
      </c>
      <c r="C11950" s="59">
        <v>610</v>
      </c>
      <c r="D11950" s="51">
        <v>27</v>
      </c>
      <c r="E11950" s="51">
        <f t="shared" si="186"/>
        <v>1</v>
      </c>
    </row>
    <row r="11951" spans="1:5">
      <c r="A11951" s="59">
        <v>27</v>
      </c>
      <c r="B11951" s="59">
        <v>41</v>
      </c>
      <c r="C11951" s="59">
        <v>850</v>
      </c>
      <c r="D11951" s="51">
        <v>27</v>
      </c>
      <c r="E11951" s="51">
        <f t="shared" si="186"/>
        <v>1</v>
      </c>
    </row>
    <row r="11952" spans="1:5">
      <c r="A11952" s="59">
        <v>27</v>
      </c>
      <c r="B11952" s="59">
        <v>71</v>
      </c>
      <c r="C11952" s="59">
        <v>160</v>
      </c>
      <c r="D11952" s="51">
        <v>27</v>
      </c>
      <c r="E11952" s="51">
        <f t="shared" si="186"/>
        <v>1</v>
      </c>
    </row>
    <row r="11953" spans="1:5">
      <c r="A11953" s="59">
        <v>27</v>
      </c>
      <c r="B11953" s="59">
        <v>14</v>
      </c>
      <c r="C11953" s="59">
        <v>520</v>
      </c>
      <c r="D11953" s="51">
        <v>26</v>
      </c>
      <c r="E11953" s="51">
        <f t="shared" si="186"/>
        <v>1</v>
      </c>
    </row>
    <row r="11954" spans="1:5">
      <c r="A11954" s="59">
        <v>27</v>
      </c>
      <c r="B11954" s="59">
        <v>16</v>
      </c>
      <c r="C11954" s="59">
        <v>910</v>
      </c>
      <c r="D11954" s="51">
        <v>26</v>
      </c>
      <c r="E11954" s="51">
        <f t="shared" si="186"/>
        <v>1</v>
      </c>
    </row>
    <row r="11955" spans="1:5">
      <c r="A11955" s="59">
        <v>27</v>
      </c>
      <c r="B11955" s="59">
        <v>43</v>
      </c>
      <c r="C11955" s="59">
        <v>410</v>
      </c>
      <c r="D11955" s="51">
        <v>26</v>
      </c>
      <c r="E11955" s="51">
        <f t="shared" si="186"/>
        <v>1</v>
      </c>
    </row>
    <row r="11956" spans="1:5">
      <c r="A11956" s="59">
        <v>27</v>
      </c>
      <c r="B11956" s="59">
        <v>63</v>
      </c>
      <c r="C11956" s="59">
        <v>440</v>
      </c>
      <c r="D11956" s="51">
        <v>26</v>
      </c>
      <c r="E11956" s="51">
        <f t="shared" si="186"/>
        <v>1</v>
      </c>
    </row>
    <row r="11957" spans="1:5">
      <c r="A11957" s="59">
        <v>27</v>
      </c>
      <c r="B11957" s="59">
        <v>64</v>
      </c>
      <c r="C11957" s="59">
        <v>210</v>
      </c>
      <c r="D11957" s="51">
        <v>26</v>
      </c>
      <c r="E11957" s="51">
        <f t="shared" si="186"/>
        <v>1</v>
      </c>
    </row>
    <row r="11958" spans="1:5">
      <c r="A11958" s="59">
        <v>27</v>
      </c>
      <c r="B11958" s="59">
        <v>41</v>
      </c>
      <c r="C11958" s="59">
        <v>520</v>
      </c>
      <c r="D11958" s="51">
        <v>25</v>
      </c>
      <c r="E11958" s="51">
        <f t="shared" si="186"/>
        <v>1</v>
      </c>
    </row>
    <row r="11959" spans="1:5">
      <c r="A11959" s="59">
        <v>27</v>
      </c>
      <c r="B11959" s="59">
        <v>42</v>
      </c>
      <c r="C11959" s="59">
        <v>920</v>
      </c>
      <c r="D11959" s="51">
        <v>25</v>
      </c>
      <c r="E11959" s="51">
        <f t="shared" si="186"/>
        <v>1</v>
      </c>
    </row>
    <row r="11960" spans="1:5">
      <c r="A11960" s="59">
        <v>27</v>
      </c>
      <c r="B11960" s="59">
        <v>14</v>
      </c>
      <c r="C11960" s="59">
        <v>620</v>
      </c>
      <c r="D11960" s="51">
        <v>24</v>
      </c>
      <c r="E11960" s="51">
        <f t="shared" si="186"/>
        <v>1</v>
      </c>
    </row>
    <row r="11961" spans="1:5">
      <c r="A11961" s="59">
        <v>27</v>
      </c>
      <c r="B11961" s="59">
        <v>33</v>
      </c>
      <c r="C11961" s="59">
        <v>410</v>
      </c>
      <c r="D11961" s="51">
        <v>24</v>
      </c>
      <c r="E11961" s="51">
        <f t="shared" si="186"/>
        <v>1</v>
      </c>
    </row>
    <row r="11962" spans="1:5">
      <c r="A11962" s="59">
        <v>27</v>
      </c>
      <c r="B11962" s="59">
        <v>64</v>
      </c>
      <c r="C11962" s="59">
        <v>430</v>
      </c>
      <c r="D11962" s="51">
        <v>23</v>
      </c>
      <c r="E11962" s="51">
        <f t="shared" si="186"/>
        <v>1</v>
      </c>
    </row>
    <row r="11963" spans="1:5">
      <c r="A11963" s="59">
        <v>27</v>
      </c>
      <c r="B11963" s="59">
        <v>16</v>
      </c>
      <c r="C11963" s="59">
        <v>530</v>
      </c>
      <c r="D11963" s="51">
        <v>22</v>
      </c>
      <c r="E11963" s="51">
        <f t="shared" si="186"/>
        <v>1</v>
      </c>
    </row>
    <row r="11964" spans="1:5">
      <c r="A11964" s="59">
        <v>27</v>
      </c>
      <c r="B11964" s="59">
        <v>64</v>
      </c>
      <c r="C11964" s="59">
        <v>940</v>
      </c>
      <c r="D11964" s="51">
        <v>22</v>
      </c>
      <c r="E11964" s="51">
        <f t="shared" si="186"/>
        <v>1</v>
      </c>
    </row>
    <row r="11965" spans="1:5">
      <c r="A11965" s="59">
        <v>27</v>
      </c>
      <c r="B11965" s="59">
        <v>43</v>
      </c>
      <c r="C11965" s="59">
        <v>960</v>
      </c>
      <c r="D11965" s="51">
        <v>21</v>
      </c>
      <c r="E11965" s="51">
        <f t="shared" si="186"/>
        <v>1</v>
      </c>
    </row>
    <row r="11966" spans="1:5">
      <c r="A11966" s="59">
        <v>27</v>
      </c>
      <c r="B11966" s="59">
        <v>62</v>
      </c>
      <c r="C11966" s="59">
        <v>150</v>
      </c>
      <c r="D11966" s="51">
        <v>21</v>
      </c>
      <c r="E11966" s="51">
        <f t="shared" si="186"/>
        <v>1</v>
      </c>
    </row>
    <row r="11967" spans="1:5">
      <c r="A11967" s="59">
        <v>27</v>
      </c>
      <c r="B11967" s="59">
        <v>63</v>
      </c>
      <c r="C11967" s="59">
        <v>930</v>
      </c>
      <c r="D11967" s="51">
        <v>21</v>
      </c>
      <c r="E11967" s="51">
        <f t="shared" si="186"/>
        <v>1</v>
      </c>
    </row>
    <row r="11968" spans="1:5">
      <c r="A11968" s="59">
        <v>27</v>
      </c>
      <c r="B11968" s="59">
        <v>64</v>
      </c>
      <c r="C11968" s="59">
        <v>420</v>
      </c>
      <c r="D11968" s="51">
        <v>21</v>
      </c>
      <c r="E11968" s="51">
        <f t="shared" si="186"/>
        <v>1</v>
      </c>
    </row>
    <row r="11969" spans="1:5">
      <c r="A11969" s="59">
        <v>27</v>
      </c>
      <c r="B11969" s="59">
        <v>64</v>
      </c>
      <c r="C11969" s="59">
        <v>440</v>
      </c>
      <c r="D11969" s="51">
        <v>21</v>
      </c>
      <c r="E11969" s="51">
        <f t="shared" si="186"/>
        <v>1</v>
      </c>
    </row>
    <row r="11970" spans="1:5">
      <c r="A11970" s="59">
        <v>27</v>
      </c>
      <c r="B11970" s="59">
        <v>43</v>
      </c>
      <c r="C11970" s="59">
        <v>550</v>
      </c>
      <c r="D11970" s="51">
        <v>20</v>
      </c>
      <c r="E11970" s="51">
        <f t="shared" ref="E11970:E12033" si="187">IF(OR(A11970=6,A11970=7,A11970=14,A11970=15,A11970=16,A11970=17,A11970=18,A11970=19,A11970=20,A11970=21,A11970=22,A11970=23,A11970=25,A11970=26,A11970=27,A11970=28,B11970=41,B11970=44,B11970=62),1,0)</f>
        <v>1</v>
      </c>
    </row>
    <row r="11971" spans="1:5">
      <c r="A11971" s="59">
        <v>27</v>
      </c>
      <c r="B11971" s="59">
        <v>64</v>
      </c>
      <c r="C11971" s="59">
        <v>950</v>
      </c>
      <c r="D11971" s="51">
        <v>20</v>
      </c>
      <c r="E11971" s="51">
        <f t="shared" si="187"/>
        <v>1</v>
      </c>
    </row>
    <row r="11972" spans="1:5">
      <c r="A11972" s="59">
        <v>27</v>
      </c>
      <c r="B11972" s="59">
        <v>71</v>
      </c>
      <c r="C11972" s="59">
        <v>550</v>
      </c>
      <c r="D11972" s="51">
        <v>20</v>
      </c>
      <c r="E11972" s="51">
        <f t="shared" si="187"/>
        <v>1</v>
      </c>
    </row>
    <row r="11973" spans="1:5">
      <c r="A11973" s="59">
        <v>27</v>
      </c>
      <c r="B11973" s="59">
        <v>13</v>
      </c>
      <c r="C11973" s="59">
        <v>520</v>
      </c>
      <c r="D11973" s="51">
        <v>19</v>
      </c>
      <c r="E11973" s="51">
        <f t="shared" si="187"/>
        <v>1</v>
      </c>
    </row>
    <row r="11974" spans="1:5">
      <c r="A11974" s="59">
        <v>27</v>
      </c>
      <c r="B11974" s="59">
        <v>13</v>
      </c>
      <c r="C11974" s="59">
        <v>990</v>
      </c>
      <c r="D11974" s="51">
        <v>19</v>
      </c>
      <c r="E11974" s="51">
        <f t="shared" si="187"/>
        <v>1</v>
      </c>
    </row>
    <row r="11975" spans="1:5">
      <c r="A11975" s="59">
        <v>27</v>
      </c>
      <c r="B11975" s="59">
        <v>14</v>
      </c>
      <c r="C11975" s="59">
        <v>210</v>
      </c>
      <c r="D11975" s="51">
        <v>18</v>
      </c>
      <c r="E11975" s="51">
        <f t="shared" si="187"/>
        <v>1</v>
      </c>
    </row>
    <row r="11976" spans="1:5">
      <c r="A11976" s="59">
        <v>27</v>
      </c>
      <c r="B11976" s="59">
        <v>32</v>
      </c>
      <c r="C11976" s="59">
        <v>620</v>
      </c>
      <c r="D11976" s="51">
        <v>18</v>
      </c>
      <c r="E11976" s="51">
        <f t="shared" si="187"/>
        <v>1</v>
      </c>
    </row>
    <row r="11977" spans="1:5">
      <c r="A11977" s="59">
        <v>27</v>
      </c>
      <c r="B11977" s="59">
        <v>41</v>
      </c>
      <c r="C11977" s="59">
        <v>150</v>
      </c>
      <c r="D11977" s="51">
        <v>18</v>
      </c>
      <c r="E11977" s="51">
        <f t="shared" si="187"/>
        <v>1</v>
      </c>
    </row>
    <row r="11978" spans="1:5">
      <c r="A11978" s="59">
        <v>27</v>
      </c>
      <c r="B11978" s="59">
        <v>43</v>
      </c>
      <c r="C11978" s="59">
        <v>420</v>
      </c>
      <c r="D11978" s="51">
        <v>18</v>
      </c>
      <c r="E11978" s="51">
        <f t="shared" si="187"/>
        <v>1</v>
      </c>
    </row>
    <row r="11979" spans="1:5">
      <c r="A11979" s="59">
        <v>27</v>
      </c>
      <c r="B11979" s="59">
        <v>12</v>
      </c>
      <c r="C11979" s="59">
        <v>530</v>
      </c>
      <c r="D11979" s="51">
        <v>17</v>
      </c>
      <c r="E11979" s="51">
        <f t="shared" si="187"/>
        <v>1</v>
      </c>
    </row>
    <row r="11980" spans="1:5">
      <c r="A11980" s="59">
        <v>27</v>
      </c>
      <c r="B11980" s="59">
        <v>22</v>
      </c>
      <c r="C11980" s="59">
        <v>530</v>
      </c>
      <c r="D11980" s="51">
        <v>17</v>
      </c>
      <c r="E11980" s="51">
        <f t="shared" si="187"/>
        <v>1</v>
      </c>
    </row>
    <row r="11981" spans="1:5">
      <c r="A11981" s="59">
        <v>27</v>
      </c>
      <c r="B11981" s="59">
        <v>42</v>
      </c>
      <c r="C11981" s="59">
        <v>520</v>
      </c>
      <c r="D11981" s="51">
        <v>17</v>
      </c>
      <c r="E11981" s="51">
        <f t="shared" si="187"/>
        <v>1</v>
      </c>
    </row>
    <row r="11982" spans="1:5">
      <c r="A11982" s="59">
        <v>27</v>
      </c>
      <c r="B11982" s="59">
        <v>22</v>
      </c>
      <c r="C11982" s="59">
        <v>230</v>
      </c>
      <c r="D11982" s="51">
        <v>16</v>
      </c>
      <c r="E11982" s="51">
        <f t="shared" si="187"/>
        <v>1</v>
      </c>
    </row>
    <row r="11983" spans="1:5">
      <c r="A11983" s="59">
        <v>27</v>
      </c>
      <c r="B11983" s="59">
        <v>33</v>
      </c>
      <c r="C11983" s="59">
        <v>730</v>
      </c>
      <c r="D11983" s="51">
        <v>16</v>
      </c>
      <c r="E11983" s="51">
        <f t="shared" si="187"/>
        <v>1</v>
      </c>
    </row>
    <row r="11984" spans="1:5">
      <c r="A11984" s="59">
        <v>27</v>
      </c>
      <c r="B11984" s="59">
        <v>41</v>
      </c>
      <c r="C11984" s="59">
        <v>620</v>
      </c>
      <c r="D11984" s="51">
        <v>16</v>
      </c>
      <c r="E11984" s="51">
        <f t="shared" si="187"/>
        <v>1</v>
      </c>
    </row>
    <row r="11985" spans="1:5">
      <c r="A11985" s="59">
        <v>27</v>
      </c>
      <c r="B11985" s="59">
        <v>42</v>
      </c>
      <c r="C11985" s="59">
        <v>970</v>
      </c>
      <c r="D11985" s="51">
        <v>16</v>
      </c>
      <c r="E11985" s="51">
        <f t="shared" si="187"/>
        <v>1</v>
      </c>
    </row>
    <row r="11986" spans="1:5">
      <c r="A11986" s="59">
        <v>27</v>
      </c>
      <c r="B11986" s="59">
        <v>43</v>
      </c>
      <c r="C11986" s="59">
        <v>240</v>
      </c>
      <c r="D11986" s="51">
        <v>16</v>
      </c>
      <c r="E11986" s="51">
        <f t="shared" si="187"/>
        <v>1</v>
      </c>
    </row>
    <row r="11987" spans="1:5">
      <c r="A11987" s="59">
        <v>27</v>
      </c>
      <c r="B11987" s="59">
        <v>63</v>
      </c>
      <c r="C11987" s="59">
        <v>150</v>
      </c>
      <c r="D11987" s="51">
        <v>16</v>
      </c>
      <c r="E11987" s="51">
        <f t="shared" si="187"/>
        <v>1</v>
      </c>
    </row>
    <row r="11988" spans="1:5">
      <c r="A11988" s="59">
        <v>27</v>
      </c>
      <c r="B11988" s="59">
        <v>63</v>
      </c>
      <c r="C11988" s="59">
        <v>540</v>
      </c>
      <c r="D11988" s="51">
        <v>16</v>
      </c>
      <c r="E11988" s="51">
        <f t="shared" si="187"/>
        <v>1</v>
      </c>
    </row>
    <row r="11989" spans="1:5">
      <c r="A11989" s="59">
        <v>27</v>
      </c>
      <c r="B11989" s="59">
        <v>63</v>
      </c>
      <c r="C11989" s="59">
        <v>850</v>
      </c>
      <c r="D11989" s="51">
        <v>16</v>
      </c>
      <c r="E11989" s="51">
        <f t="shared" si="187"/>
        <v>1</v>
      </c>
    </row>
    <row r="11990" spans="1:5">
      <c r="A11990" s="59">
        <v>27</v>
      </c>
      <c r="B11990" s="59">
        <v>81</v>
      </c>
      <c r="C11990" s="59">
        <v>110</v>
      </c>
      <c r="D11990" s="51">
        <v>16</v>
      </c>
      <c r="E11990" s="51">
        <f t="shared" si="187"/>
        <v>1</v>
      </c>
    </row>
    <row r="11991" spans="1:5">
      <c r="A11991" s="59">
        <v>27</v>
      </c>
      <c r="B11991" s="59">
        <v>32</v>
      </c>
      <c r="C11991" s="59">
        <v>970</v>
      </c>
      <c r="D11991" s="51">
        <v>15</v>
      </c>
      <c r="E11991" s="51">
        <f t="shared" si="187"/>
        <v>1</v>
      </c>
    </row>
    <row r="11992" spans="1:5">
      <c r="A11992" s="59">
        <v>27</v>
      </c>
      <c r="B11992" s="59">
        <v>33</v>
      </c>
      <c r="C11992" s="59">
        <v>430</v>
      </c>
      <c r="D11992" s="51">
        <v>15</v>
      </c>
      <c r="E11992" s="51">
        <f t="shared" si="187"/>
        <v>1</v>
      </c>
    </row>
    <row r="11993" spans="1:5">
      <c r="A11993" s="59">
        <v>27</v>
      </c>
      <c r="B11993" s="59">
        <v>41</v>
      </c>
      <c r="C11993" s="59">
        <v>110</v>
      </c>
      <c r="D11993" s="51">
        <v>15</v>
      </c>
      <c r="E11993" s="51">
        <f t="shared" si="187"/>
        <v>1</v>
      </c>
    </row>
    <row r="11994" spans="1:5">
      <c r="A11994" s="59">
        <v>27</v>
      </c>
      <c r="B11994" s="59">
        <v>44</v>
      </c>
      <c r="C11994" s="59">
        <v>950</v>
      </c>
      <c r="D11994" s="51">
        <v>15</v>
      </c>
      <c r="E11994" s="51">
        <f t="shared" si="187"/>
        <v>1</v>
      </c>
    </row>
    <row r="11995" spans="1:5">
      <c r="A11995" s="59">
        <v>27</v>
      </c>
      <c r="B11995" s="59">
        <v>64</v>
      </c>
      <c r="C11995" s="59">
        <v>230</v>
      </c>
      <c r="D11995" s="51">
        <v>15</v>
      </c>
      <c r="E11995" s="51">
        <f t="shared" si="187"/>
        <v>1</v>
      </c>
    </row>
    <row r="11996" spans="1:5">
      <c r="A11996" s="59">
        <v>27</v>
      </c>
      <c r="B11996" s="59">
        <v>33</v>
      </c>
      <c r="C11996" s="59">
        <v>110</v>
      </c>
      <c r="D11996" s="51">
        <v>14</v>
      </c>
      <c r="E11996" s="51">
        <f t="shared" si="187"/>
        <v>1</v>
      </c>
    </row>
    <row r="11997" spans="1:5">
      <c r="A11997" s="59">
        <v>27</v>
      </c>
      <c r="B11997" s="59">
        <v>64</v>
      </c>
      <c r="C11997" s="59">
        <v>310</v>
      </c>
      <c r="D11997" s="51">
        <v>14</v>
      </c>
      <c r="E11997" s="51">
        <f t="shared" si="187"/>
        <v>1</v>
      </c>
    </row>
    <row r="11998" spans="1:5">
      <c r="A11998" s="59">
        <v>27</v>
      </c>
      <c r="B11998" s="59">
        <v>14</v>
      </c>
      <c r="C11998" s="59">
        <v>320</v>
      </c>
      <c r="D11998" s="51">
        <v>13</v>
      </c>
      <c r="E11998" s="51">
        <f t="shared" si="187"/>
        <v>1</v>
      </c>
    </row>
    <row r="11999" spans="1:5">
      <c r="A11999" s="59">
        <v>27</v>
      </c>
      <c r="B11999" s="59">
        <v>14</v>
      </c>
      <c r="C11999" s="59">
        <v>330</v>
      </c>
      <c r="D11999" s="51">
        <v>13</v>
      </c>
      <c r="E11999" s="51">
        <f t="shared" si="187"/>
        <v>1</v>
      </c>
    </row>
    <row r="12000" spans="1:5">
      <c r="A12000" s="59">
        <v>27</v>
      </c>
      <c r="B12000" s="59">
        <v>14</v>
      </c>
      <c r="C12000" s="59">
        <v>930</v>
      </c>
      <c r="D12000" s="51">
        <v>13</v>
      </c>
      <c r="E12000" s="51">
        <f t="shared" si="187"/>
        <v>1</v>
      </c>
    </row>
    <row r="12001" spans="1:5">
      <c r="A12001" s="59">
        <v>27</v>
      </c>
      <c r="B12001" s="59">
        <v>32</v>
      </c>
      <c r="C12001" s="59">
        <v>520</v>
      </c>
      <c r="D12001" s="51">
        <v>13</v>
      </c>
      <c r="E12001" s="51">
        <f t="shared" si="187"/>
        <v>1</v>
      </c>
    </row>
    <row r="12002" spans="1:5">
      <c r="A12002" s="59">
        <v>27</v>
      </c>
      <c r="B12002" s="59">
        <v>41</v>
      </c>
      <c r="C12002" s="59">
        <v>710</v>
      </c>
      <c r="D12002" s="51">
        <v>13</v>
      </c>
      <c r="E12002" s="51">
        <f t="shared" si="187"/>
        <v>1</v>
      </c>
    </row>
    <row r="12003" spans="1:5">
      <c r="A12003" s="59">
        <v>27</v>
      </c>
      <c r="B12003" s="59">
        <v>71</v>
      </c>
      <c r="C12003" s="59">
        <v>850</v>
      </c>
      <c r="D12003" s="51">
        <v>13</v>
      </c>
      <c r="E12003" s="51">
        <f t="shared" si="187"/>
        <v>1</v>
      </c>
    </row>
    <row r="12004" spans="1:5">
      <c r="A12004" s="59">
        <v>27</v>
      </c>
      <c r="B12004" s="59">
        <v>81</v>
      </c>
      <c r="C12004" s="59">
        <v>520</v>
      </c>
      <c r="D12004" s="51">
        <v>13</v>
      </c>
      <c r="E12004" s="51">
        <f t="shared" si="187"/>
        <v>1</v>
      </c>
    </row>
    <row r="12005" spans="1:5">
      <c r="A12005" s="59">
        <v>27</v>
      </c>
      <c r="B12005" s="59">
        <v>14</v>
      </c>
      <c r="C12005" s="59">
        <v>920</v>
      </c>
      <c r="D12005" s="51">
        <v>12</v>
      </c>
      <c r="E12005" s="51">
        <f t="shared" si="187"/>
        <v>1</v>
      </c>
    </row>
    <row r="12006" spans="1:5">
      <c r="A12006" s="59">
        <v>27</v>
      </c>
      <c r="B12006" s="59">
        <v>64</v>
      </c>
      <c r="C12006" s="59">
        <v>630</v>
      </c>
      <c r="D12006" s="51">
        <v>12</v>
      </c>
      <c r="E12006" s="51">
        <f t="shared" si="187"/>
        <v>1</v>
      </c>
    </row>
    <row r="12007" spans="1:5">
      <c r="A12007" s="59">
        <v>27</v>
      </c>
      <c r="B12007" s="59">
        <v>71</v>
      </c>
      <c r="C12007" s="59">
        <v>740</v>
      </c>
      <c r="D12007" s="51">
        <v>12</v>
      </c>
      <c r="E12007" s="51">
        <f t="shared" si="187"/>
        <v>1</v>
      </c>
    </row>
    <row r="12008" spans="1:5">
      <c r="A12008" s="59">
        <v>27</v>
      </c>
      <c r="B12008" s="59">
        <v>13</v>
      </c>
      <c r="C12008" s="59">
        <v>230</v>
      </c>
      <c r="D12008" s="51">
        <v>11</v>
      </c>
      <c r="E12008" s="51">
        <f t="shared" si="187"/>
        <v>1</v>
      </c>
    </row>
    <row r="12009" spans="1:5">
      <c r="A12009" s="59">
        <v>27</v>
      </c>
      <c r="B12009" s="59">
        <v>14</v>
      </c>
      <c r="C12009" s="59">
        <v>420</v>
      </c>
      <c r="D12009" s="51">
        <v>11</v>
      </c>
      <c r="E12009" s="51">
        <f t="shared" si="187"/>
        <v>1</v>
      </c>
    </row>
    <row r="12010" spans="1:5">
      <c r="A12010" s="59">
        <v>27</v>
      </c>
      <c r="B12010" s="59">
        <v>14</v>
      </c>
      <c r="C12010" s="59">
        <v>990</v>
      </c>
      <c r="D12010" s="51">
        <v>11</v>
      </c>
      <c r="E12010" s="51">
        <f t="shared" si="187"/>
        <v>1</v>
      </c>
    </row>
    <row r="12011" spans="1:5">
      <c r="A12011" s="59">
        <v>27</v>
      </c>
      <c r="B12011" s="59">
        <v>16</v>
      </c>
      <c r="C12011" s="59">
        <v>420</v>
      </c>
      <c r="D12011" s="51">
        <v>11</v>
      </c>
      <c r="E12011" s="51">
        <f t="shared" si="187"/>
        <v>1</v>
      </c>
    </row>
    <row r="12012" spans="1:5">
      <c r="A12012" s="59">
        <v>27</v>
      </c>
      <c r="B12012" s="59">
        <v>22</v>
      </c>
      <c r="C12012" s="59">
        <v>210</v>
      </c>
      <c r="D12012" s="51">
        <v>11</v>
      </c>
      <c r="E12012" s="51">
        <f t="shared" si="187"/>
        <v>1</v>
      </c>
    </row>
    <row r="12013" spans="1:5">
      <c r="A12013" s="59">
        <v>27</v>
      </c>
      <c r="B12013" s="59">
        <v>32</v>
      </c>
      <c r="C12013" s="59">
        <v>160</v>
      </c>
      <c r="D12013" s="51">
        <v>11</v>
      </c>
      <c r="E12013" s="51">
        <f t="shared" si="187"/>
        <v>1</v>
      </c>
    </row>
    <row r="12014" spans="1:5">
      <c r="A12014" s="59">
        <v>27</v>
      </c>
      <c r="B12014" s="59">
        <v>32</v>
      </c>
      <c r="C12014" s="59">
        <v>920</v>
      </c>
      <c r="D12014" s="51">
        <v>11</v>
      </c>
      <c r="E12014" s="51">
        <f t="shared" si="187"/>
        <v>1</v>
      </c>
    </row>
    <row r="12015" spans="1:5">
      <c r="A12015" s="59">
        <v>27</v>
      </c>
      <c r="B12015" s="59">
        <v>33</v>
      </c>
      <c r="C12015" s="59">
        <v>970</v>
      </c>
      <c r="D12015" s="51">
        <v>11</v>
      </c>
      <c r="E12015" s="51">
        <f t="shared" si="187"/>
        <v>1</v>
      </c>
    </row>
    <row r="12016" spans="1:5">
      <c r="A12016" s="59">
        <v>27</v>
      </c>
      <c r="B12016" s="59">
        <v>43</v>
      </c>
      <c r="C12016" s="59">
        <v>330</v>
      </c>
      <c r="D12016" s="51">
        <v>11</v>
      </c>
      <c r="E12016" s="51">
        <f t="shared" si="187"/>
        <v>1</v>
      </c>
    </row>
    <row r="12017" spans="1:5">
      <c r="A12017" s="59">
        <v>27</v>
      </c>
      <c r="B12017" s="59">
        <v>43</v>
      </c>
      <c r="C12017" s="59">
        <v>540</v>
      </c>
      <c r="D12017" s="51">
        <v>11</v>
      </c>
      <c r="E12017" s="51">
        <f t="shared" si="187"/>
        <v>1</v>
      </c>
    </row>
    <row r="12018" spans="1:5">
      <c r="A12018" s="59">
        <v>27</v>
      </c>
      <c r="B12018" s="59">
        <v>61</v>
      </c>
      <c r="C12018" s="59">
        <v>510</v>
      </c>
      <c r="D12018" s="51">
        <v>11</v>
      </c>
      <c r="E12018" s="51">
        <f t="shared" si="187"/>
        <v>1</v>
      </c>
    </row>
    <row r="12019" spans="1:5">
      <c r="A12019" s="59">
        <v>27</v>
      </c>
      <c r="B12019" s="59">
        <v>13</v>
      </c>
      <c r="C12019" s="59">
        <v>210</v>
      </c>
      <c r="D12019" s="51">
        <v>10</v>
      </c>
      <c r="E12019" s="51">
        <f t="shared" si="187"/>
        <v>1</v>
      </c>
    </row>
    <row r="12020" spans="1:5">
      <c r="A12020" s="59">
        <v>27</v>
      </c>
      <c r="B12020" s="59">
        <v>14</v>
      </c>
      <c r="C12020" s="59">
        <v>310</v>
      </c>
      <c r="D12020" s="51">
        <v>10</v>
      </c>
      <c r="E12020" s="51">
        <f t="shared" si="187"/>
        <v>1</v>
      </c>
    </row>
    <row r="12021" spans="1:5">
      <c r="A12021" s="59">
        <v>27</v>
      </c>
      <c r="B12021" s="59">
        <v>14</v>
      </c>
      <c r="C12021" s="59">
        <v>430</v>
      </c>
      <c r="D12021" s="51">
        <v>10</v>
      </c>
      <c r="E12021" s="51">
        <f t="shared" si="187"/>
        <v>1</v>
      </c>
    </row>
    <row r="12022" spans="1:5">
      <c r="A12022" s="59">
        <v>27</v>
      </c>
      <c r="B12022" s="59">
        <v>15</v>
      </c>
      <c r="C12022" s="59">
        <v>160</v>
      </c>
      <c r="D12022" s="51">
        <v>10</v>
      </c>
      <c r="E12022" s="51">
        <f t="shared" si="187"/>
        <v>1</v>
      </c>
    </row>
    <row r="12023" spans="1:5">
      <c r="A12023" s="59">
        <v>27</v>
      </c>
      <c r="B12023" s="59">
        <v>16</v>
      </c>
      <c r="C12023" s="59">
        <v>110</v>
      </c>
      <c r="D12023" s="51">
        <v>10</v>
      </c>
      <c r="E12023" s="51">
        <f t="shared" si="187"/>
        <v>1</v>
      </c>
    </row>
    <row r="12024" spans="1:5">
      <c r="A12024" s="59">
        <v>27</v>
      </c>
      <c r="B12024" s="59">
        <v>43</v>
      </c>
      <c r="C12024" s="59">
        <v>220</v>
      </c>
      <c r="D12024" s="51">
        <v>10</v>
      </c>
      <c r="E12024" s="51">
        <f t="shared" si="187"/>
        <v>1</v>
      </c>
    </row>
    <row r="12025" spans="1:5">
      <c r="A12025" s="59">
        <v>27</v>
      </c>
      <c r="B12025" s="59">
        <v>44</v>
      </c>
      <c r="C12025" s="59">
        <v>892</v>
      </c>
      <c r="D12025" s="51">
        <v>10</v>
      </c>
      <c r="E12025" s="51">
        <f t="shared" si="187"/>
        <v>1</v>
      </c>
    </row>
    <row r="12026" spans="1:5">
      <c r="A12026" s="59">
        <v>27</v>
      </c>
      <c r="B12026" s="59">
        <v>62</v>
      </c>
      <c r="C12026" s="59">
        <v>440</v>
      </c>
      <c r="D12026" s="51">
        <v>10</v>
      </c>
      <c r="E12026" s="51">
        <f t="shared" si="187"/>
        <v>1</v>
      </c>
    </row>
    <row r="12027" spans="1:5">
      <c r="A12027" s="59">
        <v>27</v>
      </c>
      <c r="B12027" s="59">
        <v>71</v>
      </c>
      <c r="C12027" s="59">
        <v>150</v>
      </c>
      <c r="D12027" s="51">
        <v>10</v>
      </c>
      <c r="E12027" s="51">
        <f t="shared" si="187"/>
        <v>1</v>
      </c>
    </row>
    <row r="12028" spans="1:5">
      <c r="A12028" s="59">
        <v>27</v>
      </c>
      <c r="B12028" s="59">
        <v>81</v>
      </c>
      <c r="C12028" s="59">
        <v>160</v>
      </c>
      <c r="D12028" s="51">
        <v>10</v>
      </c>
      <c r="E12028" s="51">
        <f t="shared" si="187"/>
        <v>1</v>
      </c>
    </row>
    <row r="12029" spans="1:5">
      <c r="A12029" s="59">
        <v>27</v>
      </c>
      <c r="B12029" s="59">
        <v>13</v>
      </c>
      <c r="C12029" s="59">
        <v>410</v>
      </c>
      <c r="D12029" s="51">
        <v>9</v>
      </c>
      <c r="E12029" s="51">
        <f t="shared" si="187"/>
        <v>1</v>
      </c>
    </row>
    <row r="12030" spans="1:5">
      <c r="A12030" s="59">
        <v>27</v>
      </c>
      <c r="B12030" s="59">
        <v>14</v>
      </c>
      <c r="C12030" s="59">
        <v>410</v>
      </c>
      <c r="D12030" s="51">
        <v>9</v>
      </c>
      <c r="E12030" s="51">
        <f t="shared" si="187"/>
        <v>1</v>
      </c>
    </row>
    <row r="12031" spans="1:5">
      <c r="A12031" s="59">
        <v>27</v>
      </c>
      <c r="B12031" s="59">
        <v>16</v>
      </c>
      <c r="C12031" s="59">
        <v>160</v>
      </c>
      <c r="D12031" s="51">
        <v>9</v>
      </c>
      <c r="E12031" s="51">
        <f t="shared" si="187"/>
        <v>1</v>
      </c>
    </row>
    <row r="12032" spans="1:5">
      <c r="A12032" s="59">
        <v>27</v>
      </c>
      <c r="B12032" s="59">
        <v>16</v>
      </c>
      <c r="C12032" s="59">
        <v>410</v>
      </c>
      <c r="D12032" s="51">
        <v>9</v>
      </c>
      <c r="E12032" s="51">
        <f t="shared" si="187"/>
        <v>1</v>
      </c>
    </row>
    <row r="12033" spans="1:5">
      <c r="A12033" s="59">
        <v>27</v>
      </c>
      <c r="B12033" s="59">
        <v>22</v>
      </c>
      <c r="C12033" s="59">
        <v>110</v>
      </c>
      <c r="D12033" s="51">
        <v>9</v>
      </c>
      <c r="E12033" s="51">
        <f t="shared" si="187"/>
        <v>1</v>
      </c>
    </row>
    <row r="12034" spans="1:5">
      <c r="A12034" s="59">
        <v>27</v>
      </c>
      <c r="B12034" s="59">
        <v>22</v>
      </c>
      <c r="C12034" s="59">
        <v>160</v>
      </c>
      <c r="D12034" s="51">
        <v>9</v>
      </c>
      <c r="E12034" s="51">
        <f t="shared" ref="E12034:E12097" si="188">IF(OR(A12034=6,A12034=7,A12034=14,A12034=15,A12034=16,A12034=17,A12034=18,A12034=19,A12034=20,A12034=21,A12034=22,A12034=23,A12034=25,A12034=26,A12034=27,A12034=28,B12034=41,B12034=44,B12034=62),1,0)</f>
        <v>1</v>
      </c>
    </row>
    <row r="12035" spans="1:5">
      <c r="A12035" s="59">
        <v>27</v>
      </c>
      <c r="B12035" s="59">
        <v>32</v>
      </c>
      <c r="C12035" s="59">
        <v>990</v>
      </c>
      <c r="D12035" s="51">
        <v>9</v>
      </c>
      <c r="E12035" s="51">
        <f t="shared" si="188"/>
        <v>1</v>
      </c>
    </row>
    <row r="12036" spans="1:5">
      <c r="A12036" s="59">
        <v>27</v>
      </c>
      <c r="B12036" s="59">
        <v>33</v>
      </c>
      <c r="C12036" s="59">
        <v>750</v>
      </c>
      <c r="D12036" s="51">
        <v>9</v>
      </c>
      <c r="E12036" s="51">
        <f t="shared" si="188"/>
        <v>1</v>
      </c>
    </row>
    <row r="12037" spans="1:5">
      <c r="A12037" s="59">
        <v>27</v>
      </c>
      <c r="B12037" s="59">
        <v>41</v>
      </c>
      <c r="C12037" s="59">
        <v>160</v>
      </c>
      <c r="D12037" s="51">
        <v>9</v>
      </c>
      <c r="E12037" s="51">
        <f t="shared" si="188"/>
        <v>1</v>
      </c>
    </row>
    <row r="12038" spans="1:5">
      <c r="A12038" s="59">
        <v>27</v>
      </c>
      <c r="B12038" s="59">
        <v>43</v>
      </c>
      <c r="C12038" s="59">
        <v>740</v>
      </c>
      <c r="D12038" s="51">
        <v>9</v>
      </c>
      <c r="E12038" s="51">
        <f t="shared" si="188"/>
        <v>1</v>
      </c>
    </row>
    <row r="12039" spans="1:5">
      <c r="A12039" s="59">
        <v>27</v>
      </c>
      <c r="B12039" s="59">
        <v>44</v>
      </c>
      <c r="C12039" s="59">
        <v>740</v>
      </c>
      <c r="D12039" s="51">
        <v>9</v>
      </c>
      <c r="E12039" s="51">
        <f t="shared" si="188"/>
        <v>1</v>
      </c>
    </row>
    <row r="12040" spans="1:5">
      <c r="A12040" s="59">
        <v>27</v>
      </c>
      <c r="B12040" s="59">
        <v>62</v>
      </c>
      <c r="C12040" s="59">
        <v>550</v>
      </c>
      <c r="D12040" s="51">
        <v>9</v>
      </c>
      <c r="E12040" s="51">
        <f t="shared" si="188"/>
        <v>1</v>
      </c>
    </row>
    <row r="12041" spans="1:5">
      <c r="A12041" s="59">
        <v>27</v>
      </c>
      <c r="B12041" s="59">
        <v>71</v>
      </c>
      <c r="C12041" s="59">
        <v>630</v>
      </c>
      <c r="D12041" s="51">
        <v>9</v>
      </c>
      <c r="E12041" s="51">
        <f t="shared" si="188"/>
        <v>1</v>
      </c>
    </row>
    <row r="12042" spans="1:5">
      <c r="A12042" s="59">
        <v>27</v>
      </c>
      <c r="B12042" s="59">
        <v>14</v>
      </c>
      <c r="C12042" s="59">
        <v>230</v>
      </c>
      <c r="D12042" s="51">
        <v>8</v>
      </c>
      <c r="E12042" s="51">
        <f t="shared" si="188"/>
        <v>1</v>
      </c>
    </row>
    <row r="12043" spans="1:5">
      <c r="A12043" s="59">
        <v>27</v>
      </c>
      <c r="B12043" s="59">
        <v>15</v>
      </c>
      <c r="C12043" s="59">
        <v>750</v>
      </c>
      <c r="D12043" s="51">
        <v>8</v>
      </c>
      <c r="E12043" s="51">
        <f t="shared" si="188"/>
        <v>1</v>
      </c>
    </row>
    <row r="12044" spans="1:5">
      <c r="A12044" s="59">
        <v>27</v>
      </c>
      <c r="B12044" s="59">
        <v>32</v>
      </c>
      <c r="C12044" s="59">
        <v>110</v>
      </c>
      <c r="D12044" s="51">
        <v>8</v>
      </c>
      <c r="E12044" s="51">
        <f t="shared" si="188"/>
        <v>1</v>
      </c>
    </row>
    <row r="12045" spans="1:5">
      <c r="A12045" s="59">
        <v>27</v>
      </c>
      <c r="B12045" s="59">
        <v>41</v>
      </c>
      <c r="C12045" s="59">
        <v>920</v>
      </c>
      <c r="D12045" s="51">
        <v>8</v>
      </c>
      <c r="E12045" s="51">
        <f t="shared" si="188"/>
        <v>1</v>
      </c>
    </row>
    <row r="12046" spans="1:5">
      <c r="A12046" s="59">
        <v>27</v>
      </c>
      <c r="B12046" s="59">
        <v>42</v>
      </c>
      <c r="C12046" s="59">
        <v>990</v>
      </c>
      <c r="D12046" s="51">
        <v>8</v>
      </c>
      <c r="E12046" s="51">
        <f t="shared" si="188"/>
        <v>1</v>
      </c>
    </row>
    <row r="12047" spans="1:5">
      <c r="A12047" s="59">
        <v>27</v>
      </c>
      <c r="B12047" s="59">
        <v>44</v>
      </c>
      <c r="C12047" s="59">
        <v>840</v>
      </c>
      <c r="D12047" s="51">
        <v>8</v>
      </c>
      <c r="E12047" s="51">
        <f t="shared" si="188"/>
        <v>1</v>
      </c>
    </row>
    <row r="12048" spans="1:5">
      <c r="A12048" s="59">
        <v>27</v>
      </c>
      <c r="B12048" s="59">
        <v>44</v>
      </c>
      <c r="C12048" s="59">
        <v>940</v>
      </c>
      <c r="D12048" s="51">
        <v>8</v>
      </c>
      <c r="E12048" s="51">
        <f t="shared" si="188"/>
        <v>1</v>
      </c>
    </row>
    <row r="12049" spans="1:5">
      <c r="A12049" s="59">
        <v>27</v>
      </c>
      <c r="B12049" s="59">
        <v>71</v>
      </c>
      <c r="C12049" s="59">
        <v>540</v>
      </c>
      <c r="D12049" s="51">
        <v>8</v>
      </c>
      <c r="E12049" s="51">
        <f t="shared" si="188"/>
        <v>1</v>
      </c>
    </row>
    <row r="12050" spans="1:5">
      <c r="A12050" s="59">
        <v>27</v>
      </c>
      <c r="B12050" s="59">
        <v>71</v>
      </c>
      <c r="C12050" s="59">
        <v>640</v>
      </c>
      <c r="D12050" s="51">
        <v>8</v>
      </c>
      <c r="E12050" s="51">
        <f t="shared" si="188"/>
        <v>1</v>
      </c>
    </row>
    <row r="12051" spans="1:5">
      <c r="A12051" s="59">
        <v>27</v>
      </c>
      <c r="B12051" s="59">
        <v>11</v>
      </c>
      <c r="C12051" s="59">
        <v>720</v>
      </c>
      <c r="D12051" s="51">
        <v>7</v>
      </c>
      <c r="E12051" s="51">
        <f t="shared" si="188"/>
        <v>1</v>
      </c>
    </row>
    <row r="12052" spans="1:5">
      <c r="A12052" s="59">
        <v>27</v>
      </c>
      <c r="B12052" s="59">
        <v>13</v>
      </c>
      <c r="C12052" s="59">
        <v>240</v>
      </c>
      <c r="D12052" s="51">
        <v>7</v>
      </c>
      <c r="E12052" s="51">
        <f t="shared" si="188"/>
        <v>1</v>
      </c>
    </row>
    <row r="12053" spans="1:5">
      <c r="A12053" s="59">
        <v>27</v>
      </c>
      <c r="B12053" s="59">
        <v>13</v>
      </c>
      <c r="C12053" s="59">
        <v>920</v>
      </c>
      <c r="D12053" s="51">
        <v>7</v>
      </c>
      <c r="E12053" s="51">
        <f t="shared" si="188"/>
        <v>1</v>
      </c>
    </row>
    <row r="12054" spans="1:5">
      <c r="A12054" s="59">
        <v>27</v>
      </c>
      <c r="B12054" s="59">
        <v>14</v>
      </c>
      <c r="C12054" s="59">
        <v>130</v>
      </c>
      <c r="D12054" s="51">
        <v>7</v>
      </c>
      <c r="E12054" s="51">
        <f t="shared" si="188"/>
        <v>1</v>
      </c>
    </row>
    <row r="12055" spans="1:5">
      <c r="A12055" s="59">
        <v>27</v>
      </c>
      <c r="B12055" s="59">
        <v>16</v>
      </c>
      <c r="C12055" s="59">
        <v>430</v>
      </c>
      <c r="D12055" s="51">
        <v>7</v>
      </c>
      <c r="E12055" s="51">
        <f t="shared" si="188"/>
        <v>1</v>
      </c>
    </row>
    <row r="12056" spans="1:5">
      <c r="A12056" s="59">
        <v>27</v>
      </c>
      <c r="B12056" s="59">
        <v>16</v>
      </c>
      <c r="C12056" s="59">
        <v>730</v>
      </c>
      <c r="D12056" s="51">
        <v>7</v>
      </c>
      <c r="E12056" s="51">
        <f t="shared" si="188"/>
        <v>1</v>
      </c>
    </row>
    <row r="12057" spans="1:5">
      <c r="A12057" s="59">
        <v>27</v>
      </c>
      <c r="B12057" s="59">
        <v>44</v>
      </c>
      <c r="C12057" s="59">
        <v>150</v>
      </c>
      <c r="D12057" s="51">
        <v>7</v>
      </c>
      <c r="E12057" s="51">
        <f t="shared" si="188"/>
        <v>1</v>
      </c>
    </row>
    <row r="12058" spans="1:5">
      <c r="A12058" s="59">
        <v>27</v>
      </c>
      <c r="B12058" s="59">
        <v>44</v>
      </c>
      <c r="C12058" s="59">
        <v>160</v>
      </c>
      <c r="D12058" s="51">
        <v>7</v>
      </c>
      <c r="E12058" s="51">
        <f t="shared" si="188"/>
        <v>1</v>
      </c>
    </row>
    <row r="12059" spans="1:5">
      <c r="A12059" s="59">
        <v>27</v>
      </c>
      <c r="B12059" s="59">
        <v>71</v>
      </c>
      <c r="C12059" s="59">
        <v>220</v>
      </c>
      <c r="D12059" s="51">
        <v>7</v>
      </c>
      <c r="E12059" s="51">
        <f t="shared" si="188"/>
        <v>1</v>
      </c>
    </row>
    <row r="12060" spans="1:5">
      <c r="A12060" s="59">
        <v>27</v>
      </c>
      <c r="B12060" s="59">
        <v>11</v>
      </c>
      <c r="C12060" s="59">
        <v>510</v>
      </c>
      <c r="D12060" s="51">
        <v>6</v>
      </c>
      <c r="E12060" s="51">
        <f t="shared" si="188"/>
        <v>1</v>
      </c>
    </row>
    <row r="12061" spans="1:5">
      <c r="A12061" s="59">
        <v>27</v>
      </c>
      <c r="B12061" s="59">
        <v>11</v>
      </c>
      <c r="C12061" s="59">
        <v>730</v>
      </c>
      <c r="D12061" s="51">
        <v>6</v>
      </c>
      <c r="E12061" s="51">
        <f t="shared" si="188"/>
        <v>1</v>
      </c>
    </row>
    <row r="12062" spans="1:5">
      <c r="A12062" s="59">
        <v>27</v>
      </c>
      <c r="B12062" s="59">
        <v>12</v>
      </c>
      <c r="C12062" s="59">
        <v>150</v>
      </c>
      <c r="D12062" s="51">
        <v>6</v>
      </c>
      <c r="E12062" s="51">
        <f t="shared" si="188"/>
        <v>1</v>
      </c>
    </row>
    <row r="12063" spans="1:5">
      <c r="A12063" s="59">
        <v>27</v>
      </c>
      <c r="B12063" s="59">
        <v>13</v>
      </c>
      <c r="C12063" s="59">
        <v>130</v>
      </c>
      <c r="D12063" s="51">
        <v>6</v>
      </c>
      <c r="E12063" s="51">
        <f t="shared" si="188"/>
        <v>1</v>
      </c>
    </row>
    <row r="12064" spans="1:5">
      <c r="A12064" s="59">
        <v>27</v>
      </c>
      <c r="B12064" s="59">
        <v>13</v>
      </c>
      <c r="C12064" s="59">
        <v>310</v>
      </c>
      <c r="D12064" s="51">
        <v>6</v>
      </c>
      <c r="E12064" s="51">
        <f t="shared" si="188"/>
        <v>1</v>
      </c>
    </row>
    <row r="12065" spans="1:5">
      <c r="A12065" s="59">
        <v>27</v>
      </c>
      <c r="B12065" s="59">
        <v>13</v>
      </c>
      <c r="C12065" s="59">
        <v>320</v>
      </c>
      <c r="D12065" s="51">
        <v>6</v>
      </c>
      <c r="E12065" s="51">
        <f t="shared" si="188"/>
        <v>1</v>
      </c>
    </row>
    <row r="12066" spans="1:5">
      <c r="A12066" s="59">
        <v>27</v>
      </c>
      <c r="B12066" s="59">
        <v>13</v>
      </c>
      <c r="C12066" s="59">
        <v>420</v>
      </c>
      <c r="D12066" s="51">
        <v>6</v>
      </c>
      <c r="E12066" s="51">
        <f t="shared" si="188"/>
        <v>1</v>
      </c>
    </row>
    <row r="12067" spans="1:5">
      <c r="A12067" s="59">
        <v>27</v>
      </c>
      <c r="B12067" s="59">
        <v>15</v>
      </c>
      <c r="C12067" s="59">
        <v>730</v>
      </c>
      <c r="D12067" s="51">
        <v>6</v>
      </c>
      <c r="E12067" s="51">
        <f t="shared" si="188"/>
        <v>1</v>
      </c>
    </row>
    <row r="12068" spans="1:5">
      <c r="A12068" s="59">
        <v>27</v>
      </c>
      <c r="B12068" s="59">
        <v>16</v>
      </c>
      <c r="C12068" s="59">
        <v>840</v>
      </c>
      <c r="D12068" s="51">
        <v>6</v>
      </c>
      <c r="E12068" s="51">
        <f t="shared" si="188"/>
        <v>1</v>
      </c>
    </row>
    <row r="12069" spans="1:5">
      <c r="A12069" s="59">
        <v>27</v>
      </c>
      <c r="B12069" s="59">
        <v>32</v>
      </c>
      <c r="C12069" s="59">
        <v>610</v>
      </c>
      <c r="D12069" s="51">
        <v>6</v>
      </c>
      <c r="E12069" s="51">
        <f t="shared" si="188"/>
        <v>1</v>
      </c>
    </row>
    <row r="12070" spans="1:5">
      <c r="A12070" s="59">
        <v>27</v>
      </c>
      <c r="B12070" s="59">
        <v>43</v>
      </c>
      <c r="C12070" s="59">
        <v>320</v>
      </c>
      <c r="D12070" s="51">
        <v>6</v>
      </c>
      <c r="E12070" s="51">
        <f t="shared" si="188"/>
        <v>1</v>
      </c>
    </row>
    <row r="12071" spans="1:5">
      <c r="A12071" s="59">
        <v>27</v>
      </c>
      <c r="B12071" s="59">
        <v>44</v>
      </c>
      <c r="C12071" s="59">
        <v>430</v>
      </c>
      <c r="D12071" s="51">
        <v>6</v>
      </c>
      <c r="E12071" s="51">
        <f t="shared" si="188"/>
        <v>1</v>
      </c>
    </row>
    <row r="12072" spans="1:5">
      <c r="A12072" s="59">
        <v>27</v>
      </c>
      <c r="B12072" s="59">
        <v>44</v>
      </c>
      <c r="C12072" s="59">
        <v>710</v>
      </c>
      <c r="D12072" s="51">
        <v>6</v>
      </c>
      <c r="E12072" s="51">
        <f t="shared" si="188"/>
        <v>1</v>
      </c>
    </row>
    <row r="12073" spans="1:5">
      <c r="A12073" s="59">
        <v>27</v>
      </c>
      <c r="B12073" s="59">
        <v>44</v>
      </c>
      <c r="C12073" s="59">
        <v>899</v>
      </c>
      <c r="D12073" s="51">
        <v>6</v>
      </c>
      <c r="E12073" s="51">
        <f t="shared" si="188"/>
        <v>1</v>
      </c>
    </row>
    <row r="12074" spans="1:5">
      <c r="A12074" s="59">
        <v>27</v>
      </c>
      <c r="B12074" s="59">
        <v>61</v>
      </c>
      <c r="C12074" s="59">
        <v>720</v>
      </c>
      <c r="D12074" s="51">
        <v>6</v>
      </c>
      <c r="E12074" s="51">
        <f t="shared" si="188"/>
        <v>1</v>
      </c>
    </row>
    <row r="12075" spans="1:5">
      <c r="A12075" s="59">
        <v>27</v>
      </c>
      <c r="B12075" s="59">
        <v>62</v>
      </c>
      <c r="C12075" s="59">
        <v>950</v>
      </c>
      <c r="D12075" s="51">
        <v>6</v>
      </c>
      <c r="E12075" s="51">
        <f t="shared" si="188"/>
        <v>1</v>
      </c>
    </row>
    <row r="12076" spans="1:5">
      <c r="A12076" s="59">
        <v>27</v>
      </c>
      <c r="B12076" s="59">
        <v>64</v>
      </c>
      <c r="C12076" s="59">
        <v>891</v>
      </c>
      <c r="D12076" s="51">
        <v>6</v>
      </c>
      <c r="E12076" s="51">
        <f t="shared" si="188"/>
        <v>1</v>
      </c>
    </row>
    <row r="12077" spans="1:5">
      <c r="A12077" s="59">
        <v>27</v>
      </c>
      <c r="B12077" s="59">
        <v>12</v>
      </c>
      <c r="C12077" s="59">
        <v>510</v>
      </c>
      <c r="D12077" s="51">
        <v>5</v>
      </c>
      <c r="E12077" s="51">
        <f t="shared" si="188"/>
        <v>1</v>
      </c>
    </row>
    <row r="12078" spans="1:5">
      <c r="A12078" s="59">
        <v>27</v>
      </c>
      <c r="B12078" s="59">
        <v>16</v>
      </c>
      <c r="C12078" s="59">
        <v>310</v>
      </c>
      <c r="D12078" s="51">
        <v>5</v>
      </c>
      <c r="E12078" s="51">
        <f t="shared" si="188"/>
        <v>1</v>
      </c>
    </row>
    <row r="12079" spans="1:5">
      <c r="A12079" s="59">
        <v>27</v>
      </c>
      <c r="B12079" s="59">
        <v>22</v>
      </c>
      <c r="C12079" s="59">
        <v>310</v>
      </c>
      <c r="D12079" s="51">
        <v>5</v>
      </c>
      <c r="E12079" s="51">
        <f t="shared" si="188"/>
        <v>1</v>
      </c>
    </row>
    <row r="12080" spans="1:5">
      <c r="A12080" s="59">
        <v>27</v>
      </c>
      <c r="B12080" s="59">
        <v>22</v>
      </c>
      <c r="C12080" s="59">
        <v>320</v>
      </c>
      <c r="D12080" s="51">
        <v>5</v>
      </c>
      <c r="E12080" s="51">
        <f t="shared" si="188"/>
        <v>1</v>
      </c>
    </row>
    <row r="12081" spans="1:5">
      <c r="A12081" s="59">
        <v>27</v>
      </c>
      <c r="B12081" s="59">
        <v>42</v>
      </c>
      <c r="C12081" s="59">
        <v>110</v>
      </c>
      <c r="D12081" s="51">
        <v>5</v>
      </c>
      <c r="E12081" s="51">
        <f t="shared" si="188"/>
        <v>1</v>
      </c>
    </row>
    <row r="12082" spans="1:5">
      <c r="A12082" s="59">
        <v>27</v>
      </c>
      <c r="B12082" s="59">
        <v>43</v>
      </c>
      <c r="C12082" s="59">
        <v>120</v>
      </c>
      <c r="D12082" s="51">
        <v>5</v>
      </c>
      <c r="E12082" s="51">
        <f t="shared" si="188"/>
        <v>1</v>
      </c>
    </row>
    <row r="12083" spans="1:5">
      <c r="A12083" s="59">
        <v>27</v>
      </c>
      <c r="B12083" s="59">
        <v>43</v>
      </c>
      <c r="C12083" s="59">
        <v>840</v>
      </c>
      <c r="D12083" s="51">
        <v>5</v>
      </c>
      <c r="E12083" s="51">
        <f t="shared" si="188"/>
        <v>1</v>
      </c>
    </row>
    <row r="12084" spans="1:5">
      <c r="A12084" s="59">
        <v>27</v>
      </c>
      <c r="B12084" s="59">
        <v>44</v>
      </c>
      <c r="C12084" s="59">
        <v>110</v>
      </c>
      <c r="D12084" s="51">
        <v>5</v>
      </c>
      <c r="E12084" s="51">
        <f t="shared" si="188"/>
        <v>1</v>
      </c>
    </row>
    <row r="12085" spans="1:5">
      <c r="A12085" s="59">
        <v>27</v>
      </c>
      <c r="B12085" s="59">
        <v>61</v>
      </c>
      <c r="C12085" s="59">
        <v>620</v>
      </c>
      <c r="D12085" s="51">
        <v>5</v>
      </c>
      <c r="E12085" s="51">
        <f t="shared" si="188"/>
        <v>1</v>
      </c>
    </row>
    <row r="12086" spans="1:5">
      <c r="A12086" s="59">
        <v>27</v>
      </c>
      <c r="B12086" s="59">
        <v>64</v>
      </c>
      <c r="C12086" s="59">
        <v>240</v>
      </c>
      <c r="D12086" s="51">
        <v>5</v>
      </c>
      <c r="E12086" s="51">
        <f t="shared" si="188"/>
        <v>1</v>
      </c>
    </row>
    <row r="12087" spans="1:5">
      <c r="A12087" s="59">
        <v>27</v>
      </c>
      <c r="B12087" s="59">
        <v>64</v>
      </c>
      <c r="C12087" s="59">
        <v>640</v>
      </c>
      <c r="D12087" s="51">
        <v>5</v>
      </c>
      <c r="E12087" s="51">
        <f t="shared" si="188"/>
        <v>1</v>
      </c>
    </row>
    <row r="12088" spans="1:5">
      <c r="A12088" s="59">
        <v>27</v>
      </c>
      <c r="B12088" s="59">
        <v>64</v>
      </c>
      <c r="C12088" s="59">
        <v>899</v>
      </c>
      <c r="D12088" s="51">
        <v>5</v>
      </c>
      <c r="E12088" s="51">
        <f t="shared" si="188"/>
        <v>1</v>
      </c>
    </row>
    <row r="12089" spans="1:5">
      <c r="A12089" s="59">
        <v>27</v>
      </c>
      <c r="B12089" s="59">
        <v>71</v>
      </c>
      <c r="C12089" s="59">
        <v>440</v>
      </c>
      <c r="D12089" s="51">
        <v>5</v>
      </c>
      <c r="E12089" s="51">
        <f t="shared" si="188"/>
        <v>1</v>
      </c>
    </row>
    <row r="12090" spans="1:5">
      <c r="A12090" s="59">
        <v>27</v>
      </c>
      <c r="B12090" s="59">
        <v>71</v>
      </c>
      <c r="C12090" s="59">
        <v>930</v>
      </c>
      <c r="D12090" s="51">
        <v>5</v>
      </c>
      <c r="E12090" s="51">
        <f t="shared" si="188"/>
        <v>1</v>
      </c>
    </row>
    <row r="12091" spans="1:5">
      <c r="A12091" s="59">
        <v>27</v>
      </c>
      <c r="B12091" s="59">
        <v>11</v>
      </c>
      <c r="C12091" s="59">
        <v>110</v>
      </c>
      <c r="D12091" s="51">
        <v>4</v>
      </c>
      <c r="E12091" s="51">
        <f t="shared" si="188"/>
        <v>1</v>
      </c>
    </row>
    <row r="12092" spans="1:5">
      <c r="A12092" s="59">
        <v>27</v>
      </c>
      <c r="B12092" s="59">
        <v>12</v>
      </c>
      <c r="C12092" s="59">
        <v>910</v>
      </c>
      <c r="D12092" s="51">
        <v>4</v>
      </c>
      <c r="E12092" s="51">
        <f t="shared" si="188"/>
        <v>1</v>
      </c>
    </row>
    <row r="12093" spans="1:5">
      <c r="A12093" s="59">
        <v>27</v>
      </c>
      <c r="B12093" s="59">
        <v>13</v>
      </c>
      <c r="C12093" s="59">
        <v>710</v>
      </c>
      <c r="D12093" s="51">
        <v>4</v>
      </c>
      <c r="E12093" s="51">
        <f t="shared" si="188"/>
        <v>1</v>
      </c>
    </row>
    <row r="12094" spans="1:5">
      <c r="A12094" s="59">
        <v>27</v>
      </c>
      <c r="B12094" s="59">
        <v>14</v>
      </c>
      <c r="C12094" s="59">
        <v>120</v>
      </c>
      <c r="D12094" s="51">
        <v>4</v>
      </c>
      <c r="E12094" s="51">
        <f t="shared" si="188"/>
        <v>1</v>
      </c>
    </row>
    <row r="12095" spans="1:5">
      <c r="A12095" s="59">
        <v>27</v>
      </c>
      <c r="B12095" s="59">
        <v>14</v>
      </c>
      <c r="C12095" s="59">
        <v>240</v>
      </c>
      <c r="D12095" s="51">
        <v>4</v>
      </c>
      <c r="E12095" s="51">
        <f t="shared" si="188"/>
        <v>1</v>
      </c>
    </row>
    <row r="12096" spans="1:5">
      <c r="A12096" s="59">
        <v>27</v>
      </c>
      <c r="B12096" s="59">
        <v>16</v>
      </c>
      <c r="C12096" s="59">
        <v>210</v>
      </c>
      <c r="D12096" s="51">
        <v>4</v>
      </c>
      <c r="E12096" s="51">
        <f t="shared" si="188"/>
        <v>1</v>
      </c>
    </row>
    <row r="12097" spans="1:5">
      <c r="A12097" s="59">
        <v>27</v>
      </c>
      <c r="B12097" s="59">
        <v>16</v>
      </c>
      <c r="C12097" s="59">
        <v>320</v>
      </c>
      <c r="D12097" s="51">
        <v>4</v>
      </c>
      <c r="E12097" s="51">
        <f t="shared" si="188"/>
        <v>1</v>
      </c>
    </row>
    <row r="12098" spans="1:5">
      <c r="A12098" s="59">
        <v>27</v>
      </c>
      <c r="B12098" s="59">
        <v>16</v>
      </c>
      <c r="C12098" s="59">
        <v>520</v>
      </c>
      <c r="D12098" s="51">
        <v>4</v>
      </c>
      <c r="E12098" s="51">
        <f t="shared" ref="E12098:E12161" si="189">IF(OR(A12098=6,A12098=7,A12098=14,A12098=15,A12098=16,A12098=17,A12098=18,A12098=19,A12098=20,A12098=21,A12098=22,A12098=23,A12098=25,A12098=26,A12098=27,A12098=28,B12098=41,B12098=44,B12098=62),1,0)</f>
        <v>1</v>
      </c>
    </row>
    <row r="12099" spans="1:5">
      <c r="A12099" s="59">
        <v>27</v>
      </c>
      <c r="B12099" s="59">
        <v>16</v>
      </c>
      <c r="C12099" s="59">
        <v>620</v>
      </c>
      <c r="D12099" s="51">
        <v>4</v>
      </c>
      <c r="E12099" s="51">
        <f t="shared" si="189"/>
        <v>1</v>
      </c>
    </row>
    <row r="12100" spans="1:5">
      <c r="A12100" s="59">
        <v>27</v>
      </c>
      <c r="B12100" s="59">
        <v>16</v>
      </c>
      <c r="C12100" s="59">
        <v>720</v>
      </c>
      <c r="D12100" s="51">
        <v>4</v>
      </c>
      <c r="E12100" s="51">
        <f t="shared" si="189"/>
        <v>1</v>
      </c>
    </row>
    <row r="12101" spans="1:5">
      <c r="A12101" s="59">
        <v>27</v>
      </c>
      <c r="B12101" s="59">
        <v>22</v>
      </c>
      <c r="C12101" s="59">
        <v>240</v>
      </c>
      <c r="D12101" s="51">
        <v>4</v>
      </c>
      <c r="E12101" s="51">
        <f t="shared" si="189"/>
        <v>1</v>
      </c>
    </row>
    <row r="12102" spans="1:5">
      <c r="A12102" s="59">
        <v>27</v>
      </c>
      <c r="B12102" s="59">
        <v>22</v>
      </c>
      <c r="C12102" s="59">
        <v>330</v>
      </c>
      <c r="D12102" s="51">
        <v>4</v>
      </c>
      <c r="E12102" s="51">
        <f t="shared" si="189"/>
        <v>1</v>
      </c>
    </row>
    <row r="12103" spans="1:5">
      <c r="A12103" s="59">
        <v>27</v>
      </c>
      <c r="B12103" s="59">
        <v>22</v>
      </c>
      <c r="C12103" s="59">
        <v>750</v>
      </c>
      <c r="D12103" s="51">
        <v>4</v>
      </c>
      <c r="E12103" s="51">
        <f t="shared" si="189"/>
        <v>1</v>
      </c>
    </row>
    <row r="12104" spans="1:5">
      <c r="A12104" s="59">
        <v>27</v>
      </c>
      <c r="B12104" s="59">
        <v>24</v>
      </c>
      <c r="C12104" s="59">
        <v>750</v>
      </c>
      <c r="D12104" s="51">
        <v>4</v>
      </c>
      <c r="E12104" s="51">
        <f t="shared" si="189"/>
        <v>1</v>
      </c>
    </row>
    <row r="12105" spans="1:5">
      <c r="A12105" s="59">
        <v>27</v>
      </c>
      <c r="B12105" s="59">
        <v>33</v>
      </c>
      <c r="C12105" s="59">
        <v>610</v>
      </c>
      <c r="D12105" s="51">
        <v>4</v>
      </c>
      <c r="E12105" s="51">
        <f t="shared" si="189"/>
        <v>1</v>
      </c>
    </row>
    <row r="12106" spans="1:5">
      <c r="A12106" s="59">
        <v>27</v>
      </c>
      <c r="B12106" s="59">
        <v>33</v>
      </c>
      <c r="C12106" s="59">
        <v>720</v>
      </c>
      <c r="D12106" s="51">
        <v>4</v>
      </c>
      <c r="E12106" s="51">
        <f t="shared" si="189"/>
        <v>1</v>
      </c>
    </row>
    <row r="12107" spans="1:5">
      <c r="A12107" s="59">
        <v>27</v>
      </c>
      <c r="B12107" s="59">
        <v>43</v>
      </c>
      <c r="C12107" s="59">
        <v>140</v>
      </c>
      <c r="D12107" s="51">
        <v>4</v>
      </c>
      <c r="E12107" s="51">
        <f t="shared" si="189"/>
        <v>1</v>
      </c>
    </row>
    <row r="12108" spans="1:5">
      <c r="A12108" s="59">
        <v>27</v>
      </c>
      <c r="B12108" s="59">
        <v>43</v>
      </c>
      <c r="C12108" s="59">
        <v>640</v>
      </c>
      <c r="D12108" s="51">
        <v>4</v>
      </c>
      <c r="E12108" s="51">
        <f t="shared" si="189"/>
        <v>1</v>
      </c>
    </row>
    <row r="12109" spans="1:5">
      <c r="A12109" s="59">
        <v>27</v>
      </c>
      <c r="B12109" s="59">
        <v>61</v>
      </c>
      <c r="C12109" s="59">
        <v>750</v>
      </c>
      <c r="D12109" s="51">
        <v>4</v>
      </c>
      <c r="E12109" s="51">
        <f t="shared" si="189"/>
        <v>1</v>
      </c>
    </row>
    <row r="12110" spans="1:5">
      <c r="A12110" s="59">
        <v>27</v>
      </c>
      <c r="B12110" s="59">
        <v>62</v>
      </c>
      <c r="C12110" s="59">
        <v>630</v>
      </c>
      <c r="D12110" s="51">
        <v>4</v>
      </c>
      <c r="E12110" s="51">
        <f t="shared" si="189"/>
        <v>1</v>
      </c>
    </row>
    <row r="12111" spans="1:5">
      <c r="A12111" s="59">
        <v>27</v>
      </c>
      <c r="B12111" s="59">
        <v>63</v>
      </c>
      <c r="C12111" s="59">
        <v>630</v>
      </c>
      <c r="D12111" s="51">
        <v>4</v>
      </c>
      <c r="E12111" s="51">
        <f t="shared" si="189"/>
        <v>1</v>
      </c>
    </row>
    <row r="12112" spans="1:5">
      <c r="A12112" s="59">
        <v>27</v>
      </c>
      <c r="B12112" s="59">
        <v>64</v>
      </c>
      <c r="C12112" s="59">
        <v>140</v>
      </c>
      <c r="D12112" s="51">
        <v>4</v>
      </c>
      <c r="E12112" s="51">
        <f t="shared" si="189"/>
        <v>1</v>
      </c>
    </row>
    <row r="12113" spans="1:5">
      <c r="A12113" s="59">
        <v>27</v>
      </c>
      <c r="B12113" s="59">
        <v>64</v>
      </c>
      <c r="C12113" s="59">
        <v>220</v>
      </c>
      <c r="D12113" s="51">
        <v>4</v>
      </c>
      <c r="E12113" s="51">
        <f t="shared" si="189"/>
        <v>1</v>
      </c>
    </row>
    <row r="12114" spans="1:5">
      <c r="A12114" s="59">
        <v>27</v>
      </c>
      <c r="B12114" s="59">
        <v>71</v>
      </c>
      <c r="C12114" s="59">
        <v>410</v>
      </c>
      <c r="D12114" s="51">
        <v>4</v>
      </c>
      <c r="E12114" s="51">
        <f t="shared" si="189"/>
        <v>1</v>
      </c>
    </row>
    <row r="12115" spans="1:5">
      <c r="A12115" s="59">
        <v>27</v>
      </c>
      <c r="B12115" s="59">
        <v>81</v>
      </c>
      <c r="C12115" s="59">
        <v>960</v>
      </c>
      <c r="D12115" s="51">
        <v>4</v>
      </c>
      <c r="E12115" s="51">
        <f t="shared" si="189"/>
        <v>1</v>
      </c>
    </row>
    <row r="12116" spans="1:5">
      <c r="A12116" s="59">
        <v>27</v>
      </c>
      <c r="B12116" s="59">
        <v>11</v>
      </c>
      <c r="C12116" s="59">
        <v>150</v>
      </c>
      <c r="D12116" s="51">
        <v>3</v>
      </c>
      <c r="E12116" s="51">
        <f t="shared" si="189"/>
        <v>1</v>
      </c>
    </row>
    <row r="12117" spans="1:5">
      <c r="A12117" s="59">
        <v>27</v>
      </c>
      <c r="B12117" s="59">
        <v>13</v>
      </c>
      <c r="C12117" s="59">
        <v>330</v>
      </c>
      <c r="D12117" s="51">
        <v>3</v>
      </c>
      <c r="E12117" s="51">
        <f t="shared" si="189"/>
        <v>1</v>
      </c>
    </row>
    <row r="12118" spans="1:5">
      <c r="A12118" s="59">
        <v>27</v>
      </c>
      <c r="B12118" s="59">
        <v>14</v>
      </c>
      <c r="C12118" s="59">
        <v>710</v>
      </c>
      <c r="D12118" s="51">
        <v>3</v>
      </c>
      <c r="E12118" s="51">
        <f t="shared" si="189"/>
        <v>1</v>
      </c>
    </row>
    <row r="12119" spans="1:5">
      <c r="A12119" s="59">
        <v>27</v>
      </c>
      <c r="B12119" s="59">
        <v>15</v>
      </c>
      <c r="C12119" s="59">
        <v>310</v>
      </c>
      <c r="D12119" s="51">
        <v>3</v>
      </c>
      <c r="E12119" s="51">
        <f t="shared" si="189"/>
        <v>1</v>
      </c>
    </row>
    <row r="12120" spans="1:5">
      <c r="A12120" s="59">
        <v>27</v>
      </c>
      <c r="B12120" s="59">
        <v>15</v>
      </c>
      <c r="C12120" s="59">
        <v>930</v>
      </c>
      <c r="D12120" s="51">
        <v>3</v>
      </c>
      <c r="E12120" s="51">
        <f t="shared" si="189"/>
        <v>1</v>
      </c>
    </row>
    <row r="12121" spans="1:5">
      <c r="A12121" s="59">
        <v>27</v>
      </c>
      <c r="B12121" s="59">
        <v>16</v>
      </c>
      <c r="C12121" s="59">
        <v>230</v>
      </c>
      <c r="D12121" s="51">
        <v>3</v>
      </c>
      <c r="E12121" s="51">
        <f t="shared" si="189"/>
        <v>1</v>
      </c>
    </row>
    <row r="12122" spans="1:5">
      <c r="A12122" s="59">
        <v>27</v>
      </c>
      <c r="B12122" s="59">
        <v>16</v>
      </c>
      <c r="C12122" s="59">
        <v>240</v>
      </c>
      <c r="D12122" s="51">
        <v>3</v>
      </c>
      <c r="E12122" s="51">
        <f t="shared" si="189"/>
        <v>1</v>
      </c>
    </row>
    <row r="12123" spans="1:5">
      <c r="A12123" s="59">
        <v>27</v>
      </c>
      <c r="B12123" s="59">
        <v>21</v>
      </c>
      <c r="C12123" s="59">
        <v>420</v>
      </c>
      <c r="D12123" s="51">
        <v>3</v>
      </c>
      <c r="E12123" s="51">
        <f t="shared" si="189"/>
        <v>1</v>
      </c>
    </row>
    <row r="12124" spans="1:5">
      <c r="A12124" s="59">
        <v>27</v>
      </c>
      <c r="B12124" s="59">
        <v>22</v>
      </c>
      <c r="C12124" s="59">
        <v>840</v>
      </c>
      <c r="D12124" s="51">
        <v>3</v>
      </c>
      <c r="E12124" s="51">
        <f t="shared" si="189"/>
        <v>1</v>
      </c>
    </row>
    <row r="12125" spans="1:5">
      <c r="A12125" s="59">
        <v>27</v>
      </c>
      <c r="B12125" s="59">
        <v>23</v>
      </c>
      <c r="C12125" s="59">
        <v>210</v>
      </c>
      <c r="D12125" s="51">
        <v>3</v>
      </c>
      <c r="E12125" s="51">
        <f t="shared" si="189"/>
        <v>1</v>
      </c>
    </row>
    <row r="12126" spans="1:5">
      <c r="A12126" s="59">
        <v>27</v>
      </c>
      <c r="B12126" s="59">
        <v>33</v>
      </c>
      <c r="C12126" s="59">
        <v>150</v>
      </c>
      <c r="D12126" s="51">
        <v>3</v>
      </c>
      <c r="E12126" s="51">
        <f t="shared" si="189"/>
        <v>1</v>
      </c>
    </row>
    <row r="12127" spans="1:5">
      <c r="A12127" s="59">
        <v>27</v>
      </c>
      <c r="B12127" s="59">
        <v>33</v>
      </c>
      <c r="C12127" s="59">
        <v>520</v>
      </c>
      <c r="D12127" s="51">
        <v>3</v>
      </c>
      <c r="E12127" s="51">
        <f t="shared" si="189"/>
        <v>1</v>
      </c>
    </row>
    <row r="12128" spans="1:5">
      <c r="A12128" s="59">
        <v>27</v>
      </c>
      <c r="B12128" s="59">
        <v>33</v>
      </c>
      <c r="C12128" s="59">
        <v>920</v>
      </c>
      <c r="D12128" s="51">
        <v>3</v>
      </c>
      <c r="E12128" s="51">
        <f t="shared" si="189"/>
        <v>1</v>
      </c>
    </row>
    <row r="12129" spans="1:5">
      <c r="A12129" s="59">
        <v>27</v>
      </c>
      <c r="B12129" s="59">
        <v>41</v>
      </c>
      <c r="C12129" s="59">
        <v>740</v>
      </c>
      <c r="D12129" s="51">
        <v>3</v>
      </c>
      <c r="E12129" s="51">
        <f t="shared" si="189"/>
        <v>1</v>
      </c>
    </row>
    <row r="12130" spans="1:5">
      <c r="A12130" s="59">
        <v>27</v>
      </c>
      <c r="B12130" s="59">
        <v>42</v>
      </c>
      <c r="C12130" s="59">
        <v>150</v>
      </c>
      <c r="D12130" s="51">
        <v>3</v>
      </c>
      <c r="E12130" s="51">
        <f t="shared" si="189"/>
        <v>1</v>
      </c>
    </row>
    <row r="12131" spans="1:5">
      <c r="A12131" s="59">
        <v>27</v>
      </c>
      <c r="B12131" s="59">
        <v>42</v>
      </c>
      <c r="C12131" s="59">
        <v>640</v>
      </c>
      <c r="D12131" s="51">
        <v>3</v>
      </c>
      <c r="E12131" s="51">
        <f t="shared" si="189"/>
        <v>1</v>
      </c>
    </row>
    <row r="12132" spans="1:5">
      <c r="A12132" s="59">
        <v>27</v>
      </c>
      <c r="B12132" s="59">
        <v>43</v>
      </c>
      <c r="C12132" s="59">
        <v>892</v>
      </c>
      <c r="D12132" s="51">
        <v>3</v>
      </c>
      <c r="E12132" s="51">
        <f t="shared" si="189"/>
        <v>1</v>
      </c>
    </row>
    <row r="12133" spans="1:5">
      <c r="A12133" s="59">
        <v>27</v>
      </c>
      <c r="B12133" s="59">
        <v>44</v>
      </c>
      <c r="C12133" s="59">
        <v>220</v>
      </c>
      <c r="D12133" s="51">
        <v>3</v>
      </c>
      <c r="E12133" s="51">
        <f t="shared" si="189"/>
        <v>1</v>
      </c>
    </row>
    <row r="12134" spans="1:5">
      <c r="A12134" s="59">
        <v>27</v>
      </c>
      <c r="B12134" s="59">
        <v>44</v>
      </c>
      <c r="C12134" s="59">
        <v>230</v>
      </c>
      <c r="D12134" s="51">
        <v>3</v>
      </c>
      <c r="E12134" s="51">
        <f t="shared" si="189"/>
        <v>1</v>
      </c>
    </row>
    <row r="12135" spans="1:5">
      <c r="A12135" s="59">
        <v>27</v>
      </c>
      <c r="B12135" s="59">
        <v>44</v>
      </c>
      <c r="C12135" s="59">
        <v>860</v>
      </c>
      <c r="D12135" s="51">
        <v>3</v>
      </c>
      <c r="E12135" s="51">
        <f t="shared" si="189"/>
        <v>1</v>
      </c>
    </row>
    <row r="12136" spans="1:5">
      <c r="A12136" s="59">
        <v>27</v>
      </c>
      <c r="B12136" s="59">
        <v>44</v>
      </c>
      <c r="C12136" s="59">
        <v>960</v>
      </c>
      <c r="D12136" s="51">
        <v>3</v>
      </c>
      <c r="E12136" s="51">
        <f t="shared" si="189"/>
        <v>1</v>
      </c>
    </row>
    <row r="12137" spans="1:5">
      <c r="A12137" s="59">
        <v>27</v>
      </c>
      <c r="B12137" s="59">
        <v>51</v>
      </c>
      <c r="C12137" s="59">
        <v>530</v>
      </c>
      <c r="D12137" s="51">
        <v>3</v>
      </c>
      <c r="E12137" s="51">
        <f t="shared" si="189"/>
        <v>1</v>
      </c>
    </row>
    <row r="12138" spans="1:5">
      <c r="A12138" s="59">
        <v>27</v>
      </c>
      <c r="B12138" s="59">
        <v>62</v>
      </c>
      <c r="C12138" s="59">
        <v>210</v>
      </c>
      <c r="D12138" s="51">
        <v>3</v>
      </c>
      <c r="E12138" s="51">
        <f t="shared" si="189"/>
        <v>1</v>
      </c>
    </row>
    <row r="12139" spans="1:5">
      <c r="A12139" s="59">
        <v>27</v>
      </c>
      <c r="B12139" s="59">
        <v>63</v>
      </c>
      <c r="C12139" s="59">
        <v>640</v>
      </c>
      <c r="D12139" s="51">
        <v>3</v>
      </c>
      <c r="E12139" s="51">
        <f t="shared" si="189"/>
        <v>1</v>
      </c>
    </row>
    <row r="12140" spans="1:5">
      <c r="A12140" s="59">
        <v>27</v>
      </c>
      <c r="B12140" s="59">
        <v>64</v>
      </c>
      <c r="C12140" s="59">
        <v>320</v>
      </c>
      <c r="D12140" s="51">
        <v>3</v>
      </c>
      <c r="E12140" s="51">
        <f t="shared" si="189"/>
        <v>1</v>
      </c>
    </row>
    <row r="12141" spans="1:5">
      <c r="A12141" s="59">
        <v>27</v>
      </c>
      <c r="B12141" s="59">
        <v>64</v>
      </c>
      <c r="C12141" s="59">
        <v>330</v>
      </c>
      <c r="D12141" s="51">
        <v>3</v>
      </c>
      <c r="E12141" s="51">
        <f t="shared" si="189"/>
        <v>1</v>
      </c>
    </row>
    <row r="12142" spans="1:5">
      <c r="A12142" s="59">
        <v>27</v>
      </c>
      <c r="B12142" s="59">
        <v>64</v>
      </c>
      <c r="C12142" s="59">
        <v>831</v>
      </c>
      <c r="D12142" s="51">
        <v>3</v>
      </c>
      <c r="E12142" s="51">
        <f t="shared" si="189"/>
        <v>1</v>
      </c>
    </row>
    <row r="12143" spans="1:5">
      <c r="A12143" s="59">
        <v>27</v>
      </c>
      <c r="B12143" s="59">
        <v>64</v>
      </c>
      <c r="C12143" s="59">
        <v>860</v>
      </c>
      <c r="D12143" s="51">
        <v>3</v>
      </c>
      <c r="E12143" s="51">
        <f t="shared" si="189"/>
        <v>1</v>
      </c>
    </row>
    <row r="12144" spans="1:5">
      <c r="A12144" s="59">
        <v>27</v>
      </c>
      <c r="B12144" s="59">
        <v>64</v>
      </c>
      <c r="C12144" s="59">
        <v>960</v>
      </c>
      <c r="D12144" s="51">
        <v>3</v>
      </c>
      <c r="E12144" s="51">
        <f t="shared" si="189"/>
        <v>1</v>
      </c>
    </row>
    <row r="12145" spans="1:5">
      <c r="A12145" s="59">
        <v>27</v>
      </c>
      <c r="B12145" s="59">
        <v>71</v>
      </c>
      <c r="C12145" s="59">
        <v>230</v>
      </c>
      <c r="D12145" s="51">
        <v>3</v>
      </c>
      <c r="E12145" s="51">
        <f t="shared" si="189"/>
        <v>1</v>
      </c>
    </row>
    <row r="12146" spans="1:5">
      <c r="A12146" s="59">
        <v>27</v>
      </c>
      <c r="B12146" s="59">
        <v>13</v>
      </c>
      <c r="C12146" s="59">
        <v>950</v>
      </c>
      <c r="D12146" s="51">
        <v>2</v>
      </c>
      <c r="E12146" s="51">
        <f t="shared" si="189"/>
        <v>1</v>
      </c>
    </row>
    <row r="12147" spans="1:5">
      <c r="A12147" s="59">
        <v>27</v>
      </c>
      <c r="B12147" s="59">
        <v>14</v>
      </c>
      <c r="C12147" s="59">
        <v>220</v>
      </c>
      <c r="D12147" s="51">
        <v>2</v>
      </c>
      <c r="E12147" s="51">
        <f t="shared" si="189"/>
        <v>1</v>
      </c>
    </row>
    <row r="12148" spans="1:5">
      <c r="A12148" s="59">
        <v>27</v>
      </c>
      <c r="B12148" s="59">
        <v>14</v>
      </c>
      <c r="C12148" s="59">
        <v>740</v>
      </c>
      <c r="D12148" s="51">
        <v>2</v>
      </c>
      <c r="E12148" s="51">
        <f t="shared" si="189"/>
        <v>1</v>
      </c>
    </row>
    <row r="12149" spans="1:5">
      <c r="A12149" s="59">
        <v>27</v>
      </c>
      <c r="B12149" s="59">
        <v>14</v>
      </c>
      <c r="C12149" s="59">
        <v>850</v>
      </c>
      <c r="D12149" s="51">
        <v>2</v>
      </c>
      <c r="E12149" s="51">
        <f t="shared" si="189"/>
        <v>1</v>
      </c>
    </row>
    <row r="12150" spans="1:5">
      <c r="A12150" s="59">
        <v>27</v>
      </c>
      <c r="B12150" s="59">
        <v>14</v>
      </c>
      <c r="C12150" s="59">
        <v>950</v>
      </c>
      <c r="D12150" s="51">
        <v>2</v>
      </c>
      <c r="E12150" s="51">
        <f t="shared" si="189"/>
        <v>1</v>
      </c>
    </row>
    <row r="12151" spans="1:5">
      <c r="A12151" s="59">
        <v>27</v>
      </c>
      <c r="B12151" s="59">
        <v>15</v>
      </c>
      <c r="C12151" s="59">
        <v>210</v>
      </c>
      <c r="D12151" s="51">
        <v>2</v>
      </c>
      <c r="E12151" s="51">
        <f t="shared" si="189"/>
        <v>1</v>
      </c>
    </row>
    <row r="12152" spans="1:5">
      <c r="A12152" s="59">
        <v>27</v>
      </c>
      <c r="B12152" s="59">
        <v>15</v>
      </c>
      <c r="C12152" s="59">
        <v>240</v>
      </c>
      <c r="D12152" s="51">
        <v>2</v>
      </c>
      <c r="E12152" s="51">
        <f t="shared" si="189"/>
        <v>1</v>
      </c>
    </row>
    <row r="12153" spans="1:5">
      <c r="A12153" s="59">
        <v>27</v>
      </c>
      <c r="B12153" s="59">
        <v>15</v>
      </c>
      <c r="C12153" s="59">
        <v>410</v>
      </c>
      <c r="D12153" s="51">
        <v>2</v>
      </c>
      <c r="E12153" s="51">
        <f t="shared" si="189"/>
        <v>1</v>
      </c>
    </row>
    <row r="12154" spans="1:5">
      <c r="A12154" s="59">
        <v>27</v>
      </c>
      <c r="B12154" s="59">
        <v>15</v>
      </c>
      <c r="C12154" s="59">
        <v>610</v>
      </c>
      <c r="D12154" s="51">
        <v>2</v>
      </c>
      <c r="E12154" s="51">
        <f t="shared" si="189"/>
        <v>1</v>
      </c>
    </row>
    <row r="12155" spans="1:5">
      <c r="A12155" s="59">
        <v>27</v>
      </c>
      <c r="B12155" s="59">
        <v>15</v>
      </c>
      <c r="C12155" s="59">
        <v>620</v>
      </c>
      <c r="D12155" s="51">
        <v>2</v>
      </c>
      <c r="E12155" s="51">
        <f t="shared" si="189"/>
        <v>1</v>
      </c>
    </row>
    <row r="12156" spans="1:5">
      <c r="A12156" s="59">
        <v>27</v>
      </c>
      <c r="B12156" s="59">
        <v>15</v>
      </c>
      <c r="C12156" s="59">
        <v>720</v>
      </c>
      <c r="D12156" s="51">
        <v>2</v>
      </c>
      <c r="E12156" s="51">
        <f t="shared" si="189"/>
        <v>1</v>
      </c>
    </row>
    <row r="12157" spans="1:5">
      <c r="A12157" s="59">
        <v>27</v>
      </c>
      <c r="B12157" s="59">
        <v>16</v>
      </c>
      <c r="C12157" s="59">
        <v>750</v>
      </c>
      <c r="D12157" s="51">
        <v>2</v>
      </c>
      <c r="E12157" s="51">
        <f t="shared" si="189"/>
        <v>1</v>
      </c>
    </row>
    <row r="12158" spans="1:5">
      <c r="A12158" s="59">
        <v>27</v>
      </c>
      <c r="B12158" s="59">
        <v>16</v>
      </c>
      <c r="C12158" s="59">
        <v>920</v>
      </c>
      <c r="D12158" s="51">
        <v>2</v>
      </c>
      <c r="E12158" s="51">
        <f t="shared" si="189"/>
        <v>1</v>
      </c>
    </row>
    <row r="12159" spans="1:5">
      <c r="A12159" s="59">
        <v>27</v>
      </c>
      <c r="B12159" s="59">
        <v>16</v>
      </c>
      <c r="C12159" s="59">
        <v>970</v>
      </c>
      <c r="D12159" s="51">
        <v>2</v>
      </c>
      <c r="E12159" s="51">
        <f t="shared" si="189"/>
        <v>1</v>
      </c>
    </row>
    <row r="12160" spans="1:5">
      <c r="A12160" s="59">
        <v>27</v>
      </c>
      <c r="B12160" s="59">
        <v>21</v>
      </c>
      <c r="C12160" s="59">
        <v>530</v>
      </c>
      <c r="D12160" s="51">
        <v>2</v>
      </c>
      <c r="E12160" s="51">
        <f t="shared" si="189"/>
        <v>1</v>
      </c>
    </row>
    <row r="12161" spans="1:5">
      <c r="A12161" s="59">
        <v>27</v>
      </c>
      <c r="B12161" s="59">
        <v>22</v>
      </c>
      <c r="C12161" s="59">
        <v>220</v>
      </c>
      <c r="D12161" s="51">
        <v>2</v>
      </c>
      <c r="E12161" s="51">
        <f t="shared" si="189"/>
        <v>1</v>
      </c>
    </row>
    <row r="12162" spans="1:5">
      <c r="A12162" s="59">
        <v>27</v>
      </c>
      <c r="B12162" s="59">
        <v>22</v>
      </c>
      <c r="C12162" s="59">
        <v>520</v>
      </c>
      <c r="D12162" s="51">
        <v>2</v>
      </c>
      <c r="E12162" s="51">
        <f t="shared" ref="E12162:E12225" si="190">IF(OR(A12162=6,A12162=7,A12162=14,A12162=15,A12162=16,A12162=17,A12162=18,A12162=19,A12162=20,A12162=21,A12162=22,A12162=23,A12162=25,A12162=26,A12162=27,A12162=28,B12162=41,B12162=44,B12162=62),1,0)</f>
        <v>1</v>
      </c>
    </row>
    <row r="12163" spans="1:5">
      <c r="A12163" s="59">
        <v>27</v>
      </c>
      <c r="B12163" s="59">
        <v>22</v>
      </c>
      <c r="C12163" s="59">
        <v>610</v>
      </c>
      <c r="D12163" s="51">
        <v>2</v>
      </c>
      <c r="E12163" s="51">
        <f t="shared" si="190"/>
        <v>1</v>
      </c>
    </row>
    <row r="12164" spans="1:5">
      <c r="A12164" s="59">
        <v>27</v>
      </c>
      <c r="B12164" s="59">
        <v>22</v>
      </c>
      <c r="C12164" s="59">
        <v>720</v>
      </c>
      <c r="D12164" s="51">
        <v>2</v>
      </c>
      <c r="E12164" s="51">
        <f t="shared" si="190"/>
        <v>1</v>
      </c>
    </row>
    <row r="12165" spans="1:5">
      <c r="A12165" s="59">
        <v>27</v>
      </c>
      <c r="B12165" s="59">
        <v>22</v>
      </c>
      <c r="C12165" s="59">
        <v>730</v>
      </c>
      <c r="D12165" s="51">
        <v>2</v>
      </c>
      <c r="E12165" s="51">
        <f t="shared" si="190"/>
        <v>1</v>
      </c>
    </row>
    <row r="12166" spans="1:5">
      <c r="A12166" s="59">
        <v>27</v>
      </c>
      <c r="B12166" s="59">
        <v>22</v>
      </c>
      <c r="C12166" s="59">
        <v>930</v>
      </c>
      <c r="D12166" s="51">
        <v>2</v>
      </c>
      <c r="E12166" s="51">
        <f t="shared" si="190"/>
        <v>1</v>
      </c>
    </row>
    <row r="12167" spans="1:5">
      <c r="A12167" s="59">
        <v>27</v>
      </c>
      <c r="B12167" s="59">
        <v>22</v>
      </c>
      <c r="C12167" s="59">
        <v>990</v>
      </c>
      <c r="D12167" s="51">
        <v>2</v>
      </c>
      <c r="E12167" s="51">
        <f t="shared" si="190"/>
        <v>1</v>
      </c>
    </row>
    <row r="12168" spans="1:5">
      <c r="A12168" s="59">
        <v>27</v>
      </c>
      <c r="B12168" s="59">
        <v>32</v>
      </c>
      <c r="C12168" s="59">
        <v>210</v>
      </c>
      <c r="D12168" s="51">
        <v>2</v>
      </c>
      <c r="E12168" s="51">
        <f t="shared" si="190"/>
        <v>1</v>
      </c>
    </row>
    <row r="12169" spans="1:5">
      <c r="A12169" s="59">
        <v>27</v>
      </c>
      <c r="B12169" s="59">
        <v>32</v>
      </c>
      <c r="C12169" s="59">
        <v>895</v>
      </c>
      <c r="D12169" s="51">
        <v>2</v>
      </c>
      <c r="E12169" s="51">
        <f t="shared" si="190"/>
        <v>1</v>
      </c>
    </row>
    <row r="12170" spans="1:5">
      <c r="A12170" s="59">
        <v>27</v>
      </c>
      <c r="B12170" s="59">
        <v>32</v>
      </c>
      <c r="C12170" s="59">
        <v>960</v>
      </c>
      <c r="D12170" s="51">
        <v>2</v>
      </c>
      <c r="E12170" s="51">
        <f t="shared" si="190"/>
        <v>1</v>
      </c>
    </row>
    <row r="12171" spans="1:5">
      <c r="A12171" s="59">
        <v>27</v>
      </c>
      <c r="B12171" s="59">
        <v>33</v>
      </c>
      <c r="C12171" s="59">
        <v>160</v>
      </c>
      <c r="D12171" s="51">
        <v>2</v>
      </c>
      <c r="E12171" s="51">
        <f t="shared" si="190"/>
        <v>1</v>
      </c>
    </row>
    <row r="12172" spans="1:5">
      <c r="A12172" s="59">
        <v>27</v>
      </c>
      <c r="B12172" s="59">
        <v>33</v>
      </c>
      <c r="C12172" s="59">
        <v>620</v>
      </c>
      <c r="D12172" s="51">
        <v>2</v>
      </c>
      <c r="E12172" s="51">
        <f t="shared" si="190"/>
        <v>1</v>
      </c>
    </row>
    <row r="12173" spans="1:5">
      <c r="A12173" s="59">
        <v>27</v>
      </c>
      <c r="B12173" s="59">
        <v>42</v>
      </c>
      <c r="C12173" s="59">
        <v>160</v>
      </c>
      <c r="D12173" s="51">
        <v>2</v>
      </c>
      <c r="E12173" s="51">
        <f t="shared" si="190"/>
        <v>1</v>
      </c>
    </row>
    <row r="12174" spans="1:5">
      <c r="A12174" s="59">
        <v>27</v>
      </c>
      <c r="B12174" s="59">
        <v>43</v>
      </c>
      <c r="C12174" s="59">
        <v>130</v>
      </c>
      <c r="D12174" s="51">
        <v>2</v>
      </c>
      <c r="E12174" s="51">
        <f t="shared" si="190"/>
        <v>1</v>
      </c>
    </row>
    <row r="12175" spans="1:5">
      <c r="A12175" s="59">
        <v>27</v>
      </c>
      <c r="B12175" s="59">
        <v>43</v>
      </c>
      <c r="C12175" s="59">
        <v>310</v>
      </c>
      <c r="D12175" s="51">
        <v>2</v>
      </c>
      <c r="E12175" s="51">
        <f t="shared" si="190"/>
        <v>1</v>
      </c>
    </row>
    <row r="12176" spans="1:5">
      <c r="A12176" s="59">
        <v>27</v>
      </c>
      <c r="B12176" s="59">
        <v>43</v>
      </c>
      <c r="C12176" s="59">
        <v>440</v>
      </c>
      <c r="D12176" s="51">
        <v>2</v>
      </c>
      <c r="E12176" s="51">
        <f t="shared" si="190"/>
        <v>1</v>
      </c>
    </row>
    <row r="12177" spans="1:5">
      <c r="A12177" s="59">
        <v>27</v>
      </c>
      <c r="B12177" s="59">
        <v>43</v>
      </c>
      <c r="C12177" s="59">
        <v>862</v>
      </c>
      <c r="D12177" s="51">
        <v>2</v>
      </c>
      <c r="E12177" s="51">
        <f t="shared" si="190"/>
        <v>1</v>
      </c>
    </row>
    <row r="12178" spans="1:5">
      <c r="A12178" s="59">
        <v>27</v>
      </c>
      <c r="B12178" s="59">
        <v>44</v>
      </c>
      <c r="C12178" s="59">
        <v>540</v>
      </c>
      <c r="D12178" s="51">
        <v>2</v>
      </c>
      <c r="E12178" s="51">
        <f t="shared" si="190"/>
        <v>1</v>
      </c>
    </row>
    <row r="12179" spans="1:5">
      <c r="A12179" s="59">
        <v>27</v>
      </c>
      <c r="B12179" s="59">
        <v>44</v>
      </c>
      <c r="C12179" s="59">
        <v>861</v>
      </c>
      <c r="D12179" s="51">
        <v>2</v>
      </c>
      <c r="E12179" s="51">
        <f t="shared" si="190"/>
        <v>1</v>
      </c>
    </row>
    <row r="12180" spans="1:5">
      <c r="A12180" s="59">
        <v>27</v>
      </c>
      <c r="B12180" s="59">
        <v>51</v>
      </c>
      <c r="C12180" s="59">
        <v>730</v>
      </c>
      <c r="D12180" s="51">
        <v>2</v>
      </c>
      <c r="E12180" s="51">
        <f t="shared" si="190"/>
        <v>1</v>
      </c>
    </row>
    <row r="12181" spans="1:5">
      <c r="A12181" s="59">
        <v>27</v>
      </c>
      <c r="B12181" s="59">
        <v>51</v>
      </c>
      <c r="C12181" s="59">
        <v>750</v>
      </c>
      <c r="D12181" s="51">
        <v>2</v>
      </c>
      <c r="E12181" s="51">
        <f t="shared" si="190"/>
        <v>1</v>
      </c>
    </row>
    <row r="12182" spans="1:5">
      <c r="A12182" s="59">
        <v>27</v>
      </c>
      <c r="B12182" s="59">
        <v>51</v>
      </c>
      <c r="C12182" s="59">
        <v>970</v>
      </c>
      <c r="D12182" s="51">
        <v>2</v>
      </c>
      <c r="E12182" s="51">
        <f t="shared" si="190"/>
        <v>1</v>
      </c>
    </row>
    <row r="12183" spans="1:5">
      <c r="A12183" s="59">
        <v>27</v>
      </c>
      <c r="B12183" s="59">
        <v>61</v>
      </c>
      <c r="C12183" s="59">
        <v>530</v>
      </c>
      <c r="D12183" s="51">
        <v>2</v>
      </c>
      <c r="E12183" s="51">
        <f t="shared" si="190"/>
        <v>1</v>
      </c>
    </row>
    <row r="12184" spans="1:5">
      <c r="A12184" s="59">
        <v>27</v>
      </c>
      <c r="B12184" s="59">
        <v>61</v>
      </c>
      <c r="C12184" s="59">
        <v>730</v>
      </c>
      <c r="D12184" s="51">
        <v>2</v>
      </c>
      <c r="E12184" s="51">
        <f t="shared" si="190"/>
        <v>1</v>
      </c>
    </row>
    <row r="12185" spans="1:5">
      <c r="A12185" s="59">
        <v>27</v>
      </c>
      <c r="B12185" s="59">
        <v>62</v>
      </c>
      <c r="C12185" s="59">
        <v>230</v>
      </c>
      <c r="D12185" s="51">
        <v>2</v>
      </c>
      <c r="E12185" s="51">
        <f t="shared" si="190"/>
        <v>1</v>
      </c>
    </row>
    <row r="12186" spans="1:5">
      <c r="A12186" s="59">
        <v>27</v>
      </c>
      <c r="B12186" s="59">
        <v>62</v>
      </c>
      <c r="C12186" s="59">
        <v>540</v>
      </c>
      <c r="D12186" s="51">
        <v>2</v>
      </c>
      <c r="E12186" s="51">
        <f t="shared" si="190"/>
        <v>1</v>
      </c>
    </row>
    <row r="12187" spans="1:5">
      <c r="A12187" s="59">
        <v>27</v>
      </c>
      <c r="B12187" s="59">
        <v>62</v>
      </c>
      <c r="C12187" s="59">
        <v>940</v>
      </c>
      <c r="D12187" s="51">
        <v>2</v>
      </c>
      <c r="E12187" s="51">
        <f t="shared" si="190"/>
        <v>1</v>
      </c>
    </row>
    <row r="12188" spans="1:5">
      <c r="A12188" s="59">
        <v>27</v>
      </c>
      <c r="B12188" s="59">
        <v>63</v>
      </c>
      <c r="C12188" s="59">
        <v>230</v>
      </c>
      <c r="D12188" s="51">
        <v>2</v>
      </c>
      <c r="E12188" s="51">
        <f t="shared" si="190"/>
        <v>1</v>
      </c>
    </row>
    <row r="12189" spans="1:5">
      <c r="A12189" s="59">
        <v>27</v>
      </c>
      <c r="B12189" s="59">
        <v>63</v>
      </c>
      <c r="C12189" s="59">
        <v>940</v>
      </c>
      <c r="D12189" s="51">
        <v>2</v>
      </c>
      <c r="E12189" s="51">
        <f t="shared" si="190"/>
        <v>1</v>
      </c>
    </row>
    <row r="12190" spans="1:5">
      <c r="A12190" s="59">
        <v>27</v>
      </c>
      <c r="B12190" s="59">
        <v>64</v>
      </c>
      <c r="C12190" s="59">
        <v>130</v>
      </c>
      <c r="D12190" s="51">
        <v>2</v>
      </c>
      <c r="E12190" s="51">
        <f t="shared" si="190"/>
        <v>1</v>
      </c>
    </row>
    <row r="12191" spans="1:5">
      <c r="A12191" s="59">
        <v>27</v>
      </c>
      <c r="B12191" s="59">
        <v>64</v>
      </c>
      <c r="C12191" s="59">
        <v>820</v>
      </c>
      <c r="D12191" s="51">
        <v>2</v>
      </c>
      <c r="E12191" s="51">
        <f t="shared" si="190"/>
        <v>1</v>
      </c>
    </row>
    <row r="12192" spans="1:5">
      <c r="A12192" s="59">
        <v>27</v>
      </c>
      <c r="B12192" s="59">
        <v>64</v>
      </c>
      <c r="C12192" s="59">
        <v>840</v>
      </c>
      <c r="D12192" s="51">
        <v>2</v>
      </c>
      <c r="E12192" s="51">
        <f t="shared" si="190"/>
        <v>1</v>
      </c>
    </row>
    <row r="12193" spans="1:5">
      <c r="A12193" s="59">
        <v>27</v>
      </c>
      <c r="B12193" s="59">
        <v>64</v>
      </c>
      <c r="C12193" s="59">
        <v>893</v>
      </c>
      <c r="D12193" s="51">
        <v>2</v>
      </c>
      <c r="E12193" s="51">
        <f t="shared" si="190"/>
        <v>1</v>
      </c>
    </row>
    <row r="12194" spans="1:5">
      <c r="A12194" s="59">
        <v>27</v>
      </c>
      <c r="B12194" s="59">
        <v>81</v>
      </c>
      <c r="C12194" s="59">
        <v>150</v>
      </c>
      <c r="D12194" s="51">
        <v>2</v>
      </c>
      <c r="E12194" s="51">
        <f t="shared" si="190"/>
        <v>1</v>
      </c>
    </row>
    <row r="12195" spans="1:5">
      <c r="A12195" s="59">
        <v>27</v>
      </c>
      <c r="B12195" s="59">
        <v>81</v>
      </c>
      <c r="C12195" s="59">
        <v>540</v>
      </c>
      <c r="D12195" s="51">
        <v>2</v>
      </c>
      <c r="E12195" s="51">
        <f t="shared" si="190"/>
        <v>1</v>
      </c>
    </row>
    <row r="12196" spans="1:5">
      <c r="A12196" s="59">
        <v>27</v>
      </c>
      <c r="B12196" s="59">
        <v>81</v>
      </c>
      <c r="C12196" s="59">
        <v>710</v>
      </c>
      <c r="D12196" s="51">
        <v>2</v>
      </c>
      <c r="E12196" s="51">
        <f t="shared" si="190"/>
        <v>1</v>
      </c>
    </row>
    <row r="12197" spans="1:5">
      <c r="A12197" s="59">
        <v>27</v>
      </c>
      <c r="B12197" s="59">
        <v>81</v>
      </c>
      <c r="C12197" s="59">
        <v>831</v>
      </c>
      <c r="D12197" s="51">
        <v>2</v>
      </c>
      <c r="E12197" s="51">
        <f t="shared" si="190"/>
        <v>1</v>
      </c>
    </row>
    <row r="12198" spans="1:5">
      <c r="A12198" s="59">
        <v>27</v>
      </c>
      <c r="B12198" s="59">
        <v>11</v>
      </c>
      <c r="C12198" s="59">
        <v>160</v>
      </c>
      <c r="D12198" s="51">
        <v>1</v>
      </c>
      <c r="E12198" s="51">
        <f t="shared" si="190"/>
        <v>1</v>
      </c>
    </row>
    <row r="12199" spans="1:5">
      <c r="A12199" s="59">
        <v>27</v>
      </c>
      <c r="B12199" s="59">
        <v>11</v>
      </c>
      <c r="C12199" s="59">
        <v>520</v>
      </c>
      <c r="D12199" s="51">
        <v>1</v>
      </c>
      <c r="E12199" s="51">
        <f t="shared" si="190"/>
        <v>1</v>
      </c>
    </row>
    <row r="12200" spans="1:5">
      <c r="A12200" s="59">
        <v>27</v>
      </c>
      <c r="B12200" s="59">
        <v>11</v>
      </c>
      <c r="C12200" s="59">
        <v>610</v>
      </c>
      <c r="D12200" s="51">
        <v>1</v>
      </c>
      <c r="E12200" s="51">
        <f t="shared" si="190"/>
        <v>1</v>
      </c>
    </row>
    <row r="12201" spans="1:5">
      <c r="A12201" s="59">
        <v>27</v>
      </c>
      <c r="B12201" s="59">
        <v>11</v>
      </c>
      <c r="C12201" s="59">
        <v>910</v>
      </c>
      <c r="D12201" s="51">
        <v>1</v>
      </c>
      <c r="E12201" s="51">
        <f t="shared" si="190"/>
        <v>1</v>
      </c>
    </row>
    <row r="12202" spans="1:5">
      <c r="A12202" s="59">
        <v>27</v>
      </c>
      <c r="B12202" s="59">
        <v>11</v>
      </c>
      <c r="C12202" s="59">
        <v>970</v>
      </c>
      <c r="D12202" s="51">
        <v>1</v>
      </c>
      <c r="E12202" s="51">
        <f t="shared" si="190"/>
        <v>1</v>
      </c>
    </row>
    <row r="12203" spans="1:5">
      <c r="A12203" s="59">
        <v>27</v>
      </c>
      <c r="B12203" s="59">
        <v>12</v>
      </c>
      <c r="C12203" s="59">
        <v>110</v>
      </c>
      <c r="D12203" s="51">
        <v>1</v>
      </c>
      <c r="E12203" s="51">
        <f t="shared" si="190"/>
        <v>1</v>
      </c>
    </row>
    <row r="12204" spans="1:5">
      <c r="A12204" s="59">
        <v>27</v>
      </c>
      <c r="B12204" s="59">
        <v>12</v>
      </c>
      <c r="C12204" s="59">
        <v>520</v>
      </c>
      <c r="D12204" s="51">
        <v>1</v>
      </c>
      <c r="E12204" s="51">
        <f t="shared" si="190"/>
        <v>1</v>
      </c>
    </row>
    <row r="12205" spans="1:5">
      <c r="A12205" s="59">
        <v>27</v>
      </c>
      <c r="B12205" s="59">
        <v>13</v>
      </c>
      <c r="C12205" s="59">
        <v>140</v>
      </c>
      <c r="D12205" s="51">
        <v>1</v>
      </c>
      <c r="E12205" s="51">
        <f t="shared" si="190"/>
        <v>1</v>
      </c>
    </row>
    <row r="12206" spans="1:5">
      <c r="A12206" s="59">
        <v>27</v>
      </c>
      <c r="B12206" s="59">
        <v>13</v>
      </c>
      <c r="C12206" s="59">
        <v>220</v>
      </c>
      <c r="D12206" s="51">
        <v>1</v>
      </c>
      <c r="E12206" s="51">
        <f t="shared" si="190"/>
        <v>1</v>
      </c>
    </row>
    <row r="12207" spans="1:5">
      <c r="A12207" s="59">
        <v>27</v>
      </c>
      <c r="B12207" s="59">
        <v>13</v>
      </c>
      <c r="C12207" s="59">
        <v>430</v>
      </c>
      <c r="D12207" s="51">
        <v>1</v>
      </c>
      <c r="E12207" s="51">
        <f t="shared" si="190"/>
        <v>1</v>
      </c>
    </row>
    <row r="12208" spans="1:5">
      <c r="A12208" s="59">
        <v>27</v>
      </c>
      <c r="B12208" s="59">
        <v>13</v>
      </c>
      <c r="C12208" s="59">
        <v>540</v>
      </c>
      <c r="D12208" s="51">
        <v>1</v>
      </c>
      <c r="E12208" s="51">
        <f t="shared" si="190"/>
        <v>1</v>
      </c>
    </row>
    <row r="12209" spans="1:5">
      <c r="A12209" s="59">
        <v>27</v>
      </c>
      <c r="B12209" s="59">
        <v>13</v>
      </c>
      <c r="C12209" s="59">
        <v>940</v>
      </c>
      <c r="D12209" s="51">
        <v>1</v>
      </c>
      <c r="E12209" s="51">
        <f t="shared" si="190"/>
        <v>1</v>
      </c>
    </row>
    <row r="12210" spans="1:5">
      <c r="A12210" s="59">
        <v>27</v>
      </c>
      <c r="B12210" s="59">
        <v>13</v>
      </c>
      <c r="C12210" s="59">
        <v>960</v>
      </c>
      <c r="D12210" s="51">
        <v>1</v>
      </c>
      <c r="E12210" s="51">
        <f t="shared" si="190"/>
        <v>1</v>
      </c>
    </row>
    <row r="12211" spans="1:5">
      <c r="A12211" s="59">
        <v>27</v>
      </c>
      <c r="B12211" s="59">
        <v>14</v>
      </c>
      <c r="C12211" s="59">
        <v>540</v>
      </c>
      <c r="D12211" s="51">
        <v>1</v>
      </c>
      <c r="E12211" s="51">
        <f t="shared" si="190"/>
        <v>1</v>
      </c>
    </row>
    <row r="12212" spans="1:5">
      <c r="A12212" s="59">
        <v>27</v>
      </c>
      <c r="B12212" s="59">
        <v>14</v>
      </c>
      <c r="C12212" s="59">
        <v>940</v>
      </c>
      <c r="D12212" s="51">
        <v>1</v>
      </c>
      <c r="E12212" s="51">
        <f t="shared" si="190"/>
        <v>1</v>
      </c>
    </row>
    <row r="12213" spans="1:5">
      <c r="A12213" s="59">
        <v>27</v>
      </c>
      <c r="B12213" s="59">
        <v>15</v>
      </c>
      <c r="C12213" s="59">
        <v>130</v>
      </c>
      <c r="D12213" s="51">
        <v>1</v>
      </c>
      <c r="E12213" s="51">
        <f t="shared" si="190"/>
        <v>1</v>
      </c>
    </row>
    <row r="12214" spans="1:5">
      <c r="A12214" s="59">
        <v>27</v>
      </c>
      <c r="B12214" s="59">
        <v>15</v>
      </c>
      <c r="C12214" s="59">
        <v>230</v>
      </c>
      <c r="D12214" s="51">
        <v>1</v>
      </c>
      <c r="E12214" s="51">
        <f t="shared" si="190"/>
        <v>1</v>
      </c>
    </row>
    <row r="12215" spans="1:5">
      <c r="A12215" s="59">
        <v>27</v>
      </c>
      <c r="B12215" s="59">
        <v>15</v>
      </c>
      <c r="C12215" s="59">
        <v>330</v>
      </c>
      <c r="D12215" s="51">
        <v>1</v>
      </c>
      <c r="E12215" s="51">
        <f t="shared" si="190"/>
        <v>1</v>
      </c>
    </row>
    <row r="12216" spans="1:5">
      <c r="A12216" s="59">
        <v>27</v>
      </c>
      <c r="B12216" s="59">
        <v>15</v>
      </c>
      <c r="C12216" s="59">
        <v>420</v>
      </c>
      <c r="D12216" s="51">
        <v>1</v>
      </c>
      <c r="E12216" s="51">
        <f t="shared" si="190"/>
        <v>1</v>
      </c>
    </row>
    <row r="12217" spans="1:5">
      <c r="A12217" s="59">
        <v>27</v>
      </c>
      <c r="B12217" s="59">
        <v>15</v>
      </c>
      <c r="C12217" s="59">
        <v>740</v>
      </c>
      <c r="D12217" s="51">
        <v>1</v>
      </c>
      <c r="E12217" s="51">
        <f t="shared" si="190"/>
        <v>1</v>
      </c>
    </row>
    <row r="12218" spans="1:5">
      <c r="A12218" s="59">
        <v>27</v>
      </c>
      <c r="B12218" s="59">
        <v>16</v>
      </c>
      <c r="C12218" s="59">
        <v>330</v>
      </c>
      <c r="D12218" s="51">
        <v>1</v>
      </c>
      <c r="E12218" s="51">
        <f t="shared" si="190"/>
        <v>1</v>
      </c>
    </row>
    <row r="12219" spans="1:5">
      <c r="A12219" s="59">
        <v>27</v>
      </c>
      <c r="B12219" s="59">
        <v>16</v>
      </c>
      <c r="C12219" s="59">
        <v>610</v>
      </c>
      <c r="D12219" s="51">
        <v>1</v>
      </c>
      <c r="E12219" s="51">
        <f t="shared" si="190"/>
        <v>1</v>
      </c>
    </row>
    <row r="12220" spans="1:5">
      <c r="A12220" s="59">
        <v>27</v>
      </c>
      <c r="B12220" s="59">
        <v>21</v>
      </c>
      <c r="C12220" s="59">
        <v>210</v>
      </c>
      <c r="D12220" s="51">
        <v>1</v>
      </c>
      <c r="E12220" s="51">
        <f t="shared" si="190"/>
        <v>1</v>
      </c>
    </row>
    <row r="12221" spans="1:5">
      <c r="A12221" s="59">
        <v>27</v>
      </c>
      <c r="B12221" s="59">
        <v>21</v>
      </c>
      <c r="C12221" s="59">
        <v>410</v>
      </c>
      <c r="D12221" s="51">
        <v>1</v>
      </c>
      <c r="E12221" s="51">
        <f t="shared" si="190"/>
        <v>1</v>
      </c>
    </row>
    <row r="12222" spans="1:5">
      <c r="A12222" s="59">
        <v>27</v>
      </c>
      <c r="B12222" s="59">
        <v>22</v>
      </c>
      <c r="C12222" s="59">
        <v>540</v>
      </c>
      <c r="D12222" s="51">
        <v>1</v>
      </c>
      <c r="E12222" s="51">
        <f t="shared" si="190"/>
        <v>1</v>
      </c>
    </row>
    <row r="12223" spans="1:5">
      <c r="A12223" s="59">
        <v>27</v>
      </c>
      <c r="B12223" s="59">
        <v>22</v>
      </c>
      <c r="C12223" s="59">
        <v>620</v>
      </c>
      <c r="D12223" s="51">
        <v>1</v>
      </c>
      <c r="E12223" s="51">
        <f t="shared" si="190"/>
        <v>1</v>
      </c>
    </row>
    <row r="12224" spans="1:5">
      <c r="A12224" s="59">
        <v>27</v>
      </c>
      <c r="B12224" s="59">
        <v>22</v>
      </c>
      <c r="C12224" s="59">
        <v>920</v>
      </c>
      <c r="D12224" s="51">
        <v>1</v>
      </c>
      <c r="E12224" s="51">
        <f t="shared" si="190"/>
        <v>1</v>
      </c>
    </row>
    <row r="12225" spans="1:5">
      <c r="A12225" s="59">
        <v>27</v>
      </c>
      <c r="B12225" s="59">
        <v>22</v>
      </c>
      <c r="C12225" s="59">
        <v>950</v>
      </c>
      <c r="D12225" s="51">
        <v>1</v>
      </c>
      <c r="E12225" s="51">
        <f t="shared" si="190"/>
        <v>1</v>
      </c>
    </row>
    <row r="12226" spans="1:5">
      <c r="A12226" s="59">
        <v>27</v>
      </c>
      <c r="B12226" s="59">
        <v>22</v>
      </c>
      <c r="C12226" s="59">
        <v>970</v>
      </c>
      <c r="D12226" s="51">
        <v>1</v>
      </c>
      <c r="E12226" s="51">
        <f t="shared" ref="E12226:E12289" si="191">IF(OR(A12226=6,A12226=7,A12226=14,A12226=15,A12226=16,A12226=17,A12226=18,A12226=19,A12226=20,A12226=21,A12226=22,A12226=23,A12226=25,A12226=26,A12226=27,A12226=28,B12226=41,B12226=44,B12226=62),1,0)</f>
        <v>1</v>
      </c>
    </row>
    <row r="12227" spans="1:5">
      <c r="A12227" s="59">
        <v>27</v>
      </c>
      <c r="B12227" s="59">
        <v>23</v>
      </c>
      <c r="C12227" s="59">
        <v>230</v>
      </c>
      <c r="D12227" s="51">
        <v>1</v>
      </c>
      <c r="E12227" s="51">
        <f t="shared" si="191"/>
        <v>1</v>
      </c>
    </row>
    <row r="12228" spans="1:5">
      <c r="A12228" s="59">
        <v>27</v>
      </c>
      <c r="B12228" s="59">
        <v>23</v>
      </c>
      <c r="C12228" s="59">
        <v>240</v>
      </c>
      <c r="D12228" s="51">
        <v>1</v>
      </c>
      <c r="E12228" s="51">
        <f t="shared" si="191"/>
        <v>1</v>
      </c>
    </row>
    <row r="12229" spans="1:5">
      <c r="A12229" s="59">
        <v>27</v>
      </c>
      <c r="B12229" s="59">
        <v>23</v>
      </c>
      <c r="C12229" s="59">
        <v>310</v>
      </c>
      <c r="D12229" s="51">
        <v>1</v>
      </c>
      <c r="E12229" s="51">
        <f t="shared" si="191"/>
        <v>1</v>
      </c>
    </row>
    <row r="12230" spans="1:5">
      <c r="A12230" s="59">
        <v>27</v>
      </c>
      <c r="B12230" s="59">
        <v>23</v>
      </c>
      <c r="C12230" s="59">
        <v>910</v>
      </c>
      <c r="D12230" s="51">
        <v>1</v>
      </c>
      <c r="E12230" s="51">
        <f t="shared" si="191"/>
        <v>1</v>
      </c>
    </row>
    <row r="12231" spans="1:5">
      <c r="A12231" s="59">
        <v>27</v>
      </c>
      <c r="B12231" s="59">
        <v>31</v>
      </c>
      <c r="C12231" s="59">
        <v>410</v>
      </c>
      <c r="D12231" s="51">
        <v>1</v>
      </c>
      <c r="E12231" s="51">
        <f t="shared" si="191"/>
        <v>1</v>
      </c>
    </row>
    <row r="12232" spans="1:5">
      <c r="A12232" s="59">
        <v>27</v>
      </c>
      <c r="B12232" s="59">
        <v>31</v>
      </c>
      <c r="C12232" s="59">
        <v>510</v>
      </c>
      <c r="D12232" s="51">
        <v>1</v>
      </c>
      <c r="E12232" s="51">
        <f t="shared" si="191"/>
        <v>1</v>
      </c>
    </row>
    <row r="12233" spans="1:5">
      <c r="A12233" s="59">
        <v>27</v>
      </c>
      <c r="B12233" s="59">
        <v>31</v>
      </c>
      <c r="C12233" s="59">
        <v>530</v>
      </c>
      <c r="D12233" s="51">
        <v>1</v>
      </c>
      <c r="E12233" s="51">
        <f t="shared" si="191"/>
        <v>1</v>
      </c>
    </row>
    <row r="12234" spans="1:5">
      <c r="A12234" s="59">
        <v>27</v>
      </c>
      <c r="B12234" s="59">
        <v>31</v>
      </c>
      <c r="C12234" s="59">
        <v>720</v>
      </c>
      <c r="D12234" s="51">
        <v>1</v>
      </c>
      <c r="E12234" s="51">
        <f t="shared" si="191"/>
        <v>1</v>
      </c>
    </row>
    <row r="12235" spans="1:5">
      <c r="A12235" s="59">
        <v>27</v>
      </c>
      <c r="B12235" s="59">
        <v>31</v>
      </c>
      <c r="C12235" s="59">
        <v>895</v>
      </c>
      <c r="D12235" s="51">
        <v>1</v>
      </c>
      <c r="E12235" s="51">
        <f t="shared" si="191"/>
        <v>1</v>
      </c>
    </row>
    <row r="12236" spans="1:5">
      <c r="A12236" s="59">
        <v>27</v>
      </c>
      <c r="B12236" s="59">
        <v>32</v>
      </c>
      <c r="C12236" s="59">
        <v>150</v>
      </c>
      <c r="D12236" s="51">
        <v>1</v>
      </c>
      <c r="E12236" s="51">
        <f t="shared" si="191"/>
        <v>1</v>
      </c>
    </row>
    <row r="12237" spans="1:5">
      <c r="A12237" s="59">
        <v>27</v>
      </c>
      <c r="B12237" s="59">
        <v>32</v>
      </c>
      <c r="C12237" s="59">
        <v>630</v>
      </c>
      <c r="D12237" s="51">
        <v>1</v>
      </c>
      <c r="E12237" s="51">
        <f t="shared" si="191"/>
        <v>1</v>
      </c>
    </row>
    <row r="12238" spans="1:5">
      <c r="A12238" s="59">
        <v>27</v>
      </c>
      <c r="B12238" s="59">
        <v>32</v>
      </c>
      <c r="C12238" s="59">
        <v>710</v>
      </c>
      <c r="D12238" s="51">
        <v>1</v>
      </c>
      <c r="E12238" s="51">
        <f t="shared" si="191"/>
        <v>1</v>
      </c>
    </row>
    <row r="12239" spans="1:5">
      <c r="A12239" s="59">
        <v>27</v>
      </c>
      <c r="B12239" s="59">
        <v>32</v>
      </c>
      <c r="C12239" s="59">
        <v>930</v>
      </c>
      <c r="D12239" s="51">
        <v>1</v>
      </c>
      <c r="E12239" s="51">
        <f t="shared" si="191"/>
        <v>1</v>
      </c>
    </row>
    <row r="12240" spans="1:5">
      <c r="A12240" s="59">
        <v>27</v>
      </c>
      <c r="B12240" s="59">
        <v>33</v>
      </c>
      <c r="C12240" s="59">
        <v>130</v>
      </c>
      <c r="D12240" s="51">
        <v>1</v>
      </c>
      <c r="E12240" s="51">
        <f t="shared" si="191"/>
        <v>1</v>
      </c>
    </row>
    <row r="12241" spans="1:5">
      <c r="A12241" s="59">
        <v>27</v>
      </c>
      <c r="B12241" s="59">
        <v>33</v>
      </c>
      <c r="C12241" s="59">
        <v>210</v>
      </c>
      <c r="D12241" s="51">
        <v>1</v>
      </c>
      <c r="E12241" s="51">
        <f t="shared" si="191"/>
        <v>1</v>
      </c>
    </row>
    <row r="12242" spans="1:5">
      <c r="A12242" s="59">
        <v>27</v>
      </c>
      <c r="B12242" s="59">
        <v>33</v>
      </c>
      <c r="C12242" s="59">
        <v>230</v>
      </c>
      <c r="D12242" s="51">
        <v>1</v>
      </c>
      <c r="E12242" s="51">
        <f t="shared" si="191"/>
        <v>1</v>
      </c>
    </row>
    <row r="12243" spans="1:5">
      <c r="A12243" s="59">
        <v>27</v>
      </c>
      <c r="B12243" s="59">
        <v>33</v>
      </c>
      <c r="C12243" s="59">
        <v>240</v>
      </c>
      <c r="D12243" s="51">
        <v>1</v>
      </c>
      <c r="E12243" s="51">
        <f t="shared" si="191"/>
        <v>1</v>
      </c>
    </row>
    <row r="12244" spans="1:5">
      <c r="A12244" s="59">
        <v>27</v>
      </c>
      <c r="B12244" s="59">
        <v>33</v>
      </c>
      <c r="C12244" s="59">
        <v>320</v>
      </c>
      <c r="D12244" s="51">
        <v>1</v>
      </c>
      <c r="E12244" s="51">
        <f t="shared" si="191"/>
        <v>1</v>
      </c>
    </row>
    <row r="12245" spans="1:5">
      <c r="A12245" s="59">
        <v>27</v>
      </c>
      <c r="B12245" s="59">
        <v>33</v>
      </c>
      <c r="C12245" s="59">
        <v>330</v>
      </c>
      <c r="D12245" s="51">
        <v>1</v>
      </c>
      <c r="E12245" s="51">
        <f t="shared" si="191"/>
        <v>1</v>
      </c>
    </row>
    <row r="12246" spans="1:5">
      <c r="A12246" s="59">
        <v>27</v>
      </c>
      <c r="B12246" s="59">
        <v>33</v>
      </c>
      <c r="C12246" s="59">
        <v>930</v>
      </c>
      <c r="D12246" s="51">
        <v>1</v>
      </c>
      <c r="E12246" s="51">
        <f t="shared" si="191"/>
        <v>1</v>
      </c>
    </row>
    <row r="12247" spans="1:5">
      <c r="A12247" s="59">
        <v>27</v>
      </c>
      <c r="B12247" s="59">
        <v>41</v>
      </c>
      <c r="C12247" s="59">
        <v>540</v>
      </c>
      <c r="D12247" s="51">
        <v>1</v>
      </c>
      <c r="E12247" s="51">
        <f t="shared" si="191"/>
        <v>1</v>
      </c>
    </row>
    <row r="12248" spans="1:5">
      <c r="A12248" s="59">
        <v>27</v>
      </c>
      <c r="B12248" s="59">
        <v>41</v>
      </c>
      <c r="C12248" s="59">
        <v>899</v>
      </c>
      <c r="D12248" s="51">
        <v>1</v>
      </c>
      <c r="E12248" s="51">
        <f t="shared" si="191"/>
        <v>1</v>
      </c>
    </row>
    <row r="12249" spans="1:5">
      <c r="A12249" s="59">
        <v>27</v>
      </c>
      <c r="B12249" s="59">
        <v>42</v>
      </c>
      <c r="C12249" s="59">
        <v>310</v>
      </c>
      <c r="D12249" s="51">
        <v>1</v>
      </c>
      <c r="E12249" s="51">
        <f t="shared" si="191"/>
        <v>1</v>
      </c>
    </row>
    <row r="12250" spans="1:5">
      <c r="A12250" s="59">
        <v>27</v>
      </c>
      <c r="B12250" s="59">
        <v>42</v>
      </c>
      <c r="C12250" s="59">
        <v>550</v>
      </c>
      <c r="D12250" s="51">
        <v>1</v>
      </c>
      <c r="E12250" s="51">
        <f t="shared" si="191"/>
        <v>1</v>
      </c>
    </row>
    <row r="12251" spans="1:5">
      <c r="A12251" s="59">
        <v>27</v>
      </c>
      <c r="B12251" s="59">
        <v>42</v>
      </c>
      <c r="C12251" s="59">
        <v>630</v>
      </c>
      <c r="D12251" s="51">
        <v>1</v>
      </c>
      <c r="E12251" s="51">
        <f t="shared" si="191"/>
        <v>1</v>
      </c>
    </row>
    <row r="12252" spans="1:5">
      <c r="A12252" s="59">
        <v>27</v>
      </c>
      <c r="B12252" s="59">
        <v>42</v>
      </c>
      <c r="C12252" s="59">
        <v>831</v>
      </c>
      <c r="D12252" s="51">
        <v>1</v>
      </c>
      <c r="E12252" s="51">
        <f t="shared" si="191"/>
        <v>1</v>
      </c>
    </row>
    <row r="12253" spans="1:5">
      <c r="A12253" s="59">
        <v>27</v>
      </c>
      <c r="B12253" s="59">
        <v>42</v>
      </c>
      <c r="C12253" s="59">
        <v>940</v>
      </c>
      <c r="D12253" s="51">
        <v>1</v>
      </c>
      <c r="E12253" s="51">
        <f t="shared" si="191"/>
        <v>1</v>
      </c>
    </row>
    <row r="12254" spans="1:5">
      <c r="A12254" s="59">
        <v>27</v>
      </c>
      <c r="B12254" s="59">
        <v>42</v>
      </c>
      <c r="C12254" s="59">
        <v>960</v>
      </c>
      <c r="D12254" s="51">
        <v>1</v>
      </c>
      <c r="E12254" s="51">
        <f t="shared" si="191"/>
        <v>1</v>
      </c>
    </row>
    <row r="12255" spans="1:5">
      <c r="A12255" s="59">
        <v>27</v>
      </c>
      <c r="B12255" s="59">
        <v>43</v>
      </c>
      <c r="C12255" s="59">
        <v>630</v>
      </c>
      <c r="D12255" s="51">
        <v>1</v>
      </c>
      <c r="E12255" s="51">
        <f t="shared" si="191"/>
        <v>1</v>
      </c>
    </row>
    <row r="12256" spans="1:5">
      <c r="A12256" s="59">
        <v>27</v>
      </c>
      <c r="B12256" s="59">
        <v>43</v>
      </c>
      <c r="C12256" s="59">
        <v>860</v>
      </c>
      <c r="D12256" s="51">
        <v>1</v>
      </c>
      <c r="E12256" s="51">
        <f t="shared" si="191"/>
        <v>1</v>
      </c>
    </row>
    <row r="12257" spans="1:5">
      <c r="A12257" s="59">
        <v>27</v>
      </c>
      <c r="B12257" s="59">
        <v>43</v>
      </c>
      <c r="C12257" s="59">
        <v>891</v>
      </c>
      <c r="D12257" s="51">
        <v>1</v>
      </c>
      <c r="E12257" s="51">
        <f t="shared" si="191"/>
        <v>1</v>
      </c>
    </row>
    <row r="12258" spans="1:5">
      <c r="A12258" s="59">
        <v>27</v>
      </c>
      <c r="B12258" s="59">
        <v>44</v>
      </c>
      <c r="C12258" s="59">
        <v>410</v>
      </c>
      <c r="D12258" s="51">
        <v>1</v>
      </c>
      <c r="E12258" s="51">
        <f t="shared" si="191"/>
        <v>1</v>
      </c>
    </row>
    <row r="12259" spans="1:5">
      <c r="A12259" s="59">
        <v>27</v>
      </c>
      <c r="B12259" s="59">
        <v>44</v>
      </c>
      <c r="C12259" s="59">
        <v>550</v>
      </c>
      <c r="D12259" s="51">
        <v>1</v>
      </c>
      <c r="E12259" s="51">
        <f t="shared" si="191"/>
        <v>1</v>
      </c>
    </row>
    <row r="12260" spans="1:5">
      <c r="A12260" s="59">
        <v>27</v>
      </c>
      <c r="B12260" s="59">
        <v>51</v>
      </c>
      <c r="C12260" s="59">
        <v>510</v>
      </c>
      <c r="D12260" s="51">
        <v>1</v>
      </c>
      <c r="E12260" s="51">
        <f t="shared" si="191"/>
        <v>1</v>
      </c>
    </row>
    <row r="12261" spans="1:5">
      <c r="A12261" s="59">
        <v>27</v>
      </c>
      <c r="B12261" s="59">
        <v>51</v>
      </c>
      <c r="C12261" s="59">
        <v>520</v>
      </c>
      <c r="D12261" s="51">
        <v>1</v>
      </c>
      <c r="E12261" s="51">
        <f t="shared" si="191"/>
        <v>1</v>
      </c>
    </row>
    <row r="12262" spans="1:5">
      <c r="A12262" s="59">
        <v>27</v>
      </c>
      <c r="B12262" s="59">
        <v>51</v>
      </c>
      <c r="C12262" s="59">
        <v>910</v>
      </c>
      <c r="D12262" s="51">
        <v>1</v>
      </c>
      <c r="E12262" s="51">
        <f t="shared" si="191"/>
        <v>1</v>
      </c>
    </row>
    <row r="12263" spans="1:5">
      <c r="A12263" s="59">
        <v>27</v>
      </c>
      <c r="B12263" s="59">
        <v>51</v>
      </c>
      <c r="C12263" s="59">
        <v>920</v>
      </c>
      <c r="D12263" s="51">
        <v>1</v>
      </c>
      <c r="E12263" s="51">
        <f t="shared" si="191"/>
        <v>1</v>
      </c>
    </row>
    <row r="12264" spans="1:5">
      <c r="A12264" s="59">
        <v>27</v>
      </c>
      <c r="B12264" s="59">
        <v>61</v>
      </c>
      <c r="C12264" s="59">
        <v>910</v>
      </c>
      <c r="D12264" s="51">
        <v>1</v>
      </c>
      <c r="E12264" s="51">
        <f t="shared" si="191"/>
        <v>1</v>
      </c>
    </row>
    <row r="12265" spans="1:5">
      <c r="A12265" s="59">
        <v>27</v>
      </c>
      <c r="B12265" s="59">
        <v>62</v>
      </c>
      <c r="C12265" s="59">
        <v>410</v>
      </c>
      <c r="D12265" s="51">
        <v>1</v>
      </c>
      <c r="E12265" s="51">
        <f t="shared" si="191"/>
        <v>1</v>
      </c>
    </row>
    <row r="12266" spans="1:5">
      <c r="A12266" s="59">
        <v>27</v>
      </c>
      <c r="B12266" s="59">
        <v>62</v>
      </c>
      <c r="C12266" s="59">
        <v>640</v>
      </c>
      <c r="D12266" s="51">
        <v>1</v>
      </c>
      <c r="E12266" s="51">
        <f t="shared" si="191"/>
        <v>1</v>
      </c>
    </row>
    <row r="12267" spans="1:5">
      <c r="A12267" s="59">
        <v>27</v>
      </c>
      <c r="B12267" s="59">
        <v>62</v>
      </c>
      <c r="C12267" s="59">
        <v>861</v>
      </c>
      <c r="D12267" s="51">
        <v>1</v>
      </c>
      <c r="E12267" s="51">
        <f t="shared" si="191"/>
        <v>1</v>
      </c>
    </row>
    <row r="12268" spans="1:5">
      <c r="A12268" s="59">
        <v>27</v>
      </c>
      <c r="B12268" s="59">
        <v>62</v>
      </c>
      <c r="C12268" s="59">
        <v>893</v>
      </c>
      <c r="D12268" s="51">
        <v>1</v>
      </c>
      <c r="E12268" s="51">
        <f t="shared" si="191"/>
        <v>1</v>
      </c>
    </row>
    <row r="12269" spans="1:5">
      <c r="A12269" s="59">
        <v>27</v>
      </c>
      <c r="B12269" s="59">
        <v>62</v>
      </c>
      <c r="C12269" s="59">
        <v>960</v>
      </c>
      <c r="D12269" s="51">
        <v>1</v>
      </c>
      <c r="E12269" s="51">
        <f t="shared" si="191"/>
        <v>1</v>
      </c>
    </row>
    <row r="12270" spans="1:5">
      <c r="A12270" s="59">
        <v>27</v>
      </c>
      <c r="B12270" s="59">
        <v>63</v>
      </c>
      <c r="C12270" s="59">
        <v>210</v>
      </c>
      <c r="D12270" s="51">
        <v>1</v>
      </c>
      <c r="E12270" s="51">
        <f t="shared" si="191"/>
        <v>1</v>
      </c>
    </row>
    <row r="12271" spans="1:5">
      <c r="A12271" s="59">
        <v>27</v>
      </c>
      <c r="B12271" s="59">
        <v>63</v>
      </c>
      <c r="C12271" s="59">
        <v>330</v>
      </c>
      <c r="D12271" s="51">
        <v>1</v>
      </c>
      <c r="E12271" s="51">
        <f t="shared" si="191"/>
        <v>1</v>
      </c>
    </row>
    <row r="12272" spans="1:5">
      <c r="A12272" s="59">
        <v>27</v>
      </c>
      <c r="B12272" s="59">
        <v>63</v>
      </c>
      <c r="C12272" s="59">
        <v>430</v>
      </c>
      <c r="D12272" s="51">
        <v>1</v>
      </c>
      <c r="E12272" s="51">
        <f t="shared" si="191"/>
        <v>1</v>
      </c>
    </row>
    <row r="12273" spans="1:5">
      <c r="A12273" s="59">
        <v>27</v>
      </c>
      <c r="B12273" s="59">
        <v>63</v>
      </c>
      <c r="C12273" s="59">
        <v>950</v>
      </c>
      <c r="D12273" s="51">
        <v>1</v>
      </c>
      <c r="E12273" s="51">
        <f t="shared" si="191"/>
        <v>1</v>
      </c>
    </row>
    <row r="12274" spans="1:5">
      <c r="A12274" s="59">
        <v>27</v>
      </c>
      <c r="B12274" s="59">
        <v>63</v>
      </c>
      <c r="C12274" s="59">
        <v>960</v>
      </c>
      <c r="D12274" s="51">
        <v>1</v>
      </c>
      <c r="E12274" s="51">
        <f t="shared" si="191"/>
        <v>1</v>
      </c>
    </row>
    <row r="12275" spans="1:5">
      <c r="A12275" s="59">
        <v>27</v>
      </c>
      <c r="B12275" s="59">
        <v>64</v>
      </c>
      <c r="C12275" s="59">
        <v>120</v>
      </c>
      <c r="D12275" s="51">
        <v>1</v>
      </c>
      <c r="E12275" s="51">
        <f t="shared" si="191"/>
        <v>1</v>
      </c>
    </row>
    <row r="12276" spans="1:5">
      <c r="A12276" s="59">
        <v>27</v>
      </c>
      <c r="B12276" s="59">
        <v>64</v>
      </c>
      <c r="C12276" s="59">
        <v>881</v>
      </c>
      <c r="D12276" s="51">
        <v>1</v>
      </c>
      <c r="E12276" s="51">
        <f t="shared" si="191"/>
        <v>1</v>
      </c>
    </row>
    <row r="12277" spans="1:5">
      <c r="A12277" s="59">
        <v>27</v>
      </c>
      <c r="B12277" s="59">
        <v>71</v>
      </c>
      <c r="C12277" s="59">
        <v>210</v>
      </c>
      <c r="D12277" s="51">
        <v>1</v>
      </c>
      <c r="E12277" s="51">
        <f t="shared" si="191"/>
        <v>1</v>
      </c>
    </row>
    <row r="12278" spans="1:5">
      <c r="A12278" s="59">
        <v>27</v>
      </c>
      <c r="B12278" s="59">
        <v>71</v>
      </c>
      <c r="C12278" s="59">
        <v>310</v>
      </c>
      <c r="D12278" s="51">
        <v>1</v>
      </c>
      <c r="E12278" s="51">
        <f t="shared" si="191"/>
        <v>1</v>
      </c>
    </row>
    <row r="12279" spans="1:5">
      <c r="A12279" s="59">
        <v>27</v>
      </c>
      <c r="B12279" s="59">
        <v>71</v>
      </c>
      <c r="C12279" s="59">
        <v>950</v>
      </c>
      <c r="D12279" s="51">
        <v>1</v>
      </c>
      <c r="E12279" s="51">
        <f t="shared" si="191"/>
        <v>1</v>
      </c>
    </row>
    <row r="12280" spans="1:5">
      <c r="A12280" s="59">
        <v>27</v>
      </c>
      <c r="B12280" s="59">
        <v>81</v>
      </c>
      <c r="C12280" s="59">
        <v>210</v>
      </c>
      <c r="D12280" s="51">
        <v>1</v>
      </c>
      <c r="E12280" s="51">
        <f t="shared" si="191"/>
        <v>1</v>
      </c>
    </row>
    <row r="12281" spans="1:5">
      <c r="A12281" s="59">
        <v>27</v>
      </c>
      <c r="B12281" s="59">
        <v>81</v>
      </c>
      <c r="C12281" s="59">
        <v>230</v>
      </c>
      <c r="D12281" s="51">
        <v>1</v>
      </c>
      <c r="E12281" s="51">
        <f t="shared" si="191"/>
        <v>1</v>
      </c>
    </row>
    <row r="12282" spans="1:5">
      <c r="A12282" s="59">
        <v>27</v>
      </c>
      <c r="B12282" s="59">
        <v>81</v>
      </c>
      <c r="C12282" s="59">
        <v>310</v>
      </c>
      <c r="D12282" s="51">
        <v>1</v>
      </c>
      <c r="E12282" s="51">
        <f t="shared" si="191"/>
        <v>1</v>
      </c>
    </row>
    <row r="12283" spans="1:5">
      <c r="A12283" s="59">
        <v>27</v>
      </c>
      <c r="B12283" s="59">
        <v>81</v>
      </c>
      <c r="C12283" s="59">
        <v>320</v>
      </c>
      <c r="D12283" s="51">
        <v>1</v>
      </c>
      <c r="E12283" s="51">
        <f t="shared" si="191"/>
        <v>1</v>
      </c>
    </row>
    <row r="12284" spans="1:5">
      <c r="A12284" s="59">
        <v>27</v>
      </c>
      <c r="B12284" s="59">
        <v>81</v>
      </c>
      <c r="C12284" s="59">
        <v>550</v>
      </c>
      <c r="D12284" s="51">
        <v>1</v>
      </c>
      <c r="E12284" s="51">
        <f t="shared" si="191"/>
        <v>1</v>
      </c>
    </row>
    <row r="12285" spans="1:5">
      <c r="A12285" s="59">
        <v>27</v>
      </c>
      <c r="B12285" s="59">
        <v>81</v>
      </c>
      <c r="C12285" s="59">
        <v>893</v>
      </c>
      <c r="D12285" s="51">
        <v>1</v>
      </c>
      <c r="E12285" s="51">
        <f t="shared" si="191"/>
        <v>1</v>
      </c>
    </row>
    <row r="12286" spans="1:5">
      <c r="A12286" s="59">
        <v>28</v>
      </c>
      <c r="B12286" s="59">
        <v>64</v>
      </c>
      <c r="C12286" s="59">
        <v>160</v>
      </c>
      <c r="D12286" s="51">
        <v>26880</v>
      </c>
      <c r="E12286" s="51">
        <f t="shared" si="191"/>
        <v>1</v>
      </c>
    </row>
    <row r="12287" spans="1:5">
      <c r="A12287" s="59">
        <v>28</v>
      </c>
      <c r="B12287" s="59">
        <v>64</v>
      </c>
      <c r="C12287" s="59">
        <v>530</v>
      </c>
      <c r="D12287" s="51">
        <v>24784</v>
      </c>
      <c r="E12287" s="51">
        <f t="shared" si="191"/>
        <v>1</v>
      </c>
    </row>
    <row r="12288" spans="1:5">
      <c r="A12288" s="59">
        <v>28</v>
      </c>
      <c r="B12288" s="59">
        <v>64</v>
      </c>
      <c r="C12288" s="59">
        <v>440</v>
      </c>
      <c r="D12288" s="51">
        <v>24654</v>
      </c>
      <c r="E12288" s="51">
        <f t="shared" si="191"/>
        <v>1</v>
      </c>
    </row>
    <row r="12289" spans="1:5">
      <c r="A12289" s="59">
        <v>28</v>
      </c>
      <c r="B12289" s="59">
        <v>63</v>
      </c>
      <c r="C12289" s="59">
        <v>440</v>
      </c>
      <c r="D12289" s="51">
        <v>23519</v>
      </c>
      <c r="E12289" s="51">
        <f t="shared" si="191"/>
        <v>1</v>
      </c>
    </row>
    <row r="12290" spans="1:5">
      <c r="A12290" s="59">
        <v>28</v>
      </c>
      <c r="B12290" s="59">
        <v>62</v>
      </c>
      <c r="C12290" s="59">
        <v>530</v>
      </c>
      <c r="D12290" s="51">
        <v>14800</v>
      </c>
      <c r="E12290" s="51">
        <f t="shared" ref="E12290:E12353" si="192">IF(OR(A12290=6,A12290=7,A12290=14,A12290=15,A12290=16,A12290=17,A12290=18,A12290=19,A12290=20,A12290=21,A12290=22,A12290=23,A12290=25,A12290=26,A12290=27,A12290=28,B12290=41,B12290=44,B12290=62),1,0)</f>
        <v>1</v>
      </c>
    </row>
    <row r="12291" spans="1:5">
      <c r="A12291" s="59">
        <v>28</v>
      </c>
      <c r="B12291" s="59">
        <v>64</v>
      </c>
      <c r="C12291" s="59">
        <v>510</v>
      </c>
      <c r="D12291" s="51">
        <v>13794</v>
      </c>
      <c r="E12291" s="51">
        <f t="shared" si="192"/>
        <v>1</v>
      </c>
    </row>
    <row r="12292" spans="1:5">
      <c r="A12292" s="59">
        <v>28</v>
      </c>
      <c r="B12292" s="59">
        <v>62</v>
      </c>
      <c r="C12292" s="59">
        <v>990</v>
      </c>
      <c r="D12292" s="51">
        <v>13164</v>
      </c>
      <c r="E12292" s="51">
        <f t="shared" si="192"/>
        <v>1</v>
      </c>
    </row>
    <row r="12293" spans="1:5">
      <c r="A12293" s="59">
        <v>28</v>
      </c>
      <c r="B12293" s="59">
        <v>43</v>
      </c>
      <c r="C12293" s="59">
        <v>530</v>
      </c>
      <c r="D12293" s="51">
        <v>11171</v>
      </c>
      <c r="E12293" s="51">
        <f t="shared" si="192"/>
        <v>1</v>
      </c>
    </row>
    <row r="12294" spans="1:5">
      <c r="A12294" s="59">
        <v>28</v>
      </c>
      <c r="B12294" s="59">
        <v>64</v>
      </c>
      <c r="C12294" s="59">
        <v>110</v>
      </c>
      <c r="D12294" s="51">
        <v>10948</v>
      </c>
      <c r="E12294" s="51">
        <f t="shared" si="192"/>
        <v>1</v>
      </c>
    </row>
    <row r="12295" spans="1:5">
      <c r="A12295" s="59">
        <v>28</v>
      </c>
      <c r="B12295" s="59">
        <v>43</v>
      </c>
      <c r="C12295" s="59">
        <v>160</v>
      </c>
      <c r="D12295" s="51">
        <v>10321</v>
      </c>
      <c r="E12295" s="51">
        <f t="shared" si="192"/>
        <v>1</v>
      </c>
    </row>
    <row r="12296" spans="1:5">
      <c r="A12296" s="59">
        <v>28</v>
      </c>
      <c r="B12296" s="59">
        <v>64</v>
      </c>
      <c r="C12296" s="59">
        <v>410</v>
      </c>
      <c r="D12296" s="51">
        <v>9974</v>
      </c>
      <c r="E12296" s="51">
        <f t="shared" si="192"/>
        <v>1</v>
      </c>
    </row>
    <row r="12297" spans="1:5">
      <c r="A12297" s="59">
        <v>28</v>
      </c>
      <c r="B12297" s="59">
        <v>62</v>
      </c>
      <c r="C12297" s="59">
        <v>440</v>
      </c>
      <c r="D12297" s="51">
        <v>9596</v>
      </c>
      <c r="E12297" s="51">
        <f t="shared" si="192"/>
        <v>1</v>
      </c>
    </row>
    <row r="12298" spans="1:5">
      <c r="A12298" s="59">
        <v>28</v>
      </c>
      <c r="B12298" s="59">
        <v>64</v>
      </c>
      <c r="C12298" s="59">
        <v>910</v>
      </c>
      <c r="D12298" s="51">
        <v>8542</v>
      </c>
      <c r="E12298" s="51">
        <f t="shared" si="192"/>
        <v>1</v>
      </c>
    </row>
    <row r="12299" spans="1:5">
      <c r="A12299" s="59">
        <v>28</v>
      </c>
      <c r="B12299" s="59">
        <v>71</v>
      </c>
      <c r="C12299" s="59">
        <v>610</v>
      </c>
      <c r="D12299" s="51">
        <v>8288</v>
      </c>
      <c r="E12299" s="51">
        <f t="shared" si="192"/>
        <v>1</v>
      </c>
    </row>
    <row r="12300" spans="1:5">
      <c r="A12300" s="59">
        <v>28</v>
      </c>
      <c r="B12300" s="59">
        <v>64</v>
      </c>
      <c r="C12300" s="59">
        <v>150</v>
      </c>
      <c r="D12300" s="51">
        <v>8173</v>
      </c>
      <c r="E12300" s="51">
        <f t="shared" si="192"/>
        <v>1</v>
      </c>
    </row>
    <row r="12301" spans="1:5">
      <c r="A12301" s="59">
        <v>28</v>
      </c>
      <c r="B12301" s="59">
        <v>71</v>
      </c>
      <c r="C12301" s="59">
        <v>440</v>
      </c>
      <c r="D12301" s="51">
        <v>7881</v>
      </c>
      <c r="E12301" s="51">
        <f t="shared" si="192"/>
        <v>1</v>
      </c>
    </row>
    <row r="12302" spans="1:5">
      <c r="A12302" s="59">
        <v>28</v>
      </c>
      <c r="B12302" s="59">
        <v>63</v>
      </c>
      <c r="C12302" s="59">
        <v>510</v>
      </c>
      <c r="D12302" s="51">
        <v>7534</v>
      </c>
      <c r="E12302" s="51">
        <f t="shared" si="192"/>
        <v>1</v>
      </c>
    </row>
    <row r="12303" spans="1:5">
      <c r="A12303" s="59">
        <v>28</v>
      </c>
      <c r="B12303" s="59">
        <v>64</v>
      </c>
      <c r="C12303" s="59">
        <v>210</v>
      </c>
      <c r="D12303" s="51">
        <v>6760</v>
      </c>
      <c r="E12303" s="51">
        <f t="shared" si="192"/>
        <v>1</v>
      </c>
    </row>
    <row r="12304" spans="1:5">
      <c r="A12304" s="59">
        <v>28</v>
      </c>
      <c r="B12304" s="59">
        <v>64</v>
      </c>
      <c r="C12304" s="59">
        <v>430</v>
      </c>
      <c r="D12304" s="51">
        <v>6554</v>
      </c>
      <c r="E12304" s="51">
        <f t="shared" si="192"/>
        <v>1</v>
      </c>
    </row>
    <row r="12305" spans="1:5">
      <c r="A12305" s="59">
        <v>28</v>
      </c>
      <c r="B12305" s="59">
        <v>63</v>
      </c>
      <c r="C12305" s="59">
        <v>530</v>
      </c>
      <c r="D12305" s="51">
        <v>6317</v>
      </c>
      <c r="E12305" s="51">
        <f t="shared" si="192"/>
        <v>1</v>
      </c>
    </row>
    <row r="12306" spans="1:5">
      <c r="A12306" s="59">
        <v>28</v>
      </c>
      <c r="B12306" s="59">
        <v>64</v>
      </c>
      <c r="C12306" s="59">
        <v>990</v>
      </c>
      <c r="D12306" s="51">
        <v>6300</v>
      </c>
      <c r="E12306" s="51">
        <f t="shared" si="192"/>
        <v>1</v>
      </c>
    </row>
    <row r="12307" spans="1:5">
      <c r="A12307" s="59">
        <v>28</v>
      </c>
      <c r="B12307" s="59">
        <v>44</v>
      </c>
      <c r="C12307" s="59">
        <v>530</v>
      </c>
      <c r="D12307" s="51">
        <v>6083</v>
      </c>
      <c r="E12307" s="51">
        <f t="shared" si="192"/>
        <v>1</v>
      </c>
    </row>
    <row r="12308" spans="1:5">
      <c r="A12308" s="59">
        <v>28</v>
      </c>
      <c r="B12308" s="59">
        <v>43</v>
      </c>
      <c r="C12308" s="59">
        <v>210</v>
      </c>
      <c r="D12308" s="51">
        <v>6056</v>
      </c>
      <c r="E12308" s="51">
        <f t="shared" si="192"/>
        <v>1</v>
      </c>
    </row>
    <row r="12309" spans="1:5">
      <c r="A12309" s="59">
        <v>28</v>
      </c>
      <c r="B12309" s="59">
        <v>43</v>
      </c>
      <c r="C12309" s="59">
        <v>910</v>
      </c>
      <c r="D12309" s="51">
        <v>5908</v>
      </c>
      <c r="E12309" s="51">
        <f t="shared" si="192"/>
        <v>1</v>
      </c>
    </row>
    <row r="12310" spans="1:5">
      <c r="A12310" s="59">
        <v>28</v>
      </c>
      <c r="B12310" s="59">
        <v>62</v>
      </c>
      <c r="C12310" s="59">
        <v>510</v>
      </c>
      <c r="D12310" s="51">
        <v>5504</v>
      </c>
      <c r="E12310" s="51">
        <f t="shared" si="192"/>
        <v>1</v>
      </c>
    </row>
    <row r="12311" spans="1:5">
      <c r="A12311" s="59">
        <v>28</v>
      </c>
      <c r="B12311" s="59">
        <v>64</v>
      </c>
      <c r="C12311" s="59">
        <v>620</v>
      </c>
      <c r="D12311" s="51">
        <v>5294</v>
      </c>
      <c r="E12311" s="51">
        <f t="shared" si="192"/>
        <v>1</v>
      </c>
    </row>
    <row r="12312" spans="1:5">
      <c r="A12312" s="59">
        <v>28</v>
      </c>
      <c r="B12312" s="59">
        <v>64</v>
      </c>
      <c r="C12312" s="59">
        <v>550</v>
      </c>
      <c r="D12312" s="51">
        <v>4894</v>
      </c>
      <c r="E12312" s="51">
        <f t="shared" si="192"/>
        <v>1</v>
      </c>
    </row>
    <row r="12313" spans="1:5">
      <c r="A12313" s="59">
        <v>28</v>
      </c>
      <c r="B12313" s="59">
        <v>14</v>
      </c>
      <c r="C12313" s="59">
        <v>150</v>
      </c>
      <c r="D12313" s="51">
        <v>4863</v>
      </c>
      <c r="E12313" s="51">
        <f t="shared" si="192"/>
        <v>1</v>
      </c>
    </row>
    <row r="12314" spans="1:5">
      <c r="A12314" s="59">
        <v>28</v>
      </c>
      <c r="B12314" s="59">
        <v>71</v>
      </c>
      <c r="C12314" s="59">
        <v>620</v>
      </c>
      <c r="D12314" s="51">
        <v>4674</v>
      </c>
      <c r="E12314" s="51">
        <f t="shared" si="192"/>
        <v>1</v>
      </c>
    </row>
    <row r="12315" spans="1:5">
      <c r="A12315" s="59">
        <v>28</v>
      </c>
      <c r="B12315" s="59">
        <v>64</v>
      </c>
      <c r="C12315" s="59">
        <v>610</v>
      </c>
      <c r="D12315" s="51">
        <v>4444</v>
      </c>
      <c r="E12315" s="51">
        <f t="shared" si="192"/>
        <v>1</v>
      </c>
    </row>
    <row r="12316" spans="1:5">
      <c r="A12316" s="59">
        <v>28</v>
      </c>
      <c r="B12316" s="59">
        <v>43</v>
      </c>
      <c r="C12316" s="59">
        <v>510</v>
      </c>
      <c r="D12316" s="51">
        <v>4398</v>
      </c>
      <c r="E12316" s="51">
        <f t="shared" si="192"/>
        <v>1</v>
      </c>
    </row>
    <row r="12317" spans="1:5">
      <c r="A12317" s="59">
        <v>28</v>
      </c>
      <c r="B12317" s="59">
        <v>62</v>
      </c>
      <c r="C12317" s="59">
        <v>160</v>
      </c>
      <c r="D12317" s="51">
        <v>4396</v>
      </c>
      <c r="E12317" s="51">
        <f t="shared" si="192"/>
        <v>1</v>
      </c>
    </row>
    <row r="12318" spans="1:5">
      <c r="A12318" s="59">
        <v>28</v>
      </c>
      <c r="B12318" s="59">
        <v>71</v>
      </c>
      <c r="C12318" s="59">
        <v>160</v>
      </c>
      <c r="D12318" s="51">
        <v>4349</v>
      </c>
      <c r="E12318" s="51">
        <f t="shared" si="192"/>
        <v>1</v>
      </c>
    </row>
    <row r="12319" spans="1:5">
      <c r="A12319" s="59">
        <v>28</v>
      </c>
      <c r="B12319" s="59">
        <v>14</v>
      </c>
      <c r="C12319" s="59">
        <v>910</v>
      </c>
      <c r="D12319" s="51">
        <v>4091</v>
      </c>
      <c r="E12319" s="51">
        <f t="shared" si="192"/>
        <v>1</v>
      </c>
    </row>
    <row r="12320" spans="1:5">
      <c r="A12320" s="59">
        <v>28</v>
      </c>
      <c r="B12320" s="59">
        <v>71</v>
      </c>
      <c r="C12320" s="59">
        <v>530</v>
      </c>
      <c r="D12320" s="51">
        <v>4034</v>
      </c>
      <c r="E12320" s="51">
        <f t="shared" si="192"/>
        <v>1</v>
      </c>
    </row>
    <row r="12321" spans="1:5">
      <c r="A12321" s="59">
        <v>28</v>
      </c>
      <c r="B12321" s="59">
        <v>43</v>
      </c>
      <c r="C12321" s="59">
        <v>410</v>
      </c>
      <c r="D12321" s="51">
        <v>4025</v>
      </c>
      <c r="E12321" s="51">
        <f t="shared" si="192"/>
        <v>1</v>
      </c>
    </row>
    <row r="12322" spans="1:5">
      <c r="A12322" s="59">
        <v>28</v>
      </c>
      <c r="B12322" s="59">
        <v>63</v>
      </c>
      <c r="C12322" s="59">
        <v>610</v>
      </c>
      <c r="D12322" s="51">
        <v>4001</v>
      </c>
      <c r="E12322" s="51">
        <f t="shared" si="192"/>
        <v>1</v>
      </c>
    </row>
    <row r="12323" spans="1:5">
      <c r="A12323" s="59">
        <v>28</v>
      </c>
      <c r="B12323" s="59">
        <v>13</v>
      </c>
      <c r="C12323" s="59">
        <v>150</v>
      </c>
      <c r="D12323" s="51">
        <v>3922</v>
      </c>
      <c r="E12323" s="51">
        <f t="shared" si="192"/>
        <v>1</v>
      </c>
    </row>
    <row r="12324" spans="1:5">
      <c r="A12324" s="59">
        <v>28</v>
      </c>
      <c r="B12324" s="59">
        <v>81</v>
      </c>
      <c r="C12324" s="59">
        <v>990</v>
      </c>
      <c r="D12324" s="51">
        <v>3708</v>
      </c>
      <c r="E12324" s="51">
        <f t="shared" si="192"/>
        <v>1</v>
      </c>
    </row>
    <row r="12325" spans="1:5">
      <c r="A12325" s="59">
        <v>28</v>
      </c>
      <c r="B12325" s="59">
        <v>63</v>
      </c>
      <c r="C12325" s="59">
        <v>160</v>
      </c>
      <c r="D12325" s="51">
        <v>3674</v>
      </c>
      <c r="E12325" s="51">
        <f t="shared" si="192"/>
        <v>1</v>
      </c>
    </row>
    <row r="12326" spans="1:5">
      <c r="A12326" s="59">
        <v>28</v>
      </c>
      <c r="B12326" s="59">
        <v>13</v>
      </c>
      <c r="C12326" s="59">
        <v>160</v>
      </c>
      <c r="D12326" s="51">
        <v>3465</v>
      </c>
      <c r="E12326" s="51">
        <f t="shared" si="192"/>
        <v>1</v>
      </c>
    </row>
    <row r="12327" spans="1:5">
      <c r="A12327" s="59">
        <v>28</v>
      </c>
      <c r="B12327" s="59">
        <v>14</v>
      </c>
      <c r="C12327" s="59">
        <v>160</v>
      </c>
      <c r="D12327" s="51">
        <v>3458</v>
      </c>
      <c r="E12327" s="51">
        <f t="shared" si="192"/>
        <v>1</v>
      </c>
    </row>
    <row r="12328" spans="1:5">
      <c r="A12328" s="59">
        <v>28</v>
      </c>
      <c r="B12328" s="59">
        <v>43</v>
      </c>
      <c r="C12328" s="59">
        <v>990</v>
      </c>
      <c r="D12328" s="51">
        <v>3387</v>
      </c>
      <c r="E12328" s="51">
        <f t="shared" si="192"/>
        <v>1</v>
      </c>
    </row>
    <row r="12329" spans="1:5">
      <c r="A12329" s="59">
        <v>28</v>
      </c>
      <c r="B12329" s="59">
        <v>14</v>
      </c>
      <c r="C12329" s="59">
        <v>110</v>
      </c>
      <c r="D12329" s="51">
        <v>3254</v>
      </c>
      <c r="E12329" s="51">
        <f t="shared" si="192"/>
        <v>1</v>
      </c>
    </row>
    <row r="12330" spans="1:5">
      <c r="A12330" s="59">
        <v>28</v>
      </c>
      <c r="B12330" s="59">
        <v>43</v>
      </c>
      <c r="C12330" s="59">
        <v>430</v>
      </c>
      <c r="D12330" s="51">
        <v>3242</v>
      </c>
      <c r="E12330" s="51">
        <f t="shared" si="192"/>
        <v>1</v>
      </c>
    </row>
    <row r="12331" spans="1:5">
      <c r="A12331" s="59">
        <v>28</v>
      </c>
      <c r="B12331" s="59">
        <v>22</v>
      </c>
      <c r="C12331" s="59">
        <v>210</v>
      </c>
      <c r="D12331" s="51">
        <v>3238</v>
      </c>
      <c r="E12331" s="51">
        <f t="shared" si="192"/>
        <v>1</v>
      </c>
    </row>
    <row r="12332" spans="1:5">
      <c r="A12332" s="59">
        <v>28</v>
      </c>
      <c r="B12332" s="59">
        <v>43</v>
      </c>
      <c r="C12332" s="59">
        <v>440</v>
      </c>
      <c r="D12332" s="51">
        <v>3107</v>
      </c>
      <c r="E12332" s="51">
        <f t="shared" si="192"/>
        <v>1</v>
      </c>
    </row>
    <row r="12333" spans="1:5">
      <c r="A12333" s="59">
        <v>28</v>
      </c>
      <c r="B12333" s="59">
        <v>63</v>
      </c>
      <c r="C12333" s="59">
        <v>990</v>
      </c>
      <c r="D12333" s="51">
        <v>2989</v>
      </c>
      <c r="E12333" s="51">
        <f t="shared" si="192"/>
        <v>1</v>
      </c>
    </row>
    <row r="12334" spans="1:5">
      <c r="A12334" s="59">
        <v>28</v>
      </c>
      <c r="B12334" s="59">
        <v>44</v>
      </c>
      <c r="C12334" s="59">
        <v>510</v>
      </c>
      <c r="D12334" s="51">
        <v>2761</v>
      </c>
      <c r="E12334" s="51">
        <f t="shared" si="192"/>
        <v>1</v>
      </c>
    </row>
    <row r="12335" spans="1:5">
      <c r="A12335" s="59">
        <v>28</v>
      </c>
      <c r="B12335" s="59">
        <v>43</v>
      </c>
      <c r="C12335" s="59">
        <v>150</v>
      </c>
      <c r="D12335" s="51">
        <v>2638</v>
      </c>
      <c r="E12335" s="51">
        <f t="shared" si="192"/>
        <v>1</v>
      </c>
    </row>
    <row r="12336" spans="1:5">
      <c r="A12336" s="59">
        <v>28</v>
      </c>
      <c r="B12336" s="59">
        <v>32</v>
      </c>
      <c r="C12336" s="59">
        <v>410</v>
      </c>
      <c r="D12336" s="51">
        <v>2604</v>
      </c>
      <c r="E12336" s="51">
        <f t="shared" si="192"/>
        <v>1</v>
      </c>
    </row>
    <row r="12337" spans="1:5">
      <c r="A12337" s="59">
        <v>28</v>
      </c>
      <c r="B12337" s="59">
        <v>64</v>
      </c>
      <c r="C12337" s="59">
        <v>420</v>
      </c>
      <c r="D12337" s="51">
        <v>2592</v>
      </c>
      <c r="E12337" s="51">
        <f t="shared" si="192"/>
        <v>1</v>
      </c>
    </row>
    <row r="12338" spans="1:5">
      <c r="A12338" s="59">
        <v>28</v>
      </c>
      <c r="B12338" s="59">
        <v>13</v>
      </c>
      <c r="C12338" s="59">
        <v>910</v>
      </c>
      <c r="D12338" s="51">
        <v>2437</v>
      </c>
      <c r="E12338" s="51">
        <f t="shared" si="192"/>
        <v>1</v>
      </c>
    </row>
    <row r="12339" spans="1:5">
      <c r="A12339" s="59">
        <v>28</v>
      </c>
      <c r="B12339" s="59">
        <v>62</v>
      </c>
      <c r="C12339" s="59">
        <v>620</v>
      </c>
      <c r="D12339" s="51">
        <v>2423</v>
      </c>
      <c r="E12339" s="51">
        <f t="shared" si="192"/>
        <v>1</v>
      </c>
    </row>
    <row r="12340" spans="1:5">
      <c r="A12340" s="59">
        <v>28</v>
      </c>
      <c r="B12340" s="59">
        <v>14</v>
      </c>
      <c r="C12340" s="59">
        <v>210</v>
      </c>
      <c r="D12340" s="51">
        <v>2364</v>
      </c>
      <c r="E12340" s="51">
        <f t="shared" si="192"/>
        <v>1</v>
      </c>
    </row>
    <row r="12341" spans="1:5">
      <c r="A12341" s="59">
        <v>28</v>
      </c>
      <c r="B12341" s="59">
        <v>64</v>
      </c>
      <c r="C12341" s="59">
        <v>310</v>
      </c>
      <c r="D12341" s="51">
        <v>2353</v>
      </c>
      <c r="E12341" s="51">
        <f t="shared" si="192"/>
        <v>1</v>
      </c>
    </row>
    <row r="12342" spans="1:5">
      <c r="A12342" s="59">
        <v>28</v>
      </c>
      <c r="B12342" s="59">
        <v>13</v>
      </c>
      <c r="C12342" s="59">
        <v>110</v>
      </c>
      <c r="D12342" s="51">
        <v>2347</v>
      </c>
      <c r="E12342" s="51">
        <f t="shared" si="192"/>
        <v>1</v>
      </c>
    </row>
    <row r="12343" spans="1:5">
      <c r="A12343" s="59">
        <v>28</v>
      </c>
      <c r="B12343" s="59">
        <v>43</v>
      </c>
      <c r="C12343" s="59">
        <v>620</v>
      </c>
      <c r="D12343" s="51">
        <v>2262</v>
      </c>
      <c r="E12343" s="51">
        <f t="shared" si="192"/>
        <v>1</v>
      </c>
    </row>
    <row r="12344" spans="1:5">
      <c r="A12344" s="59">
        <v>28</v>
      </c>
      <c r="B12344" s="59">
        <v>63</v>
      </c>
      <c r="C12344" s="59">
        <v>620</v>
      </c>
      <c r="D12344" s="51">
        <v>2156</v>
      </c>
      <c r="E12344" s="51">
        <f t="shared" si="192"/>
        <v>1</v>
      </c>
    </row>
    <row r="12345" spans="1:5">
      <c r="A12345" s="59">
        <v>28</v>
      </c>
      <c r="B12345" s="59">
        <v>71</v>
      </c>
      <c r="C12345" s="59">
        <v>510</v>
      </c>
      <c r="D12345" s="51">
        <v>2005</v>
      </c>
      <c r="E12345" s="51">
        <f t="shared" si="192"/>
        <v>1</v>
      </c>
    </row>
    <row r="12346" spans="1:5">
      <c r="A12346" s="59">
        <v>28</v>
      </c>
      <c r="B12346" s="59">
        <v>32</v>
      </c>
      <c r="C12346" s="59">
        <v>430</v>
      </c>
      <c r="D12346" s="51">
        <v>1935</v>
      </c>
      <c r="E12346" s="51">
        <f t="shared" si="192"/>
        <v>1</v>
      </c>
    </row>
    <row r="12347" spans="1:5">
      <c r="A12347" s="59">
        <v>28</v>
      </c>
      <c r="B12347" s="59">
        <v>43</v>
      </c>
      <c r="C12347" s="59">
        <v>110</v>
      </c>
      <c r="D12347" s="51">
        <v>1904</v>
      </c>
      <c r="E12347" s="51">
        <f t="shared" si="192"/>
        <v>1</v>
      </c>
    </row>
    <row r="12348" spans="1:5">
      <c r="A12348" s="59">
        <v>28</v>
      </c>
      <c r="B12348" s="59">
        <v>64</v>
      </c>
      <c r="C12348" s="59">
        <v>720</v>
      </c>
      <c r="D12348" s="51">
        <v>1850</v>
      </c>
      <c r="E12348" s="51">
        <f t="shared" si="192"/>
        <v>1</v>
      </c>
    </row>
    <row r="12349" spans="1:5">
      <c r="A12349" s="59">
        <v>28</v>
      </c>
      <c r="B12349" s="59">
        <v>62</v>
      </c>
      <c r="C12349" s="59">
        <v>910</v>
      </c>
      <c r="D12349" s="51">
        <v>1752</v>
      </c>
      <c r="E12349" s="51">
        <f t="shared" si="192"/>
        <v>1</v>
      </c>
    </row>
    <row r="12350" spans="1:5">
      <c r="A12350" s="59">
        <v>28</v>
      </c>
      <c r="B12350" s="59">
        <v>44</v>
      </c>
      <c r="C12350" s="59">
        <v>910</v>
      </c>
      <c r="D12350" s="51">
        <v>1737</v>
      </c>
      <c r="E12350" s="51">
        <f t="shared" si="192"/>
        <v>1</v>
      </c>
    </row>
    <row r="12351" spans="1:5">
      <c r="A12351" s="59">
        <v>28</v>
      </c>
      <c r="B12351" s="59">
        <v>63</v>
      </c>
      <c r="C12351" s="59">
        <v>910</v>
      </c>
      <c r="D12351" s="51">
        <v>1718</v>
      </c>
      <c r="E12351" s="51">
        <f t="shared" si="192"/>
        <v>1</v>
      </c>
    </row>
    <row r="12352" spans="1:5">
      <c r="A12352" s="59">
        <v>28</v>
      </c>
      <c r="B12352" s="59">
        <v>62</v>
      </c>
      <c r="C12352" s="59">
        <v>610</v>
      </c>
      <c r="D12352" s="51">
        <v>1713</v>
      </c>
      <c r="E12352" s="51">
        <f t="shared" si="192"/>
        <v>1</v>
      </c>
    </row>
    <row r="12353" spans="1:5">
      <c r="A12353" s="59">
        <v>28</v>
      </c>
      <c r="B12353" s="59">
        <v>71</v>
      </c>
      <c r="C12353" s="59">
        <v>910</v>
      </c>
      <c r="D12353" s="51">
        <v>1691</v>
      </c>
      <c r="E12353" s="51">
        <f t="shared" si="192"/>
        <v>1</v>
      </c>
    </row>
    <row r="12354" spans="1:5">
      <c r="A12354" s="59">
        <v>28</v>
      </c>
      <c r="B12354" s="59">
        <v>62</v>
      </c>
      <c r="C12354" s="59">
        <v>920</v>
      </c>
      <c r="D12354" s="51">
        <v>1682</v>
      </c>
      <c r="E12354" s="51">
        <f t="shared" ref="E12354:E12417" si="193">IF(OR(A12354=6,A12354=7,A12354=14,A12354=15,A12354=16,A12354=17,A12354=18,A12354=19,A12354=20,A12354=21,A12354=22,A12354=23,A12354=25,A12354=26,A12354=27,A12354=28,B12354=41,B12354=44,B12354=62),1,0)</f>
        <v>1</v>
      </c>
    </row>
    <row r="12355" spans="1:5">
      <c r="A12355" s="59">
        <v>28</v>
      </c>
      <c r="B12355" s="59">
        <v>64</v>
      </c>
      <c r="C12355" s="59">
        <v>540</v>
      </c>
      <c r="D12355" s="51">
        <v>1624</v>
      </c>
      <c r="E12355" s="51">
        <f t="shared" si="193"/>
        <v>1</v>
      </c>
    </row>
    <row r="12356" spans="1:5">
      <c r="A12356" s="59">
        <v>28</v>
      </c>
      <c r="B12356" s="59">
        <v>62</v>
      </c>
      <c r="C12356" s="59">
        <v>750</v>
      </c>
      <c r="D12356" s="51">
        <v>1595</v>
      </c>
      <c r="E12356" s="51">
        <f t="shared" si="193"/>
        <v>1</v>
      </c>
    </row>
    <row r="12357" spans="1:5">
      <c r="A12357" s="59">
        <v>28</v>
      </c>
      <c r="B12357" s="59">
        <v>22</v>
      </c>
      <c r="C12357" s="59">
        <v>910</v>
      </c>
      <c r="D12357" s="51">
        <v>1489</v>
      </c>
      <c r="E12357" s="51">
        <f t="shared" si="193"/>
        <v>1</v>
      </c>
    </row>
    <row r="12358" spans="1:5">
      <c r="A12358" s="59">
        <v>28</v>
      </c>
      <c r="B12358" s="59">
        <v>43</v>
      </c>
      <c r="C12358" s="59">
        <v>610</v>
      </c>
      <c r="D12358" s="51">
        <v>1476</v>
      </c>
      <c r="E12358" s="51">
        <f t="shared" si="193"/>
        <v>1</v>
      </c>
    </row>
    <row r="12359" spans="1:5">
      <c r="A12359" s="59">
        <v>28</v>
      </c>
      <c r="B12359" s="59">
        <v>44</v>
      </c>
      <c r="C12359" s="59">
        <v>892</v>
      </c>
      <c r="D12359" s="51">
        <v>1463</v>
      </c>
      <c r="E12359" s="51">
        <f t="shared" si="193"/>
        <v>1</v>
      </c>
    </row>
    <row r="12360" spans="1:5">
      <c r="A12360" s="59">
        <v>28</v>
      </c>
      <c r="B12360" s="59">
        <v>64</v>
      </c>
      <c r="C12360" s="59">
        <v>920</v>
      </c>
      <c r="D12360" s="51">
        <v>1458</v>
      </c>
      <c r="E12360" s="51">
        <f t="shared" si="193"/>
        <v>1</v>
      </c>
    </row>
    <row r="12361" spans="1:5">
      <c r="A12361" s="59">
        <v>28</v>
      </c>
      <c r="B12361" s="59">
        <v>13</v>
      </c>
      <c r="C12361" s="59">
        <v>210</v>
      </c>
      <c r="D12361" s="51">
        <v>1454</v>
      </c>
      <c r="E12361" s="51">
        <f t="shared" si="193"/>
        <v>1</v>
      </c>
    </row>
    <row r="12362" spans="1:5">
      <c r="A12362" s="59">
        <v>28</v>
      </c>
      <c r="B12362" s="59">
        <v>32</v>
      </c>
      <c r="C12362" s="59">
        <v>420</v>
      </c>
      <c r="D12362" s="51">
        <v>1452</v>
      </c>
      <c r="E12362" s="51">
        <f t="shared" si="193"/>
        <v>1</v>
      </c>
    </row>
    <row r="12363" spans="1:5">
      <c r="A12363" s="59">
        <v>28</v>
      </c>
      <c r="B12363" s="59">
        <v>44</v>
      </c>
      <c r="C12363" s="59">
        <v>920</v>
      </c>
      <c r="D12363" s="51">
        <v>1431</v>
      </c>
      <c r="E12363" s="51">
        <f t="shared" si="193"/>
        <v>1</v>
      </c>
    </row>
    <row r="12364" spans="1:5">
      <c r="A12364" s="59">
        <v>28</v>
      </c>
      <c r="B12364" s="59">
        <v>64</v>
      </c>
      <c r="C12364" s="59">
        <v>240</v>
      </c>
      <c r="D12364" s="51">
        <v>1415</v>
      </c>
      <c r="E12364" s="51">
        <f t="shared" si="193"/>
        <v>1</v>
      </c>
    </row>
    <row r="12365" spans="1:5">
      <c r="A12365" s="59">
        <v>28</v>
      </c>
      <c r="B12365" s="59">
        <v>43</v>
      </c>
      <c r="C12365" s="59">
        <v>970</v>
      </c>
      <c r="D12365" s="51">
        <v>1383</v>
      </c>
      <c r="E12365" s="51">
        <f t="shared" si="193"/>
        <v>1</v>
      </c>
    </row>
    <row r="12366" spans="1:5">
      <c r="A12366" s="59">
        <v>28</v>
      </c>
      <c r="B12366" s="59">
        <v>43</v>
      </c>
      <c r="C12366" s="59">
        <v>920</v>
      </c>
      <c r="D12366" s="51">
        <v>1351</v>
      </c>
      <c r="E12366" s="51">
        <f t="shared" si="193"/>
        <v>1</v>
      </c>
    </row>
    <row r="12367" spans="1:5">
      <c r="A12367" s="59">
        <v>28</v>
      </c>
      <c r="B12367" s="59">
        <v>64</v>
      </c>
      <c r="C12367" s="59">
        <v>230</v>
      </c>
      <c r="D12367" s="51">
        <v>1346</v>
      </c>
      <c r="E12367" s="51">
        <f t="shared" si="193"/>
        <v>1</v>
      </c>
    </row>
    <row r="12368" spans="1:5">
      <c r="A12368" s="59">
        <v>28</v>
      </c>
      <c r="B12368" s="59">
        <v>81</v>
      </c>
      <c r="C12368" s="59">
        <v>530</v>
      </c>
      <c r="D12368" s="51">
        <v>1313</v>
      </c>
      <c r="E12368" s="51">
        <f t="shared" si="193"/>
        <v>1</v>
      </c>
    </row>
    <row r="12369" spans="1:5">
      <c r="A12369" s="59">
        <v>28</v>
      </c>
      <c r="B12369" s="59">
        <v>62</v>
      </c>
      <c r="C12369" s="59">
        <v>720</v>
      </c>
      <c r="D12369" s="51">
        <v>1303</v>
      </c>
      <c r="E12369" s="51">
        <f t="shared" si="193"/>
        <v>1</v>
      </c>
    </row>
    <row r="12370" spans="1:5">
      <c r="A12370" s="59">
        <v>28</v>
      </c>
      <c r="B12370" s="59">
        <v>64</v>
      </c>
      <c r="C12370" s="59">
        <v>970</v>
      </c>
      <c r="D12370" s="51">
        <v>1301</v>
      </c>
      <c r="E12370" s="51">
        <f t="shared" si="193"/>
        <v>1</v>
      </c>
    </row>
    <row r="12371" spans="1:5">
      <c r="A12371" s="59">
        <v>28</v>
      </c>
      <c r="B12371" s="59">
        <v>33</v>
      </c>
      <c r="C12371" s="59">
        <v>410</v>
      </c>
      <c r="D12371" s="51">
        <v>1295</v>
      </c>
      <c r="E12371" s="51">
        <f t="shared" si="193"/>
        <v>1</v>
      </c>
    </row>
    <row r="12372" spans="1:5">
      <c r="A12372" s="59">
        <v>28</v>
      </c>
      <c r="B12372" s="59">
        <v>71</v>
      </c>
      <c r="C12372" s="59">
        <v>110</v>
      </c>
      <c r="D12372" s="51">
        <v>1259</v>
      </c>
      <c r="E12372" s="51">
        <f t="shared" si="193"/>
        <v>1</v>
      </c>
    </row>
    <row r="12373" spans="1:5">
      <c r="A12373" s="59">
        <v>28</v>
      </c>
      <c r="B12373" s="59">
        <v>33</v>
      </c>
      <c r="C12373" s="59">
        <v>430</v>
      </c>
      <c r="D12373" s="51">
        <v>1241</v>
      </c>
      <c r="E12373" s="51">
        <f t="shared" si="193"/>
        <v>1</v>
      </c>
    </row>
    <row r="12374" spans="1:5">
      <c r="A12374" s="59">
        <v>28</v>
      </c>
      <c r="B12374" s="59">
        <v>44</v>
      </c>
      <c r="C12374" s="59">
        <v>990</v>
      </c>
      <c r="D12374" s="51">
        <v>1236</v>
      </c>
      <c r="E12374" s="51">
        <f t="shared" si="193"/>
        <v>1</v>
      </c>
    </row>
    <row r="12375" spans="1:5">
      <c r="A12375" s="59">
        <v>28</v>
      </c>
      <c r="B12375" s="59">
        <v>81</v>
      </c>
      <c r="C12375" s="59">
        <v>160</v>
      </c>
      <c r="D12375" s="51">
        <v>1224</v>
      </c>
      <c r="E12375" s="51">
        <f t="shared" si="193"/>
        <v>1</v>
      </c>
    </row>
    <row r="12376" spans="1:5">
      <c r="A12376" s="59">
        <v>28</v>
      </c>
      <c r="B12376" s="59">
        <v>22</v>
      </c>
      <c r="C12376" s="59">
        <v>230</v>
      </c>
      <c r="D12376" s="51">
        <v>1194</v>
      </c>
      <c r="E12376" s="51">
        <f t="shared" si="193"/>
        <v>1</v>
      </c>
    </row>
    <row r="12377" spans="1:5">
      <c r="A12377" s="59">
        <v>28</v>
      </c>
      <c r="B12377" s="59">
        <v>71</v>
      </c>
      <c r="C12377" s="59">
        <v>640</v>
      </c>
      <c r="D12377" s="51">
        <v>1185</v>
      </c>
      <c r="E12377" s="51">
        <f t="shared" si="193"/>
        <v>1</v>
      </c>
    </row>
    <row r="12378" spans="1:5">
      <c r="A12378" s="59">
        <v>28</v>
      </c>
      <c r="B12378" s="59">
        <v>63</v>
      </c>
      <c r="C12378" s="59">
        <v>550</v>
      </c>
      <c r="D12378" s="51">
        <v>1174</v>
      </c>
      <c r="E12378" s="51">
        <f t="shared" si="193"/>
        <v>1</v>
      </c>
    </row>
    <row r="12379" spans="1:5">
      <c r="A12379" s="59">
        <v>28</v>
      </c>
      <c r="B12379" s="59">
        <v>44</v>
      </c>
      <c r="C12379" s="59">
        <v>610</v>
      </c>
      <c r="D12379" s="51">
        <v>1142</v>
      </c>
      <c r="E12379" s="51">
        <f t="shared" si="193"/>
        <v>1</v>
      </c>
    </row>
    <row r="12380" spans="1:5">
      <c r="A12380" s="59">
        <v>28</v>
      </c>
      <c r="B12380" s="59">
        <v>71</v>
      </c>
      <c r="C12380" s="59">
        <v>550</v>
      </c>
      <c r="D12380" s="51">
        <v>1140</v>
      </c>
      <c r="E12380" s="51">
        <f t="shared" si="193"/>
        <v>1</v>
      </c>
    </row>
    <row r="12381" spans="1:5">
      <c r="A12381" s="59">
        <v>28</v>
      </c>
      <c r="B12381" s="59">
        <v>71</v>
      </c>
      <c r="C12381" s="59">
        <v>990</v>
      </c>
      <c r="D12381" s="51">
        <v>1133</v>
      </c>
      <c r="E12381" s="51">
        <f t="shared" si="193"/>
        <v>1</v>
      </c>
    </row>
    <row r="12382" spans="1:5">
      <c r="A12382" s="59">
        <v>28</v>
      </c>
      <c r="B12382" s="59">
        <v>64</v>
      </c>
      <c r="C12382" s="59">
        <v>640</v>
      </c>
      <c r="D12382" s="51">
        <v>1131</v>
      </c>
      <c r="E12382" s="51">
        <f t="shared" si="193"/>
        <v>1</v>
      </c>
    </row>
    <row r="12383" spans="1:5">
      <c r="A12383" s="59">
        <v>28</v>
      </c>
      <c r="B12383" s="59">
        <v>14</v>
      </c>
      <c r="C12383" s="59">
        <v>310</v>
      </c>
      <c r="D12383" s="51">
        <v>1078</v>
      </c>
      <c r="E12383" s="51">
        <f t="shared" si="193"/>
        <v>1</v>
      </c>
    </row>
    <row r="12384" spans="1:5">
      <c r="A12384" s="59">
        <v>28</v>
      </c>
      <c r="B12384" s="59">
        <v>81</v>
      </c>
      <c r="C12384" s="59">
        <v>440</v>
      </c>
      <c r="D12384" s="51">
        <v>1078</v>
      </c>
      <c r="E12384" s="51">
        <f t="shared" si="193"/>
        <v>1</v>
      </c>
    </row>
    <row r="12385" spans="1:5">
      <c r="A12385" s="59">
        <v>28</v>
      </c>
      <c r="B12385" s="59">
        <v>62</v>
      </c>
      <c r="C12385" s="59">
        <v>150</v>
      </c>
      <c r="D12385" s="51">
        <v>1071</v>
      </c>
      <c r="E12385" s="51">
        <f t="shared" si="193"/>
        <v>1</v>
      </c>
    </row>
    <row r="12386" spans="1:5">
      <c r="A12386" s="59">
        <v>28</v>
      </c>
      <c r="B12386" s="59">
        <v>32</v>
      </c>
      <c r="C12386" s="59">
        <v>910</v>
      </c>
      <c r="D12386" s="51">
        <v>1069</v>
      </c>
      <c r="E12386" s="51">
        <f t="shared" si="193"/>
        <v>1</v>
      </c>
    </row>
    <row r="12387" spans="1:5">
      <c r="A12387" s="59">
        <v>28</v>
      </c>
      <c r="B12387" s="59">
        <v>71</v>
      </c>
      <c r="C12387" s="59">
        <v>920</v>
      </c>
      <c r="D12387" s="51">
        <v>1066</v>
      </c>
      <c r="E12387" s="51">
        <f t="shared" si="193"/>
        <v>1</v>
      </c>
    </row>
    <row r="12388" spans="1:5">
      <c r="A12388" s="59">
        <v>28</v>
      </c>
      <c r="B12388" s="59">
        <v>64</v>
      </c>
      <c r="C12388" s="59">
        <v>330</v>
      </c>
      <c r="D12388" s="51">
        <v>1031</v>
      </c>
      <c r="E12388" s="51">
        <f t="shared" si="193"/>
        <v>1</v>
      </c>
    </row>
    <row r="12389" spans="1:5">
      <c r="A12389" s="59">
        <v>28</v>
      </c>
      <c r="B12389" s="59">
        <v>43</v>
      </c>
      <c r="C12389" s="59">
        <v>420</v>
      </c>
      <c r="D12389" s="51">
        <v>1027</v>
      </c>
      <c r="E12389" s="51">
        <f t="shared" si="193"/>
        <v>1</v>
      </c>
    </row>
    <row r="12390" spans="1:5">
      <c r="A12390" s="59">
        <v>28</v>
      </c>
      <c r="B12390" s="59">
        <v>44</v>
      </c>
      <c r="C12390" s="59">
        <v>160</v>
      </c>
      <c r="D12390" s="51">
        <v>1009</v>
      </c>
      <c r="E12390" s="51">
        <f t="shared" si="193"/>
        <v>1</v>
      </c>
    </row>
    <row r="12391" spans="1:5">
      <c r="A12391" s="59">
        <v>28</v>
      </c>
      <c r="B12391" s="59">
        <v>43</v>
      </c>
      <c r="C12391" s="59">
        <v>240</v>
      </c>
      <c r="D12391" s="51">
        <v>996</v>
      </c>
      <c r="E12391" s="51">
        <f t="shared" si="193"/>
        <v>1</v>
      </c>
    </row>
    <row r="12392" spans="1:5">
      <c r="A12392" s="59">
        <v>28</v>
      </c>
      <c r="B12392" s="59">
        <v>43</v>
      </c>
      <c r="C12392" s="59">
        <v>220</v>
      </c>
      <c r="D12392" s="51">
        <v>963</v>
      </c>
      <c r="E12392" s="51">
        <f t="shared" si="193"/>
        <v>1</v>
      </c>
    </row>
    <row r="12393" spans="1:5">
      <c r="A12393" s="59">
        <v>28</v>
      </c>
      <c r="B12393" s="59">
        <v>44</v>
      </c>
      <c r="C12393" s="59">
        <v>620</v>
      </c>
      <c r="D12393" s="51">
        <v>957</v>
      </c>
      <c r="E12393" s="51">
        <f t="shared" si="193"/>
        <v>1</v>
      </c>
    </row>
    <row r="12394" spans="1:5">
      <c r="A12394" s="59">
        <v>28</v>
      </c>
      <c r="B12394" s="59">
        <v>64</v>
      </c>
      <c r="C12394" s="59">
        <v>730</v>
      </c>
      <c r="D12394" s="51">
        <v>954</v>
      </c>
      <c r="E12394" s="51">
        <f t="shared" si="193"/>
        <v>1</v>
      </c>
    </row>
    <row r="12395" spans="1:5">
      <c r="A12395" s="59">
        <v>28</v>
      </c>
      <c r="B12395" s="59">
        <v>63</v>
      </c>
      <c r="C12395" s="59">
        <v>110</v>
      </c>
      <c r="D12395" s="51">
        <v>941</v>
      </c>
      <c r="E12395" s="51">
        <f t="shared" si="193"/>
        <v>1</v>
      </c>
    </row>
    <row r="12396" spans="1:5">
      <c r="A12396" s="59">
        <v>28</v>
      </c>
      <c r="B12396" s="59">
        <v>22</v>
      </c>
      <c r="C12396" s="59">
        <v>310</v>
      </c>
      <c r="D12396" s="51">
        <v>913</v>
      </c>
      <c r="E12396" s="51">
        <f t="shared" si="193"/>
        <v>1</v>
      </c>
    </row>
    <row r="12397" spans="1:5">
      <c r="A12397" s="59">
        <v>28</v>
      </c>
      <c r="B12397" s="59">
        <v>71</v>
      </c>
      <c r="C12397" s="59">
        <v>630</v>
      </c>
      <c r="D12397" s="51">
        <v>904</v>
      </c>
      <c r="E12397" s="51">
        <f t="shared" si="193"/>
        <v>1</v>
      </c>
    </row>
    <row r="12398" spans="1:5">
      <c r="A12398" s="59">
        <v>28</v>
      </c>
      <c r="B12398" s="59">
        <v>64</v>
      </c>
      <c r="C12398" s="59">
        <v>750</v>
      </c>
      <c r="D12398" s="51">
        <v>903</v>
      </c>
      <c r="E12398" s="51">
        <f t="shared" si="193"/>
        <v>1</v>
      </c>
    </row>
    <row r="12399" spans="1:5">
      <c r="A12399" s="59">
        <v>28</v>
      </c>
      <c r="B12399" s="59">
        <v>15</v>
      </c>
      <c r="C12399" s="59">
        <v>910</v>
      </c>
      <c r="D12399" s="51">
        <v>884</v>
      </c>
      <c r="E12399" s="51">
        <f t="shared" si="193"/>
        <v>1</v>
      </c>
    </row>
    <row r="12400" spans="1:5">
      <c r="A12400" s="59">
        <v>28</v>
      </c>
      <c r="B12400" s="59">
        <v>43</v>
      </c>
      <c r="C12400" s="59">
        <v>892</v>
      </c>
      <c r="D12400" s="51">
        <v>880</v>
      </c>
      <c r="E12400" s="51">
        <f t="shared" si="193"/>
        <v>1</v>
      </c>
    </row>
    <row r="12401" spans="1:5">
      <c r="A12401" s="59">
        <v>28</v>
      </c>
      <c r="B12401" s="59">
        <v>43</v>
      </c>
      <c r="C12401" s="59">
        <v>930</v>
      </c>
      <c r="D12401" s="51">
        <v>880</v>
      </c>
      <c r="E12401" s="51">
        <f t="shared" si="193"/>
        <v>1</v>
      </c>
    </row>
    <row r="12402" spans="1:5">
      <c r="A12402" s="59">
        <v>28</v>
      </c>
      <c r="B12402" s="59">
        <v>81</v>
      </c>
      <c r="C12402" s="59">
        <v>150</v>
      </c>
      <c r="D12402" s="51">
        <v>858</v>
      </c>
      <c r="E12402" s="51">
        <f t="shared" si="193"/>
        <v>1</v>
      </c>
    </row>
    <row r="12403" spans="1:5">
      <c r="A12403" s="59">
        <v>28</v>
      </c>
      <c r="B12403" s="59">
        <v>33</v>
      </c>
      <c r="C12403" s="59">
        <v>420</v>
      </c>
      <c r="D12403" s="51">
        <v>848</v>
      </c>
      <c r="E12403" s="51">
        <f t="shared" si="193"/>
        <v>1</v>
      </c>
    </row>
    <row r="12404" spans="1:5">
      <c r="A12404" s="59">
        <v>28</v>
      </c>
      <c r="B12404" s="59">
        <v>63</v>
      </c>
      <c r="C12404" s="59">
        <v>920</v>
      </c>
      <c r="D12404" s="51">
        <v>847</v>
      </c>
      <c r="E12404" s="51">
        <f t="shared" si="193"/>
        <v>1</v>
      </c>
    </row>
    <row r="12405" spans="1:5">
      <c r="A12405" s="59">
        <v>28</v>
      </c>
      <c r="B12405" s="59">
        <v>42</v>
      </c>
      <c r="C12405" s="59">
        <v>440</v>
      </c>
      <c r="D12405" s="51">
        <v>846</v>
      </c>
      <c r="E12405" s="51">
        <f t="shared" si="193"/>
        <v>1</v>
      </c>
    </row>
    <row r="12406" spans="1:5">
      <c r="A12406" s="59">
        <v>28</v>
      </c>
      <c r="B12406" s="59">
        <v>71</v>
      </c>
      <c r="C12406" s="59">
        <v>410</v>
      </c>
      <c r="D12406" s="51">
        <v>814</v>
      </c>
      <c r="E12406" s="51">
        <f t="shared" si="193"/>
        <v>1</v>
      </c>
    </row>
    <row r="12407" spans="1:5">
      <c r="A12407" s="59">
        <v>28</v>
      </c>
      <c r="B12407" s="59">
        <v>64</v>
      </c>
      <c r="C12407" s="59">
        <v>520</v>
      </c>
      <c r="D12407" s="51">
        <v>796</v>
      </c>
      <c r="E12407" s="51">
        <f t="shared" si="193"/>
        <v>1</v>
      </c>
    </row>
    <row r="12408" spans="1:5">
      <c r="A12408" s="59">
        <v>28</v>
      </c>
      <c r="B12408" s="59">
        <v>41</v>
      </c>
      <c r="C12408" s="59">
        <v>530</v>
      </c>
      <c r="D12408" s="51">
        <v>786</v>
      </c>
      <c r="E12408" s="51">
        <f t="shared" si="193"/>
        <v>1</v>
      </c>
    </row>
    <row r="12409" spans="1:5">
      <c r="A12409" s="59">
        <v>28</v>
      </c>
      <c r="B12409" s="59">
        <v>62</v>
      </c>
      <c r="C12409" s="59">
        <v>110</v>
      </c>
      <c r="D12409" s="51">
        <v>782</v>
      </c>
      <c r="E12409" s="51">
        <f t="shared" si="193"/>
        <v>1</v>
      </c>
    </row>
    <row r="12410" spans="1:5">
      <c r="A12410" s="59">
        <v>28</v>
      </c>
      <c r="B12410" s="59">
        <v>64</v>
      </c>
      <c r="C12410" s="59">
        <v>220</v>
      </c>
      <c r="D12410" s="51">
        <v>782</v>
      </c>
      <c r="E12410" s="51">
        <f t="shared" si="193"/>
        <v>1</v>
      </c>
    </row>
    <row r="12411" spans="1:5">
      <c r="A12411" s="59">
        <v>28</v>
      </c>
      <c r="B12411" s="59">
        <v>33</v>
      </c>
      <c r="C12411" s="59">
        <v>910</v>
      </c>
      <c r="D12411" s="51">
        <v>780</v>
      </c>
      <c r="E12411" s="51">
        <f t="shared" si="193"/>
        <v>1</v>
      </c>
    </row>
    <row r="12412" spans="1:5">
      <c r="A12412" s="59">
        <v>28</v>
      </c>
      <c r="B12412" s="59">
        <v>42</v>
      </c>
      <c r="C12412" s="59">
        <v>160</v>
      </c>
      <c r="D12412" s="51">
        <v>776</v>
      </c>
      <c r="E12412" s="51">
        <f t="shared" si="193"/>
        <v>1</v>
      </c>
    </row>
    <row r="12413" spans="1:5">
      <c r="A12413" s="59">
        <v>28</v>
      </c>
      <c r="B12413" s="59">
        <v>43</v>
      </c>
      <c r="C12413" s="59">
        <v>550</v>
      </c>
      <c r="D12413" s="51">
        <v>772</v>
      </c>
      <c r="E12413" s="51">
        <f t="shared" si="193"/>
        <v>1</v>
      </c>
    </row>
    <row r="12414" spans="1:5">
      <c r="A12414" s="59">
        <v>28</v>
      </c>
      <c r="B12414" s="59">
        <v>14</v>
      </c>
      <c r="C12414" s="59">
        <v>330</v>
      </c>
      <c r="D12414" s="51">
        <v>759</v>
      </c>
      <c r="E12414" s="51">
        <f t="shared" si="193"/>
        <v>1</v>
      </c>
    </row>
    <row r="12415" spans="1:5">
      <c r="A12415" s="59">
        <v>28</v>
      </c>
      <c r="B12415" s="59">
        <v>43</v>
      </c>
      <c r="C12415" s="59">
        <v>720</v>
      </c>
      <c r="D12415" s="51">
        <v>747</v>
      </c>
      <c r="E12415" s="51">
        <f t="shared" si="193"/>
        <v>1</v>
      </c>
    </row>
    <row r="12416" spans="1:5">
      <c r="A12416" s="59">
        <v>28</v>
      </c>
      <c r="B12416" s="59">
        <v>63</v>
      </c>
      <c r="C12416" s="59">
        <v>150</v>
      </c>
      <c r="D12416" s="51">
        <v>739</v>
      </c>
      <c r="E12416" s="51">
        <f t="shared" si="193"/>
        <v>1</v>
      </c>
    </row>
    <row r="12417" spans="1:5">
      <c r="A12417" s="59">
        <v>28</v>
      </c>
      <c r="B12417" s="59">
        <v>14</v>
      </c>
      <c r="C12417" s="59">
        <v>140</v>
      </c>
      <c r="D12417" s="51">
        <v>730</v>
      </c>
      <c r="E12417" s="51">
        <f t="shared" si="193"/>
        <v>1</v>
      </c>
    </row>
    <row r="12418" spans="1:5">
      <c r="A12418" s="59">
        <v>28</v>
      </c>
      <c r="B12418" s="59">
        <v>63</v>
      </c>
      <c r="C12418" s="59">
        <v>430</v>
      </c>
      <c r="D12418" s="51">
        <v>725</v>
      </c>
      <c r="E12418" s="51">
        <f t="shared" ref="E12418:E12481" si="194">IF(OR(A12418=6,A12418=7,A12418=14,A12418=15,A12418=16,A12418=17,A12418=18,A12418=19,A12418=20,A12418=21,A12418=22,A12418=23,A12418=25,A12418=26,A12418=27,A12418=28,B12418=41,B12418=44,B12418=62),1,0)</f>
        <v>1</v>
      </c>
    </row>
    <row r="12419" spans="1:5">
      <c r="A12419" s="59">
        <v>28</v>
      </c>
      <c r="B12419" s="59">
        <v>16</v>
      </c>
      <c r="C12419" s="59">
        <v>210</v>
      </c>
      <c r="D12419" s="51">
        <v>722</v>
      </c>
      <c r="E12419" s="51">
        <f t="shared" si="194"/>
        <v>1</v>
      </c>
    </row>
    <row r="12420" spans="1:5">
      <c r="A12420" s="59">
        <v>28</v>
      </c>
      <c r="B12420" s="59">
        <v>22</v>
      </c>
      <c r="C12420" s="59">
        <v>110</v>
      </c>
      <c r="D12420" s="51">
        <v>697</v>
      </c>
      <c r="E12420" s="51">
        <f t="shared" si="194"/>
        <v>1</v>
      </c>
    </row>
    <row r="12421" spans="1:5">
      <c r="A12421" s="59">
        <v>28</v>
      </c>
      <c r="B12421" s="59">
        <v>62</v>
      </c>
      <c r="C12421" s="59">
        <v>730</v>
      </c>
      <c r="D12421" s="51">
        <v>686</v>
      </c>
      <c r="E12421" s="51">
        <f t="shared" si="194"/>
        <v>1</v>
      </c>
    </row>
    <row r="12422" spans="1:5">
      <c r="A12422" s="59">
        <v>28</v>
      </c>
      <c r="B12422" s="59">
        <v>43</v>
      </c>
      <c r="C12422" s="59">
        <v>230</v>
      </c>
      <c r="D12422" s="51">
        <v>674</v>
      </c>
      <c r="E12422" s="51">
        <f t="shared" si="194"/>
        <v>1</v>
      </c>
    </row>
    <row r="12423" spans="1:5">
      <c r="A12423" s="59">
        <v>28</v>
      </c>
      <c r="B12423" s="59">
        <v>13</v>
      </c>
      <c r="C12423" s="59">
        <v>410</v>
      </c>
      <c r="D12423" s="51">
        <v>670</v>
      </c>
      <c r="E12423" s="51">
        <f t="shared" si="194"/>
        <v>1</v>
      </c>
    </row>
    <row r="12424" spans="1:5">
      <c r="A12424" s="59">
        <v>28</v>
      </c>
      <c r="B12424" s="59">
        <v>63</v>
      </c>
      <c r="C12424" s="59">
        <v>720</v>
      </c>
      <c r="D12424" s="51">
        <v>663</v>
      </c>
      <c r="E12424" s="51">
        <f t="shared" si="194"/>
        <v>1</v>
      </c>
    </row>
    <row r="12425" spans="1:5">
      <c r="A12425" s="59">
        <v>28</v>
      </c>
      <c r="B12425" s="59">
        <v>71</v>
      </c>
      <c r="C12425" s="59">
        <v>540</v>
      </c>
      <c r="D12425" s="51">
        <v>654</v>
      </c>
      <c r="E12425" s="51">
        <f t="shared" si="194"/>
        <v>1</v>
      </c>
    </row>
    <row r="12426" spans="1:5">
      <c r="A12426" s="59">
        <v>28</v>
      </c>
      <c r="B12426" s="59">
        <v>43</v>
      </c>
      <c r="C12426" s="59">
        <v>330</v>
      </c>
      <c r="D12426" s="51">
        <v>652</v>
      </c>
      <c r="E12426" s="51">
        <f t="shared" si="194"/>
        <v>1</v>
      </c>
    </row>
    <row r="12427" spans="1:5">
      <c r="A12427" s="59">
        <v>28</v>
      </c>
      <c r="B12427" s="59">
        <v>13</v>
      </c>
      <c r="C12427" s="59">
        <v>310</v>
      </c>
      <c r="D12427" s="51">
        <v>649</v>
      </c>
      <c r="E12427" s="51">
        <f t="shared" si="194"/>
        <v>1</v>
      </c>
    </row>
    <row r="12428" spans="1:5">
      <c r="A12428" s="59">
        <v>28</v>
      </c>
      <c r="B12428" s="59">
        <v>62</v>
      </c>
      <c r="C12428" s="59">
        <v>550</v>
      </c>
      <c r="D12428" s="51">
        <v>646</v>
      </c>
      <c r="E12428" s="51">
        <f t="shared" si="194"/>
        <v>1</v>
      </c>
    </row>
    <row r="12429" spans="1:5">
      <c r="A12429" s="59">
        <v>28</v>
      </c>
      <c r="B12429" s="59">
        <v>63</v>
      </c>
      <c r="C12429" s="59">
        <v>410</v>
      </c>
      <c r="D12429" s="51">
        <v>643</v>
      </c>
      <c r="E12429" s="51">
        <f t="shared" si="194"/>
        <v>1</v>
      </c>
    </row>
    <row r="12430" spans="1:5">
      <c r="A12430" s="59">
        <v>28</v>
      </c>
      <c r="B12430" s="59">
        <v>43</v>
      </c>
      <c r="C12430" s="59">
        <v>310</v>
      </c>
      <c r="D12430" s="51">
        <v>638</v>
      </c>
      <c r="E12430" s="51">
        <f t="shared" si="194"/>
        <v>1</v>
      </c>
    </row>
    <row r="12431" spans="1:5">
      <c r="A12431" s="59">
        <v>28</v>
      </c>
      <c r="B12431" s="59">
        <v>43</v>
      </c>
      <c r="C12431" s="59">
        <v>960</v>
      </c>
      <c r="D12431" s="51">
        <v>630</v>
      </c>
      <c r="E12431" s="51">
        <f t="shared" si="194"/>
        <v>1</v>
      </c>
    </row>
    <row r="12432" spans="1:5">
      <c r="A12432" s="59">
        <v>28</v>
      </c>
      <c r="B12432" s="59">
        <v>64</v>
      </c>
      <c r="C12432" s="59">
        <v>950</v>
      </c>
      <c r="D12432" s="51">
        <v>626</v>
      </c>
      <c r="E12432" s="51">
        <f t="shared" si="194"/>
        <v>1</v>
      </c>
    </row>
    <row r="12433" spans="1:5">
      <c r="A12433" s="59">
        <v>28</v>
      </c>
      <c r="B12433" s="59">
        <v>42</v>
      </c>
      <c r="C12433" s="59">
        <v>620</v>
      </c>
      <c r="D12433" s="51">
        <v>625</v>
      </c>
      <c r="E12433" s="51">
        <f t="shared" si="194"/>
        <v>1</v>
      </c>
    </row>
    <row r="12434" spans="1:5">
      <c r="A12434" s="59">
        <v>28</v>
      </c>
      <c r="B12434" s="59">
        <v>22</v>
      </c>
      <c r="C12434" s="59">
        <v>240</v>
      </c>
      <c r="D12434" s="51">
        <v>614</v>
      </c>
      <c r="E12434" s="51">
        <f t="shared" si="194"/>
        <v>1</v>
      </c>
    </row>
    <row r="12435" spans="1:5">
      <c r="A12435" s="59">
        <v>28</v>
      </c>
      <c r="B12435" s="59">
        <v>44</v>
      </c>
      <c r="C12435" s="59">
        <v>861</v>
      </c>
      <c r="D12435" s="51">
        <v>601</v>
      </c>
      <c r="E12435" s="51">
        <f t="shared" si="194"/>
        <v>1</v>
      </c>
    </row>
    <row r="12436" spans="1:5">
      <c r="A12436" s="59">
        <v>28</v>
      </c>
      <c r="B12436" s="59">
        <v>14</v>
      </c>
      <c r="C12436" s="59">
        <v>530</v>
      </c>
      <c r="D12436" s="51">
        <v>588</v>
      </c>
      <c r="E12436" s="51">
        <f t="shared" si="194"/>
        <v>1</v>
      </c>
    </row>
    <row r="12437" spans="1:5">
      <c r="A12437" s="59">
        <v>28</v>
      </c>
      <c r="B12437" s="59">
        <v>43</v>
      </c>
      <c r="C12437" s="59">
        <v>840</v>
      </c>
      <c r="D12437" s="51">
        <v>588</v>
      </c>
      <c r="E12437" s="51">
        <f t="shared" si="194"/>
        <v>1</v>
      </c>
    </row>
    <row r="12438" spans="1:5">
      <c r="A12438" s="59">
        <v>28</v>
      </c>
      <c r="B12438" s="59">
        <v>42</v>
      </c>
      <c r="C12438" s="59">
        <v>530</v>
      </c>
      <c r="D12438" s="51">
        <v>584</v>
      </c>
      <c r="E12438" s="51">
        <f t="shared" si="194"/>
        <v>1</v>
      </c>
    </row>
    <row r="12439" spans="1:5">
      <c r="A12439" s="59">
        <v>28</v>
      </c>
      <c r="B12439" s="59">
        <v>81</v>
      </c>
      <c r="C12439" s="59">
        <v>510</v>
      </c>
      <c r="D12439" s="51">
        <v>584</v>
      </c>
      <c r="E12439" s="51">
        <f t="shared" si="194"/>
        <v>1</v>
      </c>
    </row>
    <row r="12440" spans="1:5">
      <c r="A12440" s="59">
        <v>28</v>
      </c>
      <c r="B12440" s="59">
        <v>22</v>
      </c>
      <c r="C12440" s="59">
        <v>150</v>
      </c>
      <c r="D12440" s="51">
        <v>574</v>
      </c>
      <c r="E12440" s="51">
        <f t="shared" si="194"/>
        <v>1</v>
      </c>
    </row>
    <row r="12441" spans="1:5">
      <c r="A12441" s="59">
        <v>28</v>
      </c>
      <c r="B12441" s="59">
        <v>16</v>
      </c>
      <c r="C12441" s="59">
        <v>910</v>
      </c>
      <c r="D12441" s="51">
        <v>572</v>
      </c>
      <c r="E12441" s="51">
        <f t="shared" si="194"/>
        <v>1</v>
      </c>
    </row>
    <row r="12442" spans="1:5">
      <c r="A12442" s="59">
        <v>28</v>
      </c>
      <c r="B12442" s="59">
        <v>71</v>
      </c>
      <c r="C12442" s="59">
        <v>210</v>
      </c>
      <c r="D12442" s="51">
        <v>569</v>
      </c>
      <c r="E12442" s="51">
        <f t="shared" si="194"/>
        <v>1</v>
      </c>
    </row>
    <row r="12443" spans="1:5">
      <c r="A12443" s="59">
        <v>28</v>
      </c>
      <c r="B12443" s="59">
        <v>81</v>
      </c>
      <c r="C12443" s="59">
        <v>831</v>
      </c>
      <c r="D12443" s="51">
        <v>560</v>
      </c>
      <c r="E12443" s="51">
        <f t="shared" si="194"/>
        <v>1</v>
      </c>
    </row>
    <row r="12444" spans="1:5">
      <c r="A12444" s="59">
        <v>28</v>
      </c>
      <c r="B12444" s="59">
        <v>81</v>
      </c>
      <c r="C12444" s="59">
        <v>610</v>
      </c>
      <c r="D12444" s="51">
        <v>552</v>
      </c>
      <c r="E12444" s="51">
        <f t="shared" si="194"/>
        <v>1</v>
      </c>
    </row>
    <row r="12445" spans="1:5">
      <c r="A12445" s="59">
        <v>28</v>
      </c>
      <c r="B12445" s="59">
        <v>81</v>
      </c>
      <c r="C12445" s="59">
        <v>620</v>
      </c>
      <c r="D12445" s="51">
        <v>551</v>
      </c>
      <c r="E12445" s="51">
        <f t="shared" si="194"/>
        <v>1</v>
      </c>
    </row>
    <row r="12446" spans="1:5">
      <c r="A12446" s="59">
        <v>28</v>
      </c>
      <c r="B12446" s="59">
        <v>42</v>
      </c>
      <c r="C12446" s="59">
        <v>610</v>
      </c>
      <c r="D12446" s="51">
        <v>550</v>
      </c>
      <c r="E12446" s="51">
        <f t="shared" si="194"/>
        <v>1</v>
      </c>
    </row>
    <row r="12447" spans="1:5">
      <c r="A12447" s="59">
        <v>28</v>
      </c>
      <c r="B12447" s="59">
        <v>16</v>
      </c>
      <c r="C12447" s="59">
        <v>150</v>
      </c>
      <c r="D12447" s="51">
        <v>549</v>
      </c>
      <c r="E12447" s="51">
        <f t="shared" si="194"/>
        <v>1</v>
      </c>
    </row>
    <row r="12448" spans="1:5">
      <c r="A12448" s="59">
        <v>28</v>
      </c>
      <c r="B12448" s="59">
        <v>13</v>
      </c>
      <c r="C12448" s="59">
        <v>530</v>
      </c>
      <c r="D12448" s="51">
        <v>543</v>
      </c>
      <c r="E12448" s="51">
        <f t="shared" si="194"/>
        <v>1</v>
      </c>
    </row>
    <row r="12449" spans="1:5">
      <c r="A12449" s="59">
        <v>28</v>
      </c>
      <c r="B12449" s="59">
        <v>43</v>
      </c>
      <c r="C12449" s="59">
        <v>730</v>
      </c>
      <c r="D12449" s="51">
        <v>528</v>
      </c>
      <c r="E12449" s="51">
        <f t="shared" si="194"/>
        <v>1</v>
      </c>
    </row>
    <row r="12450" spans="1:5">
      <c r="A12450" s="59">
        <v>28</v>
      </c>
      <c r="B12450" s="59">
        <v>44</v>
      </c>
      <c r="C12450" s="59">
        <v>899</v>
      </c>
      <c r="D12450" s="51">
        <v>525</v>
      </c>
      <c r="E12450" s="51">
        <f t="shared" si="194"/>
        <v>1</v>
      </c>
    </row>
    <row r="12451" spans="1:5">
      <c r="A12451" s="59">
        <v>28</v>
      </c>
      <c r="B12451" s="59">
        <v>44</v>
      </c>
      <c r="C12451" s="59">
        <v>220</v>
      </c>
      <c r="D12451" s="51">
        <v>510</v>
      </c>
      <c r="E12451" s="51">
        <f t="shared" si="194"/>
        <v>1</v>
      </c>
    </row>
    <row r="12452" spans="1:5">
      <c r="A12452" s="59">
        <v>28</v>
      </c>
      <c r="B12452" s="59">
        <v>15</v>
      </c>
      <c r="C12452" s="59">
        <v>150</v>
      </c>
      <c r="D12452" s="51">
        <v>495</v>
      </c>
      <c r="E12452" s="51">
        <f t="shared" si="194"/>
        <v>1</v>
      </c>
    </row>
    <row r="12453" spans="1:5">
      <c r="A12453" s="59">
        <v>28</v>
      </c>
      <c r="B12453" s="59">
        <v>33</v>
      </c>
      <c r="C12453" s="59">
        <v>210</v>
      </c>
      <c r="D12453" s="51">
        <v>492</v>
      </c>
      <c r="E12453" s="51">
        <f t="shared" si="194"/>
        <v>1</v>
      </c>
    </row>
    <row r="12454" spans="1:5">
      <c r="A12454" s="59">
        <v>28</v>
      </c>
      <c r="B12454" s="59">
        <v>43</v>
      </c>
      <c r="C12454" s="59">
        <v>540</v>
      </c>
      <c r="D12454" s="51">
        <v>480</v>
      </c>
      <c r="E12454" s="51">
        <f t="shared" si="194"/>
        <v>1</v>
      </c>
    </row>
    <row r="12455" spans="1:5">
      <c r="A12455" s="59">
        <v>28</v>
      </c>
      <c r="B12455" s="59">
        <v>64</v>
      </c>
      <c r="C12455" s="59">
        <v>820</v>
      </c>
      <c r="D12455" s="51">
        <v>479</v>
      </c>
      <c r="E12455" s="51">
        <f t="shared" si="194"/>
        <v>1</v>
      </c>
    </row>
    <row r="12456" spans="1:5">
      <c r="A12456" s="59">
        <v>28</v>
      </c>
      <c r="B12456" s="59">
        <v>14</v>
      </c>
      <c r="C12456" s="59">
        <v>410</v>
      </c>
      <c r="D12456" s="51">
        <v>476</v>
      </c>
      <c r="E12456" s="51">
        <f t="shared" si="194"/>
        <v>1</v>
      </c>
    </row>
    <row r="12457" spans="1:5">
      <c r="A12457" s="59">
        <v>28</v>
      </c>
      <c r="B12457" s="59">
        <v>71</v>
      </c>
      <c r="C12457" s="59">
        <v>150</v>
      </c>
      <c r="D12457" s="51">
        <v>476</v>
      </c>
      <c r="E12457" s="51">
        <f t="shared" si="194"/>
        <v>1</v>
      </c>
    </row>
    <row r="12458" spans="1:5">
      <c r="A12458" s="59">
        <v>28</v>
      </c>
      <c r="B12458" s="59">
        <v>15</v>
      </c>
      <c r="C12458" s="59">
        <v>160</v>
      </c>
      <c r="D12458" s="51">
        <v>473</v>
      </c>
      <c r="E12458" s="51">
        <f t="shared" si="194"/>
        <v>1</v>
      </c>
    </row>
    <row r="12459" spans="1:5">
      <c r="A12459" s="59">
        <v>28</v>
      </c>
      <c r="B12459" s="59">
        <v>41</v>
      </c>
      <c r="C12459" s="59">
        <v>160</v>
      </c>
      <c r="D12459" s="51">
        <v>464</v>
      </c>
      <c r="E12459" s="51">
        <f t="shared" si="194"/>
        <v>1</v>
      </c>
    </row>
    <row r="12460" spans="1:5">
      <c r="A12460" s="59">
        <v>28</v>
      </c>
      <c r="B12460" s="59">
        <v>44</v>
      </c>
      <c r="C12460" s="59">
        <v>930</v>
      </c>
      <c r="D12460" s="51">
        <v>459</v>
      </c>
      <c r="E12460" s="51">
        <f t="shared" si="194"/>
        <v>1</v>
      </c>
    </row>
    <row r="12461" spans="1:5">
      <c r="A12461" s="59">
        <v>28</v>
      </c>
      <c r="B12461" s="59">
        <v>64</v>
      </c>
      <c r="C12461" s="59">
        <v>320</v>
      </c>
      <c r="D12461" s="51">
        <v>457</v>
      </c>
      <c r="E12461" s="51">
        <f t="shared" si="194"/>
        <v>1</v>
      </c>
    </row>
    <row r="12462" spans="1:5">
      <c r="A12462" s="59">
        <v>28</v>
      </c>
      <c r="B12462" s="59">
        <v>13</v>
      </c>
      <c r="C12462" s="59">
        <v>330</v>
      </c>
      <c r="D12462" s="51">
        <v>454</v>
      </c>
      <c r="E12462" s="51">
        <f t="shared" si="194"/>
        <v>1</v>
      </c>
    </row>
    <row r="12463" spans="1:5">
      <c r="A12463" s="59">
        <v>28</v>
      </c>
      <c r="B12463" s="59">
        <v>42</v>
      </c>
      <c r="C12463" s="59">
        <v>910</v>
      </c>
      <c r="D12463" s="51">
        <v>447</v>
      </c>
      <c r="E12463" s="51">
        <f t="shared" si="194"/>
        <v>1</v>
      </c>
    </row>
    <row r="12464" spans="1:5">
      <c r="A12464" s="59">
        <v>28</v>
      </c>
      <c r="B12464" s="59">
        <v>16</v>
      </c>
      <c r="C12464" s="59">
        <v>110</v>
      </c>
      <c r="D12464" s="51">
        <v>446</v>
      </c>
      <c r="E12464" s="51">
        <f t="shared" si="194"/>
        <v>1</v>
      </c>
    </row>
    <row r="12465" spans="1:5">
      <c r="A12465" s="59">
        <v>28</v>
      </c>
      <c r="B12465" s="59">
        <v>44</v>
      </c>
      <c r="C12465" s="59">
        <v>730</v>
      </c>
      <c r="D12465" s="51">
        <v>442</v>
      </c>
      <c r="E12465" s="51">
        <f t="shared" si="194"/>
        <v>1</v>
      </c>
    </row>
    <row r="12466" spans="1:5">
      <c r="A12466" s="59">
        <v>28</v>
      </c>
      <c r="B12466" s="59">
        <v>81</v>
      </c>
      <c r="C12466" s="59">
        <v>910</v>
      </c>
      <c r="D12466" s="51">
        <v>438</v>
      </c>
      <c r="E12466" s="51">
        <f t="shared" si="194"/>
        <v>1</v>
      </c>
    </row>
    <row r="12467" spans="1:5">
      <c r="A12467" s="59">
        <v>28</v>
      </c>
      <c r="B12467" s="59">
        <v>63</v>
      </c>
      <c r="C12467" s="59">
        <v>210</v>
      </c>
      <c r="D12467" s="51">
        <v>435</v>
      </c>
      <c r="E12467" s="51">
        <f t="shared" si="194"/>
        <v>1</v>
      </c>
    </row>
    <row r="12468" spans="1:5">
      <c r="A12468" s="59">
        <v>28</v>
      </c>
      <c r="B12468" s="59">
        <v>44</v>
      </c>
      <c r="C12468" s="59">
        <v>720</v>
      </c>
      <c r="D12468" s="51">
        <v>429</v>
      </c>
      <c r="E12468" s="51">
        <f t="shared" si="194"/>
        <v>1</v>
      </c>
    </row>
    <row r="12469" spans="1:5">
      <c r="A12469" s="59">
        <v>28</v>
      </c>
      <c r="B12469" s="59">
        <v>64</v>
      </c>
      <c r="C12469" s="59">
        <v>831</v>
      </c>
      <c r="D12469" s="51">
        <v>423</v>
      </c>
      <c r="E12469" s="51">
        <f t="shared" si="194"/>
        <v>1</v>
      </c>
    </row>
    <row r="12470" spans="1:5">
      <c r="A12470" s="59">
        <v>28</v>
      </c>
      <c r="B12470" s="59">
        <v>14</v>
      </c>
      <c r="C12470" s="59">
        <v>230</v>
      </c>
      <c r="D12470" s="51">
        <v>413</v>
      </c>
      <c r="E12470" s="51">
        <f t="shared" si="194"/>
        <v>1</v>
      </c>
    </row>
    <row r="12471" spans="1:5">
      <c r="A12471" s="59">
        <v>28</v>
      </c>
      <c r="B12471" s="59">
        <v>14</v>
      </c>
      <c r="C12471" s="59">
        <v>320</v>
      </c>
      <c r="D12471" s="51">
        <v>410</v>
      </c>
      <c r="E12471" s="51">
        <f t="shared" si="194"/>
        <v>1</v>
      </c>
    </row>
    <row r="12472" spans="1:5">
      <c r="A12472" s="59">
        <v>28</v>
      </c>
      <c r="B12472" s="59">
        <v>64</v>
      </c>
      <c r="C12472" s="59">
        <v>630</v>
      </c>
      <c r="D12472" s="51">
        <v>406</v>
      </c>
      <c r="E12472" s="51">
        <f t="shared" si="194"/>
        <v>1</v>
      </c>
    </row>
    <row r="12473" spans="1:5">
      <c r="A12473" s="59">
        <v>28</v>
      </c>
      <c r="B12473" s="59">
        <v>16</v>
      </c>
      <c r="C12473" s="59">
        <v>160</v>
      </c>
      <c r="D12473" s="51">
        <v>399</v>
      </c>
      <c r="E12473" s="51">
        <f t="shared" si="194"/>
        <v>1</v>
      </c>
    </row>
    <row r="12474" spans="1:5">
      <c r="A12474" s="59">
        <v>28</v>
      </c>
      <c r="B12474" s="59">
        <v>62</v>
      </c>
      <c r="C12474" s="59">
        <v>899</v>
      </c>
      <c r="D12474" s="51">
        <v>396</v>
      </c>
      <c r="E12474" s="51">
        <f t="shared" si="194"/>
        <v>1</v>
      </c>
    </row>
    <row r="12475" spans="1:5">
      <c r="A12475" s="59">
        <v>28</v>
      </c>
      <c r="B12475" s="59">
        <v>63</v>
      </c>
      <c r="C12475" s="59">
        <v>540</v>
      </c>
      <c r="D12475" s="51">
        <v>393</v>
      </c>
      <c r="E12475" s="51">
        <f t="shared" si="194"/>
        <v>1</v>
      </c>
    </row>
    <row r="12476" spans="1:5">
      <c r="A12476" s="59">
        <v>28</v>
      </c>
      <c r="B12476" s="59">
        <v>13</v>
      </c>
      <c r="C12476" s="59">
        <v>510</v>
      </c>
      <c r="D12476" s="51">
        <v>392</v>
      </c>
      <c r="E12476" s="51">
        <f t="shared" si="194"/>
        <v>1</v>
      </c>
    </row>
    <row r="12477" spans="1:5">
      <c r="A12477" s="59">
        <v>28</v>
      </c>
      <c r="B12477" s="59">
        <v>62</v>
      </c>
      <c r="C12477" s="59">
        <v>410</v>
      </c>
      <c r="D12477" s="51">
        <v>383</v>
      </c>
      <c r="E12477" s="51">
        <f t="shared" si="194"/>
        <v>1</v>
      </c>
    </row>
    <row r="12478" spans="1:5">
      <c r="A12478" s="59">
        <v>28</v>
      </c>
      <c r="B12478" s="59">
        <v>42</v>
      </c>
      <c r="C12478" s="59">
        <v>210</v>
      </c>
      <c r="D12478" s="51">
        <v>381</v>
      </c>
      <c r="E12478" s="51">
        <f t="shared" si="194"/>
        <v>1</v>
      </c>
    </row>
    <row r="12479" spans="1:5">
      <c r="A12479" s="59">
        <v>28</v>
      </c>
      <c r="B12479" s="59">
        <v>44</v>
      </c>
      <c r="C12479" s="59">
        <v>540</v>
      </c>
      <c r="D12479" s="51">
        <v>381</v>
      </c>
      <c r="E12479" s="51">
        <f t="shared" si="194"/>
        <v>1</v>
      </c>
    </row>
    <row r="12480" spans="1:5">
      <c r="A12480" s="59">
        <v>28</v>
      </c>
      <c r="B12480" s="59">
        <v>62</v>
      </c>
      <c r="C12480" s="59">
        <v>210</v>
      </c>
      <c r="D12480" s="51">
        <v>380</v>
      </c>
      <c r="E12480" s="51">
        <f t="shared" si="194"/>
        <v>1</v>
      </c>
    </row>
    <row r="12481" spans="1:5">
      <c r="A12481" s="59">
        <v>28</v>
      </c>
      <c r="B12481" s="59">
        <v>42</v>
      </c>
      <c r="C12481" s="59">
        <v>410</v>
      </c>
      <c r="D12481" s="51">
        <v>379</v>
      </c>
      <c r="E12481" s="51">
        <f t="shared" si="194"/>
        <v>1</v>
      </c>
    </row>
    <row r="12482" spans="1:5">
      <c r="A12482" s="59">
        <v>28</v>
      </c>
      <c r="B12482" s="59">
        <v>64</v>
      </c>
      <c r="C12482" s="59">
        <v>740</v>
      </c>
      <c r="D12482" s="51">
        <v>374</v>
      </c>
      <c r="E12482" s="51">
        <f t="shared" ref="E12482:E12545" si="195">IF(OR(A12482=6,A12482=7,A12482=14,A12482=15,A12482=16,A12482=17,A12482=18,A12482=19,A12482=20,A12482=21,A12482=22,A12482=23,A12482=25,A12482=26,A12482=27,A12482=28,B12482=41,B12482=44,B12482=62),1,0)</f>
        <v>1</v>
      </c>
    </row>
    <row r="12483" spans="1:5">
      <c r="A12483" s="59">
        <v>28</v>
      </c>
      <c r="B12483" s="59">
        <v>41</v>
      </c>
      <c r="C12483" s="59">
        <v>510</v>
      </c>
      <c r="D12483" s="51">
        <v>367</v>
      </c>
      <c r="E12483" s="51">
        <f t="shared" si="195"/>
        <v>1</v>
      </c>
    </row>
    <row r="12484" spans="1:5">
      <c r="A12484" s="59">
        <v>28</v>
      </c>
      <c r="B12484" s="59">
        <v>71</v>
      </c>
      <c r="C12484" s="59">
        <v>750</v>
      </c>
      <c r="D12484" s="51">
        <v>362</v>
      </c>
      <c r="E12484" s="51">
        <f t="shared" si="195"/>
        <v>1</v>
      </c>
    </row>
    <row r="12485" spans="1:5">
      <c r="A12485" s="59">
        <v>28</v>
      </c>
      <c r="B12485" s="59">
        <v>43</v>
      </c>
      <c r="C12485" s="59">
        <v>950</v>
      </c>
      <c r="D12485" s="51">
        <v>360</v>
      </c>
      <c r="E12485" s="51">
        <f t="shared" si="195"/>
        <v>1</v>
      </c>
    </row>
    <row r="12486" spans="1:5">
      <c r="A12486" s="59">
        <v>28</v>
      </c>
      <c r="B12486" s="59">
        <v>14</v>
      </c>
      <c r="C12486" s="59">
        <v>240</v>
      </c>
      <c r="D12486" s="51">
        <v>359</v>
      </c>
      <c r="E12486" s="51">
        <f t="shared" si="195"/>
        <v>1</v>
      </c>
    </row>
    <row r="12487" spans="1:5">
      <c r="A12487" s="59">
        <v>28</v>
      </c>
      <c r="B12487" s="59">
        <v>64</v>
      </c>
      <c r="C12487" s="59">
        <v>930</v>
      </c>
      <c r="D12487" s="51">
        <v>358</v>
      </c>
      <c r="E12487" s="51">
        <f t="shared" si="195"/>
        <v>1</v>
      </c>
    </row>
    <row r="12488" spans="1:5">
      <c r="A12488" s="59">
        <v>28</v>
      </c>
      <c r="B12488" s="59">
        <v>63</v>
      </c>
      <c r="C12488" s="59">
        <v>640</v>
      </c>
      <c r="D12488" s="51">
        <v>355</v>
      </c>
      <c r="E12488" s="51">
        <f t="shared" si="195"/>
        <v>1</v>
      </c>
    </row>
    <row r="12489" spans="1:5">
      <c r="A12489" s="59">
        <v>28</v>
      </c>
      <c r="B12489" s="59">
        <v>63</v>
      </c>
      <c r="C12489" s="59">
        <v>730</v>
      </c>
      <c r="D12489" s="51">
        <v>351</v>
      </c>
      <c r="E12489" s="51">
        <f t="shared" si="195"/>
        <v>1</v>
      </c>
    </row>
    <row r="12490" spans="1:5">
      <c r="A12490" s="59">
        <v>28</v>
      </c>
      <c r="B12490" s="59">
        <v>43</v>
      </c>
      <c r="C12490" s="59">
        <v>520</v>
      </c>
      <c r="D12490" s="51">
        <v>347</v>
      </c>
      <c r="E12490" s="51">
        <f t="shared" si="195"/>
        <v>1</v>
      </c>
    </row>
    <row r="12491" spans="1:5">
      <c r="A12491" s="59">
        <v>28</v>
      </c>
      <c r="B12491" s="59">
        <v>62</v>
      </c>
      <c r="C12491" s="59">
        <v>892</v>
      </c>
      <c r="D12491" s="51">
        <v>341</v>
      </c>
      <c r="E12491" s="51">
        <f t="shared" si="195"/>
        <v>1</v>
      </c>
    </row>
    <row r="12492" spans="1:5">
      <c r="A12492" s="59">
        <v>28</v>
      </c>
      <c r="B12492" s="59">
        <v>71</v>
      </c>
      <c r="C12492" s="59">
        <v>430</v>
      </c>
      <c r="D12492" s="51">
        <v>333</v>
      </c>
      <c r="E12492" s="51">
        <f t="shared" si="195"/>
        <v>1</v>
      </c>
    </row>
    <row r="12493" spans="1:5">
      <c r="A12493" s="59">
        <v>28</v>
      </c>
      <c r="B12493" s="59">
        <v>32</v>
      </c>
      <c r="C12493" s="59">
        <v>970</v>
      </c>
      <c r="D12493" s="51">
        <v>331</v>
      </c>
      <c r="E12493" s="51">
        <f t="shared" si="195"/>
        <v>1</v>
      </c>
    </row>
    <row r="12494" spans="1:5">
      <c r="A12494" s="59">
        <v>28</v>
      </c>
      <c r="B12494" s="59">
        <v>22</v>
      </c>
      <c r="C12494" s="59">
        <v>330</v>
      </c>
      <c r="D12494" s="51">
        <v>328</v>
      </c>
      <c r="E12494" s="51">
        <f t="shared" si="195"/>
        <v>1</v>
      </c>
    </row>
    <row r="12495" spans="1:5">
      <c r="A12495" s="59">
        <v>28</v>
      </c>
      <c r="B12495" s="59">
        <v>71</v>
      </c>
      <c r="C12495" s="59">
        <v>970</v>
      </c>
      <c r="D12495" s="51">
        <v>328</v>
      </c>
      <c r="E12495" s="51">
        <f t="shared" si="195"/>
        <v>1</v>
      </c>
    </row>
    <row r="12496" spans="1:5">
      <c r="A12496" s="59">
        <v>28</v>
      </c>
      <c r="B12496" s="59">
        <v>15</v>
      </c>
      <c r="C12496" s="59">
        <v>110</v>
      </c>
      <c r="D12496" s="51">
        <v>323</v>
      </c>
      <c r="E12496" s="51">
        <f t="shared" si="195"/>
        <v>1</v>
      </c>
    </row>
    <row r="12497" spans="1:5">
      <c r="A12497" s="59">
        <v>28</v>
      </c>
      <c r="B12497" s="59">
        <v>42</v>
      </c>
      <c r="C12497" s="59">
        <v>430</v>
      </c>
      <c r="D12497" s="51">
        <v>323</v>
      </c>
      <c r="E12497" s="51">
        <f t="shared" si="195"/>
        <v>1</v>
      </c>
    </row>
    <row r="12498" spans="1:5">
      <c r="A12498" s="59">
        <v>28</v>
      </c>
      <c r="B12498" s="59">
        <v>44</v>
      </c>
      <c r="C12498" s="59">
        <v>970</v>
      </c>
      <c r="D12498" s="51">
        <v>317</v>
      </c>
      <c r="E12498" s="51">
        <f t="shared" si="195"/>
        <v>1</v>
      </c>
    </row>
    <row r="12499" spans="1:5">
      <c r="A12499" s="59">
        <v>28</v>
      </c>
      <c r="B12499" s="59">
        <v>43</v>
      </c>
      <c r="C12499" s="59">
        <v>750</v>
      </c>
      <c r="D12499" s="51">
        <v>316</v>
      </c>
      <c r="E12499" s="51">
        <f t="shared" si="195"/>
        <v>1</v>
      </c>
    </row>
    <row r="12500" spans="1:5">
      <c r="A12500" s="59">
        <v>28</v>
      </c>
      <c r="B12500" s="59">
        <v>64</v>
      </c>
      <c r="C12500" s="59">
        <v>892</v>
      </c>
      <c r="D12500" s="51">
        <v>314</v>
      </c>
      <c r="E12500" s="51">
        <f t="shared" si="195"/>
        <v>1</v>
      </c>
    </row>
    <row r="12501" spans="1:5">
      <c r="A12501" s="59">
        <v>28</v>
      </c>
      <c r="B12501" s="59">
        <v>81</v>
      </c>
      <c r="C12501" s="59">
        <v>110</v>
      </c>
      <c r="D12501" s="51">
        <v>314</v>
      </c>
      <c r="E12501" s="51">
        <f t="shared" si="195"/>
        <v>1</v>
      </c>
    </row>
    <row r="12502" spans="1:5">
      <c r="A12502" s="59">
        <v>28</v>
      </c>
      <c r="B12502" s="59">
        <v>14</v>
      </c>
      <c r="C12502" s="59">
        <v>510</v>
      </c>
      <c r="D12502" s="51">
        <v>307</v>
      </c>
      <c r="E12502" s="51">
        <f t="shared" si="195"/>
        <v>1</v>
      </c>
    </row>
    <row r="12503" spans="1:5">
      <c r="A12503" s="59">
        <v>28</v>
      </c>
      <c r="B12503" s="59">
        <v>43</v>
      </c>
      <c r="C12503" s="59">
        <v>940</v>
      </c>
      <c r="D12503" s="51">
        <v>304</v>
      </c>
      <c r="E12503" s="51">
        <f t="shared" si="195"/>
        <v>1</v>
      </c>
    </row>
    <row r="12504" spans="1:5">
      <c r="A12504" s="59">
        <v>28</v>
      </c>
      <c r="B12504" s="59">
        <v>71</v>
      </c>
      <c r="C12504" s="59">
        <v>720</v>
      </c>
      <c r="D12504" s="51">
        <v>304</v>
      </c>
      <c r="E12504" s="51">
        <f t="shared" si="195"/>
        <v>1</v>
      </c>
    </row>
    <row r="12505" spans="1:5">
      <c r="A12505" s="59">
        <v>28</v>
      </c>
      <c r="B12505" s="59">
        <v>42</v>
      </c>
      <c r="C12505" s="59">
        <v>510</v>
      </c>
      <c r="D12505" s="51">
        <v>302</v>
      </c>
      <c r="E12505" s="51">
        <f t="shared" si="195"/>
        <v>1</v>
      </c>
    </row>
    <row r="12506" spans="1:5">
      <c r="A12506" s="59">
        <v>28</v>
      </c>
      <c r="B12506" s="59">
        <v>15</v>
      </c>
      <c r="C12506" s="59">
        <v>140</v>
      </c>
      <c r="D12506" s="51">
        <v>301</v>
      </c>
      <c r="E12506" s="51">
        <f t="shared" si="195"/>
        <v>1</v>
      </c>
    </row>
    <row r="12507" spans="1:5">
      <c r="A12507" s="59">
        <v>28</v>
      </c>
      <c r="B12507" s="59">
        <v>32</v>
      </c>
      <c r="C12507" s="59">
        <v>210</v>
      </c>
      <c r="D12507" s="51">
        <v>298</v>
      </c>
      <c r="E12507" s="51">
        <f t="shared" si="195"/>
        <v>1</v>
      </c>
    </row>
    <row r="12508" spans="1:5">
      <c r="A12508" s="59">
        <v>28</v>
      </c>
      <c r="B12508" s="59">
        <v>22</v>
      </c>
      <c r="C12508" s="59">
        <v>320</v>
      </c>
      <c r="D12508" s="51">
        <v>297</v>
      </c>
      <c r="E12508" s="51">
        <f t="shared" si="195"/>
        <v>1</v>
      </c>
    </row>
    <row r="12509" spans="1:5">
      <c r="A12509" s="59">
        <v>28</v>
      </c>
      <c r="B12509" s="59">
        <v>63</v>
      </c>
      <c r="C12509" s="59">
        <v>750</v>
      </c>
      <c r="D12509" s="51">
        <v>294</v>
      </c>
      <c r="E12509" s="51">
        <f t="shared" si="195"/>
        <v>1</v>
      </c>
    </row>
    <row r="12510" spans="1:5">
      <c r="A12510" s="59">
        <v>28</v>
      </c>
      <c r="B12510" s="59">
        <v>14</v>
      </c>
      <c r="C12510" s="59">
        <v>930</v>
      </c>
      <c r="D12510" s="51">
        <v>292</v>
      </c>
      <c r="E12510" s="51">
        <f t="shared" si="195"/>
        <v>1</v>
      </c>
    </row>
    <row r="12511" spans="1:5">
      <c r="A12511" s="59">
        <v>28</v>
      </c>
      <c r="B12511" s="59">
        <v>62</v>
      </c>
      <c r="C12511" s="59">
        <v>540</v>
      </c>
      <c r="D12511" s="51">
        <v>292</v>
      </c>
      <c r="E12511" s="51">
        <f t="shared" si="195"/>
        <v>1</v>
      </c>
    </row>
    <row r="12512" spans="1:5">
      <c r="A12512" s="59">
        <v>28</v>
      </c>
      <c r="B12512" s="59">
        <v>22</v>
      </c>
      <c r="C12512" s="59">
        <v>160</v>
      </c>
      <c r="D12512" s="51">
        <v>288</v>
      </c>
      <c r="E12512" s="51">
        <f t="shared" si="195"/>
        <v>1</v>
      </c>
    </row>
    <row r="12513" spans="1:5">
      <c r="A12513" s="59">
        <v>28</v>
      </c>
      <c r="B12513" s="59">
        <v>63</v>
      </c>
      <c r="C12513" s="59">
        <v>831</v>
      </c>
      <c r="D12513" s="51">
        <v>287</v>
      </c>
      <c r="E12513" s="51">
        <f t="shared" si="195"/>
        <v>1</v>
      </c>
    </row>
    <row r="12514" spans="1:5">
      <c r="A12514" s="59">
        <v>28</v>
      </c>
      <c r="B12514" s="59">
        <v>81</v>
      </c>
      <c r="C12514" s="59">
        <v>210</v>
      </c>
      <c r="D12514" s="51">
        <v>282</v>
      </c>
      <c r="E12514" s="51">
        <f t="shared" si="195"/>
        <v>1</v>
      </c>
    </row>
    <row r="12515" spans="1:5">
      <c r="A12515" s="59">
        <v>28</v>
      </c>
      <c r="B12515" s="59">
        <v>31</v>
      </c>
      <c r="C12515" s="59">
        <v>410</v>
      </c>
      <c r="D12515" s="51">
        <v>281</v>
      </c>
      <c r="E12515" s="51">
        <f t="shared" si="195"/>
        <v>1</v>
      </c>
    </row>
    <row r="12516" spans="1:5">
      <c r="A12516" s="59">
        <v>28</v>
      </c>
      <c r="B12516" s="59">
        <v>64</v>
      </c>
      <c r="C12516" s="59">
        <v>960</v>
      </c>
      <c r="D12516" s="51">
        <v>276</v>
      </c>
      <c r="E12516" s="51">
        <f t="shared" si="195"/>
        <v>1</v>
      </c>
    </row>
    <row r="12517" spans="1:5">
      <c r="A12517" s="59">
        <v>28</v>
      </c>
      <c r="B12517" s="59">
        <v>32</v>
      </c>
      <c r="C12517" s="59">
        <v>960</v>
      </c>
      <c r="D12517" s="51">
        <v>273</v>
      </c>
      <c r="E12517" s="51">
        <f t="shared" si="195"/>
        <v>1</v>
      </c>
    </row>
    <row r="12518" spans="1:5">
      <c r="A12518" s="59">
        <v>28</v>
      </c>
      <c r="B12518" s="59">
        <v>43</v>
      </c>
      <c r="C12518" s="59">
        <v>640</v>
      </c>
      <c r="D12518" s="51">
        <v>272</v>
      </c>
      <c r="E12518" s="51">
        <f t="shared" si="195"/>
        <v>1</v>
      </c>
    </row>
    <row r="12519" spans="1:5">
      <c r="A12519" s="59">
        <v>28</v>
      </c>
      <c r="B12519" s="59">
        <v>81</v>
      </c>
      <c r="C12519" s="59">
        <v>920</v>
      </c>
      <c r="D12519" s="51">
        <v>263</v>
      </c>
      <c r="E12519" s="51">
        <f t="shared" si="195"/>
        <v>1</v>
      </c>
    </row>
    <row r="12520" spans="1:5">
      <c r="A12520" s="59">
        <v>28</v>
      </c>
      <c r="B12520" s="59">
        <v>13</v>
      </c>
      <c r="C12520" s="59">
        <v>240</v>
      </c>
      <c r="D12520" s="51">
        <v>256</v>
      </c>
      <c r="E12520" s="51">
        <f t="shared" si="195"/>
        <v>1</v>
      </c>
    </row>
    <row r="12521" spans="1:5">
      <c r="A12521" s="59">
        <v>28</v>
      </c>
      <c r="B12521" s="59">
        <v>13</v>
      </c>
      <c r="C12521" s="59">
        <v>430</v>
      </c>
      <c r="D12521" s="51">
        <v>256</v>
      </c>
      <c r="E12521" s="51">
        <f t="shared" si="195"/>
        <v>1</v>
      </c>
    </row>
    <row r="12522" spans="1:5">
      <c r="A12522" s="59">
        <v>28</v>
      </c>
      <c r="B12522" s="59">
        <v>13</v>
      </c>
      <c r="C12522" s="59">
        <v>230</v>
      </c>
      <c r="D12522" s="51">
        <v>253</v>
      </c>
      <c r="E12522" s="51">
        <f t="shared" si="195"/>
        <v>1</v>
      </c>
    </row>
    <row r="12523" spans="1:5">
      <c r="A12523" s="59">
        <v>28</v>
      </c>
      <c r="B12523" s="59">
        <v>62</v>
      </c>
      <c r="C12523" s="59">
        <v>430</v>
      </c>
      <c r="D12523" s="51">
        <v>253</v>
      </c>
      <c r="E12523" s="51">
        <f t="shared" si="195"/>
        <v>1</v>
      </c>
    </row>
    <row r="12524" spans="1:5">
      <c r="A12524" s="59">
        <v>28</v>
      </c>
      <c r="B12524" s="59">
        <v>41</v>
      </c>
      <c r="C12524" s="59">
        <v>920</v>
      </c>
      <c r="D12524" s="51">
        <v>252</v>
      </c>
      <c r="E12524" s="51">
        <f t="shared" si="195"/>
        <v>1</v>
      </c>
    </row>
    <row r="12525" spans="1:5">
      <c r="A12525" s="59">
        <v>28</v>
      </c>
      <c r="B12525" s="59">
        <v>16</v>
      </c>
      <c r="C12525" s="59">
        <v>310</v>
      </c>
      <c r="D12525" s="51">
        <v>251</v>
      </c>
      <c r="E12525" s="51">
        <f t="shared" si="195"/>
        <v>1</v>
      </c>
    </row>
    <row r="12526" spans="1:5">
      <c r="A12526" s="59">
        <v>28</v>
      </c>
      <c r="B12526" s="59">
        <v>33</v>
      </c>
      <c r="C12526" s="59">
        <v>150</v>
      </c>
      <c r="D12526" s="51">
        <v>243</v>
      </c>
      <c r="E12526" s="51">
        <f t="shared" si="195"/>
        <v>1</v>
      </c>
    </row>
    <row r="12527" spans="1:5">
      <c r="A12527" s="59">
        <v>28</v>
      </c>
      <c r="B12527" s="59">
        <v>13</v>
      </c>
      <c r="C12527" s="59">
        <v>320</v>
      </c>
      <c r="D12527" s="51">
        <v>238</v>
      </c>
      <c r="E12527" s="51">
        <f t="shared" si="195"/>
        <v>1</v>
      </c>
    </row>
    <row r="12528" spans="1:5">
      <c r="A12528" s="59">
        <v>28</v>
      </c>
      <c r="B12528" s="59">
        <v>42</v>
      </c>
      <c r="C12528" s="59">
        <v>150</v>
      </c>
      <c r="D12528" s="51">
        <v>230</v>
      </c>
      <c r="E12528" s="51">
        <f t="shared" si="195"/>
        <v>1</v>
      </c>
    </row>
    <row r="12529" spans="1:5">
      <c r="A12529" s="59">
        <v>28</v>
      </c>
      <c r="B12529" s="59">
        <v>64</v>
      </c>
      <c r="C12529" s="59">
        <v>861</v>
      </c>
      <c r="D12529" s="51">
        <v>229</v>
      </c>
      <c r="E12529" s="51">
        <f t="shared" si="195"/>
        <v>1</v>
      </c>
    </row>
    <row r="12530" spans="1:5">
      <c r="A12530" s="59">
        <v>28</v>
      </c>
      <c r="B12530" s="59">
        <v>71</v>
      </c>
      <c r="C12530" s="59">
        <v>520</v>
      </c>
      <c r="D12530" s="51">
        <v>228</v>
      </c>
      <c r="E12530" s="51">
        <f t="shared" si="195"/>
        <v>1</v>
      </c>
    </row>
    <row r="12531" spans="1:5">
      <c r="A12531" s="59">
        <v>28</v>
      </c>
      <c r="B12531" s="59">
        <v>62</v>
      </c>
      <c r="C12531" s="59">
        <v>970</v>
      </c>
      <c r="D12531" s="51">
        <v>225</v>
      </c>
      <c r="E12531" s="51">
        <f t="shared" si="195"/>
        <v>1</v>
      </c>
    </row>
    <row r="12532" spans="1:5">
      <c r="A12532" s="59">
        <v>28</v>
      </c>
      <c r="B12532" s="59">
        <v>81</v>
      </c>
      <c r="C12532" s="59">
        <v>430</v>
      </c>
      <c r="D12532" s="51">
        <v>219</v>
      </c>
      <c r="E12532" s="51">
        <f t="shared" si="195"/>
        <v>1</v>
      </c>
    </row>
    <row r="12533" spans="1:5">
      <c r="A12533" s="59">
        <v>28</v>
      </c>
      <c r="B12533" s="59">
        <v>15</v>
      </c>
      <c r="C12533" s="59">
        <v>530</v>
      </c>
      <c r="D12533" s="51">
        <v>215</v>
      </c>
      <c r="E12533" s="51">
        <f t="shared" si="195"/>
        <v>1</v>
      </c>
    </row>
    <row r="12534" spans="1:5">
      <c r="A12534" s="59">
        <v>28</v>
      </c>
      <c r="B12534" s="59">
        <v>42</v>
      </c>
      <c r="C12534" s="59">
        <v>920</v>
      </c>
      <c r="D12534" s="51">
        <v>215</v>
      </c>
      <c r="E12534" s="51">
        <f t="shared" si="195"/>
        <v>1</v>
      </c>
    </row>
    <row r="12535" spans="1:5">
      <c r="A12535" s="59">
        <v>28</v>
      </c>
      <c r="B12535" s="59">
        <v>81</v>
      </c>
      <c r="C12535" s="59">
        <v>750</v>
      </c>
      <c r="D12535" s="51">
        <v>215</v>
      </c>
      <c r="E12535" s="51">
        <f t="shared" si="195"/>
        <v>1</v>
      </c>
    </row>
    <row r="12536" spans="1:5">
      <c r="A12536" s="59">
        <v>28</v>
      </c>
      <c r="B12536" s="59">
        <v>22</v>
      </c>
      <c r="C12536" s="59">
        <v>950</v>
      </c>
      <c r="D12536" s="51">
        <v>214</v>
      </c>
      <c r="E12536" s="51">
        <f t="shared" si="195"/>
        <v>1</v>
      </c>
    </row>
    <row r="12537" spans="1:5">
      <c r="A12537" s="59">
        <v>28</v>
      </c>
      <c r="B12537" s="59">
        <v>15</v>
      </c>
      <c r="C12537" s="59">
        <v>210</v>
      </c>
      <c r="D12537" s="51">
        <v>210</v>
      </c>
      <c r="E12537" s="51">
        <f t="shared" si="195"/>
        <v>1</v>
      </c>
    </row>
    <row r="12538" spans="1:5">
      <c r="A12538" s="59">
        <v>28</v>
      </c>
      <c r="B12538" s="59">
        <v>13</v>
      </c>
      <c r="C12538" s="59">
        <v>930</v>
      </c>
      <c r="D12538" s="51">
        <v>209</v>
      </c>
      <c r="E12538" s="51">
        <f t="shared" si="195"/>
        <v>1</v>
      </c>
    </row>
    <row r="12539" spans="1:5">
      <c r="A12539" s="59">
        <v>28</v>
      </c>
      <c r="B12539" s="59">
        <v>62</v>
      </c>
      <c r="C12539" s="59">
        <v>640</v>
      </c>
      <c r="D12539" s="51">
        <v>206</v>
      </c>
      <c r="E12539" s="51">
        <f t="shared" si="195"/>
        <v>1</v>
      </c>
    </row>
    <row r="12540" spans="1:5">
      <c r="A12540" s="59">
        <v>28</v>
      </c>
      <c r="B12540" s="59">
        <v>43</v>
      </c>
      <c r="C12540" s="59">
        <v>320</v>
      </c>
      <c r="D12540" s="51">
        <v>205</v>
      </c>
      <c r="E12540" s="51">
        <f t="shared" si="195"/>
        <v>1</v>
      </c>
    </row>
    <row r="12541" spans="1:5">
      <c r="A12541" s="59">
        <v>28</v>
      </c>
      <c r="B12541" s="59">
        <v>44</v>
      </c>
      <c r="C12541" s="59">
        <v>960</v>
      </c>
      <c r="D12541" s="51">
        <v>205</v>
      </c>
      <c r="E12541" s="51">
        <f t="shared" si="195"/>
        <v>1</v>
      </c>
    </row>
    <row r="12542" spans="1:5">
      <c r="A12542" s="59">
        <v>28</v>
      </c>
      <c r="B12542" s="59">
        <v>14</v>
      </c>
      <c r="C12542" s="59">
        <v>950</v>
      </c>
      <c r="D12542" s="51">
        <v>203</v>
      </c>
      <c r="E12542" s="51">
        <f t="shared" si="195"/>
        <v>1</v>
      </c>
    </row>
    <row r="12543" spans="1:5">
      <c r="A12543" s="59">
        <v>28</v>
      </c>
      <c r="B12543" s="59">
        <v>14</v>
      </c>
      <c r="C12543" s="59">
        <v>130</v>
      </c>
      <c r="D12543" s="51">
        <v>199</v>
      </c>
      <c r="E12543" s="51">
        <f t="shared" si="195"/>
        <v>1</v>
      </c>
    </row>
    <row r="12544" spans="1:5">
      <c r="A12544" s="59">
        <v>28</v>
      </c>
      <c r="B12544" s="59">
        <v>32</v>
      </c>
      <c r="C12544" s="59">
        <v>160</v>
      </c>
      <c r="D12544" s="51">
        <v>198</v>
      </c>
      <c r="E12544" s="51">
        <f t="shared" si="195"/>
        <v>1</v>
      </c>
    </row>
    <row r="12545" spans="1:5">
      <c r="A12545" s="59">
        <v>28</v>
      </c>
      <c r="B12545" s="59">
        <v>63</v>
      </c>
      <c r="C12545" s="59">
        <v>970</v>
      </c>
      <c r="D12545" s="51">
        <v>196</v>
      </c>
      <c r="E12545" s="51">
        <f t="shared" si="195"/>
        <v>1</v>
      </c>
    </row>
    <row r="12546" spans="1:5">
      <c r="A12546" s="59">
        <v>28</v>
      </c>
      <c r="B12546" s="59">
        <v>44</v>
      </c>
      <c r="C12546" s="59">
        <v>430</v>
      </c>
      <c r="D12546" s="51">
        <v>195</v>
      </c>
      <c r="E12546" s="51">
        <f t="shared" ref="E12546:E12609" si="196">IF(OR(A12546=6,A12546=7,A12546=14,A12546=15,A12546=16,A12546=17,A12546=18,A12546=19,A12546=20,A12546=21,A12546=22,A12546=23,A12546=25,A12546=26,A12546=27,A12546=28,B12546=41,B12546=44,B12546=62),1,0)</f>
        <v>1</v>
      </c>
    </row>
    <row r="12547" spans="1:5">
      <c r="A12547" s="59">
        <v>28</v>
      </c>
      <c r="B12547" s="59">
        <v>64</v>
      </c>
      <c r="C12547" s="59">
        <v>140</v>
      </c>
      <c r="D12547" s="51">
        <v>191</v>
      </c>
      <c r="E12547" s="51">
        <f t="shared" si="196"/>
        <v>1</v>
      </c>
    </row>
    <row r="12548" spans="1:5">
      <c r="A12548" s="59">
        <v>28</v>
      </c>
      <c r="B12548" s="59">
        <v>81</v>
      </c>
      <c r="C12548" s="59">
        <v>410</v>
      </c>
      <c r="D12548" s="51">
        <v>190</v>
      </c>
      <c r="E12548" s="51">
        <f t="shared" si="196"/>
        <v>1</v>
      </c>
    </row>
    <row r="12549" spans="1:5">
      <c r="A12549" s="59">
        <v>28</v>
      </c>
      <c r="B12549" s="59">
        <v>63</v>
      </c>
      <c r="C12549" s="59">
        <v>630</v>
      </c>
      <c r="D12549" s="51">
        <v>188</v>
      </c>
      <c r="E12549" s="51">
        <f t="shared" si="196"/>
        <v>1</v>
      </c>
    </row>
    <row r="12550" spans="1:5">
      <c r="A12550" s="59">
        <v>28</v>
      </c>
      <c r="B12550" s="59">
        <v>16</v>
      </c>
      <c r="C12550" s="59">
        <v>330</v>
      </c>
      <c r="D12550" s="51">
        <v>186</v>
      </c>
      <c r="E12550" s="51">
        <f t="shared" si="196"/>
        <v>1</v>
      </c>
    </row>
    <row r="12551" spans="1:5">
      <c r="A12551" s="59">
        <v>28</v>
      </c>
      <c r="B12551" s="59">
        <v>44</v>
      </c>
      <c r="C12551" s="59">
        <v>410</v>
      </c>
      <c r="D12551" s="51">
        <v>186</v>
      </c>
      <c r="E12551" s="51">
        <f t="shared" si="196"/>
        <v>1</v>
      </c>
    </row>
    <row r="12552" spans="1:5">
      <c r="A12552" s="59">
        <v>28</v>
      </c>
      <c r="B12552" s="59">
        <v>14</v>
      </c>
      <c r="C12552" s="59">
        <v>430</v>
      </c>
      <c r="D12552" s="51">
        <v>177</v>
      </c>
      <c r="E12552" s="51">
        <f t="shared" si="196"/>
        <v>1</v>
      </c>
    </row>
    <row r="12553" spans="1:5">
      <c r="A12553" s="59">
        <v>28</v>
      </c>
      <c r="B12553" s="59">
        <v>14</v>
      </c>
      <c r="C12553" s="59">
        <v>920</v>
      </c>
      <c r="D12553" s="51">
        <v>175</v>
      </c>
      <c r="E12553" s="51">
        <f t="shared" si="196"/>
        <v>1</v>
      </c>
    </row>
    <row r="12554" spans="1:5">
      <c r="A12554" s="59">
        <v>28</v>
      </c>
      <c r="B12554" s="59">
        <v>31</v>
      </c>
      <c r="C12554" s="59">
        <v>420</v>
      </c>
      <c r="D12554" s="51">
        <v>173</v>
      </c>
      <c r="E12554" s="51">
        <f t="shared" si="196"/>
        <v>1</v>
      </c>
    </row>
    <row r="12555" spans="1:5">
      <c r="A12555" s="59">
        <v>28</v>
      </c>
      <c r="B12555" s="59">
        <v>41</v>
      </c>
      <c r="C12555" s="59">
        <v>990</v>
      </c>
      <c r="D12555" s="51">
        <v>173</v>
      </c>
      <c r="E12555" s="51">
        <f t="shared" si="196"/>
        <v>1</v>
      </c>
    </row>
    <row r="12556" spans="1:5">
      <c r="A12556" s="59">
        <v>28</v>
      </c>
      <c r="B12556" s="59">
        <v>13</v>
      </c>
      <c r="C12556" s="59">
        <v>130</v>
      </c>
      <c r="D12556" s="51">
        <v>172</v>
      </c>
      <c r="E12556" s="51">
        <f t="shared" si="196"/>
        <v>1</v>
      </c>
    </row>
    <row r="12557" spans="1:5">
      <c r="A12557" s="59">
        <v>28</v>
      </c>
      <c r="B12557" s="59">
        <v>63</v>
      </c>
      <c r="C12557" s="59">
        <v>520</v>
      </c>
      <c r="D12557" s="51">
        <v>172</v>
      </c>
      <c r="E12557" s="51">
        <f t="shared" si="196"/>
        <v>1</v>
      </c>
    </row>
    <row r="12558" spans="1:5">
      <c r="A12558" s="59">
        <v>28</v>
      </c>
      <c r="B12558" s="59">
        <v>81</v>
      </c>
      <c r="C12558" s="59">
        <v>730</v>
      </c>
      <c r="D12558" s="51">
        <v>172</v>
      </c>
      <c r="E12558" s="51">
        <f t="shared" si="196"/>
        <v>1</v>
      </c>
    </row>
    <row r="12559" spans="1:5">
      <c r="A12559" s="59">
        <v>28</v>
      </c>
      <c r="B12559" s="59">
        <v>16</v>
      </c>
      <c r="C12559" s="59">
        <v>230</v>
      </c>
      <c r="D12559" s="51">
        <v>170</v>
      </c>
      <c r="E12559" s="51">
        <f t="shared" si="196"/>
        <v>1</v>
      </c>
    </row>
    <row r="12560" spans="1:5">
      <c r="A12560" s="59">
        <v>28</v>
      </c>
      <c r="B12560" s="59">
        <v>42</v>
      </c>
      <c r="C12560" s="59">
        <v>110</v>
      </c>
      <c r="D12560" s="51">
        <v>170</v>
      </c>
      <c r="E12560" s="51">
        <f t="shared" si="196"/>
        <v>1</v>
      </c>
    </row>
    <row r="12561" spans="1:5">
      <c r="A12561" s="59">
        <v>28</v>
      </c>
      <c r="B12561" s="59">
        <v>44</v>
      </c>
      <c r="C12561" s="59">
        <v>150</v>
      </c>
      <c r="D12561" s="51">
        <v>170</v>
      </c>
      <c r="E12561" s="51">
        <f t="shared" si="196"/>
        <v>1</v>
      </c>
    </row>
    <row r="12562" spans="1:5">
      <c r="A12562" s="59">
        <v>28</v>
      </c>
      <c r="B12562" s="59">
        <v>64</v>
      </c>
      <c r="C12562" s="59">
        <v>940</v>
      </c>
      <c r="D12562" s="51">
        <v>170</v>
      </c>
      <c r="E12562" s="51">
        <f t="shared" si="196"/>
        <v>1</v>
      </c>
    </row>
    <row r="12563" spans="1:5">
      <c r="A12563" s="59">
        <v>28</v>
      </c>
      <c r="B12563" s="59">
        <v>32</v>
      </c>
      <c r="C12563" s="59">
        <v>920</v>
      </c>
      <c r="D12563" s="51">
        <v>167</v>
      </c>
      <c r="E12563" s="51">
        <f t="shared" si="196"/>
        <v>1</v>
      </c>
    </row>
    <row r="12564" spans="1:5">
      <c r="A12564" s="59">
        <v>28</v>
      </c>
      <c r="B12564" s="59">
        <v>16</v>
      </c>
      <c r="C12564" s="59">
        <v>530</v>
      </c>
      <c r="D12564" s="51">
        <v>165</v>
      </c>
      <c r="E12564" s="51">
        <f t="shared" si="196"/>
        <v>1</v>
      </c>
    </row>
    <row r="12565" spans="1:5">
      <c r="A12565" s="59">
        <v>28</v>
      </c>
      <c r="B12565" s="59">
        <v>63</v>
      </c>
      <c r="C12565" s="59">
        <v>420</v>
      </c>
      <c r="D12565" s="51">
        <v>163</v>
      </c>
      <c r="E12565" s="51">
        <f t="shared" si="196"/>
        <v>1</v>
      </c>
    </row>
    <row r="12566" spans="1:5">
      <c r="A12566" s="59">
        <v>28</v>
      </c>
      <c r="B12566" s="59">
        <v>13</v>
      </c>
      <c r="C12566" s="59">
        <v>950</v>
      </c>
      <c r="D12566" s="51">
        <v>161</v>
      </c>
      <c r="E12566" s="51">
        <f t="shared" si="196"/>
        <v>1</v>
      </c>
    </row>
    <row r="12567" spans="1:5">
      <c r="A12567" s="59">
        <v>28</v>
      </c>
      <c r="B12567" s="59">
        <v>64</v>
      </c>
      <c r="C12567" s="59">
        <v>899</v>
      </c>
      <c r="D12567" s="51">
        <v>159</v>
      </c>
      <c r="E12567" s="51">
        <f t="shared" si="196"/>
        <v>1</v>
      </c>
    </row>
    <row r="12568" spans="1:5">
      <c r="A12568" s="59">
        <v>28</v>
      </c>
      <c r="B12568" s="59">
        <v>62</v>
      </c>
      <c r="C12568" s="59">
        <v>310</v>
      </c>
      <c r="D12568" s="51">
        <v>158</v>
      </c>
      <c r="E12568" s="51">
        <f t="shared" si="196"/>
        <v>1</v>
      </c>
    </row>
    <row r="12569" spans="1:5">
      <c r="A12569" s="59">
        <v>28</v>
      </c>
      <c r="B12569" s="59">
        <v>44</v>
      </c>
      <c r="C12569" s="59">
        <v>550</v>
      </c>
      <c r="D12569" s="51">
        <v>156</v>
      </c>
      <c r="E12569" s="51">
        <f t="shared" si="196"/>
        <v>1</v>
      </c>
    </row>
    <row r="12570" spans="1:5">
      <c r="A12570" s="59">
        <v>28</v>
      </c>
      <c r="B12570" s="59">
        <v>33</v>
      </c>
      <c r="C12570" s="59">
        <v>240</v>
      </c>
      <c r="D12570" s="51">
        <v>155</v>
      </c>
      <c r="E12570" s="51">
        <f t="shared" si="196"/>
        <v>1</v>
      </c>
    </row>
    <row r="12571" spans="1:5">
      <c r="A12571" s="59">
        <v>28</v>
      </c>
      <c r="B12571" s="59">
        <v>16</v>
      </c>
      <c r="C12571" s="59">
        <v>240</v>
      </c>
      <c r="D12571" s="51">
        <v>154</v>
      </c>
      <c r="E12571" s="51">
        <f t="shared" si="196"/>
        <v>1</v>
      </c>
    </row>
    <row r="12572" spans="1:5">
      <c r="A12572" s="59">
        <v>28</v>
      </c>
      <c r="B12572" s="59">
        <v>23</v>
      </c>
      <c r="C12572" s="59">
        <v>210</v>
      </c>
      <c r="D12572" s="51">
        <v>153</v>
      </c>
      <c r="E12572" s="51">
        <f t="shared" si="196"/>
        <v>1</v>
      </c>
    </row>
    <row r="12573" spans="1:5">
      <c r="A12573" s="59">
        <v>28</v>
      </c>
      <c r="B12573" s="59">
        <v>44</v>
      </c>
      <c r="C12573" s="59">
        <v>750</v>
      </c>
      <c r="D12573" s="51">
        <v>153</v>
      </c>
      <c r="E12573" s="51">
        <f t="shared" si="196"/>
        <v>1</v>
      </c>
    </row>
    <row r="12574" spans="1:5">
      <c r="A12574" s="59">
        <v>28</v>
      </c>
      <c r="B12574" s="59">
        <v>32</v>
      </c>
      <c r="C12574" s="59">
        <v>530</v>
      </c>
      <c r="D12574" s="51">
        <v>152</v>
      </c>
      <c r="E12574" s="51">
        <f t="shared" si="196"/>
        <v>1</v>
      </c>
    </row>
    <row r="12575" spans="1:5">
      <c r="A12575" s="59">
        <v>28</v>
      </c>
      <c r="B12575" s="59">
        <v>63</v>
      </c>
      <c r="C12575" s="59">
        <v>740</v>
      </c>
      <c r="D12575" s="51">
        <v>150</v>
      </c>
      <c r="E12575" s="51">
        <f t="shared" si="196"/>
        <v>1</v>
      </c>
    </row>
    <row r="12576" spans="1:5">
      <c r="A12576" s="59">
        <v>28</v>
      </c>
      <c r="B12576" s="59">
        <v>14</v>
      </c>
      <c r="C12576" s="59">
        <v>420</v>
      </c>
      <c r="D12576" s="51">
        <v>149</v>
      </c>
      <c r="E12576" s="51">
        <f t="shared" si="196"/>
        <v>1</v>
      </c>
    </row>
    <row r="12577" spans="1:5">
      <c r="A12577" s="59">
        <v>28</v>
      </c>
      <c r="B12577" s="59">
        <v>13</v>
      </c>
      <c r="C12577" s="59">
        <v>990</v>
      </c>
      <c r="D12577" s="51">
        <v>147</v>
      </c>
      <c r="E12577" s="51">
        <f t="shared" si="196"/>
        <v>1</v>
      </c>
    </row>
    <row r="12578" spans="1:5">
      <c r="A12578" s="59">
        <v>28</v>
      </c>
      <c r="B12578" s="59">
        <v>16</v>
      </c>
      <c r="C12578" s="59">
        <v>410</v>
      </c>
      <c r="D12578" s="51">
        <v>147</v>
      </c>
      <c r="E12578" s="51">
        <f t="shared" si="196"/>
        <v>1</v>
      </c>
    </row>
    <row r="12579" spans="1:5">
      <c r="A12579" s="59">
        <v>28</v>
      </c>
      <c r="B12579" s="59">
        <v>41</v>
      </c>
      <c r="C12579" s="59">
        <v>720</v>
      </c>
      <c r="D12579" s="51">
        <v>143</v>
      </c>
      <c r="E12579" s="51">
        <f t="shared" si="196"/>
        <v>1</v>
      </c>
    </row>
    <row r="12580" spans="1:5">
      <c r="A12580" s="59">
        <v>28</v>
      </c>
      <c r="B12580" s="59">
        <v>41</v>
      </c>
      <c r="C12580" s="59">
        <v>910</v>
      </c>
      <c r="D12580" s="51">
        <v>141</v>
      </c>
      <c r="E12580" s="51">
        <f t="shared" si="196"/>
        <v>1</v>
      </c>
    </row>
    <row r="12581" spans="1:5">
      <c r="A12581" s="59">
        <v>28</v>
      </c>
      <c r="B12581" s="59">
        <v>44</v>
      </c>
      <c r="C12581" s="59">
        <v>110</v>
      </c>
      <c r="D12581" s="51">
        <v>139</v>
      </c>
      <c r="E12581" s="51">
        <f t="shared" si="196"/>
        <v>1</v>
      </c>
    </row>
    <row r="12582" spans="1:5">
      <c r="A12582" s="59">
        <v>28</v>
      </c>
      <c r="B12582" s="59">
        <v>81</v>
      </c>
      <c r="C12582" s="59">
        <v>930</v>
      </c>
      <c r="D12582" s="51">
        <v>139</v>
      </c>
      <c r="E12582" s="51">
        <f t="shared" si="196"/>
        <v>1</v>
      </c>
    </row>
    <row r="12583" spans="1:5">
      <c r="A12583" s="59">
        <v>28</v>
      </c>
      <c r="B12583" s="59">
        <v>81</v>
      </c>
      <c r="C12583" s="59">
        <v>950</v>
      </c>
      <c r="D12583" s="51">
        <v>139</v>
      </c>
      <c r="E12583" s="51">
        <f t="shared" si="196"/>
        <v>1</v>
      </c>
    </row>
    <row r="12584" spans="1:5">
      <c r="A12584" s="59">
        <v>28</v>
      </c>
      <c r="B12584" s="59">
        <v>63</v>
      </c>
      <c r="C12584" s="59">
        <v>830</v>
      </c>
      <c r="D12584" s="51">
        <v>138</v>
      </c>
      <c r="E12584" s="51">
        <f t="shared" si="196"/>
        <v>1</v>
      </c>
    </row>
    <row r="12585" spans="1:5">
      <c r="A12585" s="59">
        <v>28</v>
      </c>
      <c r="B12585" s="59">
        <v>33</v>
      </c>
      <c r="C12585" s="59">
        <v>160</v>
      </c>
      <c r="D12585" s="51">
        <v>137</v>
      </c>
      <c r="E12585" s="51">
        <f t="shared" si="196"/>
        <v>1</v>
      </c>
    </row>
    <row r="12586" spans="1:5">
      <c r="A12586" s="59">
        <v>28</v>
      </c>
      <c r="B12586" s="59">
        <v>62</v>
      </c>
      <c r="C12586" s="59">
        <v>420</v>
      </c>
      <c r="D12586" s="51">
        <v>135</v>
      </c>
      <c r="E12586" s="51">
        <f t="shared" si="196"/>
        <v>1</v>
      </c>
    </row>
    <row r="12587" spans="1:5">
      <c r="A12587" s="59">
        <v>28</v>
      </c>
      <c r="B12587" s="59">
        <v>13</v>
      </c>
      <c r="C12587" s="59">
        <v>420</v>
      </c>
      <c r="D12587" s="51">
        <v>134</v>
      </c>
      <c r="E12587" s="51">
        <f t="shared" si="196"/>
        <v>1</v>
      </c>
    </row>
    <row r="12588" spans="1:5">
      <c r="A12588" s="59">
        <v>28</v>
      </c>
      <c r="B12588" s="59">
        <v>14</v>
      </c>
      <c r="C12588" s="59">
        <v>220</v>
      </c>
      <c r="D12588" s="51">
        <v>132</v>
      </c>
      <c r="E12588" s="51">
        <f t="shared" si="196"/>
        <v>1</v>
      </c>
    </row>
    <row r="12589" spans="1:5">
      <c r="A12589" s="59">
        <v>28</v>
      </c>
      <c r="B12589" s="59">
        <v>71</v>
      </c>
      <c r="C12589" s="59">
        <v>730</v>
      </c>
      <c r="D12589" s="51">
        <v>130</v>
      </c>
      <c r="E12589" s="51">
        <f t="shared" si="196"/>
        <v>1</v>
      </c>
    </row>
    <row r="12590" spans="1:5">
      <c r="A12590" s="59">
        <v>28</v>
      </c>
      <c r="B12590" s="59">
        <v>13</v>
      </c>
      <c r="C12590" s="59">
        <v>620</v>
      </c>
      <c r="D12590" s="51">
        <v>129</v>
      </c>
      <c r="E12590" s="51">
        <f t="shared" si="196"/>
        <v>1</v>
      </c>
    </row>
    <row r="12591" spans="1:5">
      <c r="A12591" s="59">
        <v>28</v>
      </c>
      <c r="B12591" s="59">
        <v>22</v>
      </c>
      <c r="C12591" s="59">
        <v>220</v>
      </c>
      <c r="D12591" s="51">
        <v>129</v>
      </c>
      <c r="E12591" s="51">
        <f t="shared" si="196"/>
        <v>1</v>
      </c>
    </row>
    <row r="12592" spans="1:5">
      <c r="A12592" s="59">
        <v>28</v>
      </c>
      <c r="B12592" s="59">
        <v>42</v>
      </c>
      <c r="C12592" s="59">
        <v>970</v>
      </c>
      <c r="D12592" s="51">
        <v>129</v>
      </c>
      <c r="E12592" s="51">
        <f t="shared" si="196"/>
        <v>1</v>
      </c>
    </row>
    <row r="12593" spans="1:5">
      <c r="A12593" s="59">
        <v>28</v>
      </c>
      <c r="B12593" s="59">
        <v>13</v>
      </c>
      <c r="C12593" s="59">
        <v>920</v>
      </c>
      <c r="D12593" s="51">
        <v>127</v>
      </c>
      <c r="E12593" s="51">
        <f t="shared" si="196"/>
        <v>1</v>
      </c>
    </row>
    <row r="12594" spans="1:5">
      <c r="A12594" s="59">
        <v>28</v>
      </c>
      <c r="B12594" s="59">
        <v>43</v>
      </c>
      <c r="C12594" s="59">
        <v>899</v>
      </c>
      <c r="D12594" s="51">
        <v>126</v>
      </c>
      <c r="E12594" s="51">
        <f t="shared" si="196"/>
        <v>1</v>
      </c>
    </row>
    <row r="12595" spans="1:5">
      <c r="A12595" s="59">
        <v>28</v>
      </c>
      <c r="B12595" s="59">
        <v>71</v>
      </c>
      <c r="C12595" s="59">
        <v>310</v>
      </c>
      <c r="D12595" s="51">
        <v>126</v>
      </c>
      <c r="E12595" s="51">
        <f t="shared" si="196"/>
        <v>1</v>
      </c>
    </row>
    <row r="12596" spans="1:5">
      <c r="A12596" s="59">
        <v>28</v>
      </c>
      <c r="B12596" s="59">
        <v>31</v>
      </c>
      <c r="C12596" s="59">
        <v>430</v>
      </c>
      <c r="D12596" s="51">
        <v>125</v>
      </c>
      <c r="E12596" s="51">
        <f t="shared" si="196"/>
        <v>1</v>
      </c>
    </row>
    <row r="12597" spans="1:5">
      <c r="A12597" s="59">
        <v>28</v>
      </c>
      <c r="B12597" s="59">
        <v>32</v>
      </c>
      <c r="C12597" s="59">
        <v>240</v>
      </c>
      <c r="D12597" s="51">
        <v>125</v>
      </c>
      <c r="E12597" s="51">
        <f t="shared" si="196"/>
        <v>1</v>
      </c>
    </row>
    <row r="12598" spans="1:5">
      <c r="A12598" s="59">
        <v>28</v>
      </c>
      <c r="B12598" s="59">
        <v>43</v>
      </c>
      <c r="C12598" s="59">
        <v>630</v>
      </c>
      <c r="D12598" s="51">
        <v>125</v>
      </c>
      <c r="E12598" s="51">
        <f t="shared" si="196"/>
        <v>1</v>
      </c>
    </row>
    <row r="12599" spans="1:5">
      <c r="A12599" s="59">
        <v>28</v>
      </c>
      <c r="B12599" s="59">
        <v>63</v>
      </c>
      <c r="C12599" s="59">
        <v>310</v>
      </c>
      <c r="D12599" s="51">
        <v>125</v>
      </c>
      <c r="E12599" s="51">
        <f t="shared" si="196"/>
        <v>1</v>
      </c>
    </row>
    <row r="12600" spans="1:5">
      <c r="A12600" s="59">
        <v>28</v>
      </c>
      <c r="B12600" s="59">
        <v>81</v>
      </c>
      <c r="C12600" s="59">
        <v>230</v>
      </c>
      <c r="D12600" s="51">
        <v>125</v>
      </c>
      <c r="E12600" s="51">
        <f t="shared" si="196"/>
        <v>1</v>
      </c>
    </row>
    <row r="12601" spans="1:5">
      <c r="A12601" s="59">
        <v>28</v>
      </c>
      <c r="B12601" s="59">
        <v>64</v>
      </c>
      <c r="C12601" s="59">
        <v>830</v>
      </c>
      <c r="D12601" s="51">
        <v>122</v>
      </c>
      <c r="E12601" s="51">
        <f t="shared" si="196"/>
        <v>1</v>
      </c>
    </row>
    <row r="12602" spans="1:5">
      <c r="A12602" s="59">
        <v>28</v>
      </c>
      <c r="B12602" s="59">
        <v>14</v>
      </c>
      <c r="C12602" s="59">
        <v>990</v>
      </c>
      <c r="D12602" s="51">
        <v>120</v>
      </c>
      <c r="E12602" s="51">
        <f t="shared" si="196"/>
        <v>1</v>
      </c>
    </row>
    <row r="12603" spans="1:5">
      <c r="A12603" s="59">
        <v>28</v>
      </c>
      <c r="B12603" s="59">
        <v>14</v>
      </c>
      <c r="C12603" s="59">
        <v>120</v>
      </c>
      <c r="D12603" s="51">
        <v>118</v>
      </c>
      <c r="E12603" s="51">
        <f t="shared" si="196"/>
        <v>1</v>
      </c>
    </row>
    <row r="12604" spans="1:5">
      <c r="A12604" s="59">
        <v>28</v>
      </c>
      <c r="B12604" s="59">
        <v>15</v>
      </c>
      <c r="C12604" s="59">
        <v>930</v>
      </c>
      <c r="D12604" s="51">
        <v>116</v>
      </c>
      <c r="E12604" s="51">
        <f t="shared" si="196"/>
        <v>1</v>
      </c>
    </row>
    <row r="12605" spans="1:5">
      <c r="A12605" s="59">
        <v>28</v>
      </c>
      <c r="B12605" s="59">
        <v>33</v>
      </c>
      <c r="C12605" s="59">
        <v>970</v>
      </c>
      <c r="D12605" s="51">
        <v>116</v>
      </c>
      <c r="E12605" s="51">
        <f t="shared" si="196"/>
        <v>1</v>
      </c>
    </row>
    <row r="12606" spans="1:5">
      <c r="A12606" s="59">
        <v>28</v>
      </c>
      <c r="B12606" s="59">
        <v>11</v>
      </c>
      <c r="C12606" s="59">
        <v>150</v>
      </c>
      <c r="D12606" s="51">
        <v>115</v>
      </c>
      <c r="E12606" s="51">
        <f t="shared" si="196"/>
        <v>1</v>
      </c>
    </row>
    <row r="12607" spans="1:5">
      <c r="A12607" s="59">
        <v>28</v>
      </c>
      <c r="B12607" s="59">
        <v>64</v>
      </c>
      <c r="C12607" s="59">
        <v>130</v>
      </c>
      <c r="D12607" s="51">
        <v>115</v>
      </c>
      <c r="E12607" s="51">
        <f t="shared" si="196"/>
        <v>1</v>
      </c>
    </row>
    <row r="12608" spans="1:5">
      <c r="A12608" s="59">
        <v>28</v>
      </c>
      <c r="B12608" s="59">
        <v>71</v>
      </c>
      <c r="C12608" s="59">
        <v>240</v>
      </c>
      <c r="D12608" s="51">
        <v>115</v>
      </c>
      <c r="E12608" s="51">
        <f t="shared" si="196"/>
        <v>1</v>
      </c>
    </row>
    <row r="12609" spans="1:5">
      <c r="A12609" s="59">
        <v>28</v>
      </c>
      <c r="B12609" s="59">
        <v>14</v>
      </c>
      <c r="C12609" s="59">
        <v>960</v>
      </c>
      <c r="D12609" s="51">
        <v>114</v>
      </c>
      <c r="E12609" s="51">
        <f t="shared" si="196"/>
        <v>1</v>
      </c>
    </row>
    <row r="12610" spans="1:5">
      <c r="A12610" s="59">
        <v>28</v>
      </c>
      <c r="B12610" s="59">
        <v>44</v>
      </c>
      <c r="C12610" s="59">
        <v>210</v>
      </c>
      <c r="D12610" s="51">
        <v>113</v>
      </c>
      <c r="E12610" s="51">
        <f t="shared" ref="E12610:E12673" si="197">IF(OR(A12610=6,A12610=7,A12610=14,A12610=15,A12610=16,A12610=17,A12610=18,A12610=19,A12610=20,A12610=21,A12610=22,A12610=23,A12610=25,A12610=26,A12610=27,A12610=28,B12610=41,B12610=44,B12610=62),1,0)</f>
        <v>1</v>
      </c>
    </row>
    <row r="12611" spans="1:5">
      <c r="A12611" s="59">
        <v>28</v>
      </c>
      <c r="B12611" s="59">
        <v>13</v>
      </c>
      <c r="C12611" s="59">
        <v>220</v>
      </c>
      <c r="D12611" s="51">
        <v>112</v>
      </c>
      <c r="E12611" s="51">
        <f t="shared" si="197"/>
        <v>1</v>
      </c>
    </row>
    <row r="12612" spans="1:5">
      <c r="A12612" s="59">
        <v>28</v>
      </c>
      <c r="B12612" s="59">
        <v>31</v>
      </c>
      <c r="C12612" s="59">
        <v>895</v>
      </c>
      <c r="D12612" s="51">
        <v>112</v>
      </c>
      <c r="E12612" s="51">
        <f t="shared" si="197"/>
        <v>1</v>
      </c>
    </row>
    <row r="12613" spans="1:5">
      <c r="A12613" s="59">
        <v>28</v>
      </c>
      <c r="B12613" s="59">
        <v>81</v>
      </c>
      <c r="C12613" s="59">
        <v>240</v>
      </c>
      <c r="D12613" s="51">
        <v>111</v>
      </c>
      <c r="E12613" s="51">
        <f t="shared" si="197"/>
        <v>1</v>
      </c>
    </row>
    <row r="12614" spans="1:5">
      <c r="A12614" s="59">
        <v>28</v>
      </c>
      <c r="B12614" s="59">
        <v>43</v>
      </c>
      <c r="C12614" s="59">
        <v>140</v>
      </c>
      <c r="D12614" s="51">
        <v>110</v>
      </c>
      <c r="E12614" s="51">
        <f t="shared" si="197"/>
        <v>1</v>
      </c>
    </row>
    <row r="12615" spans="1:5">
      <c r="A12615" s="59">
        <v>28</v>
      </c>
      <c r="B12615" s="59">
        <v>71</v>
      </c>
      <c r="C12615" s="59">
        <v>220</v>
      </c>
      <c r="D12615" s="51">
        <v>110</v>
      </c>
      <c r="E12615" s="51">
        <f t="shared" si="197"/>
        <v>1</v>
      </c>
    </row>
    <row r="12616" spans="1:5">
      <c r="A12616" s="59">
        <v>28</v>
      </c>
      <c r="B12616" s="59">
        <v>32</v>
      </c>
      <c r="C12616" s="59">
        <v>150</v>
      </c>
      <c r="D12616" s="51">
        <v>109</v>
      </c>
      <c r="E12616" s="51">
        <f t="shared" si="197"/>
        <v>1</v>
      </c>
    </row>
    <row r="12617" spans="1:5">
      <c r="A12617" s="59">
        <v>28</v>
      </c>
      <c r="B12617" s="59">
        <v>42</v>
      </c>
      <c r="C12617" s="59">
        <v>630</v>
      </c>
      <c r="D12617" s="51">
        <v>107</v>
      </c>
      <c r="E12617" s="51">
        <f t="shared" si="197"/>
        <v>1</v>
      </c>
    </row>
    <row r="12618" spans="1:5">
      <c r="A12618" s="59">
        <v>28</v>
      </c>
      <c r="B12618" s="59">
        <v>41</v>
      </c>
      <c r="C12618" s="59">
        <v>750</v>
      </c>
      <c r="D12618" s="51">
        <v>106</v>
      </c>
      <c r="E12618" s="51">
        <f t="shared" si="197"/>
        <v>1</v>
      </c>
    </row>
    <row r="12619" spans="1:5">
      <c r="A12619" s="59">
        <v>28</v>
      </c>
      <c r="B12619" s="59">
        <v>32</v>
      </c>
      <c r="C12619" s="59">
        <v>510</v>
      </c>
      <c r="D12619" s="51">
        <v>105</v>
      </c>
      <c r="E12619" s="51">
        <f t="shared" si="197"/>
        <v>1</v>
      </c>
    </row>
    <row r="12620" spans="1:5">
      <c r="A12620" s="59">
        <v>28</v>
      </c>
      <c r="B12620" s="59">
        <v>22</v>
      </c>
      <c r="C12620" s="59">
        <v>890</v>
      </c>
      <c r="D12620" s="51">
        <v>104</v>
      </c>
      <c r="E12620" s="51">
        <f t="shared" si="197"/>
        <v>1</v>
      </c>
    </row>
    <row r="12621" spans="1:5">
      <c r="A12621" s="59">
        <v>28</v>
      </c>
      <c r="B12621" s="59">
        <v>44</v>
      </c>
      <c r="C12621" s="59">
        <v>520</v>
      </c>
      <c r="D12621" s="51">
        <v>104</v>
      </c>
      <c r="E12621" s="51">
        <f t="shared" si="197"/>
        <v>1</v>
      </c>
    </row>
    <row r="12622" spans="1:5">
      <c r="A12622" s="59">
        <v>28</v>
      </c>
      <c r="B12622" s="59">
        <v>22</v>
      </c>
      <c r="C12622" s="59">
        <v>930</v>
      </c>
      <c r="D12622" s="51">
        <v>101</v>
      </c>
      <c r="E12622" s="51">
        <f t="shared" si="197"/>
        <v>1</v>
      </c>
    </row>
    <row r="12623" spans="1:5">
      <c r="A12623" s="59">
        <v>28</v>
      </c>
      <c r="B12623" s="59">
        <v>33</v>
      </c>
      <c r="C12623" s="59">
        <v>230</v>
      </c>
      <c r="D12623" s="51">
        <v>101</v>
      </c>
      <c r="E12623" s="51">
        <f t="shared" si="197"/>
        <v>1</v>
      </c>
    </row>
    <row r="12624" spans="1:5">
      <c r="A12624" s="59">
        <v>28</v>
      </c>
      <c r="B12624" s="59">
        <v>33</v>
      </c>
      <c r="C12624" s="59">
        <v>330</v>
      </c>
      <c r="D12624" s="51">
        <v>100</v>
      </c>
      <c r="E12624" s="51">
        <f t="shared" si="197"/>
        <v>1</v>
      </c>
    </row>
    <row r="12625" spans="1:5">
      <c r="A12625" s="59">
        <v>28</v>
      </c>
      <c r="B12625" s="59">
        <v>81</v>
      </c>
      <c r="C12625" s="59">
        <v>720</v>
      </c>
      <c r="D12625" s="51">
        <v>100</v>
      </c>
      <c r="E12625" s="51">
        <f t="shared" si="197"/>
        <v>1</v>
      </c>
    </row>
    <row r="12626" spans="1:5">
      <c r="A12626" s="59">
        <v>28</v>
      </c>
      <c r="B12626" s="59">
        <v>32</v>
      </c>
      <c r="C12626" s="59">
        <v>895</v>
      </c>
      <c r="D12626" s="51">
        <v>99</v>
      </c>
      <c r="E12626" s="51">
        <f t="shared" si="197"/>
        <v>1</v>
      </c>
    </row>
    <row r="12627" spans="1:5">
      <c r="A12627" s="59">
        <v>28</v>
      </c>
      <c r="B12627" s="59">
        <v>42</v>
      </c>
      <c r="C12627" s="59">
        <v>640</v>
      </c>
      <c r="D12627" s="51">
        <v>99</v>
      </c>
      <c r="E12627" s="51">
        <f t="shared" si="197"/>
        <v>1</v>
      </c>
    </row>
    <row r="12628" spans="1:5">
      <c r="A12628" s="59">
        <v>28</v>
      </c>
      <c r="B12628" s="59">
        <v>43</v>
      </c>
      <c r="C12628" s="59">
        <v>861</v>
      </c>
      <c r="D12628" s="51">
        <v>99</v>
      </c>
      <c r="E12628" s="51">
        <f t="shared" si="197"/>
        <v>1</v>
      </c>
    </row>
    <row r="12629" spans="1:5">
      <c r="A12629" s="59">
        <v>28</v>
      </c>
      <c r="B12629" s="59">
        <v>43</v>
      </c>
      <c r="C12629" s="59">
        <v>895</v>
      </c>
      <c r="D12629" s="51">
        <v>99</v>
      </c>
      <c r="E12629" s="51">
        <f t="shared" si="197"/>
        <v>1</v>
      </c>
    </row>
    <row r="12630" spans="1:5">
      <c r="A12630" s="59">
        <v>28</v>
      </c>
      <c r="B12630" s="59">
        <v>14</v>
      </c>
      <c r="C12630" s="59">
        <v>610</v>
      </c>
      <c r="D12630" s="51">
        <v>97</v>
      </c>
      <c r="E12630" s="51">
        <f t="shared" si="197"/>
        <v>1</v>
      </c>
    </row>
    <row r="12631" spans="1:5">
      <c r="A12631" s="59">
        <v>28</v>
      </c>
      <c r="B12631" s="59">
        <v>42</v>
      </c>
      <c r="C12631" s="59">
        <v>550</v>
      </c>
      <c r="D12631" s="51">
        <v>97</v>
      </c>
      <c r="E12631" s="51">
        <f t="shared" si="197"/>
        <v>1</v>
      </c>
    </row>
    <row r="12632" spans="1:5">
      <c r="A12632" s="59">
        <v>28</v>
      </c>
      <c r="B12632" s="59">
        <v>41</v>
      </c>
      <c r="C12632" s="59">
        <v>950</v>
      </c>
      <c r="D12632" s="51">
        <v>95</v>
      </c>
      <c r="E12632" s="51">
        <f t="shared" si="197"/>
        <v>1</v>
      </c>
    </row>
    <row r="12633" spans="1:5">
      <c r="A12633" s="59">
        <v>28</v>
      </c>
      <c r="B12633" s="59">
        <v>16</v>
      </c>
      <c r="C12633" s="59">
        <v>320</v>
      </c>
      <c r="D12633" s="51">
        <v>94</v>
      </c>
      <c r="E12633" s="51">
        <f t="shared" si="197"/>
        <v>1</v>
      </c>
    </row>
    <row r="12634" spans="1:5">
      <c r="A12634" s="59">
        <v>28</v>
      </c>
      <c r="B12634" s="59">
        <v>62</v>
      </c>
      <c r="C12634" s="59">
        <v>520</v>
      </c>
      <c r="D12634" s="51">
        <v>93</v>
      </c>
      <c r="E12634" s="51">
        <f t="shared" si="197"/>
        <v>1</v>
      </c>
    </row>
    <row r="12635" spans="1:5">
      <c r="A12635" s="59">
        <v>28</v>
      </c>
      <c r="B12635" s="59">
        <v>33</v>
      </c>
      <c r="C12635" s="59">
        <v>530</v>
      </c>
      <c r="D12635" s="51">
        <v>92</v>
      </c>
      <c r="E12635" s="51">
        <f t="shared" si="197"/>
        <v>1</v>
      </c>
    </row>
    <row r="12636" spans="1:5">
      <c r="A12636" s="59">
        <v>28</v>
      </c>
      <c r="B12636" s="59">
        <v>15</v>
      </c>
      <c r="C12636" s="59">
        <v>960</v>
      </c>
      <c r="D12636" s="51">
        <v>91</v>
      </c>
      <c r="E12636" s="51">
        <f t="shared" si="197"/>
        <v>1</v>
      </c>
    </row>
    <row r="12637" spans="1:5">
      <c r="A12637" s="59">
        <v>28</v>
      </c>
      <c r="B12637" s="59">
        <v>62</v>
      </c>
      <c r="C12637" s="59">
        <v>960</v>
      </c>
      <c r="D12637" s="51">
        <v>90</v>
      </c>
      <c r="E12637" s="51">
        <f t="shared" si="197"/>
        <v>1</v>
      </c>
    </row>
    <row r="12638" spans="1:5">
      <c r="A12638" s="59">
        <v>28</v>
      </c>
      <c r="B12638" s="59">
        <v>32</v>
      </c>
      <c r="C12638" s="59">
        <v>990</v>
      </c>
      <c r="D12638" s="51">
        <v>89</v>
      </c>
      <c r="E12638" s="51">
        <f t="shared" si="197"/>
        <v>1</v>
      </c>
    </row>
    <row r="12639" spans="1:5">
      <c r="A12639" s="59">
        <v>28</v>
      </c>
      <c r="B12639" s="59">
        <v>31</v>
      </c>
      <c r="C12639" s="59">
        <v>910</v>
      </c>
      <c r="D12639" s="51">
        <v>88</v>
      </c>
      <c r="E12639" s="51">
        <f t="shared" si="197"/>
        <v>1</v>
      </c>
    </row>
    <row r="12640" spans="1:5">
      <c r="A12640" s="59">
        <v>28</v>
      </c>
      <c r="B12640" s="59">
        <v>13</v>
      </c>
      <c r="C12640" s="59">
        <v>970</v>
      </c>
      <c r="D12640" s="51">
        <v>87</v>
      </c>
      <c r="E12640" s="51">
        <f t="shared" si="197"/>
        <v>1</v>
      </c>
    </row>
    <row r="12641" spans="1:5">
      <c r="A12641" s="59">
        <v>28</v>
      </c>
      <c r="B12641" s="59">
        <v>23</v>
      </c>
      <c r="C12641" s="59">
        <v>910</v>
      </c>
      <c r="D12641" s="51">
        <v>86</v>
      </c>
      <c r="E12641" s="51">
        <f t="shared" si="197"/>
        <v>1</v>
      </c>
    </row>
    <row r="12642" spans="1:5">
      <c r="A12642" s="59">
        <v>28</v>
      </c>
      <c r="B12642" s="59">
        <v>42</v>
      </c>
      <c r="C12642" s="59">
        <v>540</v>
      </c>
      <c r="D12642" s="51">
        <v>86</v>
      </c>
      <c r="E12642" s="51">
        <f t="shared" si="197"/>
        <v>1</v>
      </c>
    </row>
    <row r="12643" spans="1:5">
      <c r="A12643" s="59">
        <v>28</v>
      </c>
      <c r="B12643" s="59">
        <v>32</v>
      </c>
      <c r="C12643" s="59">
        <v>610</v>
      </c>
      <c r="D12643" s="51">
        <v>85</v>
      </c>
      <c r="E12643" s="51">
        <f t="shared" si="197"/>
        <v>1</v>
      </c>
    </row>
    <row r="12644" spans="1:5">
      <c r="A12644" s="59">
        <v>28</v>
      </c>
      <c r="B12644" s="59">
        <v>51</v>
      </c>
      <c r="C12644" s="59">
        <v>530</v>
      </c>
      <c r="D12644" s="51">
        <v>85</v>
      </c>
      <c r="E12644" s="51">
        <f t="shared" si="197"/>
        <v>1</v>
      </c>
    </row>
    <row r="12645" spans="1:5">
      <c r="A12645" s="59">
        <v>28</v>
      </c>
      <c r="B12645" s="59">
        <v>32</v>
      </c>
      <c r="C12645" s="59">
        <v>930</v>
      </c>
      <c r="D12645" s="51">
        <v>84</v>
      </c>
      <c r="E12645" s="51">
        <f t="shared" si="197"/>
        <v>1</v>
      </c>
    </row>
    <row r="12646" spans="1:5">
      <c r="A12646" s="59">
        <v>28</v>
      </c>
      <c r="B12646" s="59">
        <v>64</v>
      </c>
      <c r="C12646" s="59">
        <v>120</v>
      </c>
      <c r="D12646" s="51">
        <v>84</v>
      </c>
      <c r="E12646" s="51">
        <f t="shared" si="197"/>
        <v>1</v>
      </c>
    </row>
    <row r="12647" spans="1:5">
      <c r="A12647" s="59">
        <v>28</v>
      </c>
      <c r="B12647" s="59">
        <v>44</v>
      </c>
      <c r="C12647" s="59">
        <v>630</v>
      </c>
      <c r="D12647" s="51">
        <v>82</v>
      </c>
      <c r="E12647" s="51">
        <f t="shared" si="197"/>
        <v>1</v>
      </c>
    </row>
    <row r="12648" spans="1:5">
      <c r="A12648" s="59">
        <v>28</v>
      </c>
      <c r="B12648" s="59">
        <v>33</v>
      </c>
      <c r="C12648" s="59">
        <v>110</v>
      </c>
      <c r="D12648" s="51">
        <v>81</v>
      </c>
      <c r="E12648" s="51">
        <f t="shared" si="197"/>
        <v>1</v>
      </c>
    </row>
    <row r="12649" spans="1:5">
      <c r="A12649" s="59">
        <v>28</v>
      </c>
      <c r="B12649" s="59">
        <v>13</v>
      </c>
      <c r="C12649" s="59">
        <v>610</v>
      </c>
      <c r="D12649" s="51">
        <v>80</v>
      </c>
      <c r="E12649" s="51">
        <f t="shared" si="197"/>
        <v>1</v>
      </c>
    </row>
    <row r="12650" spans="1:5">
      <c r="A12650" s="59">
        <v>28</v>
      </c>
      <c r="B12650" s="59">
        <v>15</v>
      </c>
      <c r="C12650" s="59">
        <v>310</v>
      </c>
      <c r="D12650" s="51">
        <v>80</v>
      </c>
      <c r="E12650" s="51">
        <f t="shared" si="197"/>
        <v>1</v>
      </c>
    </row>
    <row r="12651" spans="1:5">
      <c r="A12651" s="59">
        <v>28</v>
      </c>
      <c r="B12651" s="59">
        <v>16</v>
      </c>
      <c r="C12651" s="59">
        <v>950</v>
      </c>
      <c r="D12651" s="51">
        <v>80</v>
      </c>
      <c r="E12651" s="51">
        <f t="shared" si="197"/>
        <v>1</v>
      </c>
    </row>
    <row r="12652" spans="1:5">
      <c r="A12652" s="59">
        <v>28</v>
      </c>
      <c r="B12652" s="59">
        <v>62</v>
      </c>
      <c r="C12652" s="59">
        <v>230</v>
      </c>
      <c r="D12652" s="51">
        <v>79</v>
      </c>
      <c r="E12652" s="51">
        <f t="shared" si="197"/>
        <v>1</v>
      </c>
    </row>
    <row r="12653" spans="1:5">
      <c r="A12653" s="59">
        <v>28</v>
      </c>
      <c r="B12653" s="59">
        <v>62</v>
      </c>
      <c r="C12653" s="59">
        <v>710</v>
      </c>
      <c r="D12653" s="51">
        <v>79</v>
      </c>
      <c r="E12653" s="51">
        <f t="shared" si="197"/>
        <v>1</v>
      </c>
    </row>
    <row r="12654" spans="1:5">
      <c r="A12654" s="59">
        <v>28</v>
      </c>
      <c r="B12654" s="59">
        <v>41</v>
      </c>
      <c r="C12654" s="59">
        <v>150</v>
      </c>
      <c r="D12654" s="51">
        <v>78</v>
      </c>
      <c r="E12654" s="51">
        <f t="shared" si="197"/>
        <v>1</v>
      </c>
    </row>
    <row r="12655" spans="1:5">
      <c r="A12655" s="59">
        <v>28</v>
      </c>
      <c r="B12655" s="59">
        <v>62</v>
      </c>
      <c r="C12655" s="59">
        <v>630</v>
      </c>
      <c r="D12655" s="51">
        <v>78</v>
      </c>
      <c r="E12655" s="51">
        <f t="shared" si="197"/>
        <v>1</v>
      </c>
    </row>
    <row r="12656" spans="1:5">
      <c r="A12656" s="59">
        <v>28</v>
      </c>
      <c r="B12656" s="59">
        <v>64</v>
      </c>
      <c r="C12656" s="59">
        <v>840</v>
      </c>
      <c r="D12656" s="51">
        <v>78</v>
      </c>
      <c r="E12656" s="51">
        <f t="shared" si="197"/>
        <v>1</v>
      </c>
    </row>
    <row r="12657" spans="1:5">
      <c r="A12657" s="59">
        <v>28</v>
      </c>
      <c r="B12657" s="59">
        <v>16</v>
      </c>
      <c r="C12657" s="59">
        <v>140</v>
      </c>
      <c r="D12657" s="51">
        <v>77</v>
      </c>
      <c r="E12657" s="51">
        <f t="shared" si="197"/>
        <v>1</v>
      </c>
    </row>
    <row r="12658" spans="1:5">
      <c r="A12658" s="59">
        <v>28</v>
      </c>
      <c r="B12658" s="59">
        <v>44</v>
      </c>
      <c r="C12658" s="59">
        <v>330</v>
      </c>
      <c r="D12658" s="51">
        <v>77</v>
      </c>
      <c r="E12658" s="51">
        <f t="shared" si="197"/>
        <v>1</v>
      </c>
    </row>
    <row r="12659" spans="1:5">
      <c r="A12659" s="59">
        <v>28</v>
      </c>
      <c r="B12659" s="59">
        <v>63</v>
      </c>
      <c r="C12659" s="59">
        <v>930</v>
      </c>
      <c r="D12659" s="51">
        <v>77</v>
      </c>
      <c r="E12659" s="51">
        <f t="shared" si="197"/>
        <v>1</v>
      </c>
    </row>
    <row r="12660" spans="1:5">
      <c r="A12660" s="59">
        <v>28</v>
      </c>
      <c r="B12660" s="59">
        <v>41</v>
      </c>
      <c r="C12660" s="59">
        <v>730</v>
      </c>
      <c r="D12660" s="51">
        <v>76</v>
      </c>
      <c r="E12660" s="51">
        <f t="shared" si="197"/>
        <v>1</v>
      </c>
    </row>
    <row r="12661" spans="1:5">
      <c r="A12661" s="59">
        <v>28</v>
      </c>
      <c r="B12661" s="59">
        <v>43</v>
      </c>
      <c r="C12661" s="59">
        <v>820</v>
      </c>
      <c r="D12661" s="51">
        <v>76</v>
      </c>
      <c r="E12661" s="51">
        <f t="shared" si="197"/>
        <v>1</v>
      </c>
    </row>
    <row r="12662" spans="1:5">
      <c r="A12662" s="59">
        <v>28</v>
      </c>
      <c r="B12662" s="59">
        <v>63</v>
      </c>
      <c r="C12662" s="59">
        <v>240</v>
      </c>
      <c r="D12662" s="51">
        <v>76</v>
      </c>
      <c r="E12662" s="51">
        <f t="shared" si="197"/>
        <v>1</v>
      </c>
    </row>
    <row r="12663" spans="1:5">
      <c r="A12663" s="59">
        <v>28</v>
      </c>
      <c r="B12663" s="59">
        <v>81</v>
      </c>
      <c r="C12663" s="59">
        <v>550</v>
      </c>
      <c r="D12663" s="51">
        <v>74</v>
      </c>
      <c r="E12663" s="51">
        <f t="shared" si="197"/>
        <v>1</v>
      </c>
    </row>
    <row r="12664" spans="1:5">
      <c r="A12664" s="59">
        <v>28</v>
      </c>
      <c r="B12664" s="59">
        <v>22</v>
      </c>
      <c r="C12664" s="59">
        <v>530</v>
      </c>
      <c r="D12664" s="51">
        <v>73</v>
      </c>
      <c r="E12664" s="51">
        <f t="shared" si="197"/>
        <v>1</v>
      </c>
    </row>
    <row r="12665" spans="1:5">
      <c r="A12665" s="59">
        <v>28</v>
      </c>
      <c r="B12665" s="59">
        <v>42</v>
      </c>
      <c r="C12665" s="59">
        <v>990</v>
      </c>
      <c r="D12665" s="51">
        <v>73</v>
      </c>
      <c r="E12665" s="51">
        <f t="shared" si="197"/>
        <v>1</v>
      </c>
    </row>
    <row r="12666" spans="1:5">
      <c r="A12666" s="59">
        <v>28</v>
      </c>
      <c r="B12666" s="59">
        <v>44</v>
      </c>
      <c r="C12666" s="59">
        <v>640</v>
      </c>
      <c r="D12666" s="51">
        <v>73</v>
      </c>
      <c r="E12666" s="51">
        <f t="shared" si="197"/>
        <v>1</v>
      </c>
    </row>
    <row r="12667" spans="1:5">
      <c r="A12667" s="59">
        <v>28</v>
      </c>
      <c r="B12667" s="59">
        <v>42</v>
      </c>
      <c r="C12667" s="59">
        <v>330</v>
      </c>
      <c r="D12667" s="51">
        <v>72</v>
      </c>
      <c r="E12667" s="51">
        <f t="shared" si="197"/>
        <v>1</v>
      </c>
    </row>
    <row r="12668" spans="1:5">
      <c r="A12668" s="59">
        <v>28</v>
      </c>
      <c r="B12668" s="59">
        <v>71</v>
      </c>
      <c r="C12668" s="59">
        <v>960</v>
      </c>
      <c r="D12668" s="51">
        <v>72</v>
      </c>
      <c r="E12668" s="51">
        <f t="shared" si="197"/>
        <v>1</v>
      </c>
    </row>
    <row r="12669" spans="1:5">
      <c r="A12669" s="59">
        <v>28</v>
      </c>
      <c r="B12669" s="59">
        <v>33</v>
      </c>
      <c r="C12669" s="59">
        <v>920</v>
      </c>
      <c r="D12669" s="51">
        <v>71</v>
      </c>
      <c r="E12669" s="51">
        <f t="shared" si="197"/>
        <v>1</v>
      </c>
    </row>
    <row r="12670" spans="1:5">
      <c r="A12670" s="59">
        <v>28</v>
      </c>
      <c r="B12670" s="59">
        <v>41</v>
      </c>
      <c r="C12670" s="59">
        <v>930</v>
      </c>
      <c r="D12670" s="51">
        <v>71</v>
      </c>
      <c r="E12670" s="51">
        <f t="shared" si="197"/>
        <v>1</v>
      </c>
    </row>
    <row r="12671" spans="1:5">
      <c r="A12671" s="59">
        <v>28</v>
      </c>
      <c r="B12671" s="59">
        <v>32</v>
      </c>
      <c r="C12671" s="59">
        <v>620</v>
      </c>
      <c r="D12671" s="51">
        <v>70</v>
      </c>
      <c r="E12671" s="51">
        <f t="shared" si="197"/>
        <v>1</v>
      </c>
    </row>
    <row r="12672" spans="1:5">
      <c r="A12672" s="59">
        <v>28</v>
      </c>
      <c r="B12672" s="59">
        <v>13</v>
      </c>
      <c r="C12672" s="59">
        <v>120</v>
      </c>
      <c r="D12672" s="51">
        <v>69</v>
      </c>
      <c r="E12672" s="51">
        <f t="shared" si="197"/>
        <v>1</v>
      </c>
    </row>
    <row r="12673" spans="1:5">
      <c r="A12673" s="59">
        <v>28</v>
      </c>
      <c r="B12673" s="59">
        <v>33</v>
      </c>
      <c r="C12673" s="59">
        <v>960</v>
      </c>
      <c r="D12673" s="51">
        <v>69</v>
      </c>
      <c r="E12673" s="51">
        <f t="shared" si="197"/>
        <v>1</v>
      </c>
    </row>
    <row r="12674" spans="1:5">
      <c r="A12674" s="59">
        <v>28</v>
      </c>
      <c r="B12674" s="59">
        <v>62</v>
      </c>
      <c r="C12674" s="59">
        <v>740</v>
      </c>
      <c r="D12674" s="51">
        <v>69</v>
      </c>
      <c r="E12674" s="51">
        <f t="shared" ref="E12674:E12737" si="198">IF(OR(A12674=6,A12674=7,A12674=14,A12674=15,A12674=16,A12674=17,A12674=18,A12674=19,A12674=20,A12674=21,A12674=22,A12674=23,A12674=25,A12674=26,A12674=27,A12674=28,B12674=41,B12674=44,B12674=62),1,0)</f>
        <v>1</v>
      </c>
    </row>
    <row r="12675" spans="1:5">
      <c r="A12675" s="59">
        <v>28</v>
      </c>
      <c r="B12675" s="59">
        <v>44</v>
      </c>
      <c r="C12675" s="59">
        <v>420</v>
      </c>
      <c r="D12675" s="51">
        <v>68</v>
      </c>
      <c r="E12675" s="51">
        <f t="shared" si="198"/>
        <v>1</v>
      </c>
    </row>
    <row r="12676" spans="1:5">
      <c r="A12676" s="59">
        <v>28</v>
      </c>
      <c r="B12676" s="59">
        <v>13</v>
      </c>
      <c r="C12676" s="59">
        <v>960</v>
      </c>
      <c r="D12676" s="51">
        <v>67</v>
      </c>
      <c r="E12676" s="51">
        <f t="shared" si="198"/>
        <v>1</v>
      </c>
    </row>
    <row r="12677" spans="1:5">
      <c r="A12677" s="59">
        <v>28</v>
      </c>
      <c r="B12677" s="59">
        <v>15</v>
      </c>
      <c r="C12677" s="59">
        <v>330</v>
      </c>
      <c r="D12677" s="51">
        <v>67</v>
      </c>
      <c r="E12677" s="51">
        <f t="shared" si="198"/>
        <v>1</v>
      </c>
    </row>
    <row r="12678" spans="1:5">
      <c r="A12678" s="59">
        <v>28</v>
      </c>
      <c r="B12678" s="59">
        <v>33</v>
      </c>
      <c r="C12678" s="59">
        <v>140</v>
      </c>
      <c r="D12678" s="51">
        <v>67</v>
      </c>
      <c r="E12678" s="51">
        <f t="shared" si="198"/>
        <v>1</v>
      </c>
    </row>
    <row r="12679" spans="1:5">
      <c r="A12679" s="59">
        <v>28</v>
      </c>
      <c r="B12679" s="59">
        <v>41</v>
      </c>
      <c r="C12679" s="59">
        <v>970</v>
      </c>
      <c r="D12679" s="51">
        <v>67</v>
      </c>
      <c r="E12679" s="51">
        <f t="shared" si="198"/>
        <v>1</v>
      </c>
    </row>
    <row r="12680" spans="1:5">
      <c r="A12680" s="59">
        <v>28</v>
      </c>
      <c r="B12680" s="59">
        <v>16</v>
      </c>
      <c r="C12680" s="59">
        <v>430</v>
      </c>
      <c r="D12680" s="51">
        <v>66</v>
      </c>
      <c r="E12680" s="51">
        <f t="shared" si="198"/>
        <v>1</v>
      </c>
    </row>
    <row r="12681" spans="1:5">
      <c r="A12681" s="59">
        <v>28</v>
      </c>
      <c r="B12681" s="59">
        <v>21</v>
      </c>
      <c r="C12681" s="59">
        <v>210</v>
      </c>
      <c r="D12681" s="51">
        <v>66</v>
      </c>
      <c r="E12681" s="51">
        <f t="shared" si="198"/>
        <v>1</v>
      </c>
    </row>
    <row r="12682" spans="1:5">
      <c r="A12682" s="59">
        <v>28</v>
      </c>
      <c r="B12682" s="59">
        <v>32</v>
      </c>
      <c r="C12682" s="59">
        <v>110</v>
      </c>
      <c r="D12682" s="51">
        <v>66</v>
      </c>
      <c r="E12682" s="51">
        <f t="shared" si="198"/>
        <v>1</v>
      </c>
    </row>
    <row r="12683" spans="1:5">
      <c r="A12683" s="59">
        <v>28</v>
      </c>
      <c r="B12683" s="59">
        <v>41</v>
      </c>
      <c r="C12683" s="59">
        <v>110</v>
      </c>
      <c r="D12683" s="51">
        <v>66</v>
      </c>
      <c r="E12683" s="51">
        <f t="shared" si="198"/>
        <v>1</v>
      </c>
    </row>
    <row r="12684" spans="1:5">
      <c r="A12684" s="59">
        <v>28</v>
      </c>
      <c r="B12684" s="59">
        <v>33</v>
      </c>
      <c r="C12684" s="59">
        <v>510</v>
      </c>
      <c r="D12684" s="51">
        <v>65</v>
      </c>
      <c r="E12684" s="51">
        <f t="shared" si="198"/>
        <v>1</v>
      </c>
    </row>
    <row r="12685" spans="1:5">
      <c r="A12685" s="59">
        <v>28</v>
      </c>
      <c r="B12685" s="59">
        <v>64</v>
      </c>
      <c r="C12685" s="59">
        <v>891</v>
      </c>
      <c r="D12685" s="51">
        <v>65</v>
      </c>
      <c r="E12685" s="51">
        <f t="shared" si="198"/>
        <v>1</v>
      </c>
    </row>
    <row r="12686" spans="1:5">
      <c r="A12686" s="59">
        <v>28</v>
      </c>
      <c r="B12686" s="59">
        <v>62</v>
      </c>
      <c r="C12686" s="59">
        <v>930</v>
      </c>
      <c r="D12686" s="51">
        <v>64</v>
      </c>
      <c r="E12686" s="51">
        <f t="shared" si="198"/>
        <v>1</v>
      </c>
    </row>
    <row r="12687" spans="1:5">
      <c r="A12687" s="59">
        <v>28</v>
      </c>
      <c r="B12687" s="59">
        <v>64</v>
      </c>
      <c r="C12687" s="59">
        <v>710</v>
      </c>
      <c r="D12687" s="51">
        <v>64</v>
      </c>
      <c r="E12687" s="51">
        <f t="shared" si="198"/>
        <v>1</v>
      </c>
    </row>
    <row r="12688" spans="1:5">
      <c r="A12688" s="59">
        <v>28</v>
      </c>
      <c r="B12688" s="59">
        <v>81</v>
      </c>
      <c r="C12688" s="59">
        <v>220</v>
      </c>
      <c r="D12688" s="51">
        <v>63</v>
      </c>
      <c r="E12688" s="51">
        <f t="shared" si="198"/>
        <v>1</v>
      </c>
    </row>
    <row r="12689" spans="1:5">
      <c r="A12689" s="59">
        <v>28</v>
      </c>
      <c r="B12689" s="59">
        <v>13</v>
      </c>
      <c r="C12689" s="59">
        <v>140</v>
      </c>
      <c r="D12689" s="51">
        <v>62</v>
      </c>
      <c r="E12689" s="51">
        <f t="shared" si="198"/>
        <v>1</v>
      </c>
    </row>
    <row r="12690" spans="1:5">
      <c r="A12690" s="59">
        <v>28</v>
      </c>
      <c r="B12690" s="59">
        <v>33</v>
      </c>
      <c r="C12690" s="59">
        <v>990</v>
      </c>
      <c r="D12690" s="51">
        <v>62</v>
      </c>
      <c r="E12690" s="51">
        <f t="shared" si="198"/>
        <v>1</v>
      </c>
    </row>
    <row r="12691" spans="1:5">
      <c r="A12691" s="59">
        <v>28</v>
      </c>
      <c r="B12691" s="59">
        <v>61</v>
      </c>
      <c r="C12691" s="59">
        <v>620</v>
      </c>
      <c r="D12691" s="51">
        <v>62</v>
      </c>
      <c r="E12691" s="51">
        <f t="shared" si="198"/>
        <v>1</v>
      </c>
    </row>
    <row r="12692" spans="1:5">
      <c r="A12692" s="59">
        <v>28</v>
      </c>
      <c r="B12692" s="59">
        <v>33</v>
      </c>
      <c r="C12692" s="59">
        <v>220</v>
      </c>
      <c r="D12692" s="51">
        <v>61</v>
      </c>
      <c r="E12692" s="51">
        <f t="shared" si="198"/>
        <v>1</v>
      </c>
    </row>
    <row r="12693" spans="1:5">
      <c r="A12693" s="59">
        <v>28</v>
      </c>
      <c r="B12693" s="59">
        <v>62</v>
      </c>
      <c r="C12693" s="59">
        <v>240</v>
      </c>
      <c r="D12693" s="51">
        <v>61</v>
      </c>
      <c r="E12693" s="51">
        <f t="shared" si="198"/>
        <v>1</v>
      </c>
    </row>
    <row r="12694" spans="1:5">
      <c r="A12694" s="59">
        <v>28</v>
      </c>
      <c r="B12694" s="59">
        <v>63</v>
      </c>
      <c r="C12694" s="59">
        <v>220</v>
      </c>
      <c r="D12694" s="51">
        <v>61</v>
      </c>
      <c r="E12694" s="51">
        <f t="shared" si="198"/>
        <v>1</v>
      </c>
    </row>
    <row r="12695" spans="1:5">
      <c r="A12695" s="59">
        <v>28</v>
      </c>
      <c r="B12695" s="59">
        <v>81</v>
      </c>
      <c r="C12695" s="59">
        <v>320</v>
      </c>
      <c r="D12695" s="51">
        <v>61</v>
      </c>
      <c r="E12695" s="51">
        <f t="shared" si="198"/>
        <v>1</v>
      </c>
    </row>
    <row r="12696" spans="1:5">
      <c r="A12696" s="59">
        <v>28</v>
      </c>
      <c r="B12696" s="59">
        <v>81</v>
      </c>
      <c r="C12696" s="59">
        <v>540</v>
      </c>
      <c r="D12696" s="51">
        <v>61</v>
      </c>
      <c r="E12696" s="51">
        <f t="shared" si="198"/>
        <v>1</v>
      </c>
    </row>
    <row r="12697" spans="1:5">
      <c r="A12697" s="59">
        <v>28</v>
      </c>
      <c r="B12697" s="59">
        <v>41</v>
      </c>
      <c r="C12697" s="59">
        <v>610</v>
      </c>
      <c r="D12697" s="51">
        <v>60</v>
      </c>
      <c r="E12697" s="51">
        <f t="shared" si="198"/>
        <v>1</v>
      </c>
    </row>
    <row r="12698" spans="1:5">
      <c r="A12698" s="59">
        <v>28</v>
      </c>
      <c r="B12698" s="59">
        <v>42</v>
      </c>
      <c r="C12698" s="59">
        <v>240</v>
      </c>
      <c r="D12698" s="51">
        <v>59</v>
      </c>
      <c r="E12698" s="51">
        <f t="shared" si="198"/>
        <v>1</v>
      </c>
    </row>
    <row r="12699" spans="1:5">
      <c r="A12699" s="59">
        <v>28</v>
      </c>
      <c r="B12699" s="59">
        <v>42</v>
      </c>
      <c r="C12699" s="59">
        <v>310</v>
      </c>
      <c r="D12699" s="51">
        <v>58</v>
      </c>
      <c r="E12699" s="51">
        <f t="shared" si="198"/>
        <v>1</v>
      </c>
    </row>
    <row r="12700" spans="1:5">
      <c r="A12700" s="59">
        <v>28</v>
      </c>
      <c r="B12700" s="59">
        <v>64</v>
      </c>
      <c r="C12700" s="59">
        <v>860</v>
      </c>
      <c r="D12700" s="51">
        <v>58</v>
      </c>
      <c r="E12700" s="51">
        <f t="shared" si="198"/>
        <v>1</v>
      </c>
    </row>
    <row r="12701" spans="1:5">
      <c r="A12701" s="59">
        <v>28</v>
      </c>
      <c r="B12701" s="59">
        <v>15</v>
      </c>
      <c r="C12701" s="59">
        <v>990</v>
      </c>
      <c r="D12701" s="51">
        <v>57</v>
      </c>
      <c r="E12701" s="51">
        <f t="shared" si="198"/>
        <v>1</v>
      </c>
    </row>
    <row r="12702" spans="1:5">
      <c r="A12702" s="59">
        <v>28</v>
      </c>
      <c r="B12702" s="59">
        <v>71</v>
      </c>
      <c r="C12702" s="59">
        <v>330</v>
      </c>
      <c r="D12702" s="51">
        <v>57</v>
      </c>
      <c r="E12702" s="51">
        <f t="shared" si="198"/>
        <v>1</v>
      </c>
    </row>
    <row r="12703" spans="1:5">
      <c r="A12703" s="59">
        <v>28</v>
      </c>
      <c r="B12703" s="59">
        <v>14</v>
      </c>
      <c r="C12703" s="59">
        <v>940</v>
      </c>
      <c r="D12703" s="51">
        <v>56</v>
      </c>
      <c r="E12703" s="51">
        <f t="shared" si="198"/>
        <v>1</v>
      </c>
    </row>
    <row r="12704" spans="1:5">
      <c r="A12704" s="59">
        <v>28</v>
      </c>
      <c r="B12704" s="59">
        <v>63</v>
      </c>
      <c r="C12704" s="59">
        <v>960</v>
      </c>
      <c r="D12704" s="51">
        <v>56</v>
      </c>
      <c r="E12704" s="51">
        <f t="shared" si="198"/>
        <v>1</v>
      </c>
    </row>
    <row r="12705" spans="1:5">
      <c r="A12705" s="59">
        <v>28</v>
      </c>
      <c r="B12705" s="59">
        <v>13</v>
      </c>
      <c r="C12705" s="59">
        <v>730</v>
      </c>
      <c r="D12705" s="51">
        <v>55</v>
      </c>
      <c r="E12705" s="51">
        <f t="shared" si="198"/>
        <v>1</v>
      </c>
    </row>
    <row r="12706" spans="1:5">
      <c r="A12706" s="59">
        <v>28</v>
      </c>
      <c r="B12706" s="59">
        <v>16</v>
      </c>
      <c r="C12706" s="59">
        <v>130</v>
      </c>
      <c r="D12706" s="51">
        <v>55</v>
      </c>
      <c r="E12706" s="51">
        <f t="shared" si="198"/>
        <v>1</v>
      </c>
    </row>
    <row r="12707" spans="1:5">
      <c r="A12707" s="59">
        <v>28</v>
      </c>
      <c r="B12707" s="59">
        <v>62</v>
      </c>
      <c r="C12707" s="59">
        <v>831</v>
      </c>
      <c r="D12707" s="51">
        <v>55</v>
      </c>
      <c r="E12707" s="51">
        <f t="shared" si="198"/>
        <v>1</v>
      </c>
    </row>
    <row r="12708" spans="1:5">
      <c r="A12708" s="59">
        <v>28</v>
      </c>
      <c r="B12708" s="59">
        <v>14</v>
      </c>
      <c r="C12708" s="59">
        <v>620</v>
      </c>
      <c r="D12708" s="51">
        <v>54</v>
      </c>
      <c r="E12708" s="51">
        <f t="shared" si="198"/>
        <v>1</v>
      </c>
    </row>
    <row r="12709" spans="1:5">
      <c r="A12709" s="59">
        <v>28</v>
      </c>
      <c r="B12709" s="59">
        <v>16</v>
      </c>
      <c r="C12709" s="59">
        <v>420</v>
      </c>
      <c r="D12709" s="51">
        <v>54</v>
      </c>
      <c r="E12709" s="51">
        <f t="shared" si="198"/>
        <v>1</v>
      </c>
    </row>
    <row r="12710" spans="1:5">
      <c r="A12710" s="59">
        <v>28</v>
      </c>
      <c r="B12710" s="59">
        <v>16</v>
      </c>
      <c r="C12710" s="59">
        <v>960</v>
      </c>
      <c r="D12710" s="51">
        <v>54</v>
      </c>
      <c r="E12710" s="51">
        <f t="shared" si="198"/>
        <v>1</v>
      </c>
    </row>
    <row r="12711" spans="1:5">
      <c r="A12711" s="59">
        <v>28</v>
      </c>
      <c r="B12711" s="59">
        <v>43</v>
      </c>
      <c r="C12711" s="59">
        <v>130</v>
      </c>
      <c r="D12711" s="51">
        <v>54</v>
      </c>
      <c r="E12711" s="51">
        <f t="shared" si="198"/>
        <v>1</v>
      </c>
    </row>
    <row r="12712" spans="1:5">
      <c r="A12712" s="59">
        <v>28</v>
      </c>
      <c r="B12712" s="59">
        <v>16</v>
      </c>
      <c r="C12712" s="59">
        <v>990</v>
      </c>
      <c r="D12712" s="51">
        <v>53</v>
      </c>
      <c r="E12712" s="51">
        <f t="shared" si="198"/>
        <v>1</v>
      </c>
    </row>
    <row r="12713" spans="1:5">
      <c r="A12713" s="59">
        <v>28</v>
      </c>
      <c r="B12713" s="59">
        <v>33</v>
      </c>
      <c r="C12713" s="59">
        <v>310</v>
      </c>
      <c r="D12713" s="51">
        <v>53</v>
      </c>
      <c r="E12713" s="51">
        <f t="shared" si="198"/>
        <v>1</v>
      </c>
    </row>
    <row r="12714" spans="1:5">
      <c r="A12714" s="59">
        <v>28</v>
      </c>
      <c r="B12714" s="59">
        <v>41</v>
      </c>
      <c r="C12714" s="59">
        <v>210</v>
      </c>
      <c r="D12714" s="51">
        <v>53</v>
      </c>
      <c r="E12714" s="51">
        <f t="shared" si="198"/>
        <v>1</v>
      </c>
    </row>
    <row r="12715" spans="1:5">
      <c r="A12715" s="59">
        <v>28</v>
      </c>
      <c r="B12715" s="59">
        <v>44</v>
      </c>
      <c r="C12715" s="59">
        <v>310</v>
      </c>
      <c r="D12715" s="51">
        <v>53</v>
      </c>
      <c r="E12715" s="51">
        <f t="shared" si="198"/>
        <v>1</v>
      </c>
    </row>
    <row r="12716" spans="1:5">
      <c r="A12716" s="59">
        <v>28</v>
      </c>
      <c r="B12716" s="59">
        <v>14</v>
      </c>
      <c r="C12716" s="59">
        <v>970</v>
      </c>
      <c r="D12716" s="51">
        <v>52</v>
      </c>
      <c r="E12716" s="51">
        <f t="shared" si="198"/>
        <v>1</v>
      </c>
    </row>
    <row r="12717" spans="1:5">
      <c r="A12717" s="59">
        <v>28</v>
      </c>
      <c r="B12717" s="59">
        <v>32</v>
      </c>
      <c r="C12717" s="59">
        <v>230</v>
      </c>
      <c r="D12717" s="51">
        <v>52</v>
      </c>
      <c r="E12717" s="51">
        <f t="shared" si="198"/>
        <v>1</v>
      </c>
    </row>
    <row r="12718" spans="1:5">
      <c r="A12718" s="59">
        <v>28</v>
      </c>
      <c r="B12718" s="59">
        <v>33</v>
      </c>
      <c r="C12718" s="59">
        <v>320</v>
      </c>
      <c r="D12718" s="51">
        <v>52</v>
      </c>
      <c r="E12718" s="51">
        <f t="shared" si="198"/>
        <v>1</v>
      </c>
    </row>
    <row r="12719" spans="1:5">
      <c r="A12719" s="59">
        <v>28</v>
      </c>
      <c r="B12719" s="59">
        <v>81</v>
      </c>
      <c r="C12719" s="59">
        <v>420</v>
      </c>
      <c r="D12719" s="51">
        <v>52</v>
      </c>
      <c r="E12719" s="51">
        <f t="shared" si="198"/>
        <v>1</v>
      </c>
    </row>
    <row r="12720" spans="1:5">
      <c r="A12720" s="59">
        <v>28</v>
      </c>
      <c r="B12720" s="59">
        <v>62</v>
      </c>
      <c r="C12720" s="59">
        <v>220</v>
      </c>
      <c r="D12720" s="51">
        <v>51</v>
      </c>
      <c r="E12720" s="51">
        <f t="shared" si="198"/>
        <v>1</v>
      </c>
    </row>
    <row r="12721" spans="1:5">
      <c r="A12721" s="59">
        <v>28</v>
      </c>
      <c r="B12721" s="59">
        <v>63</v>
      </c>
      <c r="C12721" s="59">
        <v>330</v>
      </c>
      <c r="D12721" s="51">
        <v>51</v>
      </c>
      <c r="E12721" s="51">
        <f t="shared" si="198"/>
        <v>1</v>
      </c>
    </row>
    <row r="12722" spans="1:5">
      <c r="A12722" s="59">
        <v>28</v>
      </c>
      <c r="B12722" s="59">
        <v>71</v>
      </c>
      <c r="C12722" s="59">
        <v>831</v>
      </c>
      <c r="D12722" s="51">
        <v>51</v>
      </c>
      <c r="E12722" s="51">
        <f t="shared" si="198"/>
        <v>1</v>
      </c>
    </row>
    <row r="12723" spans="1:5">
      <c r="A12723" s="59">
        <v>28</v>
      </c>
      <c r="B12723" s="59">
        <v>43</v>
      </c>
      <c r="C12723" s="59">
        <v>120</v>
      </c>
      <c r="D12723" s="51">
        <v>50</v>
      </c>
      <c r="E12723" s="51">
        <f t="shared" si="198"/>
        <v>1</v>
      </c>
    </row>
    <row r="12724" spans="1:5">
      <c r="A12724" s="59">
        <v>28</v>
      </c>
      <c r="B12724" s="59">
        <v>81</v>
      </c>
      <c r="C12724" s="59">
        <v>310</v>
      </c>
      <c r="D12724" s="51">
        <v>50</v>
      </c>
      <c r="E12724" s="51">
        <f t="shared" si="198"/>
        <v>1</v>
      </c>
    </row>
    <row r="12725" spans="1:5">
      <c r="A12725" s="59">
        <v>28</v>
      </c>
      <c r="B12725" s="59">
        <v>13</v>
      </c>
      <c r="C12725" s="59">
        <v>550</v>
      </c>
      <c r="D12725" s="51">
        <v>49</v>
      </c>
      <c r="E12725" s="51">
        <f t="shared" si="198"/>
        <v>1</v>
      </c>
    </row>
    <row r="12726" spans="1:5">
      <c r="A12726" s="59">
        <v>28</v>
      </c>
      <c r="B12726" s="59">
        <v>15</v>
      </c>
      <c r="C12726" s="59">
        <v>410</v>
      </c>
      <c r="D12726" s="51">
        <v>49</v>
      </c>
      <c r="E12726" s="51">
        <f t="shared" si="198"/>
        <v>1</v>
      </c>
    </row>
    <row r="12727" spans="1:5">
      <c r="A12727" s="59">
        <v>28</v>
      </c>
      <c r="B12727" s="59">
        <v>43</v>
      </c>
      <c r="C12727" s="59">
        <v>830</v>
      </c>
      <c r="D12727" s="51">
        <v>49</v>
      </c>
      <c r="E12727" s="51">
        <f t="shared" si="198"/>
        <v>1</v>
      </c>
    </row>
    <row r="12728" spans="1:5">
      <c r="A12728" s="59">
        <v>28</v>
      </c>
      <c r="B12728" s="59">
        <v>15</v>
      </c>
      <c r="C12728" s="59">
        <v>240</v>
      </c>
      <c r="D12728" s="51">
        <v>48</v>
      </c>
      <c r="E12728" s="51">
        <f t="shared" si="198"/>
        <v>1</v>
      </c>
    </row>
    <row r="12729" spans="1:5">
      <c r="A12729" s="59">
        <v>28</v>
      </c>
      <c r="B12729" s="59">
        <v>62</v>
      </c>
      <c r="C12729" s="59">
        <v>950</v>
      </c>
      <c r="D12729" s="51">
        <v>48</v>
      </c>
      <c r="E12729" s="51">
        <f t="shared" si="198"/>
        <v>1</v>
      </c>
    </row>
    <row r="12730" spans="1:5">
      <c r="A12730" s="59">
        <v>28</v>
      </c>
      <c r="B12730" s="59">
        <v>63</v>
      </c>
      <c r="C12730" s="59">
        <v>230</v>
      </c>
      <c r="D12730" s="51">
        <v>48</v>
      </c>
      <c r="E12730" s="51">
        <f t="shared" si="198"/>
        <v>1</v>
      </c>
    </row>
    <row r="12731" spans="1:5">
      <c r="A12731" s="59">
        <v>28</v>
      </c>
      <c r="B12731" s="59">
        <v>71</v>
      </c>
      <c r="C12731" s="59">
        <v>420</v>
      </c>
      <c r="D12731" s="51">
        <v>48</v>
      </c>
      <c r="E12731" s="51">
        <f t="shared" si="198"/>
        <v>1</v>
      </c>
    </row>
    <row r="12732" spans="1:5">
      <c r="A12732" s="59">
        <v>28</v>
      </c>
      <c r="B12732" s="59">
        <v>13</v>
      </c>
      <c r="C12732" s="59">
        <v>720</v>
      </c>
      <c r="D12732" s="51">
        <v>47</v>
      </c>
      <c r="E12732" s="51">
        <f t="shared" si="198"/>
        <v>1</v>
      </c>
    </row>
    <row r="12733" spans="1:5">
      <c r="A12733" s="59">
        <v>28</v>
      </c>
      <c r="B12733" s="59">
        <v>21</v>
      </c>
      <c r="C12733" s="59">
        <v>950</v>
      </c>
      <c r="D12733" s="51">
        <v>47</v>
      </c>
      <c r="E12733" s="51">
        <f t="shared" si="198"/>
        <v>1</v>
      </c>
    </row>
    <row r="12734" spans="1:5">
      <c r="A12734" s="59">
        <v>28</v>
      </c>
      <c r="B12734" s="59">
        <v>44</v>
      </c>
      <c r="C12734" s="59">
        <v>240</v>
      </c>
      <c r="D12734" s="51">
        <v>47</v>
      </c>
      <c r="E12734" s="51">
        <f t="shared" si="198"/>
        <v>1</v>
      </c>
    </row>
    <row r="12735" spans="1:5">
      <c r="A12735" s="59">
        <v>28</v>
      </c>
      <c r="B12735" s="59">
        <v>51</v>
      </c>
      <c r="C12735" s="59">
        <v>610</v>
      </c>
      <c r="D12735" s="51">
        <v>47</v>
      </c>
      <c r="E12735" s="51">
        <f t="shared" si="198"/>
        <v>1</v>
      </c>
    </row>
    <row r="12736" spans="1:5">
      <c r="A12736" s="59">
        <v>28</v>
      </c>
      <c r="B12736" s="59">
        <v>24</v>
      </c>
      <c r="C12736" s="59">
        <v>210</v>
      </c>
      <c r="D12736" s="51">
        <v>46</v>
      </c>
      <c r="E12736" s="51">
        <f t="shared" si="198"/>
        <v>1</v>
      </c>
    </row>
    <row r="12737" spans="1:5">
      <c r="A12737" s="59">
        <v>28</v>
      </c>
      <c r="B12737" s="59">
        <v>62</v>
      </c>
      <c r="C12737" s="59">
        <v>330</v>
      </c>
      <c r="D12737" s="51">
        <v>46</v>
      </c>
      <c r="E12737" s="51">
        <f t="shared" si="198"/>
        <v>1</v>
      </c>
    </row>
    <row r="12738" spans="1:5">
      <c r="A12738" s="59">
        <v>28</v>
      </c>
      <c r="B12738" s="59">
        <v>64</v>
      </c>
      <c r="C12738" s="59">
        <v>870</v>
      </c>
      <c r="D12738" s="51">
        <v>46</v>
      </c>
      <c r="E12738" s="51">
        <f t="shared" ref="E12738:E12801" si="199">IF(OR(A12738=6,A12738=7,A12738=14,A12738=15,A12738=16,A12738=17,A12738=18,A12738=19,A12738=20,A12738=21,A12738=22,A12738=23,A12738=25,A12738=26,A12738=27,A12738=28,B12738=41,B12738=44,B12738=62),1,0)</f>
        <v>1</v>
      </c>
    </row>
    <row r="12739" spans="1:5">
      <c r="A12739" s="59">
        <v>28</v>
      </c>
      <c r="B12739" s="59">
        <v>15</v>
      </c>
      <c r="C12739" s="59">
        <v>540</v>
      </c>
      <c r="D12739" s="51">
        <v>45</v>
      </c>
      <c r="E12739" s="51">
        <f t="shared" si="199"/>
        <v>1</v>
      </c>
    </row>
    <row r="12740" spans="1:5">
      <c r="A12740" s="59">
        <v>28</v>
      </c>
      <c r="B12740" s="59">
        <v>16</v>
      </c>
      <c r="C12740" s="59">
        <v>510</v>
      </c>
      <c r="D12740" s="51">
        <v>45</v>
      </c>
      <c r="E12740" s="51">
        <f t="shared" si="199"/>
        <v>1</v>
      </c>
    </row>
    <row r="12741" spans="1:5">
      <c r="A12741" s="59">
        <v>28</v>
      </c>
      <c r="B12741" s="59">
        <v>41</v>
      </c>
      <c r="C12741" s="59">
        <v>620</v>
      </c>
      <c r="D12741" s="51">
        <v>45</v>
      </c>
      <c r="E12741" s="51">
        <f t="shared" si="199"/>
        <v>1</v>
      </c>
    </row>
    <row r="12742" spans="1:5">
      <c r="A12742" s="59">
        <v>28</v>
      </c>
      <c r="B12742" s="59">
        <v>42</v>
      </c>
      <c r="C12742" s="59">
        <v>420</v>
      </c>
      <c r="D12742" s="51">
        <v>45</v>
      </c>
      <c r="E12742" s="51">
        <f t="shared" si="199"/>
        <v>1</v>
      </c>
    </row>
    <row r="12743" spans="1:5">
      <c r="A12743" s="59">
        <v>28</v>
      </c>
      <c r="B12743" s="59">
        <v>43</v>
      </c>
      <c r="C12743" s="59">
        <v>740</v>
      </c>
      <c r="D12743" s="51">
        <v>45</v>
      </c>
      <c r="E12743" s="51">
        <f t="shared" si="199"/>
        <v>1</v>
      </c>
    </row>
    <row r="12744" spans="1:5">
      <c r="A12744" s="59">
        <v>28</v>
      </c>
      <c r="B12744" s="59">
        <v>63</v>
      </c>
      <c r="C12744" s="59">
        <v>820</v>
      </c>
      <c r="D12744" s="51">
        <v>45</v>
      </c>
      <c r="E12744" s="51">
        <f t="shared" si="199"/>
        <v>1</v>
      </c>
    </row>
    <row r="12745" spans="1:5">
      <c r="A12745" s="59">
        <v>28</v>
      </c>
      <c r="B12745" s="59">
        <v>41</v>
      </c>
      <c r="C12745" s="59">
        <v>960</v>
      </c>
      <c r="D12745" s="51">
        <v>44</v>
      </c>
      <c r="E12745" s="51">
        <f t="shared" si="199"/>
        <v>1</v>
      </c>
    </row>
    <row r="12746" spans="1:5">
      <c r="A12746" s="59">
        <v>28</v>
      </c>
      <c r="B12746" s="59">
        <v>81</v>
      </c>
      <c r="C12746" s="59">
        <v>960</v>
      </c>
      <c r="D12746" s="51">
        <v>44</v>
      </c>
      <c r="E12746" s="51">
        <f t="shared" si="199"/>
        <v>1</v>
      </c>
    </row>
    <row r="12747" spans="1:5">
      <c r="A12747" s="59">
        <v>28</v>
      </c>
      <c r="B12747" s="59">
        <v>11</v>
      </c>
      <c r="C12747" s="59">
        <v>910</v>
      </c>
      <c r="D12747" s="51">
        <v>43</v>
      </c>
      <c r="E12747" s="51">
        <f t="shared" si="199"/>
        <v>1</v>
      </c>
    </row>
    <row r="12748" spans="1:5">
      <c r="A12748" s="59">
        <v>28</v>
      </c>
      <c r="B12748" s="59">
        <v>22</v>
      </c>
      <c r="C12748" s="59">
        <v>990</v>
      </c>
      <c r="D12748" s="51">
        <v>42</v>
      </c>
      <c r="E12748" s="51">
        <f t="shared" si="199"/>
        <v>1</v>
      </c>
    </row>
    <row r="12749" spans="1:5">
      <c r="A12749" s="59">
        <v>28</v>
      </c>
      <c r="B12749" s="59">
        <v>63</v>
      </c>
      <c r="C12749" s="59">
        <v>950</v>
      </c>
      <c r="D12749" s="51">
        <v>42</v>
      </c>
      <c r="E12749" s="51">
        <f t="shared" si="199"/>
        <v>1</v>
      </c>
    </row>
    <row r="12750" spans="1:5">
      <c r="A12750" s="59">
        <v>28</v>
      </c>
      <c r="B12750" s="59">
        <v>22</v>
      </c>
      <c r="C12750" s="59">
        <v>940</v>
      </c>
      <c r="D12750" s="51">
        <v>41</v>
      </c>
      <c r="E12750" s="51">
        <f t="shared" si="199"/>
        <v>1</v>
      </c>
    </row>
    <row r="12751" spans="1:5">
      <c r="A12751" s="59">
        <v>28</v>
      </c>
      <c r="B12751" s="59">
        <v>42</v>
      </c>
      <c r="C12751" s="59">
        <v>220</v>
      </c>
      <c r="D12751" s="51">
        <v>41</v>
      </c>
      <c r="E12751" s="51">
        <f t="shared" si="199"/>
        <v>1</v>
      </c>
    </row>
    <row r="12752" spans="1:5">
      <c r="A12752" s="59">
        <v>28</v>
      </c>
      <c r="B12752" s="59">
        <v>15</v>
      </c>
      <c r="C12752" s="59">
        <v>230</v>
      </c>
      <c r="D12752" s="51">
        <v>40</v>
      </c>
      <c r="E12752" s="51">
        <f t="shared" si="199"/>
        <v>1</v>
      </c>
    </row>
    <row r="12753" spans="1:5">
      <c r="A12753" s="59">
        <v>28</v>
      </c>
      <c r="B12753" s="59">
        <v>32</v>
      </c>
      <c r="C12753" s="59">
        <v>310</v>
      </c>
      <c r="D12753" s="51">
        <v>40</v>
      </c>
      <c r="E12753" s="51">
        <f t="shared" si="199"/>
        <v>1</v>
      </c>
    </row>
    <row r="12754" spans="1:5">
      <c r="A12754" s="59">
        <v>28</v>
      </c>
      <c r="B12754" s="59">
        <v>44</v>
      </c>
      <c r="C12754" s="59">
        <v>950</v>
      </c>
      <c r="D12754" s="51">
        <v>40</v>
      </c>
      <c r="E12754" s="51">
        <f t="shared" si="199"/>
        <v>1</v>
      </c>
    </row>
    <row r="12755" spans="1:5">
      <c r="A12755" s="59">
        <v>28</v>
      </c>
      <c r="B12755" s="59">
        <v>14</v>
      </c>
      <c r="C12755" s="59">
        <v>550</v>
      </c>
      <c r="D12755" s="51">
        <v>39</v>
      </c>
      <c r="E12755" s="51">
        <f t="shared" si="199"/>
        <v>1</v>
      </c>
    </row>
    <row r="12756" spans="1:5">
      <c r="A12756" s="59">
        <v>28</v>
      </c>
      <c r="B12756" s="59">
        <v>21</v>
      </c>
      <c r="C12756" s="59">
        <v>910</v>
      </c>
      <c r="D12756" s="51">
        <v>39</v>
      </c>
      <c r="E12756" s="51">
        <f t="shared" si="199"/>
        <v>1</v>
      </c>
    </row>
    <row r="12757" spans="1:5">
      <c r="A12757" s="59">
        <v>28</v>
      </c>
      <c r="B12757" s="59">
        <v>32</v>
      </c>
      <c r="C12757" s="59">
        <v>330</v>
      </c>
      <c r="D12757" s="51">
        <v>39</v>
      </c>
      <c r="E12757" s="51">
        <f t="shared" si="199"/>
        <v>1</v>
      </c>
    </row>
    <row r="12758" spans="1:5">
      <c r="A12758" s="59">
        <v>28</v>
      </c>
      <c r="B12758" s="59">
        <v>13</v>
      </c>
      <c r="C12758" s="59">
        <v>540</v>
      </c>
      <c r="D12758" s="51">
        <v>38</v>
      </c>
      <c r="E12758" s="51">
        <f t="shared" si="199"/>
        <v>1</v>
      </c>
    </row>
    <row r="12759" spans="1:5">
      <c r="A12759" s="59">
        <v>28</v>
      </c>
      <c r="B12759" s="59">
        <v>22</v>
      </c>
      <c r="C12759" s="59">
        <v>920</v>
      </c>
      <c r="D12759" s="51">
        <v>38</v>
      </c>
      <c r="E12759" s="51">
        <f t="shared" si="199"/>
        <v>1</v>
      </c>
    </row>
    <row r="12760" spans="1:5">
      <c r="A12760" s="59">
        <v>28</v>
      </c>
      <c r="B12760" s="59">
        <v>44</v>
      </c>
      <c r="C12760" s="59">
        <v>440</v>
      </c>
      <c r="D12760" s="51">
        <v>38</v>
      </c>
      <c r="E12760" s="51">
        <f t="shared" si="199"/>
        <v>1</v>
      </c>
    </row>
    <row r="12761" spans="1:5">
      <c r="A12761" s="59">
        <v>28</v>
      </c>
      <c r="B12761" s="59">
        <v>51</v>
      </c>
      <c r="C12761" s="59">
        <v>620</v>
      </c>
      <c r="D12761" s="51">
        <v>38</v>
      </c>
      <c r="E12761" s="51">
        <f t="shared" si="199"/>
        <v>1</v>
      </c>
    </row>
    <row r="12762" spans="1:5">
      <c r="A12762" s="59">
        <v>28</v>
      </c>
      <c r="B12762" s="59">
        <v>15</v>
      </c>
      <c r="C12762" s="59">
        <v>320</v>
      </c>
      <c r="D12762" s="51">
        <v>37</v>
      </c>
      <c r="E12762" s="51">
        <f t="shared" si="199"/>
        <v>1</v>
      </c>
    </row>
    <row r="12763" spans="1:5">
      <c r="A12763" s="59">
        <v>28</v>
      </c>
      <c r="B12763" s="59">
        <v>42</v>
      </c>
      <c r="C12763" s="59">
        <v>960</v>
      </c>
      <c r="D12763" s="51">
        <v>37</v>
      </c>
      <c r="E12763" s="51">
        <f t="shared" si="199"/>
        <v>1</v>
      </c>
    </row>
    <row r="12764" spans="1:5">
      <c r="A12764" s="59">
        <v>28</v>
      </c>
      <c r="B12764" s="59">
        <v>44</v>
      </c>
      <c r="C12764" s="59">
        <v>230</v>
      </c>
      <c r="D12764" s="51">
        <v>37</v>
      </c>
      <c r="E12764" s="51">
        <f t="shared" si="199"/>
        <v>1</v>
      </c>
    </row>
    <row r="12765" spans="1:5">
      <c r="A12765" s="59">
        <v>28</v>
      </c>
      <c r="B12765" s="59">
        <v>51</v>
      </c>
      <c r="C12765" s="59">
        <v>160</v>
      </c>
      <c r="D12765" s="51">
        <v>37</v>
      </c>
      <c r="E12765" s="51">
        <f t="shared" si="199"/>
        <v>1</v>
      </c>
    </row>
    <row r="12766" spans="1:5">
      <c r="A12766" s="59">
        <v>28</v>
      </c>
      <c r="B12766" s="59">
        <v>14</v>
      </c>
      <c r="C12766" s="59">
        <v>730</v>
      </c>
      <c r="D12766" s="51">
        <v>35</v>
      </c>
      <c r="E12766" s="51">
        <f t="shared" si="199"/>
        <v>1</v>
      </c>
    </row>
    <row r="12767" spans="1:5">
      <c r="A12767" s="59">
        <v>28</v>
      </c>
      <c r="B12767" s="59">
        <v>16</v>
      </c>
      <c r="C12767" s="59">
        <v>220</v>
      </c>
      <c r="D12767" s="51">
        <v>35</v>
      </c>
      <c r="E12767" s="51">
        <f t="shared" si="199"/>
        <v>1</v>
      </c>
    </row>
    <row r="12768" spans="1:5">
      <c r="A12768" s="59">
        <v>28</v>
      </c>
      <c r="B12768" s="59">
        <v>22</v>
      </c>
      <c r="C12768" s="59">
        <v>140</v>
      </c>
      <c r="D12768" s="51">
        <v>35</v>
      </c>
      <c r="E12768" s="51">
        <f t="shared" si="199"/>
        <v>1</v>
      </c>
    </row>
    <row r="12769" spans="1:5">
      <c r="A12769" s="59">
        <v>28</v>
      </c>
      <c r="B12769" s="59">
        <v>42</v>
      </c>
      <c r="C12769" s="59">
        <v>831</v>
      </c>
      <c r="D12769" s="51">
        <v>35</v>
      </c>
      <c r="E12769" s="51">
        <f t="shared" si="199"/>
        <v>1</v>
      </c>
    </row>
    <row r="12770" spans="1:5">
      <c r="A12770" s="59">
        <v>28</v>
      </c>
      <c r="B12770" s="59">
        <v>43</v>
      </c>
      <c r="C12770" s="59">
        <v>831</v>
      </c>
      <c r="D12770" s="51">
        <v>35</v>
      </c>
      <c r="E12770" s="51">
        <f t="shared" si="199"/>
        <v>1</v>
      </c>
    </row>
    <row r="12771" spans="1:5">
      <c r="A12771" s="59">
        <v>28</v>
      </c>
      <c r="B12771" s="59">
        <v>51</v>
      </c>
      <c r="C12771" s="59">
        <v>910</v>
      </c>
      <c r="D12771" s="51">
        <v>35</v>
      </c>
      <c r="E12771" s="51">
        <f t="shared" si="199"/>
        <v>1</v>
      </c>
    </row>
    <row r="12772" spans="1:5">
      <c r="A12772" s="59">
        <v>28</v>
      </c>
      <c r="B12772" s="59">
        <v>51</v>
      </c>
      <c r="C12772" s="59">
        <v>920</v>
      </c>
      <c r="D12772" s="51">
        <v>35</v>
      </c>
      <c r="E12772" s="51">
        <f t="shared" si="199"/>
        <v>1</v>
      </c>
    </row>
    <row r="12773" spans="1:5">
      <c r="A12773" s="59">
        <v>28</v>
      </c>
      <c r="B12773" s="59">
        <v>22</v>
      </c>
      <c r="C12773" s="59">
        <v>410</v>
      </c>
      <c r="D12773" s="51">
        <v>34</v>
      </c>
      <c r="E12773" s="51">
        <f t="shared" si="199"/>
        <v>1</v>
      </c>
    </row>
    <row r="12774" spans="1:5">
      <c r="A12774" s="59">
        <v>28</v>
      </c>
      <c r="B12774" s="59">
        <v>33</v>
      </c>
      <c r="C12774" s="59">
        <v>930</v>
      </c>
      <c r="D12774" s="51">
        <v>34</v>
      </c>
      <c r="E12774" s="51">
        <f t="shared" si="199"/>
        <v>1</v>
      </c>
    </row>
    <row r="12775" spans="1:5">
      <c r="A12775" s="59">
        <v>28</v>
      </c>
      <c r="B12775" s="59">
        <v>41</v>
      </c>
      <c r="C12775" s="59">
        <v>410</v>
      </c>
      <c r="D12775" s="51">
        <v>34</v>
      </c>
      <c r="E12775" s="51">
        <f t="shared" si="199"/>
        <v>1</v>
      </c>
    </row>
    <row r="12776" spans="1:5">
      <c r="A12776" s="59">
        <v>28</v>
      </c>
      <c r="B12776" s="59">
        <v>42</v>
      </c>
      <c r="C12776" s="59">
        <v>230</v>
      </c>
      <c r="D12776" s="51">
        <v>34</v>
      </c>
      <c r="E12776" s="51">
        <f t="shared" si="199"/>
        <v>1</v>
      </c>
    </row>
    <row r="12777" spans="1:5">
      <c r="A12777" s="59">
        <v>28</v>
      </c>
      <c r="B12777" s="59">
        <v>23</v>
      </c>
      <c r="C12777" s="59">
        <v>310</v>
      </c>
      <c r="D12777" s="51">
        <v>33</v>
      </c>
      <c r="E12777" s="51">
        <f t="shared" si="199"/>
        <v>1</v>
      </c>
    </row>
    <row r="12778" spans="1:5">
      <c r="A12778" s="59">
        <v>28</v>
      </c>
      <c r="B12778" s="59">
        <v>23</v>
      </c>
      <c r="C12778" s="59">
        <v>110</v>
      </c>
      <c r="D12778" s="51">
        <v>32</v>
      </c>
      <c r="E12778" s="51">
        <f t="shared" si="199"/>
        <v>1</v>
      </c>
    </row>
    <row r="12779" spans="1:5">
      <c r="A12779" s="59">
        <v>28</v>
      </c>
      <c r="B12779" s="59">
        <v>44</v>
      </c>
      <c r="C12779" s="59">
        <v>140</v>
      </c>
      <c r="D12779" s="51">
        <v>32</v>
      </c>
      <c r="E12779" s="51">
        <f t="shared" si="199"/>
        <v>1</v>
      </c>
    </row>
    <row r="12780" spans="1:5">
      <c r="A12780" s="59">
        <v>28</v>
      </c>
      <c r="B12780" s="59">
        <v>71</v>
      </c>
      <c r="C12780" s="59">
        <v>820</v>
      </c>
      <c r="D12780" s="51">
        <v>32</v>
      </c>
      <c r="E12780" s="51">
        <f t="shared" si="199"/>
        <v>1</v>
      </c>
    </row>
    <row r="12781" spans="1:5">
      <c r="A12781" s="59">
        <v>28</v>
      </c>
      <c r="B12781" s="59">
        <v>81</v>
      </c>
      <c r="C12781" s="59">
        <v>640</v>
      </c>
      <c r="D12781" s="51">
        <v>32</v>
      </c>
      <c r="E12781" s="51">
        <f t="shared" si="199"/>
        <v>1</v>
      </c>
    </row>
    <row r="12782" spans="1:5">
      <c r="A12782" s="59">
        <v>28</v>
      </c>
      <c r="B12782" s="59">
        <v>15</v>
      </c>
      <c r="C12782" s="59">
        <v>510</v>
      </c>
      <c r="D12782" s="51">
        <v>31</v>
      </c>
      <c r="E12782" s="51">
        <f t="shared" si="199"/>
        <v>1</v>
      </c>
    </row>
    <row r="12783" spans="1:5">
      <c r="A12783" s="59">
        <v>28</v>
      </c>
      <c r="B12783" s="59">
        <v>22</v>
      </c>
      <c r="C12783" s="59">
        <v>430</v>
      </c>
      <c r="D12783" s="51">
        <v>31</v>
      </c>
      <c r="E12783" s="51">
        <f t="shared" si="199"/>
        <v>1</v>
      </c>
    </row>
    <row r="12784" spans="1:5">
      <c r="A12784" s="59">
        <v>28</v>
      </c>
      <c r="B12784" s="59">
        <v>43</v>
      </c>
      <c r="C12784" s="59">
        <v>862</v>
      </c>
      <c r="D12784" s="51">
        <v>31</v>
      </c>
      <c r="E12784" s="51">
        <f t="shared" si="199"/>
        <v>1</v>
      </c>
    </row>
    <row r="12785" spans="1:5">
      <c r="A12785" s="59">
        <v>28</v>
      </c>
      <c r="B12785" s="59">
        <v>51</v>
      </c>
      <c r="C12785" s="59">
        <v>990</v>
      </c>
      <c r="D12785" s="51">
        <v>31</v>
      </c>
      <c r="E12785" s="51">
        <f t="shared" si="199"/>
        <v>1</v>
      </c>
    </row>
    <row r="12786" spans="1:5">
      <c r="A12786" s="59">
        <v>28</v>
      </c>
      <c r="B12786" s="59">
        <v>81</v>
      </c>
      <c r="C12786" s="59">
        <v>970</v>
      </c>
      <c r="D12786" s="51">
        <v>31</v>
      </c>
      <c r="E12786" s="51">
        <f t="shared" si="199"/>
        <v>1</v>
      </c>
    </row>
    <row r="12787" spans="1:5">
      <c r="A12787" s="59">
        <v>28</v>
      </c>
      <c r="B12787" s="59">
        <v>15</v>
      </c>
      <c r="C12787" s="59">
        <v>950</v>
      </c>
      <c r="D12787" s="51">
        <v>30</v>
      </c>
      <c r="E12787" s="51">
        <f t="shared" si="199"/>
        <v>1</v>
      </c>
    </row>
    <row r="12788" spans="1:5">
      <c r="A12788" s="59">
        <v>28</v>
      </c>
      <c r="B12788" s="59">
        <v>23</v>
      </c>
      <c r="C12788" s="59">
        <v>150</v>
      </c>
      <c r="D12788" s="51">
        <v>30</v>
      </c>
      <c r="E12788" s="51">
        <f t="shared" si="199"/>
        <v>1</v>
      </c>
    </row>
    <row r="12789" spans="1:5">
      <c r="A12789" s="59">
        <v>28</v>
      </c>
      <c r="B12789" s="59">
        <v>13</v>
      </c>
      <c r="C12789" s="59">
        <v>440</v>
      </c>
      <c r="D12789" s="51">
        <v>29</v>
      </c>
      <c r="E12789" s="51">
        <f t="shared" si="199"/>
        <v>1</v>
      </c>
    </row>
    <row r="12790" spans="1:5">
      <c r="A12790" s="59">
        <v>28</v>
      </c>
      <c r="B12790" s="59">
        <v>32</v>
      </c>
      <c r="C12790" s="59">
        <v>950</v>
      </c>
      <c r="D12790" s="51">
        <v>29</v>
      </c>
      <c r="E12790" s="51">
        <f t="shared" si="199"/>
        <v>1</v>
      </c>
    </row>
    <row r="12791" spans="1:5">
      <c r="A12791" s="59">
        <v>28</v>
      </c>
      <c r="B12791" s="59">
        <v>44</v>
      </c>
      <c r="C12791" s="59">
        <v>860</v>
      </c>
      <c r="D12791" s="51">
        <v>29</v>
      </c>
      <c r="E12791" s="51">
        <f t="shared" si="199"/>
        <v>1</v>
      </c>
    </row>
    <row r="12792" spans="1:5">
      <c r="A12792" s="59">
        <v>28</v>
      </c>
      <c r="B12792" s="59">
        <v>44</v>
      </c>
      <c r="C12792" s="59">
        <v>940</v>
      </c>
      <c r="D12792" s="51">
        <v>29</v>
      </c>
      <c r="E12792" s="51">
        <f t="shared" si="199"/>
        <v>1</v>
      </c>
    </row>
    <row r="12793" spans="1:5">
      <c r="A12793" s="59">
        <v>28</v>
      </c>
      <c r="B12793" s="59">
        <v>81</v>
      </c>
      <c r="C12793" s="59">
        <v>330</v>
      </c>
      <c r="D12793" s="51">
        <v>29</v>
      </c>
      <c r="E12793" s="51">
        <f t="shared" si="199"/>
        <v>1</v>
      </c>
    </row>
    <row r="12794" spans="1:5">
      <c r="A12794" s="59">
        <v>28</v>
      </c>
      <c r="B12794" s="59">
        <v>16</v>
      </c>
      <c r="C12794" s="59">
        <v>930</v>
      </c>
      <c r="D12794" s="51">
        <v>28</v>
      </c>
      <c r="E12794" s="51">
        <f t="shared" si="199"/>
        <v>1</v>
      </c>
    </row>
    <row r="12795" spans="1:5">
      <c r="A12795" s="59">
        <v>28</v>
      </c>
      <c r="B12795" s="59">
        <v>21</v>
      </c>
      <c r="C12795" s="59">
        <v>240</v>
      </c>
      <c r="D12795" s="51">
        <v>28</v>
      </c>
      <c r="E12795" s="51">
        <f t="shared" si="199"/>
        <v>1</v>
      </c>
    </row>
    <row r="12796" spans="1:5">
      <c r="A12796" s="59">
        <v>28</v>
      </c>
      <c r="B12796" s="59">
        <v>32</v>
      </c>
      <c r="C12796" s="59">
        <v>550</v>
      </c>
      <c r="D12796" s="51">
        <v>28</v>
      </c>
      <c r="E12796" s="51">
        <f t="shared" si="199"/>
        <v>1</v>
      </c>
    </row>
    <row r="12797" spans="1:5">
      <c r="A12797" s="59">
        <v>28</v>
      </c>
      <c r="B12797" s="59">
        <v>42</v>
      </c>
      <c r="C12797" s="59">
        <v>940</v>
      </c>
      <c r="D12797" s="51">
        <v>28</v>
      </c>
      <c r="E12797" s="51">
        <f t="shared" si="199"/>
        <v>1</v>
      </c>
    </row>
    <row r="12798" spans="1:5">
      <c r="A12798" s="59">
        <v>28</v>
      </c>
      <c r="B12798" s="59">
        <v>71</v>
      </c>
      <c r="C12798" s="59">
        <v>940</v>
      </c>
      <c r="D12798" s="51">
        <v>28</v>
      </c>
      <c r="E12798" s="51">
        <f t="shared" si="199"/>
        <v>1</v>
      </c>
    </row>
    <row r="12799" spans="1:5">
      <c r="A12799" s="59">
        <v>28</v>
      </c>
      <c r="B12799" s="59">
        <v>13</v>
      </c>
      <c r="C12799" s="59">
        <v>750</v>
      </c>
      <c r="D12799" s="51">
        <v>27</v>
      </c>
      <c r="E12799" s="51">
        <f t="shared" si="199"/>
        <v>1</v>
      </c>
    </row>
    <row r="12800" spans="1:5">
      <c r="A12800" s="59">
        <v>28</v>
      </c>
      <c r="B12800" s="59">
        <v>14</v>
      </c>
      <c r="C12800" s="59">
        <v>720</v>
      </c>
      <c r="D12800" s="51">
        <v>27</v>
      </c>
      <c r="E12800" s="51">
        <f t="shared" si="199"/>
        <v>1</v>
      </c>
    </row>
    <row r="12801" spans="1:5">
      <c r="A12801" s="59">
        <v>28</v>
      </c>
      <c r="B12801" s="59">
        <v>15</v>
      </c>
      <c r="C12801" s="59">
        <v>130</v>
      </c>
      <c r="D12801" s="51">
        <v>27</v>
      </c>
      <c r="E12801" s="51">
        <f t="shared" si="199"/>
        <v>1</v>
      </c>
    </row>
    <row r="12802" spans="1:5">
      <c r="A12802" s="59">
        <v>28</v>
      </c>
      <c r="B12802" s="59">
        <v>21</v>
      </c>
      <c r="C12802" s="59">
        <v>230</v>
      </c>
      <c r="D12802" s="51">
        <v>27</v>
      </c>
      <c r="E12802" s="51">
        <f t="shared" ref="E12802:E12865" si="200">IF(OR(A12802=6,A12802=7,A12802=14,A12802=15,A12802=16,A12802=17,A12802=18,A12802=19,A12802=20,A12802=21,A12802=22,A12802=23,A12802=25,A12802=26,A12802=27,A12802=28,B12802=41,B12802=44,B12802=62),1,0)</f>
        <v>1</v>
      </c>
    </row>
    <row r="12803" spans="1:5">
      <c r="A12803" s="59">
        <v>28</v>
      </c>
      <c r="B12803" s="59">
        <v>15</v>
      </c>
      <c r="C12803" s="59">
        <v>920</v>
      </c>
      <c r="D12803" s="51">
        <v>26</v>
      </c>
      <c r="E12803" s="51">
        <f t="shared" si="200"/>
        <v>1</v>
      </c>
    </row>
    <row r="12804" spans="1:5">
      <c r="A12804" s="59">
        <v>28</v>
      </c>
      <c r="B12804" s="59">
        <v>51</v>
      </c>
      <c r="C12804" s="59">
        <v>420</v>
      </c>
      <c r="D12804" s="51">
        <v>26</v>
      </c>
      <c r="E12804" s="51">
        <f t="shared" si="200"/>
        <v>1</v>
      </c>
    </row>
    <row r="12805" spans="1:5">
      <c r="A12805" s="59">
        <v>28</v>
      </c>
      <c r="B12805" s="59">
        <v>51</v>
      </c>
      <c r="C12805" s="59">
        <v>430</v>
      </c>
      <c r="D12805" s="51">
        <v>26</v>
      </c>
      <c r="E12805" s="51">
        <f t="shared" si="200"/>
        <v>1</v>
      </c>
    </row>
    <row r="12806" spans="1:5">
      <c r="A12806" s="59">
        <v>28</v>
      </c>
      <c r="B12806" s="59">
        <v>14</v>
      </c>
      <c r="C12806" s="59">
        <v>540</v>
      </c>
      <c r="D12806" s="51">
        <v>25</v>
      </c>
      <c r="E12806" s="51">
        <f t="shared" si="200"/>
        <v>1</v>
      </c>
    </row>
    <row r="12807" spans="1:5">
      <c r="A12807" s="59">
        <v>28</v>
      </c>
      <c r="B12807" s="59">
        <v>22</v>
      </c>
      <c r="C12807" s="59">
        <v>510</v>
      </c>
      <c r="D12807" s="51">
        <v>25</v>
      </c>
      <c r="E12807" s="51">
        <f t="shared" si="200"/>
        <v>1</v>
      </c>
    </row>
    <row r="12808" spans="1:5">
      <c r="A12808" s="59">
        <v>28</v>
      </c>
      <c r="B12808" s="59">
        <v>23</v>
      </c>
      <c r="C12808" s="59">
        <v>230</v>
      </c>
      <c r="D12808" s="51">
        <v>25</v>
      </c>
      <c r="E12808" s="51">
        <f t="shared" si="200"/>
        <v>1</v>
      </c>
    </row>
    <row r="12809" spans="1:5">
      <c r="A12809" s="59">
        <v>28</v>
      </c>
      <c r="B12809" s="59">
        <v>33</v>
      </c>
      <c r="C12809" s="59">
        <v>940</v>
      </c>
      <c r="D12809" s="51">
        <v>25</v>
      </c>
      <c r="E12809" s="51">
        <f t="shared" si="200"/>
        <v>1</v>
      </c>
    </row>
    <row r="12810" spans="1:5">
      <c r="A12810" s="59">
        <v>28</v>
      </c>
      <c r="B12810" s="59">
        <v>33</v>
      </c>
      <c r="C12810" s="59">
        <v>950</v>
      </c>
      <c r="D12810" s="51">
        <v>25</v>
      </c>
      <c r="E12810" s="51">
        <f t="shared" si="200"/>
        <v>1</v>
      </c>
    </row>
    <row r="12811" spans="1:5">
      <c r="A12811" s="59">
        <v>28</v>
      </c>
      <c r="B12811" s="59">
        <v>41</v>
      </c>
      <c r="C12811" s="59">
        <v>420</v>
      </c>
      <c r="D12811" s="51">
        <v>25</v>
      </c>
      <c r="E12811" s="51">
        <f t="shared" si="200"/>
        <v>1</v>
      </c>
    </row>
    <row r="12812" spans="1:5">
      <c r="A12812" s="59">
        <v>28</v>
      </c>
      <c r="B12812" s="59">
        <v>51</v>
      </c>
      <c r="C12812" s="59">
        <v>220</v>
      </c>
      <c r="D12812" s="51">
        <v>25</v>
      </c>
      <c r="E12812" s="51">
        <f t="shared" si="200"/>
        <v>1</v>
      </c>
    </row>
    <row r="12813" spans="1:5">
      <c r="A12813" s="59">
        <v>28</v>
      </c>
      <c r="B12813" s="59">
        <v>71</v>
      </c>
      <c r="C12813" s="59">
        <v>230</v>
      </c>
      <c r="D12813" s="51">
        <v>25</v>
      </c>
      <c r="E12813" s="51">
        <f t="shared" si="200"/>
        <v>1</v>
      </c>
    </row>
    <row r="12814" spans="1:5">
      <c r="A12814" s="59">
        <v>28</v>
      </c>
      <c r="B12814" s="59">
        <v>12</v>
      </c>
      <c r="C12814" s="59">
        <v>910</v>
      </c>
      <c r="D12814" s="51">
        <v>24</v>
      </c>
      <c r="E12814" s="51">
        <f t="shared" si="200"/>
        <v>1</v>
      </c>
    </row>
    <row r="12815" spans="1:5">
      <c r="A12815" s="59">
        <v>28</v>
      </c>
      <c r="B12815" s="59">
        <v>14</v>
      </c>
      <c r="C12815" s="59">
        <v>520</v>
      </c>
      <c r="D12815" s="51">
        <v>23</v>
      </c>
      <c r="E12815" s="51">
        <f t="shared" si="200"/>
        <v>1</v>
      </c>
    </row>
    <row r="12816" spans="1:5">
      <c r="A12816" s="59">
        <v>28</v>
      </c>
      <c r="B12816" s="59">
        <v>16</v>
      </c>
      <c r="C12816" s="59">
        <v>970</v>
      </c>
      <c r="D12816" s="51">
        <v>23</v>
      </c>
      <c r="E12816" s="51">
        <f t="shared" si="200"/>
        <v>1</v>
      </c>
    </row>
    <row r="12817" spans="1:5">
      <c r="A12817" s="59">
        <v>28</v>
      </c>
      <c r="B12817" s="59">
        <v>41</v>
      </c>
      <c r="C12817" s="59">
        <v>892</v>
      </c>
      <c r="D12817" s="51">
        <v>23</v>
      </c>
      <c r="E12817" s="51">
        <f t="shared" si="200"/>
        <v>1</v>
      </c>
    </row>
    <row r="12818" spans="1:5">
      <c r="A12818" s="59">
        <v>28</v>
      </c>
      <c r="B12818" s="59">
        <v>44</v>
      </c>
      <c r="C12818" s="59">
        <v>320</v>
      </c>
      <c r="D12818" s="51">
        <v>23</v>
      </c>
      <c r="E12818" s="51">
        <f t="shared" si="200"/>
        <v>1</v>
      </c>
    </row>
    <row r="12819" spans="1:5">
      <c r="A12819" s="59">
        <v>28</v>
      </c>
      <c r="B12819" s="59">
        <v>51</v>
      </c>
      <c r="C12819" s="59">
        <v>110</v>
      </c>
      <c r="D12819" s="51">
        <v>23</v>
      </c>
      <c r="E12819" s="51">
        <f t="shared" si="200"/>
        <v>1</v>
      </c>
    </row>
    <row r="12820" spans="1:5">
      <c r="A12820" s="59">
        <v>28</v>
      </c>
      <c r="B12820" s="59">
        <v>16</v>
      </c>
      <c r="C12820" s="59">
        <v>540</v>
      </c>
      <c r="D12820" s="51">
        <v>22</v>
      </c>
      <c r="E12820" s="51">
        <f t="shared" si="200"/>
        <v>1</v>
      </c>
    </row>
    <row r="12821" spans="1:5">
      <c r="A12821" s="59">
        <v>28</v>
      </c>
      <c r="B12821" s="59">
        <v>16</v>
      </c>
      <c r="C12821" s="59">
        <v>940</v>
      </c>
      <c r="D12821" s="51">
        <v>22</v>
      </c>
      <c r="E12821" s="51">
        <f t="shared" si="200"/>
        <v>1</v>
      </c>
    </row>
    <row r="12822" spans="1:5">
      <c r="A12822" s="59">
        <v>28</v>
      </c>
      <c r="B12822" s="59">
        <v>41</v>
      </c>
      <c r="C12822" s="59">
        <v>240</v>
      </c>
      <c r="D12822" s="51">
        <v>22</v>
      </c>
      <c r="E12822" s="51">
        <f t="shared" si="200"/>
        <v>1</v>
      </c>
    </row>
    <row r="12823" spans="1:5">
      <c r="A12823" s="59">
        <v>28</v>
      </c>
      <c r="B12823" s="59">
        <v>42</v>
      </c>
      <c r="C12823" s="59">
        <v>520</v>
      </c>
      <c r="D12823" s="51">
        <v>22</v>
      </c>
      <c r="E12823" s="51">
        <f t="shared" si="200"/>
        <v>1</v>
      </c>
    </row>
    <row r="12824" spans="1:5">
      <c r="A12824" s="59">
        <v>28</v>
      </c>
      <c r="B12824" s="59">
        <v>51</v>
      </c>
      <c r="C12824" s="59">
        <v>899</v>
      </c>
      <c r="D12824" s="51">
        <v>22</v>
      </c>
      <c r="E12824" s="51">
        <f t="shared" si="200"/>
        <v>1</v>
      </c>
    </row>
    <row r="12825" spans="1:5">
      <c r="A12825" s="59">
        <v>28</v>
      </c>
      <c r="B12825" s="59">
        <v>61</v>
      </c>
      <c r="C12825" s="59">
        <v>530</v>
      </c>
      <c r="D12825" s="51">
        <v>22</v>
      </c>
      <c r="E12825" s="51">
        <f t="shared" si="200"/>
        <v>1</v>
      </c>
    </row>
    <row r="12826" spans="1:5">
      <c r="A12826" s="59">
        <v>28</v>
      </c>
      <c r="B12826" s="59">
        <v>63</v>
      </c>
      <c r="C12826" s="59">
        <v>320</v>
      </c>
      <c r="D12826" s="51">
        <v>22</v>
      </c>
      <c r="E12826" s="51">
        <f t="shared" si="200"/>
        <v>1</v>
      </c>
    </row>
    <row r="12827" spans="1:5">
      <c r="A12827" s="59">
        <v>28</v>
      </c>
      <c r="B12827" s="59">
        <v>64</v>
      </c>
      <c r="C12827" s="59">
        <v>850</v>
      </c>
      <c r="D12827" s="51">
        <v>22</v>
      </c>
      <c r="E12827" s="51">
        <f t="shared" si="200"/>
        <v>1</v>
      </c>
    </row>
    <row r="12828" spans="1:5">
      <c r="A12828" s="59">
        <v>28</v>
      </c>
      <c r="B12828" s="59">
        <v>64</v>
      </c>
      <c r="C12828" s="59">
        <v>893</v>
      </c>
      <c r="D12828" s="51">
        <v>22</v>
      </c>
      <c r="E12828" s="51">
        <f t="shared" si="200"/>
        <v>1</v>
      </c>
    </row>
    <row r="12829" spans="1:5">
      <c r="A12829" s="59">
        <v>28</v>
      </c>
      <c r="B12829" s="59">
        <v>81</v>
      </c>
      <c r="C12829" s="59">
        <v>520</v>
      </c>
      <c r="D12829" s="51">
        <v>22</v>
      </c>
      <c r="E12829" s="51">
        <f t="shared" si="200"/>
        <v>1</v>
      </c>
    </row>
    <row r="12830" spans="1:5">
      <c r="A12830" s="59">
        <v>28</v>
      </c>
      <c r="B12830" s="59">
        <v>13</v>
      </c>
      <c r="C12830" s="59">
        <v>520</v>
      </c>
      <c r="D12830" s="51">
        <v>21</v>
      </c>
      <c r="E12830" s="51">
        <f t="shared" si="200"/>
        <v>1</v>
      </c>
    </row>
    <row r="12831" spans="1:5">
      <c r="A12831" s="59">
        <v>28</v>
      </c>
      <c r="B12831" s="59">
        <v>32</v>
      </c>
      <c r="C12831" s="59">
        <v>720</v>
      </c>
      <c r="D12831" s="51">
        <v>21</v>
      </c>
      <c r="E12831" s="51">
        <f t="shared" si="200"/>
        <v>1</v>
      </c>
    </row>
    <row r="12832" spans="1:5">
      <c r="A12832" s="59">
        <v>28</v>
      </c>
      <c r="B12832" s="59">
        <v>43</v>
      </c>
      <c r="C12832" s="59">
        <v>850</v>
      </c>
      <c r="D12832" s="51">
        <v>21</v>
      </c>
      <c r="E12832" s="51">
        <f t="shared" si="200"/>
        <v>1</v>
      </c>
    </row>
    <row r="12833" spans="1:5">
      <c r="A12833" s="59">
        <v>28</v>
      </c>
      <c r="B12833" s="59">
        <v>43</v>
      </c>
      <c r="C12833" s="59">
        <v>893</v>
      </c>
      <c r="D12833" s="51">
        <v>21</v>
      </c>
      <c r="E12833" s="51">
        <f t="shared" si="200"/>
        <v>1</v>
      </c>
    </row>
    <row r="12834" spans="1:5">
      <c r="A12834" s="59">
        <v>28</v>
      </c>
      <c r="B12834" s="59">
        <v>71</v>
      </c>
      <c r="C12834" s="59">
        <v>950</v>
      </c>
      <c r="D12834" s="51">
        <v>21</v>
      </c>
      <c r="E12834" s="51">
        <f t="shared" si="200"/>
        <v>1</v>
      </c>
    </row>
    <row r="12835" spans="1:5">
      <c r="A12835" s="59">
        <v>28</v>
      </c>
      <c r="B12835" s="59">
        <v>11</v>
      </c>
      <c r="C12835" s="59">
        <v>110</v>
      </c>
      <c r="D12835" s="51">
        <v>20</v>
      </c>
      <c r="E12835" s="51">
        <f t="shared" si="200"/>
        <v>1</v>
      </c>
    </row>
    <row r="12836" spans="1:5">
      <c r="A12836" s="59">
        <v>28</v>
      </c>
      <c r="B12836" s="59">
        <v>13</v>
      </c>
      <c r="C12836" s="59">
        <v>940</v>
      </c>
      <c r="D12836" s="51">
        <v>20</v>
      </c>
      <c r="E12836" s="51">
        <f t="shared" si="200"/>
        <v>1</v>
      </c>
    </row>
    <row r="12837" spans="1:5">
      <c r="A12837" s="59">
        <v>28</v>
      </c>
      <c r="B12837" s="59">
        <v>16</v>
      </c>
      <c r="C12837" s="59">
        <v>920</v>
      </c>
      <c r="D12837" s="51">
        <v>20</v>
      </c>
      <c r="E12837" s="51">
        <f t="shared" si="200"/>
        <v>1</v>
      </c>
    </row>
    <row r="12838" spans="1:5">
      <c r="A12838" s="59">
        <v>28</v>
      </c>
      <c r="B12838" s="59">
        <v>21</v>
      </c>
      <c r="C12838" s="59">
        <v>930</v>
      </c>
      <c r="D12838" s="51">
        <v>20</v>
      </c>
      <c r="E12838" s="51">
        <f t="shared" si="200"/>
        <v>1</v>
      </c>
    </row>
    <row r="12839" spans="1:5">
      <c r="A12839" s="59">
        <v>28</v>
      </c>
      <c r="B12839" s="59">
        <v>41</v>
      </c>
      <c r="C12839" s="59">
        <v>430</v>
      </c>
      <c r="D12839" s="51">
        <v>20</v>
      </c>
      <c r="E12839" s="51">
        <f t="shared" si="200"/>
        <v>1</v>
      </c>
    </row>
    <row r="12840" spans="1:5">
      <c r="A12840" s="59">
        <v>28</v>
      </c>
      <c r="B12840" s="59">
        <v>42</v>
      </c>
      <c r="C12840" s="59">
        <v>720</v>
      </c>
      <c r="D12840" s="51">
        <v>20</v>
      </c>
      <c r="E12840" s="51">
        <f t="shared" si="200"/>
        <v>1</v>
      </c>
    </row>
    <row r="12841" spans="1:5">
      <c r="A12841" s="59">
        <v>28</v>
      </c>
      <c r="B12841" s="59">
        <v>62</v>
      </c>
      <c r="C12841" s="59">
        <v>820</v>
      </c>
      <c r="D12841" s="51">
        <v>20</v>
      </c>
      <c r="E12841" s="51">
        <f t="shared" si="200"/>
        <v>1</v>
      </c>
    </row>
    <row r="12842" spans="1:5">
      <c r="A12842" s="59">
        <v>28</v>
      </c>
      <c r="B12842" s="59">
        <v>23</v>
      </c>
      <c r="C12842" s="59">
        <v>160</v>
      </c>
      <c r="D12842" s="51">
        <v>19</v>
      </c>
      <c r="E12842" s="51">
        <f t="shared" si="200"/>
        <v>1</v>
      </c>
    </row>
    <row r="12843" spans="1:5">
      <c r="A12843" s="59">
        <v>28</v>
      </c>
      <c r="B12843" s="59">
        <v>23</v>
      </c>
      <c r="C12843" s="59">
        <v>240</v>
      </c>
      <c r="D12843" s="51">
        <v>19</v>
      </c>
      <c r="E12843" s="51">
        <f t="shared" si="200"/>
        <v>1</v>
      </c>
    </row>
    <row r="12844" spans="1:5">
      <c r="A12844" s="59">
        <v>28</v>
      </c>
      <c r="B12844" s="59">
        <v>41</v>
      </c>
      <c r="C12844" s="59">
        <v>540</v>
      </c>
      <c r="D12844" s="51">
        <v>19</v>
      </c>
      <c r="E12844" s="51">
        <f t="shared" si="200"/>
        <v>1</v>
      </c>
    </row>
    <row r="12845" spans="1:5">
      <c r="A12845" s="59">
        <v>28</v>
      </c>
      <c r="B12845" s="59">
        <v>62</v>
      </c>
      <c r="C12845" s="59">
        <v>320</v>
      </c>
      <c r="D12845" s="51">
        <v>19</v>
      </c>
      <c r="E12845" s="51">
        <f t="shared" si="200"/>
        <v>1</v>
      </c>
    </row>
    <row r="12846" spans="1:5">
      <c r="A12846" s="59">
        <v>28</v>
      </c>
      <c r="B12846" s="59">
        <v>64</v>
      </c>
      <c r="C12846" s="59">
        <v>895</v>
      </c>
      <c r="D12846" s="51">
        <v>19</v>
      </c>
      <c r="E12846" s="51">
        <f t="shared" si="200"/>
        <v>1</v>
      </c>
    </row>
    <row r="12847" spans="1:5">
      <c r="A12847" s="59">
        <v>28</v>
      </c>
      <c r="B12847" s="59">
        <v>71</v>
      </c>
      <c r="C12847" s="59">
        <v>930</v>
      </c>
      <c r="D12847" s="51">
        <v>19</v>
      </c>
      <c r="E12847" s="51">
        <f t="shared" si="200"/>
        <v>1</v>
      </c>
    </row>
    <row r="12848" spans="1:5">
      <c r="A12848" s="59">
        <v>28</v>
      </c>
      <c r="B12848" s="59">
        <v>31</v>
      </c>
      <c r="C12848" s="59">
        <v>530</v>
      </c>
      <c r="D12848" s="51">
        <v>18</v>
      </c>
      <c r="E12848" s="51">
        <f t="shared" si="200"/>
        <v>1</v>
      </c>
    </row>
    <row r="12849" spans="1:5">
      <c r="A12849" s="59">
        <v>28</v>
      </c>
      <c r="B12849" s="59">
        <v>33</v>
      </c>
      <c r="C12849" s="59">
        <v>610</v>
      </c>
      <c r="D12849" s="51">
        <v>18</v>
      </c>
      <c r="E12849" s="51">
        <f t="shared" si="200"/>
        <v>1</v>
      </c>
    </row>
    <row r="12850" spans="1:5">
      <c r="A12850" s="59">
        <v>28</v>
      </c>
      <c r="B12850" s="59">
        <v>43</v>
      </c>
      <c r="C12850" s="59">
        <v>710</v>
      </c>
      <c r="D12850" s="51">
        <v>18</v>
      </c>
      <c r="E12850" s="51">
        <f t="shared" si="200"/>
        <v>1</v>
      </c>
    </row>
    <row r="12851" spans="1:5">
      <c r="A12851" s="59">
        <v>28</v>
      </c>
      <c r="B12851" s="59">
        <v>62</v>
      </c>
      <c r="C12851" s="59">
        <v>940</v>
      </c>
      <c r="D12851" s="51">
        <v>18</v>
      </c>
      <c r="E12851" s="51">
        <f t="shared" si="200"/>
        <v>1</v>
      </c>
    </row>
    <row r="12852" spans="1:5">
      <c r="A12852" s="59">
        <v>28</v>
      </c>
      <c r="B12852" s="59">
        <v>11</v>
      </c>
      <c r="C12852" s="59">
        <v>160</v>
      </c>
      <c r="D12852" s="51">
        <v>17</v>
      </c>
      <c r="E12852" s="51">
        <f t="shared" si="200"/>
        <v>1</v>
      </c>
    </row>
    <row r="12853" spans="1:5">
      <c r="A12853" s="59">
        <v>28</v>
      </c>
      <c r="B12853" s="59">
        <v>13</v>
      </c>
      <c r="C12853" s="59">
        <v>630</v>
      </c>
      <c r="D12853" s="51">
        <v>16</v>
      </c>
      <c r="E12853" s="51">
        <f t="shared" si="200"/>
        <v>1</v>
      </c>
    </row>
    <row r="12854" spans="1:5">
      <c r="A12854" s="59">
        <v>28</v>
      </c>
      <c r="B12854" s="59">
        <v>21</v>
      </c>
      <c r="C12854" s="59">
        <v>420</v>
      </c>
      <c r="D12854" s="51">
        <v>16</v>
      </c>
      <c r="E12854" s="51">
        <f t="shared" si="200"/>
        <v>1</v>
      </c>
    </row>
    <row r="12855" spans="1:5">
      <c r="A12855" s="59">
        <v>28</v>
      </c>
      <c r="B12855" s="59">
        <v>21</v>
      </c>
      <c r="C12855" s="59">
        <v>940</v>
      </c>
      <c r="D12855" s="51">
        <v>16</v>
      </c>
      <c r="E12855" s="51">
        <f t="shared" si="200"/>
        <v>1</v>
      </c>
    </row>
    <row r="12856" spans="1:5">
      <c r="A12856" s="59">
        <v>28</v>
      </c>
      <c r="B12856" s="59">
        <v>32</v>
      </c>
      <c r="C12856" s="59">
        <v>440</v>
      </c>
      <c r="D12856" s="51">
        <v>16</v>
      </c>
      <c r="E12856" s="51">
        <f t="shared" si="200"/>
        <v>1</v>
      </c>
    </row>
    <row r="12857" spans="1:5">
      <c r="A12857" s="59">
        <v>28</v>
      </c>
      <c r="B12857" s="59">
        <v>51</v>
      </c>
      <c r="C12857" s="59">
        <v>410</v>
      </c>
      <c r="D12857" s="51">
        <v>16</v>
      </c>
      <c r="E12857" s="51">
        <f t="shared" si="200"/>
        <v>1</v>
      </c>
    </row>
    <row r="12858" spans="1:5">
      <c r="A12858" s="59">
        <v>28</v>
      </c>
      <c r="B12858" s="59">
        <v>63</v>
      </c>
      <c r="C12858" s="59">
        <v>710</v>
      </c>
      <c r="D12858" s="51">
        <v>16</v>
      </c>
      <c r="E12858" s="51">
        <f t="shared" si="200"/>
        <v>1</v>
      </c>
    </row>
    <row r="12859" spans="1:5">
      <c r="A12859" s="59">
        <v>28</v>
      </c>
      <c r="B12859" s="59">
        <v>81</v>
      </c>
      <c r="C12859" s="59">
        <v>630</v>
      </c>
      <c r="D12859" s="51">
        <v>16</v>
      </c>
      <c r="E12859" s="51">
        <f t="shared" si="200"/>
        <v>1</v>
      </c>
    </row>
    <row r="12860" spans="1:5">
      <c r="A12860" s="59">
        <v>28</v>
      </c>
      <c r="B12860" s="59">
        <v>81</v>
      </c>
      <c r="C12860" s="59">
        <v>893</v>
      </c>
      <c r="D12860" s="51">
        <v>16</v>
      </c>
      <c r="E12860" s="51">
        <f t="shared" si="200"/>
        <v>1</v>
      </c>
    </row>
    <row r="12861" spans="1:5">
      <c r="A12861" s="59">
        <v>28</v>
      </c>
      <c r="B12861" s="59">
        <v>15</v>
      </c>
      <c r="C12861" s="59">
        <v>430</v>
      </c>
      <c r="D12861" s="51">
        <v>15</v>
      </c>
      <c r="E12861" s="51">
        <f t="shared" si="200"/>
        <v>1</v>
      </c>
    </row>
    <row r="12862" spans="1:5">
      <c r="A12862" s="59">
        <v>28</v>
      </c>
      <c r="B12862" s="59">
        <v>41</v>
      </c>
      <c r="C12862" s="59">
        <v>230</v>
      </c>
      <c r="D12862" s="51">
        <v>15</v>
      </c>
      <c r="E12862" s="51">
        <f t="shared" si="200"/>
        <v>1</v>
      </c>
    </row>
    <row r="12863" spans="1:5">
      <c r="A12863" s="59">
        <v>28</v>
      </c>
      <c r="B12863" s="59">
        <v>41</v>
      </c>
      <c r="C12863" s="59">
        <v>550</v>
      </c>
      <c r="D12863" s="51">
        <v>15</v>
      </c>
      <c r="E12863" s="51">
        <f t="shared" si="200"/>
        <v>1</v>
      </c>
    </row>
    <row r="12864" spans="1:5">
      <c r="A12864" s="59">
        <v>28</v>
      </c>
      <c r="B12864" s="59">
        <v>71</v>
      </c>
      <c r="C12864" s="59">
        <v>710</v>
      </c>
      <c r="D12864" s="51">
        <v>15</v>
      </c>
      <c r="E12864" s="51">
        <f t="shared" si="200"/>
        <v>1</v>
      </c>
    </row>
    <row r="12865" spans="1:5">
      <c r="A12865" s="59">
        <v>28</v>
      </c>
      <c r="B12865" s="59">
        <v>11</v>
      </c>
      <c r="C12865" s="59">
        <v>510</v>
      </c>
      <c r="D12865" s="51">
        <v>14</v>
      </c>
      <c r="E12865" s="51">
        <f t="shared" si="200"/>
        <v>1</v>
      </c>
    </row>
    <row r="12866" spans="1:5">
      <c r="A12866" s="59">
        <v>28</v>
      </c>
      <c r="B12866" s="59">
        <v>13</v>
      </c>
      <c r="C12866" s="59">
        <v>640</v>
      </c>
      <c r="D12866" s="51">
        <v>14</v>
      </c>
      <c r="E12866" s="51">
        <f t="shared" ref="E12866:E12929" si="201">IF(OR(A12866=6,A12866=7,A12866=14,A12866=15,A12866=16,A12866=17,A12866=18,A12866=19,A12866=20,A12866=21,A12866=22,A12866=23,A12866=25,A12866=26,A12866=27,A12866=28,B12866=41,B12866=44,B12866=62),1,0)</f>
        <v>1</v>
      </c>
    </row>
    <row r="12867" spans="1:5">
      <c r="A12867" s="59">
        <v>28</v>
      </c>
      <c r="B12867" s="59">
        <v>15</v>
      </c>
      <c r="C12867" s="59">
        <v>120</v>
      </c>
      <c r="D12867" s="51">
        <v>14</v>
      </c>
      <c r="E12867" s="51">
        <f t="shared" si="201"/>
        <v>1</v>
      </c>
    </row>
    <row r="12868" spans="1:5">
      <c r="A12868" s="59">
        <v>28</v>
      </c>
      <c r="B12868" s="59">
        <v>32</v>
      </c>
      <c r="C12868" s="59">
        <v>750</v>
      </c>
      <c r="D12868" s="51">
        <v>14</v>
      </c>
      <c r="E12868" s="51">
        <f t="shared" si="201"/>
        <v>1</v>
      </c>
    </row>
    <row r="12869" spans="1:5">
      <c r="A12869" s="59">
        <v>28</v>
      </c>
      <c r="B12869" s="59">
        <v>41</v>
      </c>
      <c r="C12869" s="59">
        <v>440</v>
      </c>
      <c r="D12869" s="51">
        <v>14</v>
      </c>
      <c r="E12869" s="51">
        <f t="shared" si="201"/>
        <v>1</v>
      </c>
    </row>
    <row r="12870" spans="1:5">
      <c r="A12870" s="59">
        <v>28</v>
      </c>
      <c r="B12870" s="59">
        <v>41</v>
      </c>
      <c r="C12870" s="59">
        <v>520</v>
      </c>
      <c r="D12870" s="51">
        <v>14</v>
      </c>
      <c r="E12870" s="51">
        <f t="shared" si="201"/>
        <v>1</v>
      </c>
    </row>
    <row r="12871" spans="1:5">
      <c r="A12871" s="59">
        <v>28</v>
      </c>
      <c r="B12871" s="59">
        <v>43</v>
      </c>
      <c r="C12871" s="59">
        <v>860</v>
      </c>
      <c r="D12871" s="51">
        <v>14</v>
      </c>
      <c r="E12871" s="51">
        <f t="shared" si="201"/>
        <v>1</v>
      </c>
    </row>
    <row r="12872" spans="1:5">
      <c r="A12872" s="59">
        <v>28</v>
      </c>
      <c r="B12872" s="59">
        <v>62</v>
      </c>
      <c r="C12872" s="59">
        <v>850</v>
      </c>
      <c r="D12872" s="51">
        <v>14</v>
      </c>
      <c r="E12872" s="51">
        <f t="shared" si="201"/>
        <v>1</v>
      </c>
    </row>
    <row r="12873" spans="1:5">
      <c r="A12873" s="59">
        <v>28</v>
      </c>
      <c r="B12873" s="59">
        <v>43</v>
      </c>
      <c r="C12873" s="59">
        <v>891</v>
      </c>
      <c r="D12873" s="51">
        <v>13</v>
      </c>
      <c r="E12873" s="51">
        <f t="shared" si="201"/>
        <v>1</v>
      </c>
    </row>
    <row r="12874" spans="1:5">
      <c r="A12874" s="59">
        <v>28</v>
      </c>
      <c r="B12874" s="59">
        <v>62</v>
      </c>
      <c r="C12874" s="59">
        <v>130</v>
      </c>
      <c r="D12874" s="51">
        <v>13</v>
      </c>
      <c r="E12874" s="51">
        <f t="shared" si="201"/>
        <v>1</v>
      </c>
    </row>
    <row r="12875" spans="1:5">
      <c r="A12875" s="59">
        <v>28</v>
      </c>
      <c r="B12875" s="59">
        <v>71</v>
      </c>
      <c r="C12875" s="59">
        <v>740</v>
      </c>
      <c r="D12875" s="51">
        <v>13</v>
      </c>
      <c r="E12875" s="51">
        <f t="shared" si="201"/>
        <v>1</v>
      </c>
    </row>
    <row r="12876" spans="1:5">
      <c r="A12876" s="59">
        <v>28</v>
      </c>
      <c r="B12876" s="59">
        <v>14</v>
      </c>
      <c r="C12876" s="59">
        <v>750</v>
      </c>
      <c r="D12876" s="51">
        <v>12</v>
      </c>
      <c r="E12876" s="51">
        <f t="shared" si="201"/>
        <v>1</v>
      </c>
    </row>
    <row r="12877" spans="1:5">
      <c r="A12877" s="59">
        <v>28</v>
      </c>
      <c r="B12877" s="59">
        <v>21</v>
      </c>
      <c r="C12877" s="59">
        <v>330</v>
      </c>
      <c r="D12877" s="51">
        <v>12</v>
      </c>
      <c r="E12877" s="51">
        <f t="shared" si="201"/>
        <v>1</v>
      </c>
    </row>
    <row r="12878" spans="1:5">
      <c r="A12878" s="59">
        <v>28</v>
      </c>
      <c r="B12878" s="59">
        <v>21</v>
      </c>
      <c r="C12878" s="59">
        <v>410</v>
      </c>
      <c r="D12878" s="51">
        <v>12</v>
      </c>
      <c r="E12878" s="51">
        <f t="shared" si="201"/>
        <v>1</v>
      </c>
    </row>
    <row r="12879" spans="1:5">
      <c r="A12879" s="59">
        <v>28</v>
      </c>
      <c r="B12879" s="59">
        <v>22</v>
      </c>
      <c r="C12879" s="59">
        <v>420</v>
      </c>
      <c r="D12879" s="51">
        <v>12</v>
      </c>
      <c r="E12879" s="51">
        <f t="shared" si="201"/>
        <v>1</v>
      </c>
    </row>
    <row r="12880" spans="1:5">
      <c r="A12880" s="59">
        <v>28</v>
      </c>
      <c r="B12880" s="59">
        <v>32</v>
      </c>
      <c r="C12880" s="59">
        <v>220</v>
      </c>
      <c r="D12880" s="51">
        <v>12</v>
      </c>
      <c r="E12880" s="51">
        <f t="shared" si="201"/>
        <v>1</v>
      </c>
    </row>
    <row r="12881" spans="1:5">
      <c r="A12881" s="59">
        <v>28</v>
      </c>
      <c r="B12881" s="59">
        <v>33</v>
      </c>
      <c r="C12881" s="59">
        <v>120</v>
      </c>
      <c r="D12881" s="51">
        <v>12</v>
      </c>
      <c r="E12881" s="51">
        <f t="shared" si="201"/>
        <v>1</v>
      </c>
    </row>
    <row r="12882" spans="1:5">
      <c r="A12882" s="59">
        <v>28</v>
      </c>
      <c r="B12882" s="59">
        <v>33</v>
      </c>
      <c r="C12882" s="59">
        <v>130</v>
      </c>
      <c r="D12882" s="51">
        <v>12</v>
      </c>
      <c r="E12882" s="51">
        <f t="shared" si="201"/>
        <v>1</v>
      </c>
    </row>
    <row r="12883" spans="1:5">
      <c r="A12883" s="59">
        <v>28</v>
      </c>
      <c r="B12883" s="59">
        <v>42</v>
      </c>
      <c r="C12883" s="59">
        <v>320</v>
      </c>
      <c r="D12883" s="51">
        <v>12</v>
      </c>
      <c r="E12883" s="51">
        <f t="shared" si="201"/>
        <v>1</v>
      </c>
    </row>
    <row r="12884" spans="1:5">
      <c r="A12884" s="59">
        <v>28</v>
      </c>
      <c r="B12884" s="59">
        <v>43</v>
      </c>
      <c r="C12884" s="59">
        <v>896</v>
      </c>
      <c r="D12884" s="51">
        <v>12</v>
      </c>
      <c r="E12884" s="51">
        <f t="shared" si="201"/>
        <v>1</v>
      </c>
    </row>
    <row r="12885" spans="1:5">
      <c r="A12885" s="59">
        <v>28</v>
      </c>
      <c r="B12885" s="59">
        <v>51</v>
      </c>
      <c r="C12885" s="59">
        <v>150</v>
      </c>
      <c r="D12885" s="51">
        <v>12</v>
      </c>
      <c r="E12885" s="51">
        <f t="shared" si="201"/>
        <v>1</v>
      </c>
    </row>
    <row r="12886" spans="1:5">
      <c r="A12886" s="59">
        <v>28</v>
      </c>
      <c r="B12886" s="59">
        <v>61</v>
      </c>
      <c r="C12886" s="59">
        <v>440</v>
      </c>
      <c r="D12886" s="51">
        <v>12</v>
      </c>
      <c r="E12886" s="51">
        <f t="shared" si="201"/>
        <v>1</v>
      </c>
    </row>
    <row r="12887" spans="1:5">
      <c r="A12887" s="59">
        <v>28</v>
      </c>
      <c r="B12887" s="59">
        <v>63</v>
      </c>
      <c r="C12887" s="59">
        <v>940</v>
      </c>
      <c r="D12887" s="51">
        <v>12</v>
      </c>
      <c r="E12887" s="51">
        <f t="shared" si="201"/>
        <v>1</v>
      </c>
    </row>
    <row r="12888" spans="1:5">
      <c r="A12888" s="59">
        <v>28</v>
      </c>
      <c r="B12888" s="59">
        <v>64</v>
      </c>
      <c r="C12888" s="59">
        <v>881</v>
      </c>
      <c r="D12888" s="51">
        <v>12</v>
      </c>
      <c r="E12888" s="51">
        <f t="shared" si="201"/>
        <v>1</v>
      </c>
    </row>
    <row r="12889" spans="1:5">
      <c r="A12889" s="59">
        <v>28</v>
      </c>
      <c r="B12889" s="59">
        <v>12</v>
      </c>
      <c r="C12889" s="59">
        <v>150</v>
      </c>
      <c r="D12889" s="51">
        <v>11</v>
      </c>
      <c r="E12889" s="51">
        <f t="shared" si="201"/>
        <v>1</v>
      </c>
    </row>
    <row r="12890" spans="1:5">
      <c r="A12890" s="59">
        <v>28</v>
      </c>
      <c r="B12890" s="59">
        <v>22</v>
      </c>
      <c r="C12890" s="59">
        <v>120</v>
      </c>
      <c r="D12890" s="51">
        <v>11</v>
      </c>
      <c r="E12890" s="51">
        <f t="shared" si="201"/>
        <v>1</v>
      </c>
    </row>
    <row r="12891" spans="1:5">
      <c r="A12891" s="59">
        <v>28</v>
      </c>
      <c r="B12891" s="59">
        <v>23</v>
      </c>
      <c r="C12891" s="59">
        <v>950</v>
      </c>
      <c r="D12891" s="51">
        <v>11</v>
      </c>
      <c r="E12891" s="51">
        <f t="shared" si="201"/>
        <v>1</v>
      </c>
    </row>
    <row r="12892" spans="1:5">
      <c r="A12892" s="59">
        <v>28</v>
      </c>
      <c r="B12892" s="59">
        <v>24</v>
      </c>
      <c r="C12892" s="59">
        <v>230</v>
      </c>
      <c r="D12892" s="51">
        <v>11</v>
      </c>
      <c r="E12892" s="51">
        <f t="shared" si="201"/>
        <v>1</v>
      </c>
    </row>
    <row r="12893" spans="1:5">
      <c r="A12893" s="59">
        <v>28</v>
      </c>
      <c r="B12893" s="59">
        <v>31</v>
      </c>
      <c r="C12893" s="59">
        <v>110</v>
      </c>
      <c r="D12893" s="51">
        <v>11</v>
      </c>
      <c r="E12893" s="51">
        <f t="shared" si="201"/>
        <v>1</v>
      </c>
    </row>
    <row r="12894" spans="1:5">
      <c r="A12894" s="59">
        <v>28</v>
      </c>
      <c r="B12894" s="59">
        <v>41</v>
      </c>
      <c r="C12894" s="59">
        <v>330</v>
      </c>
      <c r="D12894" s="51">
        <v>11</v>
      </c>
      <c r="E12894" s="51">
        <f t="shared" si="201"/>
        <v>1</v>
      </c>
    </row>
    <row r="12895" spans="1:5">
      <c r="A12895" s="59">
        <v>28</v>
      </c>
      <c r="B12895" s="59">
        <v>41</v>
      </c>
      <c r="C12895" s="59">
        <v>640</v>
      </c>
      <c r="D12895" s="51">
        <v>11</v>
      </c>
      <c r="E12895" s="51">
        <f t="shared" si="201"/>
        <v>1</v>
      </c>
    </row>
    <row r="12896" spans="1:5">
      <c r="A12896" s="59">
        <v>28</v>
      </c>
      <c r="B12896" s="59">
        <v>51</v>
      </c>
      <c r="C12896" s="59">
        <v>510</v>
      </c>
      <c r="D12896" s="51">
        <v>11</v>
      </c>
      <c r="E12896" s="51">
        <f t="shared" si="201"/>
        <v>1</v>
      </c>
    </row>
    <row r="12897" spans="1:5">
      <c r="A12897" s="59">
        <v>28</v>
      </c>
      <c r="B12897" s="59">
        <v>81</v>
      </c>
      <c r="C12897" s="59">
        <v>830</v>
      </c>
      <c r="D12897" s="51">
        <v>11</v>
      </c>
      <c r="E12897" s="51">
        <f t="shared" si="201"/>
        <v>1</v>
      </c>
    </row>
    <row r="12898" spans="1:5">
      <c r="A12898" s="59">
        <v>28</v>
      </c>
      <c r="B12898" s="59">
        <v>81</v>
      </c>
      <c r="C12898" s="59">
        <v>840</v>
      </c>
      <c r="D12898" s="51">
        <v>11</v>
      </c>
      <c r="E12898" s="51">
        <f t="shared" si="201"/>
        <v>1</v>
      </c>
    </row>
    <row r="12899" spans="1:5">
      <c r="A12899" s="59">
        <v>28</v>
      </c>
      <c r="B12899" s="59">
        <v>81</v>
      </c>
      <c r="C12899" s="59">
        <v>940</v>
      </c>
      <c r="D12899" s="51">
        <v>11</v>
      </c>
      <c r="E12899" s="51">
        <f t="shared" si="201"/>
        <v>1</v>
      </c>
    </row>
    <row r="12900" spans="1:5">
      <c r="A12900" s="59">
        <v>28</v>
      </c>
      <c r="B12900" s="59">
        <v>22</v>
      </c>
      <c r="C12900" s="59">
        <v>130</v>
      </c>
      <c r="D12900" s="51">
        <v>10</v>
      </c>
      <c r="E12900" s="51">
        <f t="shared" si="201"/>
        <v>1</v>
      </c>
    </row>
    <row r="12901" spans="1:5">
      <c r="A12901" s="59">
        <v>28</v>
      </c>
      <c r="B12901" s="59">
        <v>22</v>
      </c>
      <c r="C12901" s="59">
        <v>540</v>
      </c>
      <c r="D12901" s="51">
        <v>10</v>
      </c>
      <c r="E12901" s="51">
        <f t="shared" si="201"/>
        <v>1</v>
      </c>
    </row>
    <row r="12902" spans="1:5">
      <c r="A12902" s="59">
        <v>28</v>
      </c>
      <c r="B12902" s="59">
        <v>22</v>
      </c>
      <c r="C12902" s="59">
        <v>970</v>
      </c>
      <c r="D12902" s="51">
        <v>10</v>
      </c>
      <c r="E12902" s="51">
        <f t="shared" si="201"/>
        <v>1</v>
      </c>
    </row>
    <row r="12903" spans="1:5">
      <c r="A12903" s="59">
        <v>28</v>
      </c>
      <c r="B12903" s="59">
        <v>32</v>
      </c>
      <c r="C12903" s="59">
        <v>730</v>
      </c>
      <c r="D12903" s="51">
        <v>10</v>
      </c>
      <c r="E12903" s="51">
        <f t="shared" si="201"/>
        <v>1</v>
      </c>
    </row>
    <row r="12904" spans="1:5">
      <c r="A12904" s="59">
        <v>28</v>
      </c>
      <c r="B12904" s="59">
        <v>33</v>
      </c>
      <c r="C12904" s="59">
        <v>440</v>
      </c>
      <c r="D12904" s="51">
        <v>10</v>
      </c>
      <c r="E12904" s="51">
        <f t="shared" si="201"/>
        <v>1</v>
      </c>
    </row>
    <row r="12905" spans="1:5">
      <c r="A12905" s="59">
        <v>28</v>
      </c>
      <c r="B12905" s="59">
        <v>33</v>
      </c>
      <c r="C12905" s="59">
        <v>620</v>
      </c>
      <c r="D12905" s="51">
        <v>10</v>
      </c>
      <c r="E12905" s="51">
        <f t="shared" si="201"/>
        <v>1</v>
      </c>
    </row>
    <row r="12906" spans="1:5">
      <c r="A12906" s="59">
        <v>28</v>
      </c>
      <c r="B12906" s="59">
        <v>42</v>
      </c>
      <c r="C12906" s="59">
        <v>730</v>
      </c>
      <c r="D12906" s="51">
        <v>10</v>
      </c>
      <c r="E12906" s="51">
        <f t="shared" si="201"/>
        <v>1</v>
      </c>
    </row>
    <row r="12907" spans="1:5">
      <c r="A12907" s="59">
        <v>28</v>
      </c>
      <c r="B12907" s="59">
        <v>44</v>
      </c>
      <c r="C12907" s="59">
        <v>840</v>
      </c>
      <c r="D12907" s="51">
        <v>10</v>
      </c>
      <c r="E12907" s="51">
        <f t="shared" si="201"/>
        <v>1</v>
      </c>
    </row>
    <row r="12908" spans="1:5">
      <c r="A12908" s="59">
        <v>28</v>
      </c>
      <c r="B12908" s="59">
        <v>81</v>
      </c>
      <c r="C12908" s="59">
        <v>710</v>
      </c>
      <c r="D12908" s="51">
        <v>10</v>
      </c>
      <c r="E12908" s="51">
        <f t="shared" si="201"/>
        <v>1</v>
      </c>
    </row>
    <row r="12909" spans="1:5">
      <c r="A12909" s="59">
        <v>28</v>
      </c>
      <c r="B12909" s="59">
        <v>12</v>
      </c>
      <c r="C12909" s="59">
        <v>160</v>
      </c>
      <c r="D12909" s="51">
        <v>9</v>
      </c>
      <c r="E12909" s="51">
        <f t="shared" si="201"/>
        <v>1</v>
      </c>
    </row>
    <row r="12910" spans="1:5">
      <c r="A12910" s="59">
        <v>28</v>
      </c>
      <c r="B12910" s="59">
        <v>12</v>
      </c>
      <c r="C12910" s="59">
        <v>950</v>
      </c>
      <c r="D12910" s="51">
        <v>9</v>
      </c>
      <c r="E12910" s="51">
        <f t="shared" si="201"/>
        <v>1</v>
      </c>
    </row>
    <row r="12911" spans="1:5">
      <c r="A12911" s="59">
        <v>28</v>
      </c>
      <c r="B12911" s="59">
        <v>16</v>
      </c>
      <c r="C12911" s="59">
        <v>840</v>
      </c>
      <c r="D12911" s="51">
        <v>9</v>
      </c>
      <c r="E12911" s="51">
        <f t="shared" si="201"/>
        <v>1</v>
      </c>
    </row>
    <row r="12912" spans="1:5">
      <c r="A12912" s="59">
        <v>28</v>
      </c>
      <c r="B12912" s="59">
        <v>22</v>
      </c>
      <c r="C12912" s="59">
        <v>610</v>
      </c>
      <c r="D12912" s="51">
        <v>9</v>
      </c>
      <c r="E12912" s="51">
        <f t="shared" si="201"/>
        <v>1</v>
      </c>
    </row>
    <row r="12913" spans="1:5">
      <c r="A12913" s="59">
        <v>28</v>
      </c>
      <c r="B12913" s="59">
        <v>22</v>
      </c>
      <c r="C12913" s="59">
        <v>620</v>
      </c>
      <c r="D12913" s="51">
        <v>9</v>
      </c>
      <c r="E12913" s="51">
        <f t="shared" si="201"/>
        <v>1</v>
      </c>
    </row>
    <row r="12914" spans="1:5">
      <c r="A12914" s="59">
        <v>28</v>
      </c>
      <c r="B12914" s="59">
        <v>22</v>
      </c>
      <c r="C12914" s="59">
        <v>960</v>
      </c>
      <c r="D12914" s="51">
        <v>9</v>
      </c>
      <c r="E12914" s="51">
        <f t="shared" si="201"/>
        <v>1</v>
      </c>
    </row>
    <row r="12915" spans="1:5">
      <c r="A12915" s="59">
        <v>28</v>
      </c>
      <c r="B12915" s="59">
        <v>24</v>
      </c>
      <c r="C12915" s="59">
        <v>430</v>
      </c>
      <c r="D12915" s="51">
        <v>9</v>
      </c>
      <c r="E12915" s="51">
        <f t="shared" si="201"/>
        <v>1</v>
      </c>
    </row>
    <row r="12916" spans="1:5">
      <c r="A12916" s="59">
        <v>28</v>
      </c>
      <c r="B12916" s="59">
        <v>31</v>
      </c>
      <c r="C12916" s="59">
        <v>920</v>
      </c>
      <c r="D12916" s="51">
        <v>9</v>
      </c>
      <c r="E12916" s="51">
        <f t="shared" si="201"/>
        <v>1</v>
      </c>
    </row>
    <row r="12917" spans="1:5">
      <c r="A12917" s="59">
        <v>28</v>
      </c>
      <c r="B12917" s="59">
        <v>33</v>
      </c>
      <c r="C12917" s="59">
        <v>540</v>
      </c>
      <c r="D12917" s="51">
        <v>9</v>
      </c>
      <c r="E12917" s="51">
        <f t="shared" si="201"/>
        <v>1</v>
      </c>
    </row>
    <row r="12918" spans="1:5">
      <c r="A12918" s="59">
        <v>28</v>
      </c>
      <c r="B12918" s="59">
        <v>51</v>
      </c>
      <c r="C12918" s="59">
        <v>210</v>
      </c>
      <c r="D12918" s="51">
        <v>9</v>
      </c>
      <c r="E12918" s="51">
        <f t="shared" si="201"/>
        <v>1</v>
      </c>
    </row>
    <row r="12919" spans="1:5">
      <c r="A12919" s="59">
        <v>28</v>
      </c>
      <c r="B12919" s="59">
        <v>62</v>
      </c>
      <c r="C12919" s="59">
        <v>120</v>
      </c>
      <c r="D12919" s="51">
        <v>9</v>
      </c>
      <c r="E12919" s="51">
        <f t="shared" si="201"/>
        <v>1</v>
      </c>
    </row>
    <row r="12920" spans="1:5">
      <c r="A12920" s="59">
        <v>28</v>
      </c>
      <c r="B12920" s="59">
        <v>71</v>
      </c>
      <c r="C12920" s="59">
        <v>320</v>
      </c>
      <c r="D12920" s="51">
        <v>9</v>
      </c>
      <c r="E12920" s="51">
        <f t="shared" si="201"/>
        <v>1</v>
      </c>
    </row>
    <row r="12921" spans="1:5">
      <c r="A12921" s="59">
        <v>28</v>
      </c>
      <c r="B12921" s="59">
        <v>15</v>
      </c>
      <c r="C12921" s="59">
        <v>550</v>
      </c>
      <c r="D12921" s="51">
        <v>8</v>
      </c>
      <c r="E12921" s="51">
        <f t="shared" si="201"/>
        <v>1</v>
      </c>
    </row>
    <row r="12922" spans="1:5">
      <c r="A12922" s="59">
        <v>28</v>
      </c>
      <c r="B12922" s="59">
        <v>21</v>
      </c>
      <c r="C12922" s="59">
        <v>310</v>
      </c>
      <c r="D12922" s="51">
        <v>8</v>
      </c>
      <c r="E12922" s="51">
        <f t="shared" si="201"/>
        <v>1</v>
      </c>
    </row>
    <row r="12923" spans="1:5">
      <c r="A12923" s="59">
        <v>28</v>
      </c>
      <c r="B12923" s="59">
        <v>24</v>
      </c>
      <c r="C12923" s="59">
        <v>910</v>
      </c>
      <c r="D12923" s="51">
        <v>8</v>
      </c>
      <c r="E12923" s="51">
        <f t="shared" si="201"/>
        <v>1</v>
      </c>
    </row>
    <row r="12924" spans="1:5">
      <c r="A12924" s="59">
        <v>28</v>
      </c>
      <c r="B12924" s="59">
        <v>24</v>
      </c>
      <c r="C12924" s="59">
        <v>950</v>
      </c>
      <c r="D12924" s="51">
        <v>8</v>
      </c>
      <c r="E12924" s="51">
        <f t="shared" si="201"/>
        <v>1</v>
      </c>
    </row>
    <row r="12925" spans="1:5">
      <c r="A12925" s="59">
        <v>28</v>
      </c>
      <c r="B12925" s="59">
        <v>32</v>
      </c>
      <c r="C12925" s="59">
        <v>890</v>
      </c>
      <c r="D12925" s="51">
        <v>8</v>
      </c>
      <c r="E12925" s="51">
        <f t="shared" si="201"/>
        <v>1</v>
      </c>
    </row>
    <row r="12926" spans="1:5">
      <c r="A12926" s="59">
        <v>28</v>
      </c>
      <c r="B12926" s="59">
        <v>32</v>
      </c>
      <c r="C12926" s="59">
        <v>940</v>
      </c>
      <c r="D12926" s="51">
        <v>8</v>
      </c>
      <c r="E12926" s="51">
        <f t="shared" si="201"/>
        <v>1</v>
      </c>
    </row>
    <row r="12927" spans="1:5">
      <c r="A12927" s="59">
        <v>28</v>
      </c>
      <c r="B12927" s="59">
        <v>41</v>
      </c>
      <c r="C12927" s="59">
        <v>220</v>
      </c>
      <c r="D12927" s="51">
        <v>8</v>
      </c>
      <c r="E12927" s="51">
        <f t="shared" si="201"/>
        <v>1</v>
      </c>
    </row>
    <row r="12928" spans="1:5">
      <c r="A12928" s="59">
        <v>28</v>
      </c>
      <c r="B12928" s="59">
        <v>61</v>
      </c>
      <c r="C12928" s="59">
        <v>750</v>
      </c>
      <c r="D12928" s="51">
        <v>8</v>
      </c>
      <c r="E12928" s="51">
        <f t="shared" si="201"/>
        <v>1</v>
      </c>
    </row>
    <row r="12929" spans="1:5">
      <c r="A12929" s="59">
        <v>28</v>
      </c>
      <c r="B12929" s="59">
        <v>62</v>
      </c>
      <c r="C12929" s="59">
        <v>140</v>
      </c>
      <c r="D12929" s="51">
        <v>8</v>
      </c>
      <c r="E12929" s="51">
        <f t="shared" si="201"/>
        <v>1</v>
      </c>
    </row>
    <row r="12930" spans="1:5">
      <c r="A12930" s="59">
        <v>28</v>
      </c>
      <c r="B12930" s="59">
        <v>63</v>
      </c>
      <c r="C12930" s="59">
        <v>840</v>
      </c>
      <c r="D12930" s="51">
        <v>8</v>
      </c>
      <c r="E12930" s="51">
        <f t="shared" ref="E12930:E12993" si="202">IF(OR(A12930=6,A12930=7,A12930=14,A12930=15,A12930=16,A12930=17,A12930=18,A12930=19,A12930=20,A12930=21,A12930=22,A12930=23,A12930=25,A12930=26,A12930=27,A12930=28,B12930=41,B12930=44,B12930=62),1,0)</f>
        <v>1</v>
      </c>
    </row>
    <row r="12931" spans="1:5">
      <c r="A12931" s="59">
        <v>28</v>
      </c>
      <c r="B12931" s="59">
        <v>11</v>
      </c>
      <c r="C12931" s="59">
        <v>940</v>
      </c>
      <c r="D12931" s="51">
        <v>7</v>
      </c>
      <c r="E12931" s="51">
        <f t="shared" si="202"/>
        <v>1</v>
      </c>
    </row>
    <row r="12932" spans="1:5">
      <c r="A12932" s="59">
        <v>28</v>
      </c>
      <c r="B12932" s="59">
        <v>15</v>
      </c>
      <c r="C12932" s="59">
        <v>610</v>
      </c>
      <c r="D12932" s="51">
        <v>7</v>
      </c>
      <c r="E12932" s="51">
        <f t="shared" si="202"/>
        <v>1</v>
      </c>
    </row>
    <row r="12933" spans="1:5">
      <c r="A12933" s="59">
        <v>28</v>
      </c>
      <c r="B12933" s="59">
        <v>16</v>
      </c>
      <c r="C12933" s="59">
        <v>120</v>
      </c>
      <c r="D12933" s="51">
        <v>7</v>
      </c>
      <c r="E12933" s="51">
        <f t="shared" si="202"/>
        <v>1</v>
      </c>
    </row>
    <row r="12934" spans="1:5">
      <c r="A12934" s="59">
        <v>28</v>
      </c>
      <c r="B12934" s="59">
        <v>16</v>
      </c>
      <c r="C12934" s="59">
        <v>550</v>
      </c>
      <c r="D12934" s="51">
        <v>7</v>
      </c>
      <c r="E12934" s="51">
        <f t="shared" si="202"/>
        <v>1</v>
      </c>
    </row>
    <row r="12935" spans="1:5">
      <c r="A12935" s="59">
        <v>28</v>
      </c>
      <c r="B12935" s="59">
        <v>16</v>
      </c>
      <c r="C12935" s="59">
        <v>890</v>
      </c>
      <c r="D12935" s="51">
        <v>7</v>
      </c>
      <c r="E12935" s="51">
        <f t="shared" si="202"/>
        <v>1</v>
      </c>
    </row>
    <row r="12936" spans="1:5">
      <c r="A12936" s="59">
        <v>28</v>
      </c>
      <c r="B12936" s="59">
        <v>23</v>
      </c>
      <c r="C12936" s="59">
        <v>140</v>
      </c>
      <c r="D12936" s="51">
        <v>7</v>
      </c>
      <c r="E12936" s="51">
        <f t="shared" si="202"/>
        <v>1</v>
      </c>
    </row>
    <row r="12937" spans="1:5">
      <c r="A12937" s="59">
        <v>28</v>
      </c>
      <c r="B12937" s="59">
        <v>31</v>
      </c>
      <c r="C12937" s="59">
        <v>510</v>
      </c>
      <c r="D12937" s="51">
        <v>7</v>
      </c>
      <c r="E12937" s="51">
        <f t="shared" si="202"/>
        <v>1</v>
      </c>
    </row>
    <row r="12938" spans="1:5">
      <c r="A12938" s="59">
        <v>28</v>
      </c>
      <c r="B12938" s="59">
        <v>31</v>
      </c>
      <c r="C12938" s="59">
        <v>620</v>
      </c>
      <c r="D12938" s="51">
        <v>7</v>
      </c>
      <c r="E12938" s="51">
        <f t="shared" si="202"/>
        <v>1</v>
      </c>
    </row>
    <row r="12939" spans="1:5">
      <c r="A12939" s="59">
        <v>28</v>
      </c>
      <c r="B12939" s="59">
        <v>32</v>
      </c>
      <c r="C12939" s="59">
        <v>520</v>
      </c>
      <c r="D12939" s="51">
        <v>7</v>
      </c>
      <c r="E12939" s="51">
        <f t="shared" si="202"/>
        <v>1</v>
      </c>
    </row>
    <row r="12940" spans="1:5">
      <c r="A12940" s="59">
        <v>28</v>
      </c>
      <c r="B12940" s="59">
        <v>32</v>
      </c>
      <c r="C12940" s="59">
        <v>896</v>
      </c>
      <c r="D12940" s="51">
        <v>7</v>
      </c>
      <c r="E12940" s="51">
        <f t="shared" si="202"/>
        <v>1</v>
      </c>
    </row>
    <row r="12941" spans="1:5">
      <c r="A12941" s="59">
        <v>28</v>
      </c>
      <c r="B12941" s="59">
        <v>41</v>
      </c>
      <c r="C12941" s="59">
        <v>120</v>
      </c>
      <c r="D12941" s="51">
        <v>7</v>
      </c>
      <c r="E12941" s="51">
        <f t="shared" si="202"/>
        <v>1</v>
      </c>
    </row>
    <row r="12942" spans="1:5">
      <c r="A12942" s="59">
        <v>28</v>
      </c>
      <c r="B12942" s="59">
        <v>51</v>
      </c>
      <c r="C12942" s="59">
        <v>240</v>
      </c>
      <c r="D12942" s="51">
        <v>7</v>
      </c>
      <c r="E12942" s="51">
        <f t="shared" si="202"/>
        <v>1</v>
      </c>
    </row>
    <row r="12943" spans="1:5">
      <c r="A12943" s="59">
        <v>28</v>
      </c>
      <c r="B12943" s="59">
        <v>51</v>
      </c>
      <c r="C12943" s="59">
        <v>310</v>
      </c>
      <c r="D12943" s="51">
        <v>7</v>
      </c>
      <c r="E12943" s="51">
        <f t="shared" si="202"/>
        <v>1</v>
      </c>
    </row>
    <row r="12944" spans="1:5">
      <c r="A12944" s="59">
        <v>28</v>
      </c>
      <c r="B12944" s="59">
        <v>63</v>
      </c>
      <c r="C12944" s="59">
        <v>892</v>
      </c>
      <c r="D12944" s="51">
        <v>7</v>
      </c>
      <c r="E12944" s="51">
        <f t="shared" si="202"/>
        <v>1</v>
      </c>
    </row>
    <row r="12945" spans="1:5">
      <c r="A12945" s="59">
        <v>28</v>
      </c>
      <c r="B12945" s="59">
        <v>11</v>
      </c>
      <c r="C12945" s="59">
        <v>530</v>
      </c>
      <c r="D12945" s="51">
        <v>6</v>
      </c>
      <c r="E12945" s="51">
        <f t="shared" si="202"/>
        <v>1</v>
      </c>
    </row>
    <row r="12946" spans="1:5">
      <c r="A12946" s="59">
        <v>28</v>
      </c>
      <c r="B12946" s="59">
        <v>11</v>
      </c>
      <c r="C12946" s="59">
        <v>720</v>
      </c>
      <c r="D12946" s="51">
        <v>6</v>
      </c>
      <c r="E12946" s="51">
        <f t="shared" si="202"/>
        <v>1</v>
      </c>
    </row>
    <row r="12947" spans="1:5">
      <c r="A12947" s="59">
        <v>28</v>
      </c>
      <c r="B12947" s="59">
        <v>14</v>
      </c>
      <c r="C12947" s="59">
        <v>440</v>
      </c>
      <c r="D12947" s="51">
        <v>6</v>
      </c>
      <c r="E12947" s="51">
        <f t="shared" si="202"/>
        <v>1</v>
      </c>
    </row>
    <row r="12948" spans="1:5">
      <c r="A12948" s="59">
        <v>28</v>
      </c>
      <c r="B12948" s="59">
        <v>15</v>
      </c>
      <c r="C12948" s="59">
        <v>220</v>
      </c>
      <c r="D12948" s="51">
        <v>6</v>
      </c>
      <c r="E12948" s="51">
        <f t="shared" si="202"/>
        <v>1</v>
      </c>
    </row>
    <row r="12949" spans="1:5">
      <c r="A12949" s="59">
        <v>28</v>
      </c>
      <c r="B12949" s="59">
        <v>15</v>
      </c>
      <c r="C12949" s="59">
        <v>970</v>
      </c>
      <c r="D12949" s="51">
        <v>6</v>
      </c>
      <c r="E12949" s="51">
        <f t="shared" si="202"/>
        <v>1</v>
      </c>
    </row>
    <row r="12950" spans="1:5">
      <c r="A12950" s="59">
        <v>28</v>
      </c>
      <c r="B12950" s="59">
        <v>16</v>
      </c>
      <c r="C12950" s="59">
        <v>610</v>
      </c>
      <c r="D12950" s="51">
        <v>6</v>
      </c>
      <c r="E12950" s="51">
        <f t="shared" si="202"/>
        <v>1</v>
      </c>
    </row>
    <row r="12951" spans="1:5">
      <c r="A12951" s="59">
        <v>28</v>
      </c>
      <c r="B12951" s="59">
        <v>21</v>
      </c>
      <c r="C12951" s="59">
        <v>140</v>
      </c>
      <c r="D12951" s="51">
        <v>6</v>
      </c>
      <c r="E12951" s="51">
        <f t="shared" si="202"/>
        <v>1</v>
      </c>
    </row>
    <row r="12952" spans="1:5">
      <c r="A12952" s="59">
        <v>28</v>
      </c>
      <c r="B12952" s="59">
        <v>21</v>
      </c>
      <c r="C12952" s="59">
        <v>890</v>
      </c>
      <c r="D12952" s="51">
        <v>6</v>
      </c>
      <c r="E12952" s="51">
        <f t="shared" si="202"/>
        <v>1</v>
      </c>
    </row>
    <row r="12953" spans="1:5">
      <c r="A12953" s="59">
        <v>28</v>
      </c>
      <c r="B12953" s="59">
        <v>23</v>
      </c>
      <c r="C12953" s="59">
        <v>320</v>
      </c>
      <c r="D12953" s="51">
        <v>6</v>
      </c>
      <c r="E12953" s="51">
        <f t="shared" si="202"/>
        <v>1</v>
      </c>
    </row>
    <row r="12954" spans="1:5">
      <c r="A12954" s="59">
        <v>28</v>
      </c>
      <c r="B12954" s="59">
        <v>32</v>
      </c>
      <c r="C12954" s="59">
        <v>540</v>
      </c>
      <c r="D12954" s="51">
        <v>6</v>
      </c>
      <c r="E12954" s="51">
        <f t="shared" si="202"/>
        <v>1</v>
      </c>
    </row>
    <row r="12955" spans="1:5">
      <c r="A12955" s="59">
        <v>28</v>
      </c>
      <c r="B12955" s="59">
        <v>32</v>
      </c>
      <c r="C12955" s="59">
        <v>640</v>
      </c>
      <c r="D12955" s="51">
        <v>6</v>
      </c>
      <c r="E12955" s="51">
        <f t="shared" si="202"/>
        <v>1</v>
      </c>
    </row>
    <row r="12956" spans="1:5">
      <c r="A12956" s="59">
        <v>28</v>
      </c>
      <c r="B12956" s="59">
        <v>41</v>
      </c>
      <c r="C12956" s="59">
        <v>310</v>
      </c>
      <c r="D12956" s="51">
        <v>6</v>
      </c>
      <c r="E12956" s="51">
        <f t="shared" si="202"/>
        <v>1</v>
      </c>
    </row>
    <row r="12957" spans="1:5">
      <c r="A12957" s="59">
        <v>28</v>
      </c>
      <c r="B12957" s="59">
        <v>41</v>
      </c>
      <c r="C12957" s="59">
        <v>860</v>
      </c>
      <c r="D12957" s="51">
        <v>6</v>
      </c>
      <c r="E12957" s="51">
        <f t="shared" si="202"/>
        <v>1</v>
      </c>
    </row>
    <row r="12958" spans="1:5">
      <c r="A12958" s="59">
        <v>28</v>
      </c>
      <c r="B12958" s="59">
        <v>41</v>
      </c>
      <c r="C12958" s="59">
        <v>940</v>
      </c>
      <c r="D12958" s="51">
        <v>6</v>
      </c>
      <c r="E12958" s="51">
        <f t="shared" si="202"/>
        <v>1</v>
      </c>
    </row>
    <row r="12959" spans="1:5">
      <c r="A12959" s="59">
        <v>28</v>
      </c>
      <c r="B12959" s="59">
        <v>42</v>
      </c>
      <c r="C12959" s="59">
        <v>740</v>
      </c>
      <c r="D12959" s="51">
        <v>6</v>
      </c>
      <c r="E12959" s="51">
        <f t="shared" si="202"/>
        <v>1</v>
      </c>
    </row>
    <row r="12960" spans="1:5">
      <c r="A12960" s="59">
        <v>28</v>
      </c>
      <c r="B12960" s="59">
        <v>42</v>
      </c>
      <c r="C12960" s="59">
        <v>830</v>
      </c>
      <c r="D12960" s="51">
        <v>6</v>
      </c>
      <c r="E12960" s="51">
        <f t="shared" si="202"/>
        <v>1</v>
      </c>
    </row>
    <row r="12961" spans="1:5">
      <c r="A12961" s="59">
        <v>28</v>
      </c>
      <c r="B12961" s="59">
        <v>42</v>
      </c>
      <c r="C12961" s="59">
        <v>930</v>
      </c>
      <c r="D12961" s="51">
        <v>6</v>
      </c>
      <c r="E12961" s="51">
        <f t="shared" si="202"/>
        <v>1</v>
      </c>
    </row>
    <row r="12962" spans="1:5">
      <c r="A12962" s="59">
        <v>28</v>
      </c>
      <c r="B12962" s="59">
        <v>44</v>
      </c>
      <c r="C12962" s="59">
        <v>710</v>
      </c>
      <c r="D12962" s="51">
        <v>6</v>
      </c>
      <c r="E12962" s="51">
        <f t="shared" si="202"/>
        <v>1</v>
      </c>
    </row>
    <row r="12963" spans="1:5">
      <c r="A12963" s="59">
        <v>28</v>
      </c>
      <c r="B12963" s="59">
        <v>62</v>
      </c>
      <c r="C12963" s="59">
        <v>895</v>
      </c>
      <c r="D12963" s="51">
        <v>6</v>
      </c>
      <c r="E12963" s="51">
        <f t="shared" si="202"/>
        <v>1</v>
      </c>
    </row>
    <row r="12964" spans="1:5">
      <c r="A12964" s="59">
        <v>28</v>
      </c>
      <c r="B12964" s="59">
        <v>63</v>
      </c>
      <c r="C12964" s="59">
        <v>120</v>
      </c>
      <c r="D12964" s="51">
        <v>6</v>
      </c>
      <c r="E12964" s="51">
        <f t="shared" si="202"/>
        <v>1</v>
      </c>
    </row>
    <row r="12965" spans="1:5">
      <c r="A12965" s="59">
        <v>28</v>
      </c>
      <c r="B12965" s="59">
        <v>11</v>
      </c>
      <c r="C12965" s="59">
        <v>320</v>
      </c>
      <c r="D12965" s="51">
        <v>5</v>
      </c>
      <c r="E12965" s="51">
        <f t="shared" si="202"/>
        <v>1</v>
      </c>
    </row>
    <row r="12966" spans="1:5">
      <c r="A12966" s="59">
        <v>28</v>
      </c>
      <c r="B12966" s="59">
        <v>11</v>
      </c>
      <c r="C12966" s="59">
        <v>410</v>
      </c>
      <c r="D12966" s="51">
        <v>5</v>
      </c>
      <c r="E12966" s="51">
        <f t="shared" si="202"/>
        <v>1</v>
      </c>
    </row>
    <row r="12967" spans="1:5">
      <c r="A12967" s="59">
        <v>28</v>
      </c>
      <c r="B12967" s="59">
        <v>12</v>
      </c>
      <c r="C12967" s="59">
        <v>140</v>
      </c>
      <c r="D12967" s="51">
        <v>5</v>
      </c>
      <c r="E12967" s="51">
        <f t="shared" si="202"/>
        <v>1</v>
      </c>
    </row>
    <row r="12968" spans="1:5">
      <c r="A12968" s="59">
        <v>28</v>
      </c>
      <c r="B12968" s="59">
        <v>13</v>
      </c>
      <c r="C12968" s="59">
        <v>840</v>
      </c>
      <c r="D12968" s="51">
        <v>5</v>
      </c>
      <c r="E12968" s="51">
        <f t="shared" si="202"/>
        <v>1</v>
      </c>
    </row>
    <row r="12969" spans="1:5">
      <c r="A12969" s="59">
        <v>28</v>
      </c>
      <c r="B12969" s="59">
        <v>15</v>
      </c>
      <c r="C12969" s="59">
        <v>420</v>
      </c>
      <c r="D12969" s="51">
        <v>5</v>
      </c>
      <c r="E12969" s="51">
        <f t="shared" si="202"/>
        <v>1</v>
      </c>
    </row>
    <row r="12970" spans="1:5">
      <c r="A12970" s="59">
        <v>28</v>
      </c>
      <c r="B12970" s="59">
        <v>15</v>
      </c>
      <c r="C12970" s="59">
        <v>620</v>
      </c>
      <c r="D12970" s="51">
        <v>5</v>
      </c>
      <c r="E12970" s="51">
        <f t="shared" si="202"/>
        <v>1</v>
      </c>
    </row>
    <row r="12971" spans="1:5">
      <c r="A12971" s="59">
        <v>28</v>
      </c>
      <c r="B12971" s="59">
        <v>16</v>
      </c>
      <c r="C12971" s="59">
        <v>630</v>
      </c>
      <c r="D12971" s="51">
        <v>5</v>
      </c>
      <c r="E12971" s="51">
        <f t="shared" si="202"/>
        <v>1</v>
      </c>
    </row>
    <row r="12972" spans="1:5">
      <c r="A12972" s="59">
        <v>28</v>
      </c>
      <c r="B12972" s="59">
        <v>21</v>
      </c>
      <c r="C12972" s="59">
        <v>110</v>
      </c>
      <c r="D12972" s="51">
        <v>5</v>
      </c>
      <c r="E12972" s="51">
        <f t="shared" si="202"/>
        <v>1</v>
      </c>
    </row>
    <row r="12973" spans="1:5">
      <c r="A12973" s="59">
        <v>28</v>
      </c>
      <c r="B12973" s="59">
        <v>22</v>
      </c>
      <c r="C12973" s="59">
        <v>720</v>
      </c>
      <c r="D12973" s="51">
        <v>5</v>
      </c>
      <c r="E12973" s="51">
        <f t="shared" si="202"/>
        <v>1</v>
      </c>
    </row>
    <row r="12974" spans="1:5">
      <c r="A12974" s="59">
        <v>28</v>
      </c>
      <c r="B12974" s="59">
        <v>22</v>
      </c>
      <c r="C12974" s="59">
        <v>896</v>
      </c>
      <c r="D12974" s="51">
        <v>5</v>
      </c>
      <c r="E12974" s="51">
        <f t="shared" si="202"/>
        <v>1</v>
      </c>
    </row>
    <row r="12975" spans="1:5">
      <c r="A12975" s="59">
        <v>28</v>
      </c>
      <c r="B12975" s="59">
        <v>23</v>
      </c>
      <c r="C12975" s="59">
        <v>330</v>
      </c>
      <c r="D12975" s="51">
        <v>5</v>
      </c>
      <c r="E12975" s="51">
        <f t="shared" si="202"/>
        <v>1</v>
      </c>
    </row>
    <row r="12976" spans="1:5">
      <c r="A12976" s="59">
        <v>28</v>
      </c>
      <c r="B12976" s="59">
        <v>23</v>
      </c>
      <c r="C12976" s="59">
        <v>930</v>
      </c>
      <c r="D12976" s="51">
        <v>5</v>
      </c>
      <c r="E12976" s="51">
        <f t="shared" si="202"/>
        <v>1</v>
      </c>
    </row>
    <row r="12977" spans="1:5">
      <c r="A12977" s="59">
        <v>28</v>
      </c>
      <c r="B12977" s="59">
        <v>24</v>
      </c>
      <c r="C12977" s="59">
        <v>160</v>
      </c>
      <c r="D12977" s="51">
        <v>5</v>
      </c>
      <c r="E12977" s="51">
        <f t="shared" si="202"/>
        <v>1</v>
      </c>
    </row>
    <row r="12978" spans="1:5">
      <c r="A12978" s="59">
        <v>28</v>
      </c>
      <c r="B12978" s="59">
        <v>24</v>
      </c>
      <c r="C12978" s="59">
        <v>240</v>
      </c>
      <c r="D12978" s="51">
        <v>5</v>
      </c>
      <c r="E12978" s="51">
        <f t="shared" si="202"/>
        <v>1</v>
      </c>
    </row>
    <row r="12979" spans="1:5">
      <c r="A12979" s="59">
        <v>28</v>
      </c>
      <c r="B12979" s="59">
        <v>24</v>
      </c>
      <c r="C12979" s="59">
        <v>960</v>
      </c>
      <c r="D12979" s="51">
        <v>5</v>
      </c>
      <c r="E12979" s="51">
        <f t="shared" si="202"/>
        <v>1</v>
      </c>
    </row>
    <row r="12980" spans="1:5">
      <c r="A12980" s="59">
        <v>28</v>
      </c>
      <c r="B12980" s="59">
        <v>31</v>
      </c>
      <c r="C12980" s="59">
        <v>930</v>
      </c>
      <c r="D12980" s="51">
        <v>5</v>
      </c>
      <c r="E12980" s="51">
        <f t="shared" si="202"/>
        <v>1</v>
      </c>
    </row>
    <row r="12981" spans="1:5">
      <c r="A12981" s="59">
        <v>28</v>
      </c>
      <c r="B12981" s="59">
        <v>32</v>
      </c>
      <c r="C12981" s="59">
        <v>820</v>
      </c>
      <c r="D12981" s="51">
        <v>5</v>
      </c>
      <c r="E12981" s="51">
        <f t="shared" si="202"/>
        <v>1</v>
      </c>
    </row>
    <row r="12982" spans="1:5">
      <c r="A12982" s="59">
        <v>28</v>
      </c>
      <c r="B12982" s="59">
        <v>33</v>
      </c>
      <c r="C12982" s="59">
        <v>550</v>
      </c>
      <c r="D12982" s="51">
        <v>5</v>
      </c>
      <c r="E12982" s="51">
        <f t="shared" si="202"/>
        <v>1</v>
      </c>
    </row>
    <row r="12983" spans="1:5">
      <c r="A12983" s="59">
        <v>28</v>
      </c>
      <c r="B12983" s="59">
        <v>33</v>
      </c>
      <c r="C12983" s="59">
        <v>730</v>
      </c>
      <c r="D12983" s="51">
        <v>5</v>
      </c>
      <c r="E12983" s="51">
        <f t="shared" si="202"/>
        <v>1</v>
      </c>
    </row>
    <row r="12984" spans="1:5">
      <c r="A12984" s="59">
        <v>28</v>
      </c>
      <c r="B12984" s="59">
        <v>41</v>
      </c>
      <c r="C12984" s="59">
        <v>320</v>
      </c>
      <c r="D12984" s="51">
        <v>5</v>
      </c>
      <c r="E12984" s="51">
        <f t="shared" si="202"/>
        <v>1</v>
      </c>
    </row>
    <row r="12985" spans="1:5">
      <c r="A12985" s="59">
        <v>28</v>
      </c>
      <c r="B12985" s="59">
        <v>41</v>
      </c>
      <c r="C12985" s="59">
        <v>831</v>
      </c>
      <c r="D12985" s="51">
        <v>5</v>
      </c>
      <c r="E12985" s="51">
        <f t="shared" si="202"/>
        <v>1</v>
      </c>
    </row>
    <row r="12986" spans="1:5">
      <c r="A12986" s="59">
        <v>28</v>
      </c>
      <c r="B12986" s="59">
        <v>51</v>
      </c>
      <c r="C12986" s="59">
        <v>230</v>
      </c>
      <c r="D12986" s="51">
        <v>5</v>
      </c>
      <c r="E12986" s="51">
        <f t="shared" si="202"/>
        <v>1</v>
      </c>
    </row>
    <row r="12987" spans="1:5">
      <c r="A12987" s="59">
        <v>28</v>
      </c>
      <c r="B12987" s="59">
        <v>51</v>
      </c>
      <c r="C12987" s="59">
        <v>540</v>
      </c>
      <c r="D12987" s="51">
        <v>5</v>
      </c>
      <c r="E12987" s="51">
        <f t="shared" si="202"/>
        <v>1</v>
      </c>
    </row>
    <row r="12988" spans="1:5">
      <c r="A12988" s="59">
        <v>28</v>
      </c>
      <c r="B12988" s="59">
        <v>61</v>
      </c>
      <c r="C12988" s="59">
        <v>240</v>
      </c>
      <c r="D12988" s="51">
        <v>5</v>
      </c>
      <c r="E12988" s="51">
        <f t="shared" si="202"/>
        <v>1</v>
      </c>
    </row>
    <row r="12989" spans="1:5">
      <c r="A12989" s="59">
        <v>28</v>
      </c>
      <c r="B12989" s="59">
        <v>61</v>
      </c>
      <c r="C12989" s="59">
        <v>510</v>
      </c>
      <c r="D12989" s="51">
        <v>5</v>
      </c>
      <c r="E12989" s="51">
        <f t="shared" si="202"/>
        <v>1</v>
      </c>
    </row>
    <row r="12990" spans="1:5">
      <c r="A12990" s="59">
        <v>28</v>
      </c>
      <c r="B12990" s="59">
        <v>62</v>
      </c>
      <c r="C12990" s="59">
        <v>830</v>
      </c>
      <c r="D12990" s="51">
        <v>5</v>
      </c>
      <c r="E12990" s="51">
        <f t="shared" si="202"/>
        <v>1</v>
      </c>
    </row>
    <row r="12991" spans="1:5">
      <c r="A12991" s="59">
        <v>28</v>
      </c>
      <c r="B12991" s="59">
        <v>62</v>
      </c>
      <c r="C12991" s="59">
        <v>840</v>
      </c>
      <c r="D12991" s="51">
        <v>5</v>
      </c>
      <c r="E12991" s="51">
        <f t="shared" si="202"/>
        <v>1</v>
      </c>
    </row>
    <row r="12992" spans="1:5">
      <c r="A12992" s="59">
        <v>28</v>
      </c>
      <c r="B12992" s="59">
        <v>11</v>
      </c>
      <c r="C12992" s="59">
        <v>310</v>
      </c>
      <c r="D12992" s="51">
        <v>4</v>
      </c>
      <c r="E12992" s="51">
        <f t="shared" si="202"/>
        <v>1</v>
      </c>
    </row>
    <row r="12993" spans="1:5">
      <c r="A12993" s="59">
        <v>28</v>
      </c>
      <c r="B12993" s="59">
        <v>14</v>
      </c>
      <c r="C12993" s="59">
        <v>630</v>
      </c>
      <c r="D12993" s="51">
        <v>4</v>
      </c>
      <c r="E12993" s="51">
        <f t="shared" si="202"/>
        <v>1</v>
      </c>
    </row>
    <row r="12994" spans="1:5">
      <c r="A12994" s="59">
        <v>28</v>
      </c>
      <c r="B12994" s="59">
        <v>15</v>
      </c>
      <c r="C12994" s="59">
        <v>730</v>
      </c>
      <c r="D12994" s="51">
        <v>4</v>
      </c>
      <c r="E12994" s="51">
        <f t="shared" ref="E12994:E13057" si="203">IF(OR(A12994=6,A12994=7,A12994=14,A12994=15,A12994=16,A12994=17,A12994=18,A12994=19,A12994=20,A12994=21,A12994=22,A12994=23,A12994=25,A12994=26,A12994=27,A12994=28,B12994=41,B12994=44,B12994=62),1,0)</f>
        <v>1</v>
      </c>
    </row>
    <row r="12995" spans="1:5">
      <c r="A12995" s="59">
        <v>28</v>
      </c>
      <c r="B12995" s="59">
        <v>21</v>
      </c>
      <c r="C12995" s="59">
        <v>320</v>
      </c>
      <c r="D12995" s="51">
        <v>4</v>
      </c>
      <c r="E12995" s="51">
        <f t="shared" si="203"/>
        <v>1</v>
      </c>
    </row>
    <row r="12996" spans="1:5">
      <c r="A12996" s="59">
        <v>28</v>
      </c>
      <c r="B12996" s="59">
        <v>23</v>
      </c>
      <c r="C12996" s="59">
        <v>220</v>
      </c>
      <c r="D12996" s="51">
        <v>4</v>
      </c>
      <c r="E12996" s="51">
        <f t="shared" si="203"/>
        <v>1</v>
      </c>
    </row>
    <row r="12997" spans="1:5">
      <c r="A12997" s="59">
        <v>28</v>
      </c>
      <c r="B12997" s="59">
        <v>24</v>
      </c>
      <c r="C12997" s="59">
        <v>890</v>
      </c>
      <c r="D12997" s="51">
        <v>4</v>
      </c>
      <c r="E12997" s="51">
        <f t="shared" si="203"/>
        <v>1</v>
      </c>
    </row>
    <row r="12998" spans="1:5">
      <c r="A12998" s="59">
        <v>28</v>
      </c>
      <c r="B12998" s="59">
        <v>24</v>
      </c>
      <c r="C12998" s="59">
        <v>920</v>
      </c>
      <c r="D12998" s="51">
        <v>4</v>
      </c>
      <c r="E12998" s="51">
        <f t="shared" si="203"/>
        <v>1</v>
      </c>
    </row>
    <row r="12999" spans="1:5">
      <c r="A12999" s="59">
        <v>28</v>
      </c>
      <c r="B12999" s="59">
        <v>31</v>
      </c>
      <c r="C12999" s="59">
        <v>240</v>
      </c>
      <c r="D12999" s="51">
        <v>4</v>
      </c>
      <c r="E12999" s="51">
        <f t="shared" si="203"/>
        <v>1</v>
      </c>
    </row>
    <row r="13000" spans="1:5">
      <c r="A13000" s="59">
        <v>28</v>
      </c>
      <c r="B13000" s="59">
        <v>31</v>
      </c>
      <c r="C13000" s="59">
        <v>970</v>
      </c>
      <c r="D13000" s="51">
        <v>4</v>
      </c>
      <c r="E13000" s="51">
        <f t="shared" si="203"/>
        <v>1</v>
      </c>
    </row>
    <row r="13001" spans="1:5">
      <c r="A13001" s="59">
        <v>28</v>
      </c>
      <c r="B13001" s="59">
        <v>32</v>
      </c>
      <c r="C13001" s="59">
        <v>120</v>
      </c>
      <c r="D13001" s="51">
        <v>4</v>
      </c>
      <c r="E13001" s="51">
        <f t="shared" si="203"/>
        <v>1</v>
      </c>
    </row>
    <row r="13002" spans="1:5">
      <c r="A13002" s="59">
        <v>28</v>
      </c>
      <c r="B13002" s="59">
        <v>42</v>
      </c>
      <c r="C13002" s="59">
        <v>750</v>
      </c>
      <c r="D13002" s="51">
        <v>4</v>
      </c>
      <c r="E13002" s="51">
        <f t="shared" si="203"/>
        <v>1</v>
      </c>
    </row>
    <row r="13003" spans="1:5">
      <c r="A13003" s="59">
        <v>28</v>
      </c>
      <c r="B13003" s="59">
        <v>43</v>
      </c>
      <c r="C13003" s="59">
        <v>870</v>
      </c>
      <c r="D13003" s="51">
        <v>4</v>
      </c>
      <c r="E13003" s="51">
        <f t="shared" si="203"/>
        <v>1</v>
      </c>
    </row>
    <row r="13004" spans="1:5">
      <c r="A13004" s="59">
        <v>28</v>
      </c>
      <c r="B13004" s="59">
        <v>44</v>
      </c>
      <c r="C13004" s="59">
        <v>120</v>
      </c>
      <c r="D13004" s="51">
        <v>4</v>
      </c>
      <c r="E13004" s="51">
        <f t="shared" si="203"/>
        <v>1</v>
      </c>
    </row>
    <row r="13005" spans="1:5">
      <c r="A13005" s="59">
        <v>28</v>
      </c>
      <c r="B13005" s="59">
        <v>44</v>
      </c>
      <c r="C13005" s="59">
        <v>740</v>
      </c>
      <c r="D13005" s="51">
        <v>4</v>
      </c>
      <c r="E13005" s="51">
        <f t="shared" si="203"/>
        <v>1</v>
      </c>
    </row>
    <row r="13006" spans="1:5">
      <c r="A13006" s="59">
        <v>28</v>
      </c>
      <c r="B13006" s="59">
        <v>51</v>
      </c>
      <c r="C13006" s="59">
        <v>120</v>
      </c>
      <c r="D13006" s="51">
        <v>4</v>
      </c>
      <c r="E13006" s="51">
        <f t="shared" si="203"/>
        <v>1</v>
      </c>
    </row>
    <row r="13007" spans="1:5">
      <c r="A13007" s="59">
        <v>28</v>
      </c>
      <c r="B13007" s="59">
        <v>61</v>
      </c>
      <c r="C13007" s="59">
        <v>110</v>
      </c>
      <c r="D13007" s="51">
        <v>4</v>
      </c>
      <c r="E13007" s="51">
        <f t="shared" si="203"/>
        <v>1</v>
      </c>
    </row>
    <row r="13008" spans="1:5">
      <c r="A13008" s="59">
        <v>28</v>
      </c>
      <c r="B13008" s="59">
        <v>61</v>
      </c>
      <c r="C13008" s="59">
        <v>160</v>
      </c>
      <c r="D13008" s="51">
        <v>4</v>
      </c>
      <c r="E13008" s="51">
        <f t="shared" si="203"/>
        <v>1</v>
      </c>
    </row>
    <row r="13009" spans="1:5">
      <c r="A13009" s="59">
        <v>28</v>
      </c>
      <c r="B13009" s="59">
        <v>71</v>
      </c>
      <c r="C13009" s="59">
        <v>830</v>
      </c>
      <c r="D13009" s="51">
        <v>4</v>
      </c>
      <c r="E13009" s="51">
        <f t="shared" si="203"/>
        <v>1</v>
      </c>
    </row>
    <row r="13010" spans="1:5">
      <c r="A13010" s="59">
        <v>28</v>
      </c>
      <c r="B13010" s="59">
        <v>11</v>
      </c>
      <c r="C13010" s="59">
        <v>130</v>
      </c>
      <c r="D13010" s="51">
        <v>3</v>
      </c>
      <c r="E13010" s="51">
        <f t="shared" si="203"/>
        <v>1</v>
      </c>
    </row>
    <row r="13011" spans="1:5">
      <c r="A13011" s="59">
        <v>28</v>
      </c>
      <c r="B13011" s="59">
        <v>12</v>
      </c>
      <c r="C13011" s="59">
        <v>510</v>
      </c>
      <c r="D13011" s="51">
        <v>3</v>
      </c>
      <c r="E13011" s="51">
        <f t="shared" si="203"/>
        <v>1</v>
      </c>
    </row>
    <row r="13012" spans="1:5">
      <c r="A13012" s="59">
        <v>28</v>
      </c>
      <c r="B13012" s="59">
        <v>13</v>
      </c>
      <c r="C13012" s="59">
        <v>890</v>
      </c>
      <c r="D13012" s="51">
        <v>3</v>
      </c>
      <c r="E13012" s="51">
        <f t="shared" si="203"/>
        <v>1</v>
      </c>
    </row>
    <row r="13013" spans="1:5">
      <c r="A13013" s="59">
        <v>28</v>
      </c>
      <c r="B13013" s="59">
        <v>16</v>
      </c>
      <c r="C13013" s="59">
        <v>620</v>
      </c>
      <c r="D13013" s="51">
        <v>3</v>
      </c>
      <c r="E13013" s="51">
        <f t="shared" si="203"/>
        <v>1</v>
      </c>
    </row>
    <row r="13014" spans="1:5">
      <c r="A13014" s="59">
        <v>28</v>
      </c>
      <c r="B13014" s="59">
        <v>21</v>
      </c>
      <c r="C13014" s="59">
        <v>430</v>
      </c>
      <c r="D13014" s="51">
        <v>3</v>
      </c>
      <c r="E13014" s="51">
        <f t="shared" si="203"/>
        <v>1</v>
      </c>
    </row>
    <row r="13015" spans="1:5">
      <c r="A13015" s="59">
        <v>28</v>
      </c>
      <c r="B13015" s="59">
        <v>21</v>
      </c>
      <c r="C13015" s="59">
        <v>990</v>
      </c>
      <c r="D13015" s="51">
        <v>3</v>
      </c>
      <c r="E13015" s="51">
        <f t="shared" si="203"/>
        <v>1</v>
      </c>
    </row>
    <row r="13016" spans="1:5">
      <c r="A13016" s="59">
        <v>28</v>
      </c>
      <c r="B13016" s="59">
        <v>24</v>
      </c>
      <c r="C13016" s="59">
        <v>970</v>
      </c>
      <c r="D13016" s="51">
        <v>3</v>
      </c>
      <c r="E13016" s="51">
        <f t="shared" si="203"/>
        <v>1</v>
      </c>
    </row>
    <row r="13017" spans="1:5">
      <c r="A13017" s="59">
        <v>28</v>
      </c>
      <c r="B13017" s="59">
        <v>31</v>
      </c>
      <c r="C13017" s="59">
        <v>210</v>
      </c>
      <c r="D13017" s="51">
        <v>3</v>
      </c>
      <c r="E13017" s="51">
        <f t="shared" si="203"/>
        <v>1</v>
      </c>
    </row>
    <row r="13018" spans="1:5">
      <c r="A13018" s="59">
        <v>28</v>
      </c>
      <c r="B13018" s="59">
        <v>33</v>
      </c>
      <c r="C13018" s="59">
        <v>640</v>
      </c>
      <c r="D13018" s="51">
        <v>3</v>
      </c>
      <c r="E13018" s="51">
        <f t="shared" si="203"/>
        <v>1</v>
      </c>
    </row>
    <row r="13019" spans="1:5">
      <c r="A13019" s="59">
        <v>28</v>
      </c>
      <c r="B13019" s="59">
        <v>33</v>
      </c>
      <c r="C13019" s="59">
        <v>720</v>
      </c>
      <c r="D13019" s="51">
        <v>3</v>
      </c>
      <c r="E13019" s="51">
        <f t="shared" si="203"/>
        <v>1</v>
      </c>
    </row>
    <row r="13020" spans="1:5">
      <c r="A13020" s="59">
        <v>28</v>
      </c>
      <c r="B13020" s="59">
        <v>33</v>
      </c>
      <c r="C13020" s="59">
        <v>896</v>
      </c>
      <c r="D13020" s="51">
        <v>3</v>
      </c>
      <c r="E13020" s="51">
        <f t="shared" si="203"/>
        <v>1</v>
      </c>
    </row>
    <row r="13021" spans="1:5">
      <c r="A13021" s="59">
        <v>28</v>
      </c>
      <c r="B13021" s="59">
        <v>42</v>
      </c>
      <c r="C13021" s="59">
        <v>120</v>
      </c>
      <c r="D13021" s="51">
        <v>3</v>
      </c>
      <c r="E13021" s="51">
        <f t="shared" si="203"/>
        <v>1</v>
      </c>
    </row>
    <row r="13022" spans="1:5">
      <c r="A13022" s="59">
        <v>28</v>
      </c>
      <c r="B13022" s="59">
        <v>51</v>
      </c>
      <c r="C13022" s="59">
        <v>520</v>
      </c>
      <c r="D13022" s="51">
        <v>3</v>
      </c>
      <c r="E13022" s="51">
        <f t="shared" si="203"/>
        <v>1</v>
      </c>
    </row>
    <row r="13023" spans="1:5">
      <c r="A13023" s="59">
        <v>28</v>
      </c>
      <c r="B13023" s="59">
        <v>51</v>
      </c>
      <c r="C13023" s="59">
        <v>550</v>
      </c>
      <c r="D13023" s="51">
        <v>3</v>
      </c>
      <c r="E13023" s="51">
        <f t="shared" si="203"/>
        <v>1</v>
      </c>
    </row>
    <row r="13024" spans="1:5">
      <c r="A13024" s="59">
        <v>28</v>
      </c>
      <c r="B13024" s="59">
        <v>51</v>
      </c>
      <c r="C13024" s="59">
        <v>930</v>
      </c>
      <c r="D13024" s="51">
        <v>3</v>
      </c>
      <c r="E13024" s="51">
        <f t="shared" si="203"/>
        <v>1</v>
      </c>
    </row>
    <row r="13025" spans="1:5">
      <c r="A13025" s="59">
        <v>28</v>
      </c>
      <c r="B13025" s="59">
        <v>51</v>
      </c>
      <c r="C13025" s="59">
        <v>950</v>
      </c>
      <c r="D13025" s="51">
        <v>3</v>
      </c>
      <c r="E13025" s="51">
        <f t="shared" si="203"/>
        <v>1</v>
      </c>
    </row>
    <row r="13026" spans="1:5">
      <c r="A13026" s="59">
        <v>28</v>
      </c>
      <c r="B13026" s="59">
        <v>61</v>
      </c>
      <c r="C13026" s="59">
        <v>410</v>
      </c>
      <c r="D13026" s="51">
        <v>3</v>
      </c>
      <c r="E13026" s="51">
        <f t="shared" si="203"/>
        <v>1</v>
      </c>
    </row>
    <row r="13027" spans="1:5">
      <c r="A13027" s="59">
        <v>28</v>
      </c>
      <c r="B13027" s="59">
        <v>61</v>
      </c>
      <c r="C13027" s="59">
        <v>610</v>
      </c>
      <c r="D13027" s="51">
        <v>3</v>
      </c>
      <c r="E13027" s="51">
        <f t="shared" si="203"/>
        <v>1</v>
      </c>
    </row>
    <row r="13028" spans="1:5">
      <c r="A13028" s="59">
        <v>28</v>
      </c>
      <c r="B13028" s="59">
        <v>61</v>
      </c>
      <c r="C13028" s="59">
        <v>640</v>
      </c>
      <c r="D13028" s="51">
        <v>3</v>
      </c>
      <c r="E13028" s="51">
        <f t="shared" si="203"/>
        <v>1</v>
      </c>
    </row>
    <row r="13029" spans="1:5">
      <c r="A13029" s="59">
        <v>28</v>
      </c>
      <c r="B13029" s="59">
        <v>61</v>
      </c>
      <c r="C13029" s="59">
        <v>910</v>
      </c>
      <c r="D13029" s="51">
        <v>3</v>
      </c>
      <c r="E13029" s="51">
        <f t="shared" si="203"/>
        <v>1</v>
      </c>
    </row>
    <row r="13030" spans="1:5">
      <c r="A13030" s="59">
        <v>28</v>
      </c>
      <c r="B13030" s="59">
        <v>61</v>
      </c>
      <c r="C13030" s="59">
        <v>920</v>
      </c>
      <c r="D13030" s="51">
        <v>3</v>
      </c>
      <c r="E13030" s="51">
        <f t="shared" si="203"/>
        <v>1</v>
      </c>
    </row>
    <row r="13031" spans="1:5">
      <c r="A13031" s="59">
        <v>28</v>
      </c>
      <c r="B13031" s="59">
        <v>81</v>
      </c>
      <c r="C13031" s="59">
        <v>740</v>
      </c>
      <c r="D13031" s="51">
        <v>3</v>
      </c>
      <c r="E13031" s="51">
        <f t="shared" si="203"/>
        <v>1</v>
      </c>
    </row>
    <row r="13032" spans="1:5">
      <c r="A13032" s="59">
        <v>28</v>
      </c>
      <c r="B13032" s="59">
        <v>81</v>
      </c>
      <c r="C13032" s="59">
        <v>899</v>
      </c>
      <c r="D13032" s="51">
        <v>3</v>
      </c>
      <c r="E13032" s="51">
        <f t="shared" si="203"/>
        <v>1</v>
      </c>
    </row>
    <row r="13033" spans="1:5">
      <c r="A13033" s="59">
        <v>28</v>
      </c>
      <c r="B13033" s="59">
        <v>11</v>
      </c>
      <c r="C13033" s="59">
        <v>140</v>
      </c>
      <c r="D13033" s="51">
        <v>2</v>
      </c>
      <c r="E13033" s="51">
        <f t="shared" si="203"/>
        <v>1</v>
      </c>
    </row>
    <row r="13034" spans="1:5">
      <c r="A13034" s="59">
        <v>28</v>
      </c>
      <c r="B13034" s="59">
        <v>11</v>
      </c>
      <c r="C13034" s="59">
        <v>610</v>
      </c>
      <c r="D13034" s="51">
        <v>2</v>
      </c>
      <c r="E13034" s="51">
        <f t="shared" si="203"/>
        <v>1</v>
      </c>
    </row>
    <row r="13035" spans="1:5">
      <c r="A13035" s="59">
        <v>28</v>
      </c>
      <c r="B13035" s="59">
        <v>11</v>
      </c>
      <c r="C13035" s="59">
        <v>620</v>
      </c>
      <c r="D13035" s="51">
        <v>2</v>
      </c>
      <c r="E13035" s="51">
        <f t="shared" si="203"/>
        <v>1</v>
      </c>
    </row>
    <row r="13036" spans="1:5">
      <c r="A13036" s="59">
        <v>28</v>
      </c>
      <c r="B13036" s="59">
        <v>11</v>
      </c>
      <c r="C13036" s="59">
        <v>930</v>
      </c>
      <c r="D13036" s="51">
        <v>2</v>
      </c>
      <c r="E13036" s="51">
        <f t="shared" si="203"/>
        <v>1</v>
      </c>
    </row>
    <row r="13037" spans="1:5">
      <c r="A13037" s="59">
        <v>28</v>
      </c>
      <c r="B13037" s="59">
        <v>12</v>
      </c>
      <c r="C13037" s="59">
        <v>110</v>
      </c>
      <c r="D13037" s="51">
        <v>2</v>
      </c>
      <c r="E13037" s="51">
        <f t="shared" si="203"/>
        <v>1</v>
      </c>
    </row>
    <row r="13038" spans="1:5">
      <c r="A13038" s="59">
        <v>28</v>
      </c>
      <c r="B13038" s="59">
        <v>12</v>
      </c>
      <c r="C13038" s="59">
        <v>960</v>
      </c>
      <c r="D13038" s="51">
        <v>2</v>
      </c>
      <c r="E13038" s="51">
        <f t="shared" si="203"/>
        <v>1</v>
      </c>
    </row>
    <row r="13039" spans="1:5">
      <c r="A13039" s="59">
        <v>28</v>
      </c>
      <c r="B13039" s="59">
        <v>13</v>
      </c>
      <c r="C13039" s="59">
        <v>831</v>
      </c>
      <c r="D13039" s="51">
        <v>2</v>
      </c>
      <c r="E13039" s="51">
        <f t="shared" si="203"/>
        <v>1</v>
      </c>
    </row>
    <row r="13040" spans="1:5">
      <c r="A13040" s="59">
        <v>28</v>
      </c>
      <c r="B13040" s="59">
        <v>15</v>
      </c>
      <c r="C13040" s="59">
        <v>940</v>
      </c>
      <c r="D13040" s="51">
        <v>2</v>
      </c>
      <c r="E13040" s="51">
        <f t="shared" si="203"/>
        <v>1</v>
      </c>
    </row>
    <row r="13041" spans="1:5">
      <c r="A13041" s="59">
        <v>28</v>
      </c>
      <c r="B13041" s="59">
        <v>16</v>
      </c>
      <c r="C13041" s="59">
        <v>730</v>
      </c>
      <c r="D13041" s="51">
        <v>2</v>
      </c>
      <c r="E13041" s="51">
        <f t="shared" si="203"/>
        <v>1</v>
      </c>
    </row>
    <row r="13042" spans="1:5">
      <c r="A13042" s="59">
        <v>28</v>
      </c>
      <c r="B13042" s="59">
        <v>16</v>
      </c>
      <c r="C13042" s="59">
        <v>750</v>
      </c>
      <c r="D13042" s="51">
        <v>2</v>
      </c>
      <c r="E13042" s="51">
        <f t="shared" si="203"/>
        <v>1</v>
      </c>
    </row>
    <row r="13043" spans="1:5">
      <c r="A13043" s="59">
        <v>28</v>
      </c>
      <c r="B13043" s="59">
        <v>21</v>
      </c>
      <c r="C13043" s="59">
        <v>150</v>
      </c>
      <c r="D13043" s="51">
        <v>2</v>
      </c>
      <c r="E13043" s="51">
        <f t="shared" si="203"/>
        <v>1</v>
      </c>
    </row>
    <row r="13044" spans="1:5">
      <c r="A13044" s="59">
        <v>28</v>
      </c>
      <c r="B13044" s="59">
        <v>22</v>
      </c>
      <c r="C13044" s="59">
        <v>630</v>
      </c>
      <c r="D13044" s="51">
        <v>2</v>
      </c>
      <c r="E13044" s="51">
        <f t="shared" si="203"/>
        <v>1</v>
      </c>
    </row>
    <row r="13045" spans="1:5">
      <c r="A13045" s="59">
        <v>28</v>
      </c>
      <c r="B13045" s="59">
        <v>22</v>
      </c>
      <c r="C13045" s="59">
        <v>730</v>
      </c>
      <c r="D13045" s="51">
        <v>2</v>
      </c>
      <c r="E13045" s="51">
        <f t="shared" si="203"/>
        <v>1</v>
      </c>
    </row>
    <row r="13046" spans="1:5">
      <c r="A13046" s="59">
        <v>28</v>
      </c>
      <c r="B13046" s="59">
        <v>23</v>
      </c>
      <c r="C13046" s="59">
        <v>410</v>
      </c>
      <c r="D13046" s="51">
        <v>2</v>
      </c>
      <c r="E13046" s="51">
        <f t="shared" si="203"/>
        <v>1</v>
      </c>
    </row>
    <row r="13047" spans="1:5">
      <c r="A13047" s="59">
        <v>28</v>
      </c>
      <c r="B13047" s="59">
        <v>23</v>
      </c>
      <c r="C13047" s="59">
        <v>530</v>
      </c>
      <c r="D13047" s="51">
        <v>2</v>
      </c>
      <c r="E13047" s="51">
        <f t="shared" si="203"/>
        <v>1</v>
      </c>
    </row>
    <row r="13048" spans="1:5">
      <c r="A13048" s="59">
        <v>28</v>
      </c>
      <c r="B13048" s="59">
        <v>23</v>
      </c>
      <c r="C13048" s="59">
        <v>970</v>
      </c>
      <c r="D13048" s="51">
        <v>2</v>
      </c>
      <c r="E13048" s="51">
        <f t="shared" si="203"/>
        <v>1</v>
      </c>
    </row>
    <row r="13049" spans="1:5">
      <c r="A13049" s="59">
        <v>28</v>
      </c>
      <c r="B13049" s="59">
        <v>24</v>
      </c>
      <c r="C13049" s="59">
        <v>110</v>
      </c>
      <c r="D13049" s="51">
        <v>2</v>
      </c>
      <c r="E13049" s="51">
        <f t="shared" si="203"/>
        <v>1</v>
      </c>
    </row>
    <row r="13050" spans="1:5">
      <c r="A13050" s="59">
        <v>28</v>
      </c>
      <c r="B13050" s="59">
        <v>24</v>
      </c>
      <c r="C13050" s="59">
        <v>410</v>
      </c>
      <c r="D13050" s="51">
        <v>2</v>
      </c>
      <c r="E13050" s="51">
        <f t="shared" si="203"/>
        <v>1</v>
      </c>
    </row>
    <row r="13051" spans="1:5">
      <c r="A13051" s="59">
        <v>28</v>
      </c>
      <c r="B13051" s="59">
        <v>24</v>
      </c>
      <c r="C13051" s="59">
        <v>530</v>
      </c>
      <c r="D13051" s="51">
        <v>2</v>
      </c>
      <c r="E13051" s="51">
        <f t="shared" si="203"/>
        <v>1</v>
      </c>
    </row>
    <row r="13052" spans="1:5">
      <c r="A13052" s="59">
        <v>28</v>
      </c>
      <c r="B13052" s="59">
        <v>31</v>
      </c>
      <c r="C13052" s="59">
        <v>750</v>
      </c>
      <c r="D13052" s="51">
        <v>2</v>
      </c>
      <c r="E13052" s="51">
        <f t="shared" si="203"/>
        <v>1</v>
      </c>
    </row>
    <row r="13053" spans="1:5">
      <c r="A13053" s="59">
        <v>28</v>
      </c>
      <c r="B13053" s="59">
        <v>31</v>
      </c>
      <c r="C13053" s="59">
        <v>820</v>
      </c>
      <c r="D13053" s="51">
        <v>2</v>
      </c>
      <c r="E13053" s="51">
        <f t="shared" si="203"/>
        <v>1</v>
      </c>
    </row>
    <row r="13054" spans="1:5">
      <c r="A13054" s="59">
        <v>28</v>
      </c>
      <c r="B13054" s="59">
        <v>31</v>
      </c>
      <c r="C13054" s="59">
        <v>940</v>
      </c>
      <c r="D13054" s="51">
        <v>2</v>
      </c>
      <c r="E13054" s="51">
        <f t="shared" si="203"/>
        <v>1</v>
      </c>
    </row>
    <row r="13055" spans="1:5">
      <c r="A13055" s="59">
        <v>28</v>
      </c>
      <c r="B13055" s="59">
        <v>32</v>
      </c>
      <c r="C13055" s="59">
        <v>140</v>
      </c>
      <c r="D13055" s="51">
        <v>2</v>
      </c>
      <c r="E13055" s="51">
        <f t="shared" si="203"/>
        <v>1</v>
      </c>
    </row>
    <row r="13056" spans="1:5">
      <c r="A13056" s="59">
        <v>28</v>
      </c>
      <c r="B13056" s="59">
        <v>32</v>
      </c>
      <c r="C13056" s="59">
        <v>320</v>
      </c>
      <c r="D13056" s="51">
        <v>2</v>
      </c>
      <c r="E13056" s="51">
        <f t="shared" si="203"/>
        <v>1</v>
      </c>
    </row>
    <row r="13057" spans="1:5">
      <c r="A13057" s="59">
        <v>28</v>
      </c>
      <c r="B13057" s="59">
        <v>42</v>
      </c>
      <c r="C13057" s="59">
        <v>950</v>
      </c>
      <c r="D13057" s="51">
        <v>2</v>
      </c>
      <c r="E13057" s="51">
        <f t="shared" si="203"/>
        <v>1</v>
      </c>
    </row>
    <row r="13058" spans="1:5">
      <c r="A13058" s="59">
        <v>28</v>
      </c>
      <c r="B13058" s="59">
        <v>44</v>
      </c>
      <c r="C13058" s="59">
        <v>831</v>
      </c>
      <c r="D13058" s="51">
        <v>2</v>
      </c>
      <c r="E13058" s="51">
        <f t="shared" ref="E13058:E13121" si="204">IF(OR(A13058=6,A13058=7,A13058=14,A13058=15,A13058=16,A13058=17,A13058=18,A13058=19,A13058=20,A13058=21,A13058=22,A13058=23,A13058=25,A13058=26,A13058=27,A13058=28,B13058=41,B13058=44,B13058=62),1,0)</f>
        <v>1</v>
      </c>
    </row>
    <row r="13059" spans="1:5">
      <c r="A13059" s="59">
        <v>28</v>
      </c>
      <c r="B13059" s="59">
        <v>51</v>
      </c>
      <c r="C13059" s="59">
        <v>440</v>
      </c>
      <c r="D13059" s="51">
        <v>2</v>
      </c>
      <c r="E13059" s="51">
        <f t="shared" si="204"/>
        <v>1</v>
      </c>
    </row>
    <row r="13060" spans="1:5">
      <c r="A13060" s="59">
        <v>28</v>
      </c>
      <c r="B13060" s="59">
        <v>51</v>
      </c>
      <c r="C13060" s="59">
        <v>630</v>
      </c>
      <c r="D13060" s="51">
        <v>2</v>
      </c>
      <c r="E13060" s="51">
        <f t="shared" si="204"/>
        <v>1</v>
      </c>
    </row>
    <row r="13061" spans="1:5">
      <c r="A13061" s="59">
        <v>28</v>
      </c>
      <c r="B13061" s="59">
        <v>51</v>
      </c>
      <c r="C13061" s="59">
        <v>831</v>
      </c>
      <c r="D13061" s="51">
        <v>2</v>
      </c>
      <c r="E13061" s="51">
        <f t="shared" si="204"/>
        <v>1</v>
      </c>
    </row>
    <row r="13062" spans="1:5">
      <c r="A13062" s="59">
        <v>28</v>
      </c>
      <c r="B13062" s="59">
        <v>61</v>
      </c>
      <c r="C13062" s="59">
        <v>150</v>
      </c>
      <c r="D13062" s="51">
        <v>2</v>
      </c>
      <c r="E13062" s="51">
        <f t="shared" si="204"/>
        <v>1</v>
      </c>
    </row>
    <row r="13063" spans="1:5">
      <c r="A13063" s="59">
        <v>28</v>
      </c>
      <c r="B13063" s="59">
        <v>62</v>
      </c>
      <c r="C13063" s="59">
        <v>891</v>
      </c>
      <c r="D13063" s="51">
        <v>2</v>
      </c>
      <c r="E13063" s="51">
        <f t="shared" si="204"/>
        <v>1</v>
      </c>
    </row>
    <row r="13064" spans="1:5">
      <c r="A13064" s="59">
        <v>28</v>
      </c>
      <c r="B13064" s="59">
        <v>63</v>
      </c>
      <c r="C13064" s="59">
        <v>140</v>
      </c>
      <c r="D13064" s="51">
        <v>2</v>
      </c>
      <c r="E13064" s="51">
        <f t="shared" si="204"/>
        <v>1</v>
      </c>
    </row>
    <row r="13065" spans="1:5">
      <c r="A13065" s="59">
        <v>28</v>
      </c>
      <c r="B13065" s="59">
        <v>63</v>
      </c>
      <c r="C13065" s="59">
        <v>899</v>
      </c>
      <c r="D13065" s="51">
        <v>2</v>
      </c>
      <c r="E13065" s="51">
        <f t="shared" si="204"/>
        <v>1</v>
      </c>
    </row>
    <row r="13066" spans="1:5">
      <c r="A13066" s="59">
        <v>28</v>
      </c>
      <c r="B13066" s="59">
        <v>64</v>
      </c>
      <c r="C13066" s="59">
        <v>810</v>
      </c>
      <c r="D13066" s="51">
        <v>2</v>
      </c>
      <c r="E13066" s="51">
        <f t="shared" si="204"/>
        <v>1</v>
      </c>
    </row>
    <row r="13067" spans="1:5">
      <c r="A13067" s="59">
        <v>28</v>
      </c>
      <c r="B13067" s="59">
        <v>81</v>
      </c>
      <c r="C13067" s="59">
        <v>120</v>
      </c>
      <c r="D13067" s="51">
        <v>2</v>
      </c>
      <c r="E13067" s="51">
        <f t="shared" si="204"/>
        <v>1</v>
      </c>
    </row>
    <row r="13068" spans="1:5">
      <c r="A13068" s="59">
        <v>28</v>
      </c>
      <c r="B13068" s="59">
        <v>81</v>
      </c>
      <c r="C13068" s="59">
        <v>861</v>
      </c>
      <c r="D13068" s="51">
        <v>2</v>
      </c>
      <c r="E13068" s="51">
        <f t="shared" si="204"/>
        <v>1</v>
      </c>
    </row>
    <row r="13069" spans="1:5">
      <c r="A13069" s="59">
        <v>28</v>
      </c>
      <c r="B13069" s="59">
        <v>11</v>
      </c>
      <c r="C13069" s="59">
        <v>120</v>
      </c>
      <c r="D13069" s="51">
        <v>1</v>
      </c>
      <c r="E13069" s="51">
        <f t="shared" si="204"/>
        <v>1</v>
      </c>
    </row>
    <row r="13070" spans="1:5">
      <c r="A13070" s="59">
        <v>28</v>
      </c>
      <c r="B13070" s="59">
        <v>11</v>
      </c>
      <c r="C13070" s="59">
        <v>210</v>
      </c>
      <c r="D13070" s="51">
        <v>1</v>
      </c>
      <c r="E13070" s="51">
        <f t="shared" si="204"/>
        <v>1</v>
      </c>
    </row>
    <row r="13071" spans="1:5">
      <c r="A13071" s="59">
        <v>28</v>
      </c>
      <c r="B13071" s="59">
        <v>11</v>
      </c>
      <c r="C13071" s="59">
        <v>220</v>
      </c>
      <c r="D13071" s="51">
        <v>1</v>
      </c>
      <c r="E13071" s="51">
        <f t="shared" si="204"/>
        <v>1</v>
      </c>
    </row>
    <row r="13072" spans="1:5">
      <c r="A13072" s="59">
        <v>28</v>
      </c>
      <c r="B13072" s="59">
        <v>11</v>
      </c>
      <c r="C13072" s="59">
        <v>230</v>
      </c>
      <c r="D13072" s="51">
        <v>1</v>
      </c>
      <c r="E13072" s="51">
        <f t="shared" si="204"/>
        <v>1</v>
      </c>
    </row>
    <row r="13073" spans="1:5">
      <c r="A13073" s="59">
        <v>28</v>
      </c>
      <c r="B13073" s="59">
        <v>11</v>
      </c>
      <c r="C13073" s="59">
        <v>330</v>
      </c>
      <c r="D13073" s="51">
        <v>1</v>
      </c>
      <c r="E13073" s="51">
        <f t="shared" si="204"/>
        <v>1</v>
      </c>
    </row>
    <row r="13074" spans="1:5">
      <c r="A13074" s="59">
        <v>28</v>
      </c>
      <c r="B13074" s="59">
        <v>11</v>
      </c>
      <c r="C13074" s="59">
        <v>950</v>
      </c>
      <c r="D13074" s="51">
        <v>1</v>
      </c>
      <c r="E13074" s="51">
        <f t="shared" si="204"/>
        <v>1</v>
      </c>
    </row>
    <row r="13075" spans="1:5">
      <c r="A13075" s="59">
        <v>28</v>
      </c>
      <c r="B13075" s="59">
        <v>12</v>
      </c>
      <c r="C13075" s="59">
        <v>610</v>
      </c>
      <c r="D13075" s="51">
        <v>1</v>
      </c>
      <c r="E13075" s="51">
        <f t="shared" si="204"/>
        <v>1</v>
      </c>
    </row>
    <row r="13076" spans="1:5">
      <c r="A13076" s="59">
        <v>28</v>
      </c>
      <c r="B13076" s="59">
        <v>12</v>
      </c>
      <c r="C13076" s="59">
        <v>720</v>
      </c>
      <c r="D13076" s="51">
        <v>1</v>
      </c>
      <c r="E13076" s="51">
        <f t="shared" si="204"/>
        <v>1</v>
      </c>
    </row>
    <row r="13077" spans="1:5">
      <c r="A13077" s="59">
        <v>28</v>
      </c>
      <c r="B13077" s="59">
        <v>12</v>
      </c>
      <c r="C13077" s="59">
        <v>730</v>
      </c>
      <c r="D13077" s="51">
        <v>1</v>
      </c>
      <c r="E13077" s="51">
        <f t="shared" si="204"/>
        <v>1</v>
      </c>
    </row>
    <row r="13078" spans="1:5">
      <c r="A13078" s="59">
        <v>28</v>
      </c>
      <c r="B13078" s="59">
        <v>14</v>
      </c>
      <c r="C13078" s="59">
        <v>640</v>
      </c>
      <c r="D13078" s="51">
        <v>1</v>
      </c>
      <c r="E13078" s="51">
        <f t="shared" si="204"/>
        <v>1</v>
      </c>
    </row>
    <row r="13079" spans="1:5">
      <c r="A13079" s="59">
        <v>28</v>
      </c>
      <c r="B13079" s="59">
        <v>14</v>
      </c>
      <c r="C13079" s="59">
        <v>740</v>
      </c>
      <c r="D13079" s="51">
        <v>1</v>
      </c>
      <c r="E13079" s="51">
        <f t="shared" si="204"/>
        <v>1</v>
      </c>
    </row>
    <row r="13080" spans="1:5">
      <c r="A13080" s="59">
        <v>28</v>
      </c>
      <c r="B13080" s="59">
        <v>14</v>
      </c>
      <c r="C13080" s="59">
        <v>860</v>
      </c>
      <c r="D13080" s="51">
        <v>1</v>
      </c>
      <c r="E13080" s="51">
        <f t="shared" si="204"/>
        <v>1</v>
      </c>
    </row>
    <row r="13081" spans="1:5">
      <c r="A13081" s="59">
        <v>28</v>
      </c>
      <c r="B13081" s="59">
        <v>14</v>
      </c>
      <c r="C13081" s="59">
        <v>890</v>
      </c>
      <c r="D13081" s="51">
        <v>1</v>
      </c>
      <c r="E13081" s="51">
        <f t="shared" si="204"/>
        <v>1</v>
      </c>
    </row>
    <row r="13082" spans="1:5">
      <c r="A13082" s="59">
        <v>28</v>
      </c>
      <c r="B13082" s="59">
        <v>15</v>
      </c>
      <c r="C13082" s="59">
        <v>640</v>
      </c>
      <c r="D13082" s="51">
        <v>1</v>
      </c>
      <c r="E13082" s="51">
        <f t="shared" si="204"/>
        <v>1</v>
      </c>
    </row>
    <row r="13083" spans="1:5">
      <c r="A13083" s="59">
        <v>28</v>
      </c>
      <c r="B13083" s="59">
        <v>15</v>
      </c>
      <c r="C13083" s="59">
        <v>710</v>
      </c>
      <c r="D13083" s="51">
        <v>1</v>
      </c>
      <c r="E13083" s="51">
        <f t="shared" si="204"/>
        <v>1</v>
      </c>
    </row>
    <row r="13084" spans="1:5">
      <c r="A13084" s="59">
        <v>28</v>
      </c>
      <c r="B13084" s="59">
        <v>15</v>
      </c>
      <c r="C13084" s="59">
        <v>720</v>
      </c>
      <c r="D13084" s="51">
        <v>1</v>
      </c>
      <c r="E13084" s="51">
        <f t="shared" si="204"/>
        <v>1</v>
      </c>
    </row>
    <row r="13085" spans="1:5">
      <c r="A13085" s="59">
        <v>28</v>
      </c>
      <c r="B13085" s="59">
        <v>16</v>
      </c>
      <c r="C13085" s="59">
        <v>720</v>
      </c>
      <c r="D13085" s="51">
        <v>1</v>
      </c>
      <c r="E13085" s="51">
        <f t="shared" si="204"/>
        <v>1</v>
      </c>
    </row>
    <row r="13086" spans="1:5">
      <c r="A13086" s="59">
        <v>28</v>
      </c>
      <c r="B13086" s="59">
        <v>21</v>
      </c>
      <c r="C13086" s="59">
        <v>160</v>
      </c>
      <c r="D13086" s="51">
        <v>1</v>
      </c>
      <c r="E13086" s="51">
        <f t="shared" si="204"/>
        <v>1</v>
      </c>
    </row>
    <row r="13087" spans="1:5">
      <c r="A13087" s="59">
        <v>28</v>
      </c>
      <c r="B13087" s="59">
        <v>21</v>
      </c>
      <c r="C13087" s="59">
        <v>960</v>
      </c>
      <c r="D13087" s="51">
        <v>1</v>
      </c>
      <c r="E13087" s="51">
        <f t="shared" si="204"/>
        <v>1</v>
      </c>
    </row>
    <row r="13088" spans="1:5">
      <c r="A13088" s="59">
        <v>28</v>
      </c>
      <c r="B13088" s="59">
        <v>21</v>
      </c>
      <c r="C13088" s="59">
        <v>970</v>
      </c>
      <c r="D13088" s="51">
        <v>1</v>
      </c>
      <c r="E13088" s="51">
        <f t="shared" si="204"/>
        <v>1</v>
      </c>
    </row>
    <row r="13089" spans="1:5">
      <c r="A13089" s="59">
        <v>28</v>
      </c>
      <c r="B13089" s="59">
        <v>22</v>
      </c>
      <c r="C13089" s="59">
        <v>550</v>
      </c>
      <c r="D13089" s="51">
        <v>1</v>
      </c>
      <c r="E13089" s="51">
        <f t="shared" si="204"/>
        <v>1</v>
      </c>
    </row>
    <row r="13090" spans="1:5">
      <c r="A13090" s="59">
        <v>28</v>
      </c>
      <c r="B13090" s="59">
        <v>22</v>
      </c>
      <c r="C13090" s="59">
        <v>640</v>
      </c>
      <c r="D13090" s="51">
        <v>1</v>
      </c>
      <c r="E13090" s="51">
        <f t="shared" si="204"/>
        <v>1</v>
      </c>
    </row>
    <row r="13091" spans="1:5">
      <c r="A13091" s="59">
        <v>28</v>
      </c>
      <c r="B13091" s="59">
        <v>22</v>
      </c>
      <c r="C13091" s="59">
        <v>710</v>
      </c>
      <c r="D13091" s="51">
        <v>1</v>
      </c>
      <c r="E13091" s="51">
        <f t="shared" si="204"/>
        <v>1</v>
      </c>
    </row>
    <row r="13092" spans="1:5">
      <c r="A13092" s="59">
        <v>28</v>
      </c>
      <c r="B13092" s="59">
        <v>22</v>
      </c>
      <c r="C13092" s="59">
        <v>840</v>
      </c>
      <c r="D13092" s="51">
        <v>1</v>
      </c>
      <c r="E13092" s="51">
        <f t="shared" si="204"/>
        <v>1</v>
      </c>
    </row>
    <row r="13093" spans="1:5">
      <c r="A13093" s="59">
        <v>28</v>
      </c>
      <c r="B13093" s="59">
        <v>22</v>
      </c>
      <c r="C13093" s="59">
        <v>891</v>
      </c>
      <c r="D13093" s="51">
        <v>1</v>
      </c>
      <c r="E13093" s="51">
        <f t="shared" si="204"/>
        <v>1</v>
      </c>
    </row>
    <row r="13094" spans="1:5">
      <c r="A13094" s="59">
        <v>28</v>
      </c>
      <c r="B13094" s="59">
        <v>23</v>
      </c>
      <c r="C13094" s="59">
        <v>550</v>
      </c>
      <c r="D13094" s="51">
        <v>1</v>
      </c>
      <c r="E13094" s="51">
        <f t="shared" si="204"/>
        <v>1</v>
      </c>
    </row>
    <row r="13095" spans="1:5">
      <c r="A13095" s="59">
        <v>28</v>
      </c>
      <c r="B13095" s="59">
        <v>23</v>
      </c>
      <c r="C13095" s="59">
        <v>620</v>
      </c>
      <c r="D13095" s="51">
        <v>1</v>
      </c>
      <c r="E13095" s="51">
        <f t="shared" si="204"/>
        <v>1</v>
      </c>
    </row>
    <row r="13096" spans="1:5">
      <c r="A13096" s="59">
        <v>28</v>
      </c>
      <c r="B13096" s="59">
        <v>24</v>
      </c>
      <c r="C13096" s="59">
        <v>220</v>
      </c>
      <c r="D13096" s="51">
        <v>1</v>
      </c>
      <c r="E13096" s="51">
        <f t="shared" si="204"/>
        <v>1</v>
      </c>
    </row>
    <row r="13097" spans="1:5">
      <c r="A13097" s="59">
        <v>28</v>
      </c>
      <c r="B13097" s="59">
        <v>24</v>
      </c>
      <c r="C13097" s="59">
        <v>310</v>
      </c>
      <c r="D13097" s="51">
        <v>1</v>
      </c>
      <c r="E13097" s="51">
        <f t="shared" si="204"/>
        <v>1</v>
      </c>
    </row>
    <row r="13098" spans="1:5">
      <c r="A13098" s="59">
        <v>28</v>
      </c>
      <c r="B13098" s="59">
        <v>24</v>
      </c>
      <c r="C13098" s="59">
        <v>320</v>
      </c>
      <c r="D13098" s="51">
        <v>1</v>
      </c>
      <c r="E13098" s="51">
        <f t="shared" si="204"/>
        <v>1</v>
      </c>
    </row>
    <row r="13099" spans="1:5">
      <c r="A13099" s="59">
        <v>28</v>
      </c>
      <c r="B13099" s="59">
        <v>24</v>
      </c>
      <c r="C13099" s="59">
        <v>990</v>
      </c>
      <c r="D13099" s="51">
        <v>1</v>
      </c>
      <c r="E13099" s="51">
        <f t="shared" si="204"/>
        <v>1</v>
      </c>
    </row>
    <row r="13100" spans="1:5">
      <c r="A13100" s="59">
        <v>28</v>
      </c>
      <c r="B13100" s="59">
        <v>31</v>
      </c>
      <c r="C13100" s="59">
        <v>150</v>
      </c>
      <c r="D13100" s="51">
        <v>1</v>
      </c>
      <c r="E13100" s="51">
        <f t="shared" si="204"/>
        <v>1</v>
      </c>
    </row>
    <row r="13101" spans="1:5">
      <c r="A13101" s="59">
        <v>28</v>
      </c>
      <c r="B13101" s="59">
        <v>31</v>
      </c>
      <c r="C13101" s="59">
        <v>160</v>
      </c>
      <c r="D13101" s="51">
        <v>1</v>
      </c>
      <c r="E13101" s="51">
        <f t="shared" si="204"/>
        <v>1</v>
      </c>
    </row>
    <row r="13102" spans="1:5">
      <c r="A13102" s="59">
        <v>28</v>
      </c>
      <c r="B13102" s="59">
        <v>31</v>
      </c>
      <c r="C13102" s="59">
        <v>220</v>
      </c>
      <c r="D13102" s="51">
        <v>1</v>
      </c>
      <c r="E13102" s="51">
        <f t="shared" si="204"/>
        <v>1</v>
      </c>
    </row>
    <row r="13103" spans="1:5">
      <c r="A13103" s="59">
        <v>28</v>
      </c>
      <c r="B13103" s="59">
        <v>31</v>
      </c>
      <c r="C13103" s="59">
        <v>230</v>
      </c>
      <c r="D13103" s="51">
        <v>1</v>
      </c>
      <c r="E13103" s="51">
        <f t="shared" si="204"/>
        <v>1</v>
      </c>
    </row>
    <row r="13104" spans="1:5">
      <c r="A13104" s="59">
        <v>28</v>
      </c>
      <c r="B13104" s="59">
        <v>31</v>
      </c>
      <c r="C13104" s="59">
        <v>440</v>
      </c>
      <c r="D13104" s="51">
        <v>1</v>
      </c>
      <c r="E13104" s="51">
        <f t="shared" si="204"/>
        <v>1</v>
      </c>
    </row>
    <row r="13105" spans="1:5">
      <c r="A13105" s="59">
        <v>28</v>
      </c>
      <c r="B13105" s="59">
        <v>31</v>
      </c>
      <c r="C13105" s="59">
        <v>610</v>
      </c>
      <c r="D13105" s="51">
        <v>1</v>
      </c>
      <c r="E13105" s="51">
        <f t="shared" si="204"/>
        <v>1</v>
      </c>
    </row>
    <row r="13106" spans="1:5">
      <c r="A13106" s="59">
        <v>28</v>
      </c>
      <c r="B13106" s="59">
        <v>31</v>
      </c>
      <c r="C13106" s="59">
        <v>730</v>
      </c>
      <c r="D13106" s="51">
        <v>1</v>
      </c>
      <c r="E13106" s="51">
        <f t="shared" si="204"/>
        <v>1</v>
      </c>
    </row>
    <row r="13107" spans="1:5">
      <c r="A13107" s="59">
        <v>28</v>
      </c>
      <c r="B13107" s="59">
        <v>32</v>
      </c>
      <c r="C13107" s="59">
        <v>130</v>
      </c>
      <c r="D13107" s="51">
        <v>1</v>
      </c>
      <c r="E13107" s="51">
        <f t="shared" si="204"/>
        <v>1</v>
      </c>
    </row>
    <row r="13108" spans="1:5">
      <c r="A13108" s="59">
        <v>28</v>
      </c>
      <c r="B13108" s="59">
        <v>32</v>
      </c>
      <c r="C13108" s="59">
        <v>630</v>
      </c>
      <c r="D13108" s="51">
        <v>1</v>
      </c>
      <c r="E13108" s="51">
        <f t="shared" si="204"/>
        <v>1</v>
      </c>
    </row>
    <row r="13109" spans="1:5">
      <c r="A13109" s="59">
        <v>28</v>
      </c>
      <c r="B13109" s="59">
        <v>32</v>
      </c>
      <c r="C13109" s="59">
        <v>899</v>
      </c>
      <c r="D13109" s="51">
        <v>1</v>
      </c>
      <c r="E13109" s="51">
        <f t="shared" si="204"/>
        <v>1</v>
      </c>
    </row>
    <row r="13110" spans="1:5">
      <c r="A13110" s="59">
        <v>28</v>
      </c>
      <c r="B13110" s="59">
        <v>33</v>
      </c>
      <c r="C13110" s="59">
        <v>630</v>
      </c>
      <c r="D13110" s="51">
        <v>1</v>
      </c>
      <c r="E13110" s="51">
        <f t="shared" si="204"/>
        <v>1</v>
      </c>
    </row>
    <row r="13111" spans="1:5">
      <c r="A13111" s="59">
        <v>28</v>
      </c>
      <c r="B13111" s="59">
        <v>33</v>
      </c>
      <c r="C13111" s="59">
        <v>831</v>
      </c>
      <c r="D13111" s="51">
        <v>1</v>
      </c>
      <c r="E13111" s="51">
        <f t="shared" si="204"/>
        <v>1</v>
      </c>
    </row>
    <row r="13112" spans="1:5">
      <c r="A13112" s="59">
        <v>28</v>
      </c>
      <c r="B13112" s="59">
        <v>41</v>
      </c>
      <c r="C13112" s="59">
        <v>630</v>
      </c>
      <c r="D13112" s="51">
        <v>1</v>
      </c>
      <c r="E13112" s="51">
        <f t="shared" si="204"/>
        <v>1</v>
      </c>
    </row>
    <row r="13113" spans="1:5">
      <c r="A13113" s="59">
        <v>28</v>
      </c>
      <c r="B13113" s="59">
        <v>41</v>
      </c>
      <c r="C13113" s="59">
        <v>710</v>
      </c>
      <c r="D13113" s="51">
        <v>1</v>
      </c>
      <c r="E13113" s="51">
        <f t="shared" si="204"/>
        <v>1</v>
      </c>
    </row>
    <row r="13114" spans="1:5">
      <c r="A13114" s="59">
        <v>28</v>
      </c>
      <c r="B13114" s="59">
        <v>41</v>
      </c>
      <c r="C13114" s="59">
        <v>740</v>
      </c>
      <c r="D13114" s="51">
        <v>1</v>
      </c>
      <c r="E13114" s="51">
        <f t="shared" si="204"/>
        <v>1</v>
      </c>
    </row>
    <row r="13115" spans="1:5">
      <c r="A13115" s="59">
        <v>28</v>
      </c>
      <c r="B13115" s="59">
        <v>42</v>
      </c>
      <c r="C13115" s="59">
        <v>710</v>
      </c>
      <c r="D13115" s="51">
        <v>1</v>
      </c>
      <c r="E13115" s="51">
        <f t="shared" si="204"/>
        <v>1</v>
      </c>
    </row>
    <row r="13116" spans="1:5">
      <c r="A13116" s="59">
        <v>28</v>
      </c>
      <c r="B13116" s="59">
        <v>43</v>
      </c>
      <c r="C13116" s="59">
        <v>810</v>
      </c>
      <c r="D13116" s="51">
        <v>1</v>
      </c>
      <c r="E13116" s="51">
        <f t="shared" si="204"/>
        <v>1</v>
      </c>
    </row>
    <row r="13117" spans="1:5">
      <c r="A13117" s="59">
        <v>28</v>
      </c>
      <c r="B13117" s="59">
        <v>43</v>
      </c>
      <c r="C13117" s="59">
        <v>890</v>
      </c>
      <c r="D13117" s="51">
        <v>1</v>
      </c>
      <c r="E13117" s="51">
        <f t="shared" si="204"/>
        <v>1</v>
      </c>
    </row>
    <row r="13118" spans="1:5">
      <c r="A13118" s="59">
        <v>28</v>
      </c>
      <c r="B13118" s="59">
        <v>51</v>
      </c>
      <c r="C13118" s="59">
        <v>330</v>
      </c>
      <c r="D13118" s="51">
        <v>1</v>
      </c>
      <c r="E13118" s="51">
        <f t="shared" si="204"/>
        <v>1</v>
      </c>
    </row>
    <row r="13119" spans="1:5">
      <c r="A13119" s="59">
        <v>28</v>
      </c>
      <c r="B13119" s="59">
        <v>51</v>
      </c>
      <c r="C13119" s="59">
        <v>730</v>
      </c>
      <c r="D13119" s="51">
        <v>1</v>
      </c>
      <c r="E13119" s="51">
        <f t="shared" si="204"/>
        <v>1</v>
      </c>
    </row>
    <row r="13120" spans="1:5">
      <c r="A13120" s="59">
        <v>28</v>
      </c>
      <c r="B13120" s="59">
        <v>51</v>
      </c>
      <c r="C13120" s="59">
        <v>750</v>
      </c>
      <c r="D13120" s="51">
        <v>1</v>
      </c>
      <c r="E13120" s="51">
        <f t="shared" si="204"/>
        <v>1</v>
      </c>
    </row>
    <row r="13121" spans="1:5">
      <c r="A13121" s="59">
        <v>28</v>
      </c>
      <c r="B13121" s="59">
        <v>51</v>
      </c>
      <c r="C13121" s="59">
        <v>960</v>
      </c>
      <c r="D13121" s="51">
        <v>1</v>
      </c>
      <c r="E13121" s="51">
        <f t="shared" si="204"/>
        <v>1</v>
      </c>
    </row>
    <row r="13122" spans="1:5">
      <c r="A13122" s="59">
        <v>28</v>
      </c>
      <c r="B13122" s="59">
        <v>61</v>
      </c>
      <c r="C13122" s="59">
        <v>420</v>
      </c>
      <c r="D13122" s="51">
        <v>1</v>
      </c>
      <c r="E13122" s="51">
        <f t="shared" ref="E13122:E13132" si="205">IF(OR(A13122=6,A13122=7,A13122=14,A13122=15,A13122=16,A13122=17,A13122=18,A13122=19,A13122=20,A13122=21,A13122=22,A13122=23,A13122=25,A13122=26,A13122=27,A13122=28,B13122=41,B13122=44,B13122=62),1,0)</f>
        <v>1</v>
      </c>
    </row>
    <row r="13123" spans="1:5">
      <c r="A13123" s="59">
        <v>28</v>
      </c>
      <c r="B13123" s="59">
        <v>61</v>
      </c>
      <c r="C13123" s="59">
        <v>970</v>
      </c>
      <c r="D13123" s="51">
        <v>1</v>
      </c>
      <c r="E13123" s="51">
        <f t="shared" si="205"/>
        <v>1</v>
      </c>
    </row>
    <row r="13124" spans="1:5">
      <c r="A13124" s="59">
        <v>28</v>
      </c>
      <c r="B13124" s="59">
        <v>63</v>
      </c>
      <c r="C13124" s="59">
        <v>130</v>
      </c>
      <c r="D13124" s="51">
        <v>1</v>
      </c>
      <c r="E13124" s="51">
        <f t="shared" si="205"/>
        <v>1</v>
      </c>
    </row>
    <row r="13125" spans="1:5">
      <c r="A13125" s="59">
        <v>28</v>
      </c>
      <c r="B13125" s="59">
        <v>63</v>
      </c>
      <c r="C13125" s="59">
        <v>860</v>
      </c>
      <c r="D13125" s="51">
        <v>1</v>
      </c>
      <c r="E13125" s="51">
        <f t="shared" si="205"/>
        <v>1</v>
      </c>
    </row>
    <row r="13126" spans="1:5">
      <c r="A13126" s="59">
        <v>28</v>
      </c>
      <c r="B13126" s="59">
        <v>63</v>
      </c>
      <c r="C13126" s="59">
        <v>862</v>
      </c>
      <c r="D13126" s="51">
        <v>1</v>
      </c>
      <c r="E13126" s="51">
        <f t="shared" si="205"/>
        <v>1</v>
      </c>
    </row>
    <row r="13127" spans="1:5">
      <c r="A13127" s="59">
        <v>28</v>
      </c>
      <c r="B13127" s="59">
        <v>64</v>
      </c>
      <c r="C13127" s="59">
        <v>890</v>
      </c>
      <c r="D13127" s="51">
        <v>1</v>
      </c>
      <c r="E13127" s="51">
        <f t="shared" si="205"/>
        <v>1</v>
      </c>
    </row>
    <row r="13128" spans="1:5">
      <c r="A13128" s="59">
        <v>28</v>
      </c>
      <c r="B13128" s="59">
        <v>71</v>
      </c>
      <c r="C13128" s="59">
        <v>120</v>
      </c>
      <c r="D13128" s="51">
        <v>1</v>
      </c>
      <c r="E13128" s="51">
        <f t="shared" si="205"/>
        <v>1</v>
      </c>
    </row>
    <row r="13129" spans="1:5">
      <c r="A13129" s="59">
        <v>28</v>
      </c>
      <c r="B13129" s="59">
        <v>71</v>
      </c>
      <c r="C13129" s="59">
        <v>140</v>
      </c>
      <c r="D13129" s="51">
        <v>1</v>
      </c>
      <c r="E13129" s="51">
        <f t="shared" si="205"/>
        <v>1</v>
      </c>
    </row>
    <row r="13130" spans="1:5">
      <c r="A13130" s="59">
        <v>28</v>
      </c>
      <c r="B13130" s="59">
        <v>71</v>
      </c>
      <c r="C13130" s="59">
        <v>881</v>
      </c>
      <c r="D13130" s="51">
        <v>1</v>
      </c>
      <c r="E13130" s="51">
        <f t="shared" si="205"/>
        <v>1</v>
      </c>
    </row>
    <row r="13131" spans="1:5">
      <c r="A13131" s="59">
        <v>28</v>
      </c>
      <c r="B13131" s="59">
        <v>81</v>
      </c>
      <c r="C13131" s="59">
        <v>860</v>
      </c>
      <c r="D13131" s="51">
        <v>1</v>
      </c>
      <c r="E13131" s="51">
        <f t="shared" si="205"/>
        <v>1</v>
      </c>
    </row>
    <row r="13132" spans="1:5">
      <c r="A13132" s="59">
        <v>28</v>
      </c>
      <c r="B13132" s="59">
        <v>81</v>
      </c>
      <c r="C13132" s="59">
        <v>890</v>
      </c>
      <c r="D13132" s="51">
        <v>1</v>
      </c>
      <c r="E13132" s="51">
        <f t="shared" si="205"/>
        <v>1</v>
      </c>
    </row>
  </sheetData>
  <autoFilter ref="A1:D13132" xr:uid="{FDD5B023-E3BC-4B48-A95A-BF24E482E3C3}"/>
  <phoneticPr fontId="3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C9CB-9F91-446D-912B-629D294AAC19}">
  <dimension ref="A2:D161"/>
  <sheetViews>
    <sheetView topLeftCell="A145" workbookViewId="0">
      <selection activeCell="B2" sqref="B2:B161"/>
    </sheetView>
  </sheetViews>
  <sheetFormatPr defaultRowHeight="16.5"/>
  <cols>
    <col min="2" max="2" width="38.375" bestFit="1" customWidth="1"/>
    <col min="3" max="3" width="21.625" style="60" bestFit="1" customWidth="1"/>
    <col min="4" max="4" width="48.125" bestFit="1" customWidth="1"/>
  </cols>
  <sheetData>
    <row r="2" spans="1:4">
      <c r="A2" t="s">
        <v>508</v>
      </c>
      <c r="B2" t="s">
        <v>282</v>
      </c>
      <c r="C2" s="60" t="s">
        <v>509</v>
      </c>
      <c r="D2" t="str">
        <f>"	          , "&amp;A2&amp;"."&amp;B2</f>
        <v xml:space="preserve">	          , a.PNU_CD</v>
      </c>
    </row>
    <row r="3" spans="1:4">
      <c r="A3" t="s">
        <v>508</v>
      </c>
      <c r="B3" t="s">
        <v>284</v>
      </c>
      <c r="C3" s="60">
        <v>4311110100</v>
      </c>
      <c r="D3" t="str">
        <f t="shared" ref="D3:D66" si="0">"	          , "&amp;A3&amp;"."&amp;B3</f>
        <v xml:space="preserve">	          , a.LEGALDONG_CD</v>
      </c>
    </row>
    <row r="4" spans="1:4">
      <c r="A4" t="s">
        <v>508</v>
      </c>
      <c r="B4" t="s">
        <v>480</v>
      </c>
      <c r="C4" s="60" t="s">
        <v>510</v>
      </c>
      <c r="D4" t="str">
        <f t="shared" si="0"/>
        <v xml:space="preserve">	          , a.SIDO_NM</v>
      </c>
    </row>
    <row r="5" spans="1:4">
      <c r="A5" t="s">
        <v>508</v>
      </c>
      <c r="B5" t="s">
        <v>481</v>
      </c>
      <c r="C5" s="60" t="s">
        <v>511</v>
      </c>
      <c r="D5" t="str">
        <f t="shared" si="0"/>
        <v xml:space="preserve">	          , a.SIGNGU_NM</v>
      </c>
    </row>
    <row r="6" spans="1:4">
      <c r="A6" t="s">
        <v>508</v>
      </c>
      <c r="B6" t="s">
        <v>475</v>
      </c>
      <c r="C6" s="60" t="s">
        <v>512</v>
      </c>
      <c r="D6" t="str">
        <f t="shared" si="0"/>
        <v xml:space="preserve">	          , a.LEGALDONG_NM</v>
      </c>
    </row>
    <row r="7" spans="1:4">
      <c r="A7" t="s">
        <v>508</v>
      </c>
      <c r="B7" t="s">
        <v>459</v>
      </c>
      <c r="D7" t="str">
        <f t="shared" si="0"/>
        <v xml:space="preserve">	          , a.LEGALLI_NM</v>
      </c>
    </row>
    <row r="8" spans="1:4">
      <c r="A8" t="s">
        <v>508</v>
      </c>
      <c r="B8" t="s">
        <v>455</v>
      </c>
      <c r="C8" s="60">
        <v>1</v>
      </c>
      <c r="D8" t="str">
        <f t="shared" si="0"/>
        <v xml:space="preserve">	          , a.LDGRFL_CD</v>
      </c>
    </row>
    <row r="9" spans="1:4">
      <c r="A9" t="s">
        <v>508</v>
      </c>
      <c r="B9" t="s">
        <v>460</v>
      </c>
      <c r="C9" s="60">
        <v>2</v>
      </c>
      <c r="D9" t="str">
        <f t="shared" si="0"/>
        <v xml:space="preserve">	          , a.HMNO</v>
      </c>
    </row>
    <row r="10" spans="1:4">
      <c r="A10" t="s">
        <v>508</v>
      </c>
      <c r="B10" t="s">
        <v>461</v>
      </c>
      <c r="C10" s="60">
        <v>1</v>
      </c>
      <c r="D10" t="str">
        <f t="shared" si="0"/>
        <v xml:space="preserve">	          , a.VCNO</v>
      </c>
    </row>
    <row r="11" spans="1:4">
      <c r="A11" t="s">
        <v>508</v>
      </c>
      <c r="B11" t="s">
        <v>288</v>
      </c>
      <c r="C11" s="60">
        <v>354294</v>
      </c>
      <c r="D11" t="str">
        <f t="shared" si="0"/>
        <v xml:space="preserve">	          , a.XCRDT</v>
      </c>
    </row>
    <row r="12" spans="1:4">
      <c r="A12" t="s">
        <v>508</v>
      </c>
      <c r="B12" t="s">
        <v>289</v>
      </c>
      <c r="C12" s="60">
        <v>449432</v>
      </c>
      <c r="D12" t="str">
        <f t="shared" si="0"/>
        <v xml:space="preserve">	          , a.YCRDT</v>
      </c>
    </row>
    <row r="13" spans="1:4">
      <c r="A13" t="s">
        <v>508</v>
      </c>
      <c r="B13" t="s">
        <v>290</v>
      </c>
      <c r="C13" s="60">
        <v>8</v>
      </c>
      <c r="D13" t="str">
        <f t="shared" si="0"/>
        <v xml:space="preserve">	          , a.LNCT_CD</v>
      </c>
    </row>
    <row r="14" spans="1:4">
      <c r="A14" t="s">
        <v>508</v>
      </c>
      <c r="B14" t="s">
        <v>456</v>
      </c>
      <c r="C14" s="60">
        <v>132.5</v>
      </c>
      <c r="D14" t="str">
        <f t="shared" si="0"/>
        <v xml:space="preserve">	          , a.LDAR</v>
      </c>
    </row>
    <row r="15" spans="1:4">
      <c r="A15" t="s">
        <v>508</v>
      </c>
      <c r="B15" t="s">
        <v>291</v>
      </c>
      <c r="C15" s="60">
        <v>14</v>
      </c>
      <c r="D15" t="str">
        <f t="shared" si="0"/>
        <v xml:space="preserve">	          , a.SUSAR_CD_ONE</v>
      </c>
    </row>
    <row r="16" spans="1:4">
      <c r="A16" t="s">
        <v>508</v>
      </c>
      <c r="B16" t="s">
        <v>292</v>
      </c>
      <c r="C16" s="60">
        <v>0</v>
      </c>
      <c r="D16" t="str">
        <f t="shared" si="0"/>
        <v xml:space="preserve">	          , a.SUSAR_CD_TWO</v>
      </c>
    </row>
    <row r="17" spans="1:4">
      <c r="A17" t="s">
        <v>508</v>
      </c>
      <c r="B17" t="s">
        <v>457</v>
      </c>
      <c r="C17" s="60">
        <v>240</v>
      </c>
      <c r="D17" t="str">
        <f t="shared" si="0"/>
        <v xml:space="preserve">	          , a.LAND_USE_STTN_CD</v>
      </c>
    </row>
    <row r="18" spans="1:4">
      <c r="A18" t="s">
        <v>508</v>
      </c>
      <c r="B18" t="s">
        <v>294</v>
      </c>
      <c r="C18" s="60">
        <v>2</v>
      </c>
      <c r="D18" t="str">
        <f t="shared" si="0"/>
        <v xml:space="preserve">	          , a.TPGRP_HGHT_CD</v>
      </c>
    </row>
    <row r="19" spans="1:4">
      <c r="A19" t="s">
        <v>508</v>
      </c>
      <c r="B19" t="s">
        <v>295</v>
      </c>
      <c r="C19" s="60">
        <v>4</v>
      </c>
      <c r="D19" t="str">
        <f t="shared" si="0"/>
        <v xml:space="preserve">	          , a.TPGRP_STTN_CD</v>
      </c>
    </row>
    <row r="20" spans="1:4">
      <c r="A20" t="s">
        <v>508</v>
      </c>
      <c r="B20" t="s">
        <v>458</v>
      </c>
      <c r="C20" s="60">
        <v>2</v>
      </c>
      <c r="D20" t="str">
        <f t="shared" si="0"/>
        <v xml:space="preserve">	          , a.ROAD_COPL_CD</v>
      </c>
    </row>
    <row r="21" spans="1:4">
      <c r="A21" t="s">
        <v>508</v>
      </c>
      <c r="B21" t="s">
        <v>482</v>
      </c>
      <c r="C21" s="60" t="s">
        <v>513</v>
      </c>
      <c r="D21" t="str">
        <f t="shared" si="0"/>
        <v xml:space="preserve">	          , a.STD_YN</v>
      </c>
    </row>
    <row r="22" spans="1:4">
      <c r="A22" t="s">
        <v>508</v>
      </c>
      <c r="B22" t="s">
        <v>296</v>
      </c>
      <c r="C22" s="60">
        <v>931200</v>
      </c>
      <c r="D22" t="str">
        <f t="shared" si="0"/>
        <v xml:space="preserve">	          , a.OSILP</v>
      </c>
    </row>
    <row r="23" spans="1:4">
      <c r="A23" t="s">
        <v>508</v>
      </c>
      <c r="B23" t="s">
        <v>462</v>
      </c>
      <c r="C23" s="60">
        <v>45119</v>
      </c>
      <c r="D23" t="str">
        <f t="shared" si="0"/>
        <v xml:space="preserve">	          , a.OSILP_STRD_PNTM</v>
      </c>
    </row>
    <row r="24" spans="1:4">
      <c r="A24" t="s">
        <v>514</v>
      </c>
      <c r="B24" t="s">
        <v>368</v>
      </c>
      <c r="C24" s="60">
        <v>6298</v>
      </c>
      <c r="D24" t="str">
        <f t="shared" si="0"/>
        <v xml:space="preserve">	          , b.TOTPUL_CNT_FVHD_METER</v>
      </c>
    </row>
    <row r="25" spans="1:4">
      <c r="A25" t="s">
        <v>514</v>
      </c>
      <c r="B25" t="s">
        <v>515</v>
      </c>
      <c r="C25" s="60">
        <v>19346</v>
      </c>
      <c r="D25" t="str">
        <f t="shared" si="0"/>
        <v xml:space="preserve">	          , b.TOTPUL_CNT_ONE_KM</v>
      </c>
    </row>
    <row r="26" spans="1:4">
      <c r="A26" t="s">
        <v>514</v>
      </c>
      <c r="B26" t="s">
        <v>369</v>
      </c>
      <c r="C26" s="60">
        <v>248858</v>
      </c>
      <c r="D26" t="str">
        <f t="shared" si="0"/>
        <v xml:space="preserve">	          , b.TOTPUL_CNT_THREE_KM</v>
      </c>
    </row>
    <row r="27" spans="1:4">
      <c r="A27" t="s">
        <v>514</v>
      </c>
      <c r="B27" t="s">
        <v>516</v>
      </c>
      <c r="C27" s="60">
        <v>532470</v>
      </c>
      <c r="D27" t="str">
        <f t="shared" si="0"/>
        <v xml:space="preserve">	          , b.TOTPUL_CNT_FIVE_KM</v>
      </c>
    </row>
    <row r="28" spans="1:4">
      <c r="A28" t="s">
        <v>514</v>
      </c>
      <c r="B28" t="s">
        <v>370</v>
      </c>
      <c r="C28" s="60">
        <v>1448</v>
      </c>
      <c r="D28" t="str">
        <f t="shared" si="0"/>
        <v xml:space="preserve">	          , b.SNCTPUL_CNT_FVHD_METER</v>
      </c>
    </row>
    <row r="29" spans="1:4">
      <c r="A29" t="s">
        <v>514</v>
      </c>
      <c r="B29" t="s">
        <v>517</v>
      </c>
      <c r="C29" s="60">
        <v>5498</v>
      </c>
      <c r="D29" t="str">
        <f t="shared" si="0"/>
        <v xml:space="preserve">	          , b.SNCTPUL_CNT_ONE_KM</v>
      </c>
    </row>
    <row r="30" spans="1:4">
      <c r="A30" t="s">
        <v>514</v>
      </c>
      <c r="B30" t="s">
        <v>518</v>
      </c>
      <c r="C30" s="60">
        <v>52694</v>
      </c>
      <c r="D30" t="str">
        <f t="shared" si="0"/>
        <v xml:space="preserve">	          , b.SNCTPUL_CNT_THREE_KM</v>
      </c>
    </row>
    <row r="31" spans="1:4">
      <c r="A31" t="s">
        <v>514</v>
      </c>
      <c r="B31" t="s">
        <v>519</v>
      </c>
      <c r="C31" s="60">
        <v>96968</v>
      </c>
      <c r="D31" t="str">
        <f t="shared" si="0"/>
        <v xml:space="preserve">	          , b.SNCTPUL_CNT_FIVE_KM</v>
      </c>
    </row>
    <row r="32" spans="1:4">
      <c r="A32" t="s">
        <v>514</v>
      </c>
      <c r="B32" t="s">
        <v>371</v>
      </c>
      <c r="C32" s="60">
        <v>504</v>
      </c>
      <c r="D32" t="str">
        <f t="shared" si="0"/>
        <v xml:space="preserve">	          , b.YUPUL_CNT_FVHD_METER</v>
      </c>
    </row>
    <row r="33" spans="1:4">
      <c r="A33" t="s">
        <v>514</v>
      </c>
      <c r="B33" t="s">
        <v>520</v>
      </c>
      <c r="C33" s="60">
        <v>1050</v>
      </c>
      <c r="D33" t="str">
        <f t="shared" si="0"/>
        <v xml:space="preserve">	          , b.YUPUL_CNT_ONE_KM</v>
      </c>
    </row>
    <row r="34" spans="1:4">
      <c r="A34" t="s">
        <v>514</v>
      </c>
      <c r="B34" t="s">
        <v>521</v>
      </c>
      <c r="C34" s="60">
        <v>21304</v>
      </c>
      <c r="D34" t="str">
        <f t="shared" si="0"/>
        <v xml:space="preserve">	          , b.YUPUL_CNT_THREE_KM</v>
      </c>
    </row>
    <row r="35" spans="1:4">
      <c r="A35" t="s">
        <v>514</v>
      </c>
      <c r="B35" t="s">
        <v>522</v>
      </c>
      <c r="C35" s="60">
        <v>54094</v>
      </c>
      <c r="D35" t="str">
        <f t="shared" si="0"/>
        <v xml:space="preserve">	          , b.YUPUL_CNT_FIVE_KM</v>
      </c>
    </row>
    <row r="36" spans="1:4">
      <c r="A36" t="s">
        <v>514</v>
      </c>
      <c r="B36" t="s">
        <v>372</v>
      </c>
      <c r="C36" s="60">
        <v>287.3</v>
      </c>
      <c r="D36" t="str">
        <f t="shared" si="0"/>
        <v xml:space="preserve">	          , b.AGDX_FVHD_METER</v>
      </c>
    </row>
    <row r="37" spans="1:4">
      <c r="A37" t="s">
        <v>514</v>
      </c>
      <c r="B37" t="s">
        <v>523</v>
      </c>
      <c r="C37" s="60">
        <v>523.62</v>
      </c>
      <c r="D37" t="str">
        <f t="shared" si="0"/>
        <v xml:space="preserve">	          , b.AGDX_ONE_KM</v>
      </c>
    </row>
    <row r="38" spans="1:4">
      <c r="A38" t="s">
        <v>514</v>
      </c>
      <c r="B38" t="s">
        <v>524</v>
      </c>
      <c r="C38" s="60">
        <v>247.34</v>
      </c>
      <c r="D38" t="str">
        <f t="shared" si="0"/>
        <v xml:space="preserve">	          , b.AGDX_THREE_KM</v>
      </c>
    </row>
    <row r="39" spans="1:4">
      <c r="A39" t="s">
        <v>514</v>
      </c>
      <c r="B39" t="s">
        <v>525</v>
      </c>
      <c r="C39" s="60">
        <v>179.26</v>
      </c>
      <c r="D39" t="str">
        <f t="shared" si="0"/>
        <v xml:space="preserve">	          , b.AGDX_FIVE_KM</v>
      </c>
    </row>
    <row r="40" spans="1:4">
      <c r="A40" t="s">
        <v>514</v>
      </c>
      <c r="B40" t="s">
        <v>373</v>
      </c>
      <c r="C40" s="60">
        <v>4338</v>
      </c>
      <c r="D40" t="str">
        <f t="shared" si="0"/>
        <v xml:space="preserve">	          , b.WKAGEPUL_CNT_FVHD_METER</v>
      </c>
    </row>
    <row r="41" spans="1:4">
      <c r="A41" t="s">
        <v>514</v>
      </c>
      <c r="B41" t="s">
        <v>526</v>
      </c>
      <c r="C41" s="60">
        <v>12811</v>
      </c>
      <c r="D41" t="str">
        <f t="shared" si="0"/>
        <v xml:space="preserve">	          , b.WKAGEPUL_CNT_ONE_KM</v>
      </c>
    </row>
    <row r="42" spans="1:4">
      <c r="A42" t="s">
        <v>514</v>
      </c>
      <c r="B42" t="s">
        <v>374</v>
      </c>
      <c r="C42" s="60">
        <v>174854</v>
      </c>
      <c r="D42" t="str">
        <f t="shared" si="0"/>
        <v xml:space="preserve">	          , b.WKAGEPUL_CNT_THREE_KM</v>
      </c>
    </row>
    <row r="43" spans="1:4">
      <c r="A43" t="s">
        <v>514</v>
      </c>
      <c r="B43" t="s">
        <v>527</v>
      </c>
      <c r="C43" s="60">
        <v>381406</v>
      </c>
      <c r="D43" t="str">
        <f t="shared" si="0"/>
        <v xml:space="preserve">	          , b.WKAGEPUL_CNT_FIVE_KM</v>
      </c>
    </row>
    <row r="44" spans="1:4">
      <c r="A44" t="s">
        <v>528</v>
      </c>
      <c r="B44" t="s">
        <v>375</v>
      </c>
      <c r="C44" s="60">
        <v>3086</v>
      </c>
      <c r="D44" t="str">
        <f t="shared" si="0"/>
        <v xml:space="preserve">	          , c.TOTHOHLD_CNT_FVHD_METER</v>
      </c>
    </row>
    <row r="45" spans="1:4">
      <c r="A45" t="s">
        <v>528</v>
      </c>
      <c r="B45" t="s">
        <v>529</v>
      </c>
      <c r="C45" s="60">
        <v>10586</v>
      </c>
      <c r="D45" t="str">
        <f t="shared" si="0"/>
        <v xml:space="preserve">	          , c.TOTHOHLD_CNT_ONE_KM</v>
      </c>
    </row>
    <row r="46" spans="1:4">
      <c r="A46" t="s">
        <v>528</v>
      </c>
      <c r="B46" t="s">
        <v>376</v>
      </c>
      <c r="C46" s="60">
        <v>117601</v>
      </c>
      <c r="D46" t="str">
        <f t="shared" si="0"/>
        <v xml:space="preserve">	          , c.TOTHOHLD_CNT_THREE_KM</v>
      </c>
    </row>
    <row r="47" spans="1:4">
      <c r="A47" t="s">
        <v>528</v>
      </c>
      <c r="B47" t="s">
        <v>530</v>
      </c>
      <c r="C47" s="60">
        <v>238032</v>
      </c>
      <c r="D47" t="str">
        <f t="shared" si="0"/>
        <v xml:space="preserve">	          , c.TOTHOHLD_CNT_FIVE_KM</v>
      </c>
    </row>
    <row r="48" spans="1:4">
      <c r="A48" t="s">
        <v>528</v>
      </c>
      <c r="B48" t="s">
        <v>377</v>
      </c>
      <c r="C48" s="60">
        <v>1644</v>
      </c>
      <c r="D48" t="str">
        <f t="shared" si="0"/>
        <v xml:space="preserve">	          , c.TOTBS_CNT_FVHD_METER</v>
      </c>
    </row>
    <row r="49" spans="1:4">
      <c r="A49" t="s">
        <v>528</v>
      </c>
      <c r="B49" t="s">
        <v>531</v>
      </c>
      <c r="C49" s="60">
        <v>4743</v>
      </c>
      <c r="D49" t="str">
        <f t="shared" si="0"/>
        <v xml:space="preserve">	          , c.TOTBS_CNT_ONE_KM</v>
      </c>
    </row>
    <row r="50" spans="1:4">
      <c r="A50" t="s">
        <v>528</v>
      </c>
      <c r="B50" t="s">
        <v>378</v>
      </c>
      <c r="C50" s="60">
        <v>29579</v>
      </c>
      <c r="D50" t="str">
        <f t="shared" si="0"/>
        <v xml:space="preserve">	          , c.TOTBS_CNT_THREE_KM</v>
      </c>
    </row>
    <row r="51" spans="1:4">
      <c r="A51" t="s">
        <v>528</v>
      </c>
      <c r="B51" t="s">
        <v>532</v>
      </c>
      <c r="C51" s="60">
        <v>53827</v>
      </c>
      <c r="D51" t="str">
        <f t="shared" si="0"/>
        <v xml:space="preserve">	          , c.TOTBS_CNT_FIVE_KM</v>
      </c>
    </row>
    <row r="52" spans="1:4">
      <c r="A52" t="s">
        <v>528</v>
      </c>
      <c r="B52" t="s">
        <v>379</v>
      </c>
      <c r="C52" s="60">
        <v>7483</v>
      </c>
      <c r="D52" t="str">
        <f t="shared" si="0"/>
        <v xml:space="preserve">	          , c.TOTENFSN_CNT_FVHD_METER</v>
      </c>
    </row>
    <row r="53" spans="1:4">
      <c r="A53" t="s">
        <v>528</v>
      </c>
      <c r="B53" t="s">
        <v>533</v>
      </c>
      <c r="C53" s="60">
        <v>18971</v>
      </c>
      <c r="D53" t="str">
        <f t="shared" si="0"/>
        <v xml:space="preserve">	          , c.TOTENFSN_CNT_ONE_KM</v>
      </c>
    </row>
    <row r="54" spans="1:4">
      <c r="A54" t="s">
        <v>528</v>
      </c>
      <c r="B54" t="s">
        <v>380</v>
      </c>
      <c r="C54" s="60">
        <v>99745</v>
      </c>
      <c r="D54" t="str">
        <f t="shared" si="0"/>
        <v xml:space="preserve">	          , c.TOTENFSN_CNT_THREE_KM</v>
      </c>
    </row>
    <row r="55" spans="1:4">
      <c r="A55" t="s">
        <v>528</v>
      </c>
      <c r="B55" t="s">
        <v>534</v>
      </c>
      <c r="C55" s="60">
        <v>215702</v>
      </c>
      <c r="D55" t="str">
        <f t="shared" si="0"/>
        <v xml:space="preserve">	          , c.TOTENFSN_CNT_FIVE_KM</v>
      </c>
    </row>
    <row r="56" spans="1:4">
      <c r="A56" t="s">
        <v>528</v>
      </c>
      <c r="B56" t="s">
        <v>463</v>
      </c>
      <c r="C56" s="60">
        <v>7836</v>
      </c>
      <c r="D56" t="str">
        <f t="shared" si="0"/>
        <v xml:space="preserve">	          , c.BSNS_CNT_WHRTBS_THREE_KM</v>
      </c>
    </row>
    <row r="57" spans="1:4">
      <c r="A57" t="s">
        <v>528</v>
      </c>
      <c r="B57" t="s">
        <v>535</v>
      </c>
      <c r="C57" s="60">
        <v>13269</v>
      </c>
      <c r="D57" t="str">
        <f t="shared" si="0"/>
        <v xml:space="preserve">	          , c.BSNS_CNT_WHRTBS_FIVE_KM</v>
      </c>
    </row>
    <row r="58" spans="1:4">
      <c r="A58" t="s">
        <v>528</v>
      </c>
      <c r="B58" t="s">
        <v>464</v>
      </c>
      <c r="C58" s="60">
        <v>5390</v>
      </c>
      <c r="D58" t="str">
        <f t="shared" si="0"/>
        <v xml:space="preserve">	          , c.BSNS_CNT_RSTLDBS_THREE_KM</v>
      </c>
    </row>
    <row r="59" spans="1:4">
      <c r="A59" t="s">
        <v>528</v>
      </c>
      <c r="B59" t="s">
        <v>536</v>
      </c>
      <c r="C59" s="60">
        <v>9415</v>
      </c>
      <c r="D59" t="str">
        <f t="shared" si="0"/>
        <v xml:space="preserve">	          , c.BSNS_CNT_RSTLDBS_FIVE_KM</v>
      </c>
    </row>
    <row r="60" spans="1:4">
      <c r="A60" t="s">
        <v>528</v>
      </c>
      <c r="B60" t="s">
        <v>381</v>
      </c>
      <c r="C60" s="60">
        <v>15283</v>
      </c>
      <c r="D60" t="str">
        <f t="shared" si="0"/>
        <v xml:space="preserve">	          , c.ENFSN_CNT_WHRTBS_THREE_KM</v>
      </c>
    </row>
    <row r="61" spans="1:4">
      <c r="A61" t="s">
        <v>528</v>
      </c>
      <c r="B61" t="s">
        <v>537</v>
      </c>
      <c r="C61" s="60">
        <v>26403</v>
      </c>
      <c r="D61" t="str">
        <f t="shared" si="0"/>
        <v xml:space="preserve">	          , c.ENFSN_CNT_WHRTBS_FIVE_KM</v>
      </c>
    </row>
    <row r="62" spans="1:4">
      <c r="A62" t="s">
        <v>528</v>
      </c>
      <c r="B62" t="s">
        <v>382</v>
      </c>
      <c r="C62" s="60">
        <v>11501</v>
      </c>
      <c r="D62" t="str">
        <f t="shared" si="0"/>
        <v xml:space="preserve">	          , c.ENFSN_CNT_RSTLDBS_THREE_KM</v>
      </c>
    </row>
    <row r="63" spans="1:4">
      <c r="A63" t="s">
        <v>528</v>
      </c>
      <c r="B63" t="s">
        <v>538</v>
      </c>
      <c r="C63" s="60">
        <v>20675</v>
      </c>
      <c r="D63" t="str">
        <f t="shared" si="0"/>
        <v xml:space="preserve">	          , c.ENFSN_CNT_RSTLDBS_FIVE_KM</v>
      </c>
    </row>
    <row r="64" spans="1:4">
      <c r="A64" t="s">
        <v>528</v>
      </c>
      <c r="B64" t="s">
        <v>539</v>
      </c>
      <c r="C64" s="60">
        <v>2091</v>
      </c>
      <c r="D64" t="str">
        <f t="shared" si="0"/>
        <v xml:space="preserve">	          , c.TOTHSNO_FVHD_METER</v>
      </c>
    </row>
    <row r="65" spans="1:4">
      <c r="A65" t="s">
        <v>528</v>
      </c>
      <c r="B65" t="s">
        <v>540</v>
      </c>
      <c r="C65" s="60">
        <v>6800</v>
      </c>
      <c r="D65" t="str">
        <f t="shared" si="0"/>
        <v xml:space="preserve">	          , c.TOTHSNO_ONE_KM</v>
      </c>
    </row>
    <row r="66" spans="1:4">
      <c r="A66" t="s">
        <v>528</v>
      </c>
      <c r="B66" t="s">
        <v>541</v>
      </c>
      <c r="C66" s="60">
        <v>88761</v>
      </c>
      <c r="D66" t="str">
        <f t="shared" si="0"/>
        <v xml:space="preserve">	          , c.TOTHSNO_THREE_KM</v>
      </c>
    </row>
    <row r="67" spans="1:4">
      <c r="A67" t="s">
        <v>528</v>
      </c>
      <c r="B67" t="s">
        <v>542</v>
      </c>
      <c r="C67" s="60">
        <v>186859</v>
      </c>
      <c r="D67" t="str">
        <f t="shared" ref="D67:D130" si="1">"	          , "&amp;A67&amp;"."&amp;B67</f>
        <v xml:space="preserve">	          , c.TOTHSNO_FIVE_KM</v>
      </c>
    </row>
    <row r="68" spans="1:4">
      <c r="A68" t="s">
        <v>543</v>
      </c>
      <c r="B68" t="s">
        <v>383</v>
      </c>
      <c r="C68" s="60">
        <v>1511</v>
      </c>
      <c r="D68" t="str">
        <f t="shared" si="1"/>
        <v xml:space="preserve">	          , d.BULD_CNT_FVHD_METER</v>
      </c>
    </row>
    <row r="69" spans="1:4">
      <c r="A69" t="s">
        <v>543</v>
      </c>
      <c r="B69" t="s">
        <v>544</v>
      </c>
      <c r="C69" s="60">
        <v>7355</v>
      </c>
      <c r="D69" t="str">
        <f t="shared" si="1"/>
        <v xml:space="preserve">	          , d.BULD_CNT_ONE_KM</v>
      </c>
    </row>
    <row r="70" spans="1:4">
      <c r="A70" t="s">
        <v>543</v>
      </c>
      <c r="B70" t="s">
        <v>545</v>
      </c>
      <c r="C70" s="60">
        <v>41471</v>
      </c>
      <c r="D70" t="str">
        <f t="shared" si="1"/>
        <v xml:space="preserve">	          , d.BULD_CNT_THREE_KM</v>
      </c>
    </row>
    <row r="71" spans="1:4">
      <c r="A71" t="s">
        <v>543</v>
      </c>
      <c r="B71" t="s">
        <v>546</v>
      </c>
      <c r="C71" s="60">
        <v>63557</v>
      </c>
      <c r="D71" t="str">
        <f t="shared" si="1"/>
        <v xml:space="preserve">	          , d.BULD_CNT_FIVE_KM</v>
      </c>
    </row>
    <row r="72" spans="1:4">
      <c r="A72" t="s">
        <v>543</v>
      </c>
      <c r="B72" t="s">
        <v>384</v>
      </c>
      <c r="C72" s="60">
        <v>884</v>
      </c>
      <c r="D72" t="str">
        <f t="shared" si="1"/>
        <v xml:space="preserve">	          , d.HOUSE_CNT_FVHD_METER</v>
      </c>
    </row>
    <row r="73" spans="1:4">
      <c r="A73" t="s">
        <v>543</v>
      </c>
      <c r="B73" t="s">
        <v>547</v>
      </c>
      <c r="C73" s="60">
        <v>4611</v>
      </c>
      <c r="D73" t="str">
        <f t="shared" si="1"/>
        <v xml:space="preserve">	          , d.HOUSE_CNT_ONE_KM</v>
      </c>
    </row>
    <row r="74" spans="1:4">
      <c r="A74" t="s">
        <v>543</v>
      </c>
      <c r="B74" t="s">
        <v>474</v>
      </c>
      <c r="C74" s="60">
        <v>26656</v>
      </c>
      <c r="D74" t="str">
        <f t="shared" si="1"/>
        <v xml:space="preserve">	          , d.HOUSE_CNT_THREE_KM</v>
      </c>
    </row>
    <row r="75" spans="1:4">
      <c r="A75" t="s">
        <v>543</v>
      </c>
      <c r="B75" t="s">
        <v>548</v>
      </c>
      <c r="C75" s="60">
        <v>40721</v>
      </c>
      <c r="D75" t="str">
        <f t="shared" si="1"/>
        <v xml:space="preserve">	          , d.HOUSE_CNT_FIVE_KM</v>
      </c>
    </row>
    <row r="76" spans="1:4">
      <c r="A76" t="s">
        <v>543</v>
      </c>
      <c r="B76" t="s">
        <v>385</v>
      </c>
      <c r="C76" s="60">
        <v>1305</v>
      </c>
      <c r="D76" t="str">
        <f t="shared" si="1"/>
        <v xml:space="preserve">	          , d.OLDBLD_CNT_FVHD_METER</v>
      </c>
    </row>
    <row r="77" spans="1:4">
      <c r="A77" t="s">
        <v>543</v>
      </c>
      <c r="B77" t="s">
        <v>549</v>
      </c>
      <c r="C77" s="60">
        <v>6439</v>
      </c>
      <c r="D77" t="str">
        <f t="shared" si="1"/>
        <v xml:space="preserve">	          , d.OLDBLD_CNT_ONE_KM</v>
      </c>
    </row>
    <row r="78" spans="1:4">
      <c r="A78" t="s">
        <v>543</v>
      </c>
      <c r="B78" t="s">
        <v>550</v>
      </c>
      <c r="C78" s="60">
        <v>34217</v>
      </c>
      <c r="D78" t="str">
        <f t="shared" si="1"/>
        <v xml:space="preserve">	          , d.OLDBLD_CNT_THREE_KM</v>
      </c>
    </row>
    <row r="79" spans="1:4">
      <c r="A79" t="s">
        <v>543</v>
      </c>
      <c r="B79" t="s">
        <v>551</v>
      </c>
      <c r="C79" s="60">
        <v>47484</v>
      </c>
      <c r="D79" t="str">
        <f t="shared" si="1"/>
        <v xml:space="preserve">	          , d.OLDBLD_CNT_FIVE_KM</v>
      </c>
    </row>
    <row r="80" spans="1:4">
      <c r="A80" t="s">
        <v>543</v>
      </c>
      <c r="B80" t="s">
        <v>386</v>
      </c>
      <c r="C80" s="60">
        <v>767</v>
      </c>
      <c r="D80" t="str">
        <f t="shared" si="1"/>
        <v xml:space="preserve">	          , d.OLDHS_CNT_FVHD_METER</v>
      </c>
    </row>
    <row r="81" spans="1:4">
      <c r="A81" t="s">
        <v>543</v>
      </c>
      <c r="B81" t="s">
        <v>552</v>
      </c>
      <c r="C81" s="60">
        <v>4100</v>
      </c>
      <c r="D81" t="str">
        <f t="shared" si="1"/>
        <v xml:space="preserve">	          , d.OLDHS_CNT_ONE_KM</v>
      </c>
    </row>
    <row r="82" spans="1:4">
      <c r="A82" t="s">
        <v>543</v>
      </c>
      <c r="B82" t="s">
        <v>553</v>
      </c>
      <c r="C82" s="60">
        <v>22134</v>
      </c>
      <c r="D82" t="str">
        <f t="shared" si="1"/>
        <v xml:space="preserve">	          , d.OLDHS_CNT_THREE_KM</v>
      </c>
    </row>
    <row r="83" spans="1:4">
      <c r="A83" t="s">
        <v>543</v>
      </c>
      <c r="B83" t="s">
        <v>554</v>
      </c>
      <c r="C83" s="60">
        <v>30692</v>
      </c>
      <c r="D83" t="str">
        <f t="shared" si="1"/>
        <v xml:space="preserve">	          , d.OLDHS_CNT_FIVE_KM</v>
      </c>
    </row>
    <row r="84" spans="1:4">
      <c r="A84" t="s">
        <v>543</v>
      </c>
      <c r="B84" t="s">
        <v>387</v>
      </c>
      <c r="C84" s="60">
        <v>621521</v>
      </c>
      <c r="D84" t="str">
        <f t="shared" si="1"/>
        <v xml:space="preserve">	          , d.BULD_GRFA_FVHD_METER</v>
      </c>
    </row>
    <row r="85" spans="1:4">
      <c r="A85" t="s">
        <v>543</v>
      </c>
      <c r="B85" t="s">
        <v>555</v>
      </c>
      <c r="C85" s="60">
        <v>2189028</v>
      </c>
      <c r="D85" t="str">
        <f t="shared" si="1"/>
        <v xml:space="preserve">	          , d.BULD_GRFA_ONE_KM</v>
      </c>
    </row>
    <row r="86" spans="1:4">
      <c r="A86" t="s">
        <v>543</v>
      </c>
      <c r="B86" t="s">
        <v>556</v>
      </c>
      <c r="C86" s="60">
        <v>19303215</v>
      </c>
      <c r="D86" t="str">
        <f t="shared" si="1"/>
        <v xml:space="preserve">	          , d.BULD_GRFA_THREE_KM</v>
      </c>
    </row>
    <row r="87" spans="1:4">
      <c r="A87" t="s">
        <v>543</v>
      </c>
      <c r="B87" t="s">
        <v>557</v>
      </c>
      <c r="C87" s="60">
        <v>41692275</v>
      </c>
      <c r="D87" t="str">
        <f t="shared" si="1"/>
        <v xml:space="preserve">	          , d.BULD_GRFA_FIVE_KM</v>
      </c>
    </row>
    <row r="88" spans="1:4">
      <c r="A88" t="s">
        <v>543</v>
      </c>
      <c r="B88" t="s">
        <v>388</v>
      </c>
      <c r="C88" s="60">
        <v>79.13</v>
      </c>
      <c r="D88" t="str">
        <f t="shared" si="1"/>
        <v xml:space="preserve">	          , d.LDUSE_BULD_CMPDGR_FVHD_METER</v>
      </c>
    </row>
    <row r="89" spans="1:4">
      <c r="A89" t="s">
        <v>543</v>
      </c>
      <c r="B89" t="s">
        <v>558</v>
      </c>
      <c r="C89" s="60">
        <v>69.680000000000007</v>
      </c>
      <c r="D89" t="str">
        <f t="shared" si="1"/>
        <v xml:space="preserve">	          , d.LDUSE_BULD_CMPDGR_ONE_KM</v>
      </c>
    </row>
    <row r="90" spans="1:4">
      <c r="A90" t="s">
        <v>543</v>
      </c>
      <c r="B90" t="s">
        <v>559</v>
      </c>
      <c r="C90" s="60">
        <v>68.27</v>
      </c>
      <c r="D90" t="str">
        <f t="shared" si="1"/>
        <v xml:space="preserve">	          , d.LDUSE_BULD_CMPDGR_THREE_KM</v>
      </c>
    </row>
    <row r="91" spans="1:4">
      <c r="A91" t="s">
        <v>543</v>
      </c>
      <c r="B91" t="s">
        <v>560</v>
      </c>
      <c r="C91" s="60">
        <v>53.08</v>
      </c>
      <c r="D91" t="str">
        <f t="shared" si="1"/>
        <v xml:space="preserve">	          , d.LDUSE_BULD_CMPDGR_FIVE_KM</v>
      </c>
    </row>
    <row r="92" spans="1:4">
      <c r="A92" t="s">
        <v>543</v>
      </c>
      <c r="B92" t="s">
        <v>389</v>
      </c>
      <c r="C92" s="60">
        <v>17</v>
      </c>
      <c r="D92" t="str">
        <f t="shared" si="1"/>
        <v xml:space="preserve">	          , d.LDUSE_BULD_CMPLXDGR_FVHD_METER</v>
      </c>
    </row>
    <row r="93" spans="1:4">
      <c r="A93" t="s">
        <v>543</v>
      </c>
      <c r="B93" t="s">
        <v>561</v>
      </c>
      <c r="C93" s="60">
        <v>22</v>
      </c>
      <c r="D93" t="str">
        <f t="shared" si="1"/>
        <v xml:space="preserve">	          , d.LDUSE_BULD_CMPLXDGR_ONE_KM</v>
      </c>
    </row>
    <row r="94" spans="1:4">
      <c r="A94" t="s">
        <v>543</v>
      </c>
      <c r="B94" t="s">
        <v>562</v>
      </c>
      <c r="C94" s="60">
        <v>26</v>
      </c>
      <c r="D94" t="str">
        <f t="shared" si="1"/>
        <v xml:space="preserve">	          , d.LDUSE_BULD_CMPLXDGR_THREE_KM</v>
      </c>
    </row>
    <row r="95" spans="1:4">
      <c r="A95" t="s">
        <v>543</v>
      </c>
      <c r="B95" t="s">
        <v>563</v>
      </c>
      <c r="C95" s="60">
        <v>31</v>
      </c>
      <c r="D95" t="str">
        <f t="shared" si="1"/>
        <v xml:space="preserve">	          , d.LDUSE_BULD_CMPLXDGR_FIVE_KM</v>
      </c>
    </row>
    <row r="96" spans="1:4">
      <c r="A96" t="s">
        <v>564</v>
      </c>
      <c r="B96" t="s">
        <v>476</v>
      </c>
      <c r="C96" s="60">
        <v>0</v>
      </c>
      <c r="D96" t="str">
        <f t="shared" si="1"/>
        <v xml:space="preserve">	          , e.TFCVN_NRBHW_ECNT_FVHD_METER</v>
      </c>
    </row>
    <row r="97" spans="1:4">
      <c r="A97" t="s">
        <v>564</v>
      </c>
      <c r="B97" t="s">
        <v>477</v>
      </c>
      <c r="C97" s="60" t="s">
        <v>565</v>
      </c>
      <c r="D97" t="str">
        <f t="shared" si="1"/>
        <v xml:space="preserve">	          , e.TFCVN_HIWY_SHRTDST</v>
      </c>
    </row>
    <row r="98" spans="1:4">
      <c r="A98" t="s">
        <v>564</v>
      </c>
      <c r="B98" t="s">
        <v>483</v>
      </c>
      <c r="C98" s="60">
        <v>1</v>
      </c>
      <c r="D98" t="str">
        <f t="shared" si="1"/>
        <v xml:space="preserve">	          , e.TFCVN_NRBMARD_ECNT_FVHD_METER</v>
      </c>
    </row>
    <row r="99" spans="1:4">
      <c r="A99" t="s">
        <v>564</v>
      </c>
      <c r="B99" t="s">
        <v>484</v>
      </c>
      <c r="C99" s="60">
        <v>414</v>
      </c>
      <c r="D99" t="str">
        <f t="shared" si="1"/>
        <v xml:space="preserve">	          , e.TFCVN_MARD_SHRTDST</v>
      </c>
    </row>
    <row r="100" spans="1:4">
      <c r="A100" t="s">
        <v>564</v>
      </c>
      <c r="B100" t="s">
        <v>485</v>
      </c>
      <c r="C100" s="60">
        <v>23</v>
      </c>
      <c r="D100" t="str">
        <f t="shared" si="1"/>
        <v xml:space="preserve">	          , e.TFCVN_NRBSMRD_ECNT_FVHD_METER</v>
      </c>
    </row>
    <row r="101" spans="1:4">
      <c r="A101" t="s">
        <v>564</v>
      </c>
      <c r="B101" t="s">
        <v>486</v>
      </c>
      <c r="C101" s="60">
        <v>13</v>
      </c>
      <c r="D101" t="str">
        <f t="shared" si="1"/>
        <v xml:space="preserve">	          , e.TFCVN_SMRD_SHRTDST</v>
      </c>
    </row>
    <row r="102" spans="1:4">
      <c r="A102" t="s">
        <v>564</v>
      </c>
      <c r="B102" t="s">
        <v>487</v>
      </c>
      <c r="C102" s="60">
        <v>99</v>
      </c>
      <c r="D102" t="str">
        <f t="shared" si="1"/>
        <v xml:space="preserve">	          , e.TFCVN_NRBSRT_ECNT_FVHD_METER</v>
      </c>
    </row>
    <row r="103" spans="1:4">
      <c r="A103" t="s">
        <v>564</v>
      </c>
      <c r="B103" t="s">
        <v>488</v>
      </c>
      <c r="C103" s="60">
        <v>6</v>
      </c>
      <c r="D103" t="str">
        <f t="shared" si="1"/>
        <v xml:space="preserve">	          , e.TFCVN_STRT_SHRTDST</v>
      </c>
    </row>
    <row r="104" spans="1:4">
      <c r="A104" t="s">
        <v>566</v>
      </c>
      <c r="B104" t="s">
        <v>489</v>
      </c>
      <c r="C104" s="60">
        <v>262</v>
      </c>
      <c r="D104" t="str">
        <f t="shared" si="1"/>
        <v xml:space="preserve">	          , f.TFCVN_BSTP_SHRTDST</v>
      </c>
    </row>
    <row r="105" spans="1:4">
      <c r="A105" t="s">
        <v>566</v>
      </c>
      <c r="B105" t="s">
        <v>490</v>
      </c>
      <c r="C105" s="60">
        <v>32</v>
      </c>
      <c r="D105" t="str">
        <f t="shared" si="1"/>
        <v xml:space="preserve">	          , f.TFCVN_BSTP_CNT_FVHD_METER</v>
      </c>
    </row>
    <row r="106" spans="1:4">
      <c r="A106" t="s">
        <v>566</v>
      </c>
      <c r="B106" t="s">
        <v>567</v>
      </c>
      <c r="C106" s="60">
        <v>76</v>
      </c>
      <c r="D106" t="str">
        <f t="shared" si="1"/>
        <v xml:space="preserve">	          , f.TFCVN_BSTP_CNT_ONE_KM</v>
      </c>
    </row>
    <row r="107" spans="1:4">
      <c r="A107" t="s">
        <v>566</v>
      </c>
      <c r="B107" t="s">
        <v>491</v>
      </c>
      <c r="C107" s="60">
        <v>538</v>
      </c>
      <c r="D107" t="str">
        <f t="shared" si="1"/>
        <v xml:space="preserve">	          , f.TFCVN_BSTP_CNT_THREE_KM</v>
      </c>
    </row>
    <row r="108" spans="1:4">
      <c r="A108" t="s">
        <v>566</v>
      </c>
      <c r="B108" t="s">
        <v>568</v>
      </c>
      <c r="C108" s="60">
        <v>1113</v>
      </c>
      <c r="D108" t="str">
        <f t="shared" si="1"/>
        <v xml:space="preserve">	          , f.TFCVN_BSTP_CNT_FIVE_KM</v>
      </c>
    </row>
    <row r="109" spans="1:4">
      <c r="A109" t="s">
        <v>569</v>
      </c>
      <c r="B109" t="s">
        <v>492</v>
      </c>
      <c r="C109" s="60" t="s">
        <v>570</v>
      </c>
      <c r="D109" t="str">
        <f t="shared" si="1"/>
        <v xml:space="preserve">	          , g.TFCVN_NRBSTATN</v>
      </c>
    </row>
    <row r="110" spans="1:4">
      <c r="A110" t="s">
        <v>569</v>
      </c>
      <c r="B110" t="s">
        <v>479</v>
      </c>
      <c r="C110" s="60">
        <v>6068</v>
      </c>
      <c r="D110" t="str">
        <f t="shared" si="1"/>
        <v xml:space="preserve">	          , g.TFCVN_STATN_SHRTDST</v>
      </c>
    </row>
    <row r="111" spans="1:4">
      <c r="A111" t="s">
        <v>571</v>
      </c>
      <c r="B111" t="s">
        <v>493</v>
      </c>
      <c r="C111" s="60" t="s">
        <v>572</v>
      </c>
      <c r="D111" t="str">
        <f t="shared" si="1"/>
        <v xml:space="preserve">	          , h.TFCVN_NRBHWIC</v>
      </c>
    </row>
    <row r="112" spans="1:4">
      <c r="A112" t="s">
        <v>571</v>
      </c>
      <c r="B112" t="s">
        <v>478</v>
      </c>
      <c r="C112" s="60">
        <v>5905</v>
      </c>
      <c r="D112" t="str">
        <f t="shared" si="1"/>
        <v xml:space="preserve">	          , h.TFCVN_HWIC_SHRTDST</v>
      </c>
    </row>
    <row r="113" spans="1:4">
      <c r="A113" t="s">
        <v>573</v>
      </c>
      <c r="B113" t="s">
        <v>574</v>
      </c>
      <c r="C113" s="60">
        <v>368</v>
      </c>
      <c r="D113" t="str">
        <f t="shared" si="1"/>
        <v xml:space="preserve">	          , i.LVCNS_ELESCH_SHRTDST</v>
      </c>
    </row>
    <row r="114" spans="1:4">
      <c r="A114" t="s">
        <v>573</v>
      </c>
      <c r="B114" t="s">
        <v>359</v>
      </c>
      <c r="C114" s="60">
        <v>12</v>
      </c>
      <c r="D114" t="str">
        <f t="shared" si="1"/>
        <v xml:space="preserve">	          , i.LVCNS_ELESCH_CNT_FVHD_METER</v>
      </c>
    </row>
    <row r="115" spans="1:4">
      <c r="A115" t="s">
        <v>573</v>
      </c>
      <c r="B115" t="s">
        <v>575</v>
      </c>
      <c r="C115" s="60">
        <v>12</v>
      </c>
      <c r="D115" t="str">
        <f t="shared" si="1"/>
        <v xml:space="preserve">	          , i.LVCNS_ELESCH_CNT_ONE_KM</v>
      </c>
    </row>
    <row r="116" spans="1:4">
      <c r="A116" t="s">
        <v>573</v>
      </c>
      <c r="B116" t="s">
        <v>576</v>
      </c>
      <c r="C116" s="60">
        <v>87</v>
      </c>
      <c r="D116" t="str">
        <f t="shared" si="1"/>
        <v xml:space="preserve">	          , i.LVCNS_ELESCH_CNT_THREE_KM</v>
      </c>
    </row>
    <row r="117" spans="1:4">
      <c r="A117" t="s">
        <v>573</v>
      </c>
      <c r="B117" t="s">
        <v>577</v>
      </c>
      <c r="C117" s="60">
        <v>195</v>
      </c>
      <c r="D117" t="str">
        <f t="shared" si="1"/>
        <v xml:space="preserve">	          , i.LVCNS_ELESCH_CNT_FIVE_KM</v>
      </c>
    </row>
    <row r="118" spans="1:4">
      <c r="A118" t="s">
        <v>573</v>
      </c>
      <c r="B118" t="s">
        <v>578</v>
      </c>
      <c r="C118" s="60">
        <v>140</v>
      </c>
      <c r="D118" t="str">
        <f t="shared" si="1"/>
        <v xml:space="preserve">	          , i.LVCNS_MSKUL_SHRTDST</v>
      </c>
    </row>
    <row r="119" spans="1:4">
      <c r="A119" t="s">
        <v>573</v>
      </c>
      <c r="B119" t="s">
        <v>360</v>
      </c>
      <c r="C119" s="60">
        <v>2</v>
      </c>
      <c r="D119" t="str">
        <f t="shared" si="1"/>
        <v xml:space="preserve">	          , i.LVCNS_MSKUL_CNT_FVHD_METER</v>
      </c>
    </row>
    <row r="120" spans="1:4">
      <c r="A120" t="s">
        <v>573</v>
      </c>
      <c r="B120" t="s">
        <v>579</v>
      </c>
      <c r="C120" s="60">
        <v>4</v>
      </c>
      <c r="D120" t="str">
        <f t="shared" si="1"/>
        <v xml:space="preserve">	          , i.LVCNS_MSKUL_CNT_ONE_KM</v>
      </c>
    </row>
    <row r="121" spans="1:4">
      <c r="A121" t="s">
        <v>573</v>
      </c>
      <c r="B121" t="s">
        <v>580</v>
      </c>
      <c r="C121" s="60">
        <v>35</v>
      </c>
      <c r="D121" t="str">
        <f t="shared" si="1"/>
        <v xml:space="preserve">	          , i.LVCNS_MSKUL_CNT_THREE_KM</v>
      </c>
    </row>
    <row r="122" spans="1:4">
      <c r="A122" t="s">
        <v>573</v>
      </c>
      <c r="B122" t="s">
        <v>581</v>
      </c>
      <c r="C122" s="60">
        <v>88</v>
      </c>
      <c r="D122" t="str">
        <f t="shared" si="1"/>
        <v xml:space="preserve">	          , i.LVCNS_MSKUL_CNT_FIVE_KM</v>
      </c>
    </row>
    <row r="123" spans="1:4">
      <c r="A123" t="s">
        <v>573</v>
      </c>
      <c r="B123" t="s">
        <v>582</v>
      </c>
      <c r="C123" s="60">
        <v>504</v>
      </c>
      <c r="D123" t="str">
        <f t="shared" si="1"/>
        <v xml:space="preserve">	          , i.LVCNS_HGSCHL_SHRTDST</v>
      </c>
    </row>
    <row r="124" spans="1:4">
      <c r="A124" t="s">
        <v>573</v>
      </c>
      <c r="B124" t="s">
        <v>361</v>
      </c>
      <c r="C124" s="60">
        <v>0</v>
      </c>
      <c r="D124" t="str">
        <f t="shared" si="1"/>
        <v xml:space="preserve">	          , i.LVCNS_HGSCHL_CNT_FVHD_METER</v>
      </c>
    </row>
    <row r="125" spans="1:4">
      <c r="A125" t="s">
        <v>573</v>
      </c>
      <c r="B125" t="s">
        <v>583</v>
      </c>
      <c r="C125" s="60">
        <v>6</v>
      </c>
      <c r="D125" t="str">
        <f t="shared" si="1"/>
        <v xml:space="preserve">	          , i.LVCNS_HGSCHL_CNT_ONE_KM</v>
      </c>
    </row>
    <row r="126" spans="1:4">
      <c r="A126" t="s">
        <v>573</v>
      </c>
      <c r="B126" t="s">
        <v>584</v>
      </c>
      <c r="C126" s="60">
        <v>63</v>
      </c>
      <c r="D126" t="str">
        <f t="shared" si="1"/>
        <v xml:space="preserve">	          , i.LVCNS_HGSCHL_CNT_THREE_KM</v>
      </c>
    </row>
    <row r="127" spans="1:4">
      <c r="A127" t="s">
        <v>573</v>
      </c>
      <c r="B127" t="s">
        <v>585</v>
      </c>
      <c r="C127" s="60">
        <v>89</v>
      </c>
      <c r="D127" t="str">
        <f t="shared" si="1"/>
        <v xml:space="preserve">	          , i.LVCNS_HGSCHL_CNT_FIVE_KM</v>
      </c>
    </row>
    <row r="128" spans="1:4">
      <c r="A128" t="s">
        <v>573</v>
      </c>
      <c r="B128" t="s">
        <v>586</v>
      </c>
      <c r="C128" s="60">
        <v>171</v>
      </c>
      <c r="D128" t="str">
        <f t="shared" si="1"/>
        <v xml:space="preserve">	          , i.LVCNS_INSTUT_SHRTDST</v>
      </c>
    </row>
    <row r="129" spans="1:4">
      <c r="A129" t="s">
        <v>573</v>
      </c>
      <c r="B129" t="s">
        <v>362</v>
      </c>
      <c r="C129" s="60">
        <v>36</v>
      </c>
      <c r="D129" t="str">
        <f t="shared" si="1"/>
        <v xml:space="preserve">	          , i.LVCNS_INSTUT_CNT_FVHD_METER</v>
      </c>
    </row>
    <row r="130" spans="1:4">
      <c r="A130" t="s">
        <v>573</v>
      </c>
      <c r="B130" t="s">
        <v>587</v>
      </c>
      <c r="C130" s="60">
        <v>141</v>
      </c>
      <c r="D130" t="str">
        <f t="shared" si="1"/>
        <v xml:space="preserve">	          , i.LVCNS_INSTUT_CNT_ONE_KM</v>
      </c>
    </row>
    <row r="131" spans="1:4">
      <c r="A131" t="s">
        <v>573</v>
      </c>
      <c r="B131" t="s">
        <v>588</v>
      </c>
      <c r="C131" s="60">
        <v>1344</v>
      </c>
      <c r="D131" t="str">
        <f t="shared" ref="D131:D161" si="2">"	          , "&amp;A131&amp;"."&amp;B131</f>
        <v xml:space="preserve">	          , i.LVCNS_INSTUT_CNT_THREE_KM</v>
      </c>
    </row>
    <row r="132" spans="1:4">
      <c r="A132" t="s">
        <v>573</v>
      </c>
      <c r="B132" t="s">
        <v>589</v>
      </c>
      <c r="C132" s="60">
        <v>2863</v>
      </c>
      <c r="D132" t="str">
        <f t="shared" si="2"/>
        <v xml:space="preserve">	          , i.LVCNS_INSTUT_CNT_FIVE_KM</v>
      </c>
    </row>
    <row r="133" spans="1:4">
      <c r="A133" t="s">
        <v>573</v>
      </c>
      <c r="B133" t="s">
        <v>590</v>
      </c>
      <c r="C133" s="60">
        <v>218</v>
      </c>
      <c r="D133" t="str">
        <f t="shared" si="2"/>
        <v xml:space="preserve">	          , i.LVCNS_CLNCHSPTL_SHRTDST</v>
      </c>
    </row>
    <row r="134" spans="1:4">
      <c r="A134" t="s">
        <v>573</v>
      </c>
      <c r="B134" t="s">
        <v>363</v>
      </c>
      <c r="C134" s="60">
        <v>14</v>
      </c>
      <c r="D134" t="str">
        <f t="shared" si="2"/>
        <v xml:space="preserve">	          , i.LVCNS_CLNCHSPTL_CNT_FVHD_METER</v>
      </c>
    </row>
    <row r="135" spans="1:4">
      <c r="A135" t="s">
        <v>573</v>
      </c>
      <c r="B135" t="s">
        <v>591</v>
      </c>
      <c r="C135" s="60">
        <v>56</v>
      </c>
      <c r="D135" t="str">
        <f t="shared" si="2"/>
        <v xml:space="preserve">	          , i.LVCNS_CLNCHSPTL_CNT_ONE_KM</v>
      </c>
    </row>
    <row r="136" spans="1:4">
      <c r="A136" t="s">
        <v>573</v>
      </c>
      <c r="B136" t="s">
        <v>592</v>
      </c>
      <c r="C136" s="60">
        <v>637</v>
      </c>
      <c r="D136" t="str">
        <f t="shared" si="2"/>
        <v xml:space="preserve">	          , i.LVCNS_CLNCHSPTL_CNT_THREE_KM</v>
      </c>
    </row>
    <row r="137" spans="1:4">
      <c r="A137" t="s">
        <v>573</v>
      </c>
      <c r="B137" t="s">
        <v>593</v>
      </c>
      <c r="C137" s="60">
        <v>1151</v>
      </c>
      <c r="D137" t="str">
        <f t="shared" si="2"/>
        <v xml:space="preserve">	          , i.LVCNS_CLNCHSPTL_CNT_FIVE_KM</v>
      </c>
    </row>
    <row r="138" spans="1:4">
      <c r="A138" t="s">
        <v>573</v>
      </c>
      <c r="B138" t="s">
        <v>594</v>
      </c>
      <c r="C138" s="60">
        <v>369</v>
      </c>
      <c r="D138" t="str">
        <f t="shared" si="2"/>
        <v xml:space="preserve">	          , i.LVCNS_BANK_SHRTDST</v>
      </c>
    </row>
    <row r="139" spans="1:4">
      <c r="A139" t="s">
        <v>573</v>
      </c>
      <c r="B139" t="s">
        <v>364</v>
      </c>
      <c r="C139" s="60">
        <v>1</v>
      </c>
      <c r="D139" t="str">
        <f t="shared" si="2"/>
        <v xml:space="preserve">	          , i.LVCNS_BANK_CNT_FVHD_METER</v>
      </c>
    </row>
    <row r="140" spans="1:4">
      <c r="A140" t="s">
        <v>573</v>
      </c>
      <c r="B140" t="s">
        <v>595</v>
      </c>
      <c r="C140" s="60">
        <v>8</v>
      </c>
      <c r="D140" t="str">
        <f t="shared" si="2"/>
        <v xml:space="preserve">	          , i.LVCNS_BANK_CNT_ONE_KM</v>
      </c>
    </row>
    <row r="141" spans="1:4">
      <c r="A141" t="s">
        <v>573</v>
      </c>
      <c r="B141" t="s">
        <v>596</v>
      </c>
      <c r="C141" s="60">
        <v>131</v>
      </c>
      <c r="D141" t="str">
        <f t="shared" si="2"/>
        <v xml:space="preserve">	          , i.LVCNS_BANK_CNT_THREE_KM</v>
      </c>
    </row>
    <row r="142" spans="1:4">
      <c r="A142" t="s">
        <v>573</v>
      </c>
      <c r="B142" t="s">
        <v>597</v>
      </c>
      <c r="C142" s="60">
        <v>211</v>
      </c>
      <c r="D142" t="str">
        <f t="shared" si="2"/>
        <v xml:space="preserve">	          , i.LVCNS_BANK_CNT_FIVE_KM</v>
      </c>
    </row>
    <row r="143" spans="1:4">
      <c r="A143" t="s">
        <v>573</v>
      </c>
      <c r="B143" t="s">
        <v>598</v>
      </c>
      <c r="C143" s="60">
        <v>792</v>
      </c>
      <c r="D143" t="str">
        <f t="shared" si="2"/>
        <v xml:space="preserve">	          , i.LVCNS_MARTDMST_SHRTDST</v>
      </c>
    </row>
    <row r="144" spans="1:4">
      <c r="A144" t="s">
        <v>573</v>
      </c>
      <c r="B144" t="s">
        <v>365</v>
      </c>
      <c r="C144" s="60">
        <v>0</v>
      </c>
      <c r="D144" t="str">
        <f t="shared" si="2"/>
        <v xml:space="preserve">	          , i.LVCNS_MARTDMST_CNT_FVHD_METER</v>
      </c>
    </row>
    <row r="145" spans="1:4">
      <c r="A145" t="s">
        <v>573</v>
      </c>
      <c r="B145" t="s">
        <v>599</v>
      </c>
      <c r="C145" s="60">
        <v>2</v>
      </c>
      <c r="D145" t="str">
        <f t="shared" si="2"/>
        <v xml:space="preserve">	          , i.LVCNS_MARTDMST_CNT_ONE_KM</v>
      </c>
    </row>
    <row r="146" spans="1:4">
      <c r="A146" t="s">
        <v>573</v>
      </c>
      <c r="B146" t="s">
        <v>600</v>
      </c>
      <c r="C146" s="60">
        <v>6</v>
      </c>
      <c r="D146" t="str">
        <f t="shared" si="2"/>
        <v xml:space="preserve">	          , i.LVCNS_MARTDMST_CNT_THREE_KM</v>
      </c>
    </row>
    <row r="147" spans="1:4">
      <c r="A147" t="s">
        <v>573</v>
      </c>
      <c r="B147" t="s">
        <v>601</v>
      </c>
      <c r="C147" s="60">
        <v>13</v>
      </c>
      <c r="D147" t="str">
        <f t="shared" si="2"/>
        <v xml:space="preserve">	          , i.LVCNS_MARTDMST_CNT_FIVE_KM</v>
      </c>
    </row>
    <row r="148" spans="1:4">
      <c r="A148" t="s">
        <v>573</v>
      </c>
      <c r="B148" t="s">
        <v>602</v>
      </c>
      <c r="C148" s="60">
        <v>645</v>
      </c>
      <c r="D148" t="str">
        <f t="shared" si="2"/>
        <v xml:space="preserve">	          , i.LVCNS_PBPACFCT_SHRTDST</v>
      </c>
    </row>
    <row r="149" spans="1:4">
      <c r="A149" t="s">
        <v>573</v>
      </c>
      <c r="B149" t="s">
        <v>366</v>
      </c>
      <c r="C149" s="60">
        <v>0</v>
      </c>
      <c r="D149" t="str">
        <f t="shared" si="2"/>
        <v xml:space="preserve">	          , i.LVCNS_PBPACFCT_CNT_FVHD_METER</v>
      </c>
    </row>
    <row r="150" spans="1:4">
      <c r="A150" t="s">
        <v>573</v>
      </c>
      <c r="B150" t="s">
        <v>603</v>
      </c>
      <c r="C150" s="60">
        <v>12</v>
      </c>
      <c r="D150" t="str">
        <f t="shared" si="2"/>
        <v xml:space="preserve">	          , i.LVCNS_PBPACFCT_CNT_ONE_KM</v>
      </c>
    </row>
    <row r="151" spans="1:4">
      <c r="A151" t="s">
        <v>573</v>
      </c>
      <c r="B151" t="s">
        <v>604</v>
      </c>
      <c r="C151" s="60">
        <v>20</v>
      </c>
      <c r="D151" t="str">
        <f t="shared" si="2"/>
        <v xml:space="preserve">	          , i.LVCNS_PBPACFCT_CNT_THREE_KM</v>
      </c>
    </row>
    <row r="152" spans="1:4">
      <c r="A152" t="s">
        <v>573</v>
      </c>
      <c r="B152" t="s">
        <v>605</v>
      </c>
      <c r="C152" s="60">
        <v>33</v>
      </c>
      <c r="D152" t="str">
        <f t="shared" si="2"/>
        <v xml:space="preserve">	          , i.LVCNS_PBPACFCT_CNT_FIVE_KM</v>
      </c>
    </row>
    <row r="153" spans="1:4">
      <c r="A153" t="s">
        <v>573</v>
      </c>
      <c r="B153" t="s">
        <v>606</v>
      </c>
      <c r="C153" s="60">
        <v>168</v>
      </c>
      <c r="D153" t="str">
        <f t="shared" si="2"/>
        <v xml:space="preserve">	          , i.LVCNS_CVST_SHRTDST</v>
      </c>
    </row>
    <row r="154" spans="1:4">
      <c r="A154" t="s">
        <v>573</v>
      </c>
      <c r="B154" t="s">
        <v>367</v>
      </c>
      <c r="C154" s="60">
        <v>15</v>
      </c>
      <c r="D154" t="str">
        <f t="shared" si="2"/>
        <v xml:space="preserve">	          , i.LVCNS_CVST_CNT_FVHD_METER</v>
      </c>
    </row>
    <row r="155" spans="1:4">
      <c r="A155" t="s">
        <v>573</v>
      </c>
      <c r="B155" t="s">
        <v>607</v>
      </c>
      <c r="C155" s="60">
        <v>64</v>
      </c>
      <c r="D155" t="str">
        <f t="shared" si="2"/>
        <v xml:space="preserve">	          , i.LVCNS_CVST_CNT_ONE_KM</v>
      </c>
    </row>
    <row r="156" spans="1:4">
      <c r="A156" t="s">
        <v>573</v>
      </c>
      <c r="B156" t="s">
        <v>608</v>
      </c>
      <c r="C156" s="60">
        <v>508</v>
      </c>
      <c r="D156" t="str">
        <f t="shared" si="2"/>
        <v xml:space="preserve">	          , i.LVCNS_CVST_CNT_THREE_KM</v>
      </c>
    </row>
    <row r="157" spans="1:4">
      <c r="A157" t="s">
        <v>573</v>
      </c>
      <c r="B157" t="s">
        <v>609</v>
      </c>
      <c r="C157" s="60">
        <v>948</v>
      </c>
      <c r="D157" t="str">
        <f t="shared" si="2"/>
        <v xml:space="preserve">	          , i.LVCNS_CVST_CNT_FIVE_KM</v>
      </c>
    </row>
    <row r="158" spans="1:4">
      <c r="A158" t="s">
        <v>573</v>
      </c>
      <c r="B158" t="s">
        <v>610</v>
      </c>
      <c r="D158" t="str">
        <f t="shared" si="2"/>
        <v xml:space="preserve">	          , i.HMFNFCT_PWPLNT_SHRTDST</v>
      </c>
    </row>
    <row r="159" spans="1:4">
      <c r="A159" t="s">
        <v>573</v>
      </c>
      <c r="B159" t="s">
        <v>611</v>
      </c>
      <c r="D159" t="str">
        <f t="shared" si="2"/>
        <v xml:space="preserve">	          , i.HMFNFCT_CMTYFCT_SHRTDST</v>
      </c>
    </row>
    <row r="160" spans="1:4">
      <c r="A160" t="s">
        <v>573</v>
      </c>
      <c r="B160" t="s">
        <v>612</v>
      </c>
      <c r="C160" s="60">
        <v>666</v>
      </c>
      <c r="D160" t="str">
        <f t="shared" si="2"/>
        <v xml:space="preserve">	          , i.HMFNFCT_ESRNFCT_SHRTDST</v>
      </c>
    </row>
    <row r="161" spans="1:4">
      <c r="A161" t="s">
        <v>573</v>
      </c>
      <c r="B161" t="s">
        <v>613</v>
      </c>
      <c r="C161" s="60">
        <v>3050</v>
      </c>
      <c r="D161" t="str">
        <f t="shared" si="2"/>
        <v xml:space="preserve">	          , i.HMFNFCT_WSTFCT_SHRTDST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Table List(1차)</vt:lpstr>
      <vt:lpstr>Table List</vt:lpstr>
      <vt:lpstr>코드북</vt:lpstr>
      <vt:lpstr>01_지번별 토지 특성</vt:lpstr>
      <vt:lpstr>(참고)지번_선별기준</vt:lpstr>
      <vt:lpstr>(참고)data추출format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엄익현</dc:creator>
  <cp:lastModifiedBy>user1</cp:lastModifiedBy>
  <dcterms:created xsi:type="dcterms:W3CDTF">2019-09-15T06:28:44Z</dcterms:created>
  <dcterms:modified xsi:type="dcterms:W3CDTF">2024-04-03T04:45:38Z</dcterms:modified>
</cp:coreProperties>
</file>